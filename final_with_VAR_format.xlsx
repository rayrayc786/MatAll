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91029" fullCalcOnLoad="1"/>
</workbook>
</file>

<file path=xl/styles.xml><?xml version="1.0" encoding="utf-8"?>
<styleSheet xmlns="http://schemas.openxmlformats.org/spreadsheetml/2006/main">
  <numFmts count="2">
    <numFmt numFmtId="164" formatCode="0.00_ "/>
    <numFmt numFmtId="165" formatCode="yyyy\-mm\-dd\ hh:mm:ss"/>
  </numFmts>
  <fonts count="7">
    <font>
      <name val="Calibri"/>
      <color theme="1"/>
      <sz val="11"/>
      <scheme val="minor"/>
    </font>
    <font>
      <name val="Calibri"/>
      <b val="1"/>
      <color theme="1"/>
      <sz val="11"/>
    </font>
    <font>
      <name val="Calibri"/>
      <color theme="1"/>
      <sz val="11"/>
      <scheme val="minor"/>
    </font>
    <font>
      <name val="Calibri"/>
      <color theme="1"/>
      <sz val="11"/>
    </font>
    <font>
      <name val="'AgfaRotisSansSerif'"/>
      <color rgb="FF2B2A29"/>
      <sz val="9"/>
    </font>
    <font>
      <name val="Calibri"/>
      <color rgb="FFFF0000"/>
      <sz val="11"/>
      <scheme val="minor"/>
    </font>
    <font>
      <name val="Calibri"/>
      <color rgb="FFFF0000"/>
      <sz val="11"/>
    </font>
  </fonts>
  <fills count="6">
    <fill>
      <patternFill/>
    </fill>
    <fill>
      <patternFill patternType="gray125"/>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2" fillId="0" borderId="0"/>
  </cellStyleXfs>
  <cellXfs count="19">
    <xf numFmtId="0" fontId="0" fillId="0" borderId="0" pivotButton="0" quotePrefix="0" xfId="0"/>
    <xf numFmtId="0" fontId="1" fillId="0" borderId="1" applyAlignment="1" pivotButton="0" quotePrefix="0" xfId="0">
      <alignment horizontal="center" vertical="top"/>
    </xf>
    <xf numFmtId="9" fontId="1" fillId="0" borderId="1" applyAlignment="1" pivotButton="0" quotePrefix="0" xfId="0">
      <alignment horizontal="center" vertical="top"/>
    </xf>
    <xf numFmtId="0" fontId="2" fillId="0" borderId="0" pivotButton="0" quotePrefix="0" xfId="0"/>
    <xf numFmtId="9" fontId="3" fillId="0" borderId="0" pivotButton="0" quotePrefix="0" xfId="0"/>
    <xf numFmtId="164" fontId="3" fillId="0" borderId="0" pivotButton="0" quotePrefix="0" xfId="0"/>
    <xf numFmtId="0" fontId="2" fillId="2" borderId="0" pivotButton="0" quotePrefix="0" xfId="0"/>
    <xf numFmtId="9" fontId="3" fillId="2" borderId="0" pivotButton="0" quotePrefix="0" xfId="0"/>
    <xf numFmtId="0" fontId="2" fillId="3" borderId="0" pivotButton="0" quotePrefix="0" xfId="0"/>
    <xf numFmtId="9" fontId="3" fillId="3" borderId="0" pivotButton="0" quotePrefix="0" xfId="0"/>
    <xf numFmtId="0" fontId="2" fillId="4" borderId="0" pivotButton="0" quotePrefix="0" xfId="0"/>
    <xf numFmtId="9" fontId="3" fillId="4" borderId="0" pivotButton="0" quotePrefix="0" xfId="0"/>
    <xf numFmtId="0" fontId="4" fillId="0" borderId="0" pivotButton="0" quotePrefix="0" xfId="0"/>
    <xf numFmtId="0" fontId="5" fillId="0" borderId="0" pivotButton="0" quotePrefix="0" xfId="0"/>
    <xf numFmtId="9" fontId="6" fillId="0" borderId="0" pivotButton="0" quotePrefix="0" xfId="0"/>
    <xf numFmtId="0" fontId="2" fillId="5" borderId="0" pivotButton="0" quotePrefix="0" xfId="0"/>
    <xf numFmtId="9" fontId="3" fillId="5" borderId="0" pivotButton="0" quotePrefix="0" xfId="0"/>
    <xf numFmtId="165" fontId="3" fillId="0" borderId="0" pivotButton="0" quotePrefix="0" xfId="0"/>
    <xf numFmtId="0" fontId="3"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098"/>
  <sheetViews>
    <sheetView tabSelected="1" workbookViewId="0">
      <pane xSplit="18" topLeftCell="S1" activePane="topRight" state="frozen"/>
      <selection pane="topRight" activeCell="D9" sqref="D9"/>
    </sheetView>
  </sheetViews>
  <sheetFormatPr baseColWidth="8" defaultColWidth="14.44140625" defaultRowHeight="15" customHeight="1"/>
  <cols>
    <col width="11.33203125" customWidth="1" min="1" max="2"/>
    <col width="11.6640625" customWidth="1" min="3" max="3"/>
    <col width="18.6640625" customWidth="1" min="4" max="4"/>
    <col width="10.5546875" customWidth="1" min="5" max="5"/>
    <col width="33.33203125" customWidth="1" min="6" max="6"/>
    <col width="3.5546875" customWidth="1" min="7" max="7"/>
    <col width="17.44140625" customWidth="1" min="8" max="8"/>
    <col width="17.109375" customWidth="1" min="9" max="9"/>
    <col width="6.33203125" customWidth="1" min="10" max="10"/>
    <col width="17.109375" customWidth="1" min="11" max="11"/>
    <col width="7.109375" customWidth="1" min="12" max="12"/>
    <col width="17.109375" customWidth="1" min="13" max="13"/>
    <col width="4" customWidth="1" min="14" max="14"/>
    <col width="3.21875" customWidth="1" min="15" max="15"/>
    <col hidden="1" width="5.5546875" customWidth="1" min="16" max="16"/>
    <col hidden="1" width="2.88671875" customWidth="1" min="17" max="17"/>
    <col hidden="1" width="15.6640625" customWidth="1" min="18" max="18"/>
    <col hidden="1" width="15.88671875" customWidth="1" min="19" max="19"/>
    <col hidden="1" width="16" customWidth="1" min="20" max="20"/>
    <col hidden="1" width="17.33203125" customWidth="1" min="21" max="21"/>
    <col hidden="1" width="20.109375" customWidth="1" min="22" max="22"/>
    <col hidden="1" width="19.88671875" customWidth="1" min="23" max="23"/>
    <col hidden="1" width="14.88671875" customWidth="1" min="24" max="24"/>
    <col hidden="1" width="20.5546875" customWidth="1" min="25" max="25"/>
    <col width="12.5546875" customWidth="1" min="26" max="26"/>
    <col width="17.88671875" customWidth="1" min="27" max="27"/>
    <col hidden="1" width="9" customWidth="1" min="28" max="28"/>
    <col width="17" customWidth="1" min="29" max="29"/>
    <col width="22.33203125" customWidth="1" min="30" max="30"/>
    <col width="16.88671875" customWidth="1" min="31" max="31"/>
    <col width="17.88671875" customWidth="1" min="32" max="32"/>
    <col width="20.88671875" customWidth="1" min="33" max="33"/>
    <col width="7.33203125" customWidth="1" min="34" max="34"/>
    <col width="14.6640625" customWidth="1" min="35" max="35"/>
    <col width="13.88671875" customWidth="1" min="36" max="36"/>
    <col width="15.5546875" customWidth="1" min="37" max="37"/>
    <col width="12.44140625" customWidth="1" min="38" max="38"/>
    <col width="17" customWidth="1" min="39" max="39"/>
    <col width="16" customWidth="1" min="40" max="41"/>
    <col width="10.6640625" customWidth="1" min="42" max="42"/>
    <col width="15.5546875" customWidth="1" min="43" max="43"/>
    <col width="9.44140625" customWidth="1" min="44" max="44"/>
    <col width="21.33203125" customWidth="1" min="45" max="45"/>
    <col width="6.44140625" customWidth="1" min="46" max="46"/>
  </cols>
  <sheetData>
    <row r="1" ht="14.4" customHeight="1">
      <c r="A1" s="1" t="inlineStr">
        <is>
          <t>Product Id</t>
        </is>
      </c>
      <c r="B1" s="1" t="inlineStr">
        <is>
          <t>Variant Id</t>
        </is>
      </c>
      <c r="C1" s="1" t="inlineStr">
        <is>
          <t>Category</t>
        </is>
      </c>
      <c r="D1" s="1" t="inlineStr">
        <is>
          <t>Sub Category</t>
        </is>
      </c>
      <c r="E1" s="1" t="inlineStr">
        <is>
          <t>Brand</t>
        </is>
      </c>
      <c r="F1" s="1" t="inlineStr">
        <is>
          <t>Product Name</t>
        </is>
      </c>
      <c r="G1" s="1" t="inlineStr">
        <is>
          <t>Alternate Names (for search)</t>
        </is>
      </c>
      <c r="H1" s="1" t="inlineStr">
        <is>
          <t>Variant 1 Name</t>
        </is>
      </c>
      <c r="I1" s="1" t="inlineStr">
        <is>
          <t>Variant 1 Value</t>
        </is>
      </c>
      <c r="J1" s="1" t="inlineStr">
        <is>
          <t>Variant 2 Name</t>
        </is>
      </c>
      <c r="K1" s="1" t="inlineStr">
        <is>
          <t>Variant 2 Value</t>
        </is>
      </c>
      <c r="L1" s="1" t="inlineStr">
        <is>
          <t>Variant 3 Name</t>
        </is>
      </c>
      <c r="M1" s="1" t="inlineStr">
        <is>
          <t>Variant 3 Value</t>
        </is>
      </c>
      <c r="N1" s="1" t="inlineStr">
        <is>
          <t>Variant 4 Name</t>
        </is>
      </c>
      <c r="O1" s="1" t="inlineStr">
        <is>
          <t>Variant 4 Value</t>
        </is>
      </c>
      <c r="P1" s="1" t="inlineStr">
        <is>
          <t>Variant 5 Value</t>
        </is>
      </c>
      <c r="Q1" s="1" t="inlineStr">
        <is>
          <t>Warranty</t>
        </is>
      </c>
      <c r="R1" s="1" t="inlineStr">
        <is>
          <t>Product Code</t>
        </is>
      </c>
      <c r="S1" s="1" t="inlineStr">
        <is>
          <t>Pack of</t>
        </is>
      </c>
      <c r="T1" s="1" t="inlineStr">
        <is>
          <t>Bulk application</t>
        </is>
      </c>
      <c r="U1" s="1" t="inlineStr">
        <is>
          <t>Unit Weight 
(in gm)</t>
        </is>
      </c>
      <c r="V1" s="1" t="inlineStr">
        <is>
          <t>Supplied With</t>
        </is>
      </c>
      <c r="W1" s="1" t="inlineStr">
        <is>
          <t>Suitable For</t>
        </is>
      </c>
      <c r="X1" s="1" t="inlineStr">
        <is>
          <t>Measure</t>
        </is>
      </c>
      <c r="Y1" s="1" t="inlineStr">
        <is>
          <t>Images</t>
        </is>
      </c>
      <c r="Z1" s="1" t="inlineStr">
        <is>
          <t>HSN Code</t>
        </is>
      </c>
      <c r="AA1" s="1" t="inlineStr">
        <is>
          <t>Selling Measure</t>
        </is>
      </c>
      <c r="AB1" s="1" t="inlineStr">
        <is>
          <t>Measure Term</t>
        </is>
      </c>
      <c r="AC1" s="1" t="inlineStr">
        <is>
          <t>Measure Value</t>
        </is>
      </c>
      <c r="AD1" s="1" t="inlineStr">
        <is>
          <t>Selling Measure Rate</t>
        </is>
      </c>
      <c r="AE1" s="1" t="inlineStr">
        <is>
          <t>MRP (Incl GST)</t>
        </is>
      </c>
      <c r="AF1" s="2" t="inlineStr">
        <is>
          <t>Dealer Discount</t>
        </is>
      </c>
      <c r="AG1" s="1" t="inlineStr">
        <is>
          <t>Price after discount</t>
        </is>
      </c>
      <c r="AH1" s="2" t="inlineStr">
        <is>
          <t>GST</t>
        </is>
      </c>
      <c r="AI1" s="1" t="inlineStr">
        <is>
          <t>Buying Price</t>
        </is>
      </c>
      <c r="AJ1" s="2" t="inlineStr">
        <is>
          <t>Rev Margin</t>
        </is>
      </c>
      <c r="AK1" s="1" t="inlineStr">
        <is>
          <t>Margin Value</t>
        </is>
      </c>
      <c r="AL1" s="1" t="inlineStr">
        <is>
          <t>Sale Price</t>
        </is>
      </c>
      <c r="AM1" s="1" t="inlineStr">
        <is>
          <t>Discount Value</t>
        </is>
      </c>
      <c r="AN1" s="1" t="inlineStr">
        <is>
          <t>Discount Rate</t>
        </is>
      </c>
      <c r="AO1" s="1" t="inlineStr">
        <is>
          <t>Delivery Time</t>
        </is>
      </c>
      <c r="AP1" s="1" t="inlineStr">
        <is>
          <t>Returns</t>
        </is>
      </c>
      <c r="AQ1" s="1" t="inlineStr">
        <is>
          <t>Logistics Rule</t>
        </is>
      </c>
      <c r="AR1" s="1" t="inlineStr">
        <is>
          <t>Status</t>
        </is>
      </c>
      <c r="AS1" s="1" t="inlineStr">
        <is>
          <t>Product Description</t>
        </is>
      </c>
      <c r="AT1" s="3" t="inlineStr">
        <is>
          <t>Status</t>
        </is>
      </c>
    </row>
    <row r="2" ht="14.4" customHeight="1">
      <c r="A2" s="3" t="inlineStr">
        <is>
          <t>PROD_0001</t>
        </is>
      </c>
      <c r="B2" s="3" t="inlineStr">
        <is>
          <t>VAR_1</t>
        </is>
      </c>
      <c r="C2" s="3" t="inlineStr">
        <is>
          <t>Wooden Material</t>
        </is>
      </c>
      <c r="D2" s="3" t="inlineStr">
        <is>
          <t>Plywood</t>
        </is>
      </c>
      <c r="E2" s="3" t="inlineStr">
        <is>
          <t>Century Ply</t>
        </is>
      </c>
      <c r="F2" s="3" t="inlineStr">
        <is>
          <t>Sainik 710</t>
        </is>
      </c>
      <c r="H2" s="3" t="inlineStr">
        <is>
          <t>Type</t>
        </is>
      </c>
      <c r="I2" s="3" t="inlineStr">
        <is>
          <t>Boiling Water Proof</t>
        </is>
      </c>
      <c r="J2" s="3" t="inlineStr">
        <is>
          <t>Size</t>
        </is>
      </c>
      <c r="K2" s="3" t="inlineStr">
        <is>
          <t>8 ft X 4 ft</t>
        </is>
      </c>
      <c r="L2" s="3" t="inlineStr">
        <is>
          <t>Thickness</t>
        </is>
      </c>
      <c r="M2" s="3" t="inlineStr">
        <is>
          <t>4 mm</t>
        </is>
      </c>
      <c r="Q2" s="3" t="inlineStr">
        <is>
          <t>Manufacturer's Warranty</t>
        </is>
      </c>
      <c r="S2" s="3" t="n">
        <v>1</v>
      </c>
      <c r="U2" s="3" t="n">
        <v>51000</v>
      </c>
      <c r="V2" s="3" t="inlineStr">
        <is>
          <t>Adhesive</t>
        </is>
      </c>
      <c r="W2" s="3" t="inlineStr">
        <is>
          <t>Internal Use</t>
        </is>
      </c>
      <c r="X2" s="3" t="inlineStr">
        <is>
          <t>Door</t>
        </is>
      </c>
      <c r="Y2" s="3" t="inlineStr">
        <is>
          <t>CENT_PW_SAINKI_710</t>
        </is>
      </c>
      <c r="Z2" s="3" t="n">
        <v>4412</v>
      </c>
      <c r="AA2" s="3" t="inlineStr">
        <is>
          <t>per sq ft</t>
        </is>
      </c>
      <c r="AB2" s="3" t="inlineStr">
        <is>
          <t>Area</t>
        </is>
      </c>
      <c r="AC2" s="3" t="n">
        <v>32</v>
      </c>
      <c r="AD2" s="3" t="n">
        <v>54</v>
      </c>
      <c r="AE2" s="3">
        <f>+AC2*AD2</f>
        <v/>
      </c>
      <c r="AF2" s="4" t="n">
        <v>0.19</v>
      </c>
      <c r="AG2" s="3">
        <f>ROUND(AE2-(AE2*AF2),2)</f>
        <v/>
      </c>
      <c r="AH2" s="4" t="n">
        <v>0.18</v>
      </c>
      <c r="AI2" s="3">
        <f>ROUND(AG2+(AG2*AH2),2)</f>
        <v/>
      </c>
      <c r="AJ2" s="4" t="n">
        <v>0.1</v>
      </c>
      <c r="AK2" s="3">
        <f>ROUND(AI2*AJ2,2)</f>
        <v/>
      </c>
      <c r="AL2" s="3">
        <f>AI2+AK2</f>
        <v/>
      </c>
      <c r="AM2" s="3">
        <f>AE2-AL2</f>
        <v/>
      </c>
      <c r="AN2" s="4">
        <f>AM2/AE2</f>
        <v/>
      </c>
      <c r="AO2" s="3" t="inlineStr">
        <is>
          <t>3 hrs</t>
        </is>
      </c>
      <c r="AQ2" s="3" t="inlineStr">
        <is>
          <t>Length Weight</t>
        </is>
      </c>
      <c r="AS2" s="3" t="inlineStr">
        <is>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is>
      </c>
    </row>
    <row r="3" ht="14.4" customHeight="1">
      <c r="A3" s="3" t="inlineStr">
        <is>
          <t>PROD_0001</t>
        </is>
      </c>
      <c r="B3" s="3" t="inlineStr">
        <is>
          <t>VAR_2</t>
        </is>
      </c>
      <c r="C3" s="3" t="inlineStr">
        <is>
          <t>Wooden Material</t>
        </is>
      </c>
      <c r="D3" s="3" t="inlineStr">
        <is>
          <t>Plywood</t>
        </is>
      </c>
      <c r="E3" s="3" t="inlineStr">
        <is>
          <t>Century Ply</t>
        </is>
      </c>
      <c r="F3" s="3" t="inlineStr">
        <is>
          <t>Sainik 710</t>
        </is>
      </c>
      <c r="H3" s="3" t="inlineStr">
        <is>
          <t>Type</t>
        </is>
      </c>
      <c r="I3" s="3" t="inlineStr">
        <is>
          <t>Boiling Water Proof</t>
        </is>
      </c>
      <c r="J3" s="3" t="inlineStr">
        <is>
          <t>Size</t>
        </is>
      </c>
      <c r="K3" s="3" t="inlineStr">
        <is>
          <t>8 ft X 4 ft</t>
        </is>
      </c>
      <c r="L3" s="3" t="inlineStr">
        <is>
          <t>Thickness</t>
        </is>
      </c>
      <c r="M3" s="3" t="inlineStr">
        <is>
          <t>6 mm</t>
        </is>
      </c>
      <c r="Q3" s="3" t="inlineStr">
        <is>
          <t>Manufacturer's Warranty</t>
        </is>
      </c>
      <c r="S3" s="3" t="n">
        <v>1</v>
      </c>
      <c r="U3" s="3" t="n">
        <v>51000</v>
      </c>
      <c r="V3" s="3" t="inlineStr">
        <is>
          <t>Screws</t>
        </is>
      </c>
      <c r="X3" s="3" t="inlineStr">
        <is>
          <t>Furniture</t>
        </is>
      </c>
      <c r="Y3" s="3" t="inlineStr">
        <is>
          <t>CENT_PW_SAINKI_710</t>
        </is>
      </c>
      <c r="Z3" s="3" t="n">
        <v>4412</v>
      </c>
      <c r="AA3" s="3" t="inlineStr">
        <is>
          <t>per sq ft</t>
        </is>
      </c>
      <c r="AB3" s="3" t="inlineStr">
        <is>
          <t>Area</t>
        </is>
      </c>
      <c r="AC3" s="3" t="n">
        <v>32</v>
      </c>
      <c r="AD3" s="3" t="n">
        <v>66.95999999999999</v>
      </c>
      <c r="AE3" s="3">
        <f>+AC3*AD3</f>
        <v/>
      </c>
      <c r="AF3" s="4" t="n">
        <v>0.19</v>
      </c>
      <c r="AG3" s="3">
        <f>ROUND(AE3-(AE3*AF3),2)</f>
        <v/>
      </c>
      <c r="AH3" s="4" t="n">
        <v>0.18</v>
      </c>
      <c r="AI3" s="3">
        <f>ROUND(AG3+(AG3*AH3),2)</f>
        <v/>
      </c>
      <c r="AJ3" s="4" t="n">
        <v>0.1</v>
      </c>
      <c r="AK3" s="3">
        <f>ROUND(AI3*AJ3,2)</f>
        <v/>
      </c>
      <c r="AL3" s="3">
        <f>AI3+AK3</f>
        <v/>
      </c>
      <c r="AM3" s="3">
        <f>AE3-AL3</f>
        <v/>
      </c>
      <c r="AN3" s="4">
        <f>AM3/AE3</f>
        <v/>
      </c>
      <c r="AO3" s="3" t="inlineStr">
        <is>
          <t>3 hrs</t>
        </is>
      </c>
      <c r="AQ3" s="3" t="inlineStr">
        <is>
          <t>Length Weight</t>
        </is>
      </c>
      <c r="AS3" s="3" t="inlineStr">
        <is>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is>
      </c>
    </row>
    <row r="4" ht="14.4" customHeight="1">
      <c r="A4" s="3" t="inlineStr">
        <is>
          <t>PROD_0001</t>
        </is>
      </c>
      <c r="B4" s="3" t="inlineStr">
        <is>
          <t>VAR_3</t>
        </is>
      </c>
      <c r="C4" s="3" t="inlineStr">
        <is>
          <t>Wooden Material</t>
        </is>
      </c>
      <c r="D4" s="3" t="inlineStr">
        <is>
          <t>Plywood</t>
        </is>
      </c>
      <c r="E4" s="3" t="inlineStr">
        <is>
          <t>Century Ply</t>
        </is>
      </c>
      <c r="F4" s="3" t="inlineStr">
        <is>
          <t>Sainik 710</t>
        </is>
      </c>
      <c r="H4" s="3" t="inlineStr">
        <is>
          <t>Type</t>
        </is>
      </c>
      <c r="I4" s="3" t="inlineStr">
        <is>
          <t>Boiling Water Proof</t>
        </is>
      </c>
      <c r="J4" s="3" t="inlineStr">
        <is>
          <t>Size</t>
        </is>
      </c>
      <c r="K4" s="3" t="inlineStr">
        <is>
          <t>8 ft X 4 ft</t>
        </is>
      </c>
      <c r="L4" s="3" t="inlineStr">
        <is>
          <t>Thickness</t>
        </is>
      </c>
      <c r="M4" s="3" t="inlineStr">
        <is>
          <t>9mm</t>
        </is>
      </c>
      <c r="Q4" s="3" t="inlineStr">
        <is>
          <t>Manufacturer's Warranty</t>
        </is>
      </c>
      <c r="S4" s="3" t="n">
        <v>1</v>
      </c>
      <c r="U4" s="3" t="n">
        <v>51000</v>
      </c>
      <c r="V4" s="3" t="inlineStr">
        <is>
          <t>Edgeband Tape</t>
        </is>
      </c>
      <c r="X4" s="3" t="inlineStr">
        <is>
          <t>Wardrobe</t>
        </is>
      </c>
      <c r="Y4" s="3" t="inlineStr">
        <is>
          <t>CENT_PW_SAINKI_710</t>
        </is>
      </c>
      <c r="Z4" s="3" t="n">
        <v>4412</v>
      </c>
      <c r="AA4" s="3" t="inlineStr">
        <is>
          <t>per sq ft</t>
        </is>
      </c>
      <c r="AB4" s="3" t="inlineStr">
        <is>
          <t>Area</t>
        </is>
      </c>
      <c r="AC4" s="3" t="n">
        <v>32</v>
      </c>
      <c r="AD4" s="3" t="n">
        <v>81</v>
      </c>
      <c r="AE4" s="3">
        <f>+AC4*AD4</f>
        <v/>
      </c>
      <c r="AF4" s="4" t="n">
        <v>0.19</v>
      </c>
      <c r="AG4" s="3">
        <f>ROUND(AE4-(AE4*AF4),2)</f>
        <v/>
      </c>
      <c r="AH4" s="4" t="n">
        <v>0.18</v>
      </c>
      <c r="AI4" s="3">
        <f>ROUND(AG4+(AG4*AH4),2)</f>
        <v/>
      </c>
      <c r="AJ4" s="4" t="n">
        <v>0.1</v>
      </c>
      <c r="AK4" s="3">
        <f>ROUND(AI4*AJ4,2)</f>
        <v/>
      </c>
      <c r="AL4" s="3">
        <f>AI4+AK4</f>
        <v/>
      </c>
      <c r="AM4" s="3">
        <f>AE4-AL4</f>
        <v/>
      </c>
      <c r="AN4" s="4">
        <f>AM4/AE4</f>
        <v/>
      </c>
      <c r="AO4" s="3" t="inlineStr">
        <is>
          <t>3 hrs</t>
        </is>
      </c>
      <c r="AQ4" s="3" t="inlineStr">
        <is>
          <t>Length Weight</t>
        </is>
      </c>
      <c r="AS4" s="3" t="inlineStr">
        <is>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is>
      </c>
    </row>
    <row r="5" ht="14.4" customHeight="1">
      <c r="A5" s="3" t="inlineStr">
        <is>
          <t>PROD_0001</t>
        </is>
      </c>
      <c r="B5" s="3" t="inlineStr">
        <is>
          <t>VAR_4</t>
        </is>
      </c>
      <c r="C5" s="3" t="inlineStr">
        <is>
          <t>Wooden Material</t>
        </is>
      </c>
      <c r="D5" s="3" t="inlineStr">
        <is>
          <t>Plywood</t>
        </is>
      </c>
      <c r="E5" s="3" t="inlineStr">
        <is>
          <t>Century Ply</t>
        </is>
      </c>
      <c r="F5" s="3" t="inlineStr">
        <is>
          <t>Sainik 710</t>
        </is>
      </c>
      <c r="H5" s="3" t="inlineStr">
        <is>
          <t>Type</t>
        </is>
      </c>
      <c r="I5" s="3" t="inlineStr">
        <is>
          <t>Boiling Water Proof</t>
        </is>
      </c>
      <c r="J5" s="3" t="inlineStr">
        <is>
          <t>Size</t>
        </is>
      </c>
      <c r="K5" s="3" t="inlineStr">
        <is>
          <t>8 ft X 4 ft</t>
        </is>
      </c>
      <c r="L5" s="3" t="inlineStr">
        <is>
          <t>Thickness</t>
        </is>
      </c>
      <c r="M5" s="3" t="inlineStr">
        <is>
          <t>12 mm</t>
        </is>
      </c>
      <c r="Q5" s="3" t="inlineStr">
        <is>
          <t>Manufacturer's Warranty</t>
        </is>
      </c>
      <c r="S5" s="3" t="n">
        <v>1</v>
      </c>
      <c r="U5" s="3" t="n">
        <v>51000</v>
      </c>
      <c r="V5" s="3" t="inlineStr">
        <is>
          <t>Masking tap</t>
        </is>
      </c>
      <c r="X5" s="3" t="inlineStr">
        <is>
          <t>Kitchen</t>
        </is>
      </c>
      <c r="Y5" s="3" t="inlineStr">
        <is>
          <t>CENT_PW_SAINKI_710</t>
        </is>
      </c>
      <c r="Z5" s="3" t="n">
        <v>4412</v>
      </c>
      <c r="AA5" s="3" t="inlineStr">
        <is>
          <t>per sq ft</t>
        </is>
      </c>
      <c r="AB5" s="3" t="inlineStr">
        <is>
          <t>Area</t>
        </is>
      </c>
      <c r="AC5" s="3" t="n">
        <v>32</v>
      </c>
      <c r="AD5" s="3" t="n">
        <v>104.76</v>
      </c>
      <c r="AE5" s="3">
        <f>+AC5*AD5</f>
        <v/>
      </c>
      <c r="AF5" s="4" t="n">
        <v>0.19</v>
      </c>
      <c r="AG5" s="3">
        <f>ROUND(AE5-(AE5*AF5),2)</f>
        <v/>
      </c>
      <c r="AH5" s="4" t="n">
        <v>0.18</v>
      </c>
      <c r="AI5" s="3">
        <f>ROUND(AG5+(AG5*AH5),2)</f>
        <v/>
      </c>
      <c r="AJ5" s="4" t="n">
        <v>0.1</v>
      </c>
      <c r="AK5" s="3">
        <f>ROUND(AI5*AJ5,2)</f>
        <v/>
      </c>
      <c r="AL5" s="3">
        <f>AI5+AK5</f>
        <v/>
      </c>
      <c r="AM5" s="3">
        <f>AE5-AL5</f>
        <v/>
      </c>
      <c r="AN5" s="4">
        <f>AM5/AE5</f>
        <v/>
      </c>
      <c r="AO5" s="3" t="inlineStr">
        <is>
          <t>3 hrs</t>
        </is>
      </c>
      <c r="AQ5" s="3" t="inlineStr">
        <is>
          <t>Length Weight</t>
        </is>
      </c>
      <c r="AS5" s="3" t="inlineStr">
        <is>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is>
      </c>
    </row>
    <row r="6" ht="14.4" customHeight="1">
      <c r="A6" s="3" t="inlineStr">
        <is>
          <t>PROD_0001</t>
        </is>
      </c>
      <c r="B6" s="3" t="inlineStr">
        <is>
          <t>VAR_5</t>
        </is>
      </c>
      <c r="C6" s="3" t="inlineStr">
        <is>
          <t>Wooden Material</t>
        </is>
      </c>
      <c r="D6" s="3" t="inlineStr">
        <is>
          <t>Plywood</t>
        </is>
      </c>
      <c r="E6" s="3" t="inlineStr">
        <is>
          <t>Century Ply</t>
        </is>
      </c>
      <c r="F6" s="3" t="inlineStr">
        <is>
          <t>Sainik 710</t>
        </is>
      </c>
      <c r="H6" s="3" t="inlineStr">
        <is>
          <t>Type</t>
        </is>
      </c>
      <c r="I6" s="3" t="inlineStr">
        <is>
          <t>Boiling Water Proof</t>
        </is>
      </c>
      <c r="J6" s="3" t="inlineStr">
        <is>
          <t>Size</t>
        </is>
      </c>
      <c r="K6" s="3" t="inlineStr">
        <is>
          <t>8 ft X 4 ft</t>
        </is>
      </c>
      <c r="L6" s="3" t="inlineStr">
        <is>
          <t>Thickness</t>
        </is>
      </c>
      <c r="M6" s="3" t="inlineStr">
        <is>
          <t>16mm</t>
        </is>
      </c>
      <c r="Q6" s="3" t="inlineStr">
        <is>
          <t>Manufacturer's Warranty</t>
        </is>
      </c>
      <c r="S6" s="3" t="n">
        <v>1</v>
      </c>
      <c r="U6" s="3" t="n">
        <v>51000</v>
      </c>
      <c r="V6" s="3" t="inlineStr">
        <is>
          <t>Mica</t>
        </is>
      </c>
      <c r="X6" s="3" t="inlineStr">
        <is>
          <t>Sheo Rack</t>
        </is>
      </c>
      <c r="Y6" s="3" t="inlineStr">
        <is>
          <t>CENT_PW_SAINKI_710</t>
        </is>
      </c>
      <c r="Z6" s="3" t="n">
        <v>4412</v>
      </c>
      <c r="AA6" s="3" t="inlineStr">
        <is>
          <t>per sq ft</t>
        </is>
      </c>
      <c r="AB6" s="3" t="inlineStr">
        <is>
          <t>Area</t>
        </is>
      </c>
      <c r="AC6" s="3" t="n">
        <v>32</v>
      </c>
      <c r="AD6" s="3" t="n">
        <v>130.68</v>
      </c>
      <c r="AE6" s="3">
        <f>+AC6*AD6</f>
        <v/>
      </c>
      <c r="AF6" s="4" t="n">
        <v>0.19</v>
      </c>
      <c r="AG6" s="3">
        <f>ROUND(AE6-(AE6*AF6),2)</f>
        <v/>
      </c>
      <c r="AH6" s="4" t="n">
        <v>0.18</v>
      </c>
      <c r="AI6" s="3">
        <f>ROUND(AG6+(AG6*AH6),2)</f>
        <v/>
      </c>
      <c r="AJ6" s="4" t="n">
        <v>0.1</v>
      </c>
      <c r="AK6" s="3">
        <f>ROUND(AI6*AJ6,2)</f>
        <v/>
      </c>
      <c r="AL6" s="3">
        <f>AI6+AK6</f>
        <v/>
      </c>
      <c r="AM6" s="3">
        <f>AE6-AL6</f>
        <v/>
      </c>
      <c r="AN6" s="4">
        <f>AM6/AE6</f>
        <v/>
      </c>
      <c r="AO6" s="3" t="inlineStr">
        <is>
          <t>3 hrs</t>
        </is>
      </c>
      <c r="AQ6" s="3" t="inlineStr">
        <is>
          <t>Length Weight</t>
        </is>
      </c>
      <c r="AS6" s="3" t="inlineStr">
        <is>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is>
      </c>
    </row>
    <row r="7" ht="14.4" customHeight="1">
      <c r="A7" s="3" t="inlineStr">
        <is>
          <t>PROD_0001</t>
        </is>
      </c>
      <c r="B7" s="3" t="inlineStr">
        <is>
          <t>VAR_6</t>
        </is>
      </c>
      <c r="C7" s="3" t="inlineStr">
        <is>
          <t>Wooden Material</t>
        </is>
      </c>
      <c r="D7" s="3" t="inlineStr">
        <is>
          <t>Plywood</t>
        </is>
      </c>
      <c r="E7" s="3" t="inlineStr">
        <is>
          <t>Century Ply</t>
        </is>
      </c>
      <c r="F7" s="3" t="inlineStr">
        <is>
          <t>Sainik 710</t>
        </is>
      </c>
      <c r="H7" s="3" t="inlineStr">
        <is>
          <t>Type</t>
        </is>
      </c>
      <c r="I7" s="3" t="inlineStr">
        <is>
          <t>Boiling Water Proof</t>
        </is>
      </c>
      <c r="J7" s="3" t="inlineStr">
        <is>
          <t>Size</t>
        </is>
      </c>
      <c r="K7" s="3" t="inlineStr">
        <is>
          <t>8 ft X 4 ft</t>
        </is>
      </c>
      <c r="L7" s="3" t="inlineStr">
        <is>
          <t>Thickness</t>
        </is>
      </c>
      <c r="M7" s="3" t="inlineStr">
        <is>
          <t>19mm</t>
        </is>
      </c>
      <c r="Q7" s="3" t="inlineStr">
        <is>
          <t>Manufacturer's Warranty</t>
        </is>
      </c>
      <c r="S7" s="3" t="n">
        <v>1</v>
      </c>
      <c r="U7" s="3" t="n">
        <v>51000</v>
      </c>
      <c r="W7" s="3" t="inlineStr">
        <is>
          <t>External Use</t>
        </is>
      </c>
      <c r="Y7" s="3" t="inlineStr">
        <is>
          <t>CENT_PW_SAINKI_710</t>
        </is>
      </c>
      <c r="Z7" s="3" t="n">
        <v>4412</v>
      </c>
      <c r="AA7" s="3" t="inlineStr">
        <is>
          <t>per sq ft</t>
        </is>
      </c>
      <c r="AB7" s="3" t="inlineStr">
        <is>
          <t>Area</t>
        </is>
      </c>
      <c r="AC7" s="3" t="n">
        <v>32</v>
      </c>
      <c r="AD7" s="3" t="n">
        <v>151.2</v>
      </c>
      <c r="AE7" s="3">
        <f>+AC7*AD7</f>
        <v/>
      </c>
      <c r="AF7" s="4" t="n">
        <v>0.19</v>
      </c>
      <c r="AG7" s="3">
        <f>ROUND(AE7-(AE7*AF7),2)</f>
        <v/>
      </c>
      <c r="AH7" s="4" t="n">
        <v>0.18</v>
      </c>
      <c r="AI7" s="3">
        <f>ROUND(AG7+(AG7*AH7),2)</f>
        <v/>
      </c>
      <c r="AJ7" s="4" t="n">
        <v>0.1</v>
      </c>
      <c r="AK7" s="3">
        <f>ROUND(AI7*AJ7,2)</f>
        <v/>
      </c>
      <c r="AL7" s="3">
        <f>AI7+AK7</f>
        <v/>
      </c>
      <c r="AM7" s="3">
        <f>AE7-AL7</f>
        <v/>
      </c>
      <c r="AN7" s="4">
        <f>AM7/AE7</f>
        <v/>
      </c>
      <c r="AO7" s="3" t="inlineStr">
        <is>
          <t>3 hrs</t>
        </is>
      </c>
      <c r="AQ7" s="3" t="inlineStr">
        <is>
          <t>Length Weight</t>
        </is>
      </c>
      <c r="AS7" s="3" t="inlineStr">
        <is>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is>
      </c>
    </row>
    <row r="8" ht="14.4" customHeight="1">
      <c r="A8" s="3" t="inlineStr">
        <is>
          <t>PROD_0002</t>
        </is>
      </c>
      <c r="B8" s="3" t="inlineStr">
        <is>
          <t>VAR_1</t>
        </is>
      </c>
      <c r="C8" s="3" t="inlineStr">
        <is>
          <t>Wooden Material</t>
        </is>
      </c>
      <c r="D8" s="3" t="inlineStr">
        <is>
          <t>Plywood</t>
        </is>
      </c>
      <c r="E8" s="3" t="inlineStr">
        <is>
          <t>Century Ply</t>
        </is>
      </c>
      <c r="F8" s="3" t="inlineStr">
        <is>
          <t>Sainik MR</t>
        </is>
      </c>
      <c r="H8" s="3" t="inlineStr">
        <is>
          <t>Type</t>
        </is>
      </c>
      <c r="I8" s="3" t="inlineStr">
        <is>
          <t>Boiling Water Proof</t>
        </is>
      </c>
      <c r="J8" s="3" t="inlineStr">
        <is>
          <t>Size</t>
        </is>
      </c>
      <c r="K8" s="3" t="inlineStr">
        <is>
          <t>8 ft X 4 ft</t>
        </is>
      </c>
      <c r="L8" s="3" t="inlineStr">
        <is>
          <t>Thickness</t>
        </is>
      </c>
      <c r="M8" s="3" t="inlineStr">
        <is>
          <t>4 mm</t>
        </is>
      </c>
      <c r="Q8" s="3" t="inlineStr">
        <is>
          <t>Manufacturer's Warranty</t>
        </is>
      </c>
      <c r="S8" s="3" t="n">
        <v>1</v>
      </c>
      <c r="U8" s="3" t="n">
        <v>51000</v>
      </c>
      <c r="Y8" s="3" t="inlineStr">
        <is>
          <t>CENT_PW_SAINKI_MR</t>
        </is>
      </c>
      <c r="Z8" s="3" t="n">
        <v>4412</v>
      </c>
      <c r="AA8" s="3" t="inlineStr">
        <is>
          <t>per sq ft</t>
        </is>
      </c>
      <c r="AB8" s="3" t="inlineStr">
        <is>
          <t>Area</t>
        </is>
      </c>
      <c r="AC8" s="3" t="n">
        <v>32</v>
      </c>
      <c r="AD8" s="3" t="n">
        <v>53.89</v>
      </c>
      <c r="AE8" s="3">
        <f>+AC8*AD8</f>
        <v/>
      </c>
      <c r="AF8" s="4" t="n">
        <v>0.29</v>
      </c>
      <c r="AG8" s="3">
        <f>ROUND(AE8-(AE8*AF8),2)</f>
        <v/>
      </c>
      <c r="AH8" s="4" t="n">
        <v>0.18</v>
      </c>
      <c r="AI8" s="3">
        <f>ROUND(AG8+(AG8*AH8),2)</f>
        <v/>
      </c>
      <c r="AJ8" s="4" t="n">
        <v>0.1</v>
      </c>
      <c r="AK8" s="3">
        <f>ROUND(AI8*AJ8,2)</f>
        <v/>
      </c>
      <c r="AL8" s="3">
        <f>AI8+AK8</f>
        <v/>
      </c>
      <c r="AM8" s="3">
        <f>AE8-AL8</f>
        <v/>
      </c>
      <c r="AN8" s="4">
        <f>AM8/AE8</f>
        <v/>
      </c>
      <c r="AO8" s="3" t="inlineStr">
        <is>
          <t>3 hrs</t>
        </is>
      </c>
      <c r="AQ8" s="3" t="inlineStr">
        <is>
          <t>Length Weight</t>
        </is>
      </c>
      <c r="AS8" s="3" t="inlineStr">
        <is>
          <t>Sainik MR is a reliable, economical, and high-quality plywood from the house of CenturyPly, India's trusted plywood brand. Designed for interior applications, this commercial-grade (IS:303 certified) plywood offers excellent performance and durability in dry areas.</t>
        </is>
      </c>
    </row>
    <row r="9" ht="14.4" customHeight="1">
      <c r="A9" s="3" t="inlineStr">
        <is>
          <t>PROD_0002</t>
        </is>
      </c>
      <c r="B9" s="3" t="inlineStr">
        <is>
          <t>VAR_2</t>
        </is>
      </c>
      <c r="C9" s="3" t="inlineStr">
        <is>
          <t>Wooden Material</t>
        </is>
      </c>
      <c r="D9" s="3" t="inlineStr">
        <is>
          <t>Plywood</t>
        </is>
      </c>
      <c r="E9" s="3" t="inlineStr">
        <is>
          <t>Century Ply</t>
        </is>
      </c>
      <c r="F9" s="3" t="inlineStr">
        <is>
          <t>Sainik MR</t>
        </is>
      </c>
      <c r="H9" s="3" t="inlineStr">
        <is>
          <t>Type</t>
        </is>
      </c>
      <c r="I9" s="3" t="inlineStr">
        <is>
          <t>Boiling Water Proof</t>
        </is>
      </c>
      <c r="J9" s="3" t="inlineStr">
        <is>
          <t>Size</t>
        </is>
      </c>
      <c r="K9" s="3" t="inlineStr">
        <is>
          <t>8 ft X 4 ft</t>
        </is>
      </c>
      <c r="L9" s="3" t="inlineStr">
        <is>
          <t>Thickness</t>
        </is>
      </c>
      <c r="M9" s="3" t="inlineStr">
        <is>
          <t>6 mm</t>
        </is>
      </c>
      <c r="Q9" s="3" t="inlineStr">
        <is>
          <t>Manufacturer's Warranty</t>
        </is>
      </c>
      <c r="S9" s="3" t="n">
        <v>1</v>
      </c>
      <c r="U9" s="3" t="n">
        <v>51000</v>
      </c>
      <c r="Y9" s="3" t="inlineStr">
        <is>
          <t>CENT_PW_SAINKI_MR</t>
        </is>
      </c>
      <c r="Z9" s="3" t="n">
        <v>4412</v>
      </c>
      <c r="AA9" s="3" t="inlineStr">
        <is>
          <t>per sq ft</t>
        </is>
      </c>
      <c r="AB9" s="3" t="inlineStr">
        <is>
          <t>Area</t>
        </is>
      </c>
      <c r="AC9" s="3" t="n">
        <v>32</v>
      </c>
      <c r="AD9" s="3" t="n">
        <v>68.36</v>
      </c>
      <c r="AE9" s="3">
        <f>+AC9*AD9</f>
        <v/>
      </c>
      <c r="AF9" s="4" t="n">
        <v>0.29</v>
      </c>
      <c r="AG9" s="3">
        <f>ROUND(AE9-(AE9*AF9),2)</f>
        <v/>
      </c>
      <c r="AH9" s="4" t="n">
        <v>0.18</v>
      </c>
      <c r="AI9" s="3">
        <f>ROUND(AG9+(AG9*AH9),2)</f>
        <v/>
      </c>
      <c r="AJ9" s="4" t="n">
        <v>0.1</v>
      </c>
      <c r="AK9" s="3">
        <f>ROUND(AI9*AJ9,2)</f>
        <v/>
      </c>
      <c r="AL9" s="3">
        <f>AI9+AK9</f>
        <v/>
      </c>
      <c r="AM9" s="3">
        <f>AE9-AL9</f>
        <v/>
      </c>
      <c r="AN9" s="4">
        <f>AM9/AE9</f>
        <v/>
      </c>
      <c r="AO9" s="3" t="inlineStr">
        <is>
          <t>3 hrs</t>
        </is>
      </c>
      <c r="AQ9" s="3" t="inlineStr">
        <is>
          <t>Length Weight</t>
        </is>
      </c>
      <c r="AS9" s="3" t="inlineStr">
        <is>
          <t>Sainik MR is a reliable, economical, and high-quality plywood from the house of CenturyPly, India's trusted plywood brand. Designed for interior applications, this commercial-grade (IS:303 certified) plywood offers excellent performance and durability in dry areas.</t>
        </is>
      </c>
    </row>
    <row r="10" ht="14.4" customHeight="1">
      <c r="A10" s="3" t="inlineStr">
        <is>
          <t>PROD_0002</t>
        </is>
      </c>
      <c r="B10" s="3" t="inlineStr">
        <is>
          <t>VAR_3</t>
        </is>
      </c>
      <c r="C10" s="3" t="inlineStr">
        <is>
          <t>Wooden Material</t>
        </is>
      </c>
      <c r="D10" s="3" t="inlineStr">
        <is>
          <t>Plywood</t>
        </is>
      </c>
      <c r="E10" s="3" t="inlineStr">
        <is>
          <t>Century Ply</t>
        </is>
      </c>
      <c r="F10" s="3" t="inlineStr">
        <is>
          <t>Sainik MR</t>
        </is>
      </c>
      <c r="H10" s="3" t="inlineStr">
        <is>
          <t>Type</t>
        </is>
      </c>
      <c r="I10" s="3" t="inlineStr">
        <is>
          <t>Boiling Water Proof</t>
        </is>
      </c>
      <c r="J10" s="3" t="inlineStr">
        <is>
          <t>Size</t>
        </is>
      </c>
      <c r="K10" s="3" t="inlineStr">
        <is>
          <t>8 ft X 4 ft</t>
        </is>
      </c>
      <c r="L10" s="3" t="inlineStr">
        <is>
          <t>Thickness</t>
        </is>
      </c>
      <c r="M10" s="3" t="inlineStr">
        <is>
          <t>8 mm</t>
        </is>
      </c>
      <c r="Q10" s="3" t="inlineStr">
        <is>
          <t>Manufacturer's Warranty</t>
        </is>
      </c>
      <c r="S10" s="3" t="n">
        <v>1</v>
      </c>
      <c r="U10" s="3" t="n">
        <v>51000</v>
      </c>
      <c r="Y10" s="3" t="inlineStr">
        <is>
          <t>CENT_PW_SAINKI_MR</t>
        </is>
      </c>
      <c r="Z10" s="3" t="n">
        <v>4412</v>
      </c>
      <c r="AA10" s="3" t="inlineStr">
        <is>
          <t>per sq ft</t>
        </is>
      </c>
      <c r="AB10" s="3" t="inlineStr">
        <is>
          <t>Area</t>
        </is>
      </c>
      <c r="AC10" s="3" t="n">
        <v>32</v>
      </c>
      <c r="AD10" s="3" t="n">
        <v>85.31999999999999</v>
      </c>
      <c r="AE10" s="3">
        <f>+AC10*AD10</f>
        <v/>
      </c>
      <c r="AF10" s="4" t="n">
        <v>0.29</v>
      </c>
      <c r="AG10" s="3">
        <f>ROUND(AE10-(AE10*AF10),2)</f>
        <v/>
      </c>
      <c r="AH10" s="4" t="n">
        <v>0.18</v>
      </c>
      <c r="AI10" s="3">
        <f>ROUND(AG10+(AG10*AH10),2)</f>
        <v/>
      </c>
      <c r="AJ10" s="4" t="n">
        <v>0.1</v>
      </c>
      <c r="AK10" s="3">
        <f>ROUND(AI10*AJ10,2)</f>
        <v/>
      </c>
      <c r="AL10" s="3">
        <f>AI10+AK10</f>
        <v/>
      </c>
      <c r="AM10" s="3">
        <f>AE10-AL10</f>
        <v/>
      </c>
      <c r="AN10" s="4">
        <f>AM10/AE10</f>
        <v/>
      </c>
      <c r="AO10" s="3" t="inlineStr">
        <is>
          <t>3 hrs</t>
        </is>
      </c>
      <c r="AQ10" s="3" t="inlineStr">
        <is>
          <t>Length Weight</t>
        </is>
      </c>
      <c r="AS10" s="3" t="inlineStr">
        <is>
          <t>Sainik MR is a reliable, economical, and high-quality plywood from the house of CenturyPly, India's trusted plywood brand. Designed for interior applications, this commercial-grade (IS:303 certified) plywood offers excellent performance and durability in dry areas.</t>
        </is>
      </c>
    </row>
    <row r="11" ht="14.4" customHeight="1">
      <c r="A11" s="3" t="inlineStr">
        <is>
          <t>PROD_0002</t>
        </is>
      </c>
      <c r="B11" s="3" t="inlineStr">
        <is>
          <t>VAR_4</t>
        </is>
      </c>
      <c r="C11" s="3" t="inlineStr">
        <is>
          <t>Wooden Material</t>
        </is>
      </c>
      <c r="D11" s="3" t="inlineStr">
        <is>
          <t>Plywood</t>
        </is>
      </c>
      <c r="E11" s="3" t="inlineStr">
        <is>
          <t>Century Ply</t>
        </is>
      </c>
      <c r="F11" s="3" t="inlineStr">
        <is>
          <t>Sainik MR</t>
        </is>
      </c>
      <c r="H11" s="3" t="inlineStr">
        <is>
          <t>Type</t>
        </is>
      </c>
      <c r="I11" s="3" t="inlineStr">
        <is>
          <t>Boiling Water Proof</t>
        </is>
      </c>
      <c r="J11" s="3" t="inlineStr">
        <is>
          <t>Size</t>
        </is>
      </c>
      <c r="K11" s="3" t="inlineStr">
        <is>
          <t>8 ft X 4 ft</t>
        </is>
      </c>
      <c r="L11" s="3" t="inlineStr">
        <is>
          <t>Thickness</t>
        </is>
      </c>
      <c r="M11" s="3" t="inlineStr">
        <is>
          <t>12 mm</t>
        </is>
      </c>
      <c r="Q11" s="3" t="inlineStr">
        <is>
          <t>Manufacturer's Warranty</t>
        </is>
      </c>
      <c r="S11" s="3" t="n">
        <v>1</v>
      </c>
      <c r="U11" s="3" t="n">
        <v>51000</v>
      </c>
      <c r="Y11" s="3" t="inlineStr">
        <is>
          <t>CENT_PW_SAINKI_MR</t>
        </is>
      </c>
      <c r="Z11" s="3" t="n">
        <v>4412</v>
      </c>
      <c r="AA11" s="3" t="inlineStr">
        <is>
          <t>per sq ft</t>
        </is>
      </c>
      <c r="AB11" s="3" t="inlineStr">
        <is>
          <t>Area</t>
        </is>
      </c>
      <c r="AC11" s="3" t="n">
        <v>32</v>
      </c>
      <c r="AD11" s="3" t="n">
        <v>103.68</v>
      </c>
      <c r="AE11" s="3">
        <f>+AC11*AD11</f>
        <v/>
      </c>
      <c r="AF11" s="4" t="n">
        <v>0.29</v>
      </c>
      <c r="AG11" s="3">
        <f>ROUND(AE11-(AE11*AF11),2)</f>
        <v/>
      </c>
      <c r="AH11" s="4" t="n">
        <v>0.18</v>
      </c>
      <c r="AI11" s="3">
        <f>ROUND(AG11+(AG11*AH11),2)</f>
        <v/>
      </c>
      <c r="AJ11" s="4" t="n">
        <v>0.1</v>
      </c>
      <c r="AK11" s="3">
        <f>ROUND(AI11*AJ11,2)</f>
        <v/>
      </c>
      <c r="AL11" s="3">
        <f>AI11+AK11</f>
        <v/>
      </c>
      <c r="AM11" s="3">
        <f>AE11-AL11</f>
        <v/>
      </c>
      <c r="AN11" s="4">
        <f>AM11/AE11</f>
        <v/>
      </c>
      <c r="AO11" s="3" t="inlineStr">
        <is>
          <t>3 hrs</t>
        </is>
      </c>
      <c r="AQ11" s="3" t="inlineStr">
        <is>
          <t>Length Weight</t>
        </is>
      </c>
      <c r="AS11" s="3" t="inlineStr">
        <is>
          <t>Sainik MR is a reliable, economical, and high-quality plywood from the house of CenturyPly, India's trusted plywood brand. Designed for interior applications, this commercial-grade (IS:303 certified) plywood offers excellent performance and durability in dry areas.</t>
        </is>
      </c>
    </row>
    <row r="12" ht="14.4" customHeight="1">
      <c r="A12" s="3" t="inlineStr">
        <is>
          <t>PROD_0002</t>
        </is>
      </c>
      <c r="B12" s="3" t="inlineStr">
        <is>
          <t>VAR_5</t>
        </is>
      </c>
      <c r="C12" s="3" t="inlineStr">
        <is>
          <t>Wooden Material</t>
        </is>
      </c>
      <c r="D12" s="3" t="inlineStr">
        <is>
          <t>Plywood</t>
        </is>
      </c>
      <c r="E12" s="3" t="inlineStr">
        <is>
          <t>Century Ply</t>
        </is>
      </c>
      <c r="F12" s="3" t="inlineStr">
        <is>
          <t>Sainik MR</t>
        </is>
      </c>
      <c r="H12" s="3" t="inlineStr">
        <is>
          <t>Type</t>
        </is>
      </c>
      <c r="I12" s="3" t="inlineStr">
        <is>
          <t>Boiling Water Proof</t>
        </is>
      </c>
      <c r="J12" s="3" t="inlineStr">
        <is>
          <t>Size</t>
        </is>
      </c>
      <c r="K12" s="3" t="inlineStr">
        <is>
          <t>8 ft X 4 ft</t>
        </is>
      </c>
      <c r="L12" s="3" t="inlineStr">
        <is>
          <t>Thickness</t>
        </is>
      </c>
      <c r="M12" s="3" t="inlineStr">
        <is>
          <t>15 mm</t>
        </is>
      </c>
      <c r="Q12" s="3" t="inlineStr">
        <is>
          <t>Manufacturer's Warranty</t>
        </is>
      </c>
      <c r="S12" s="3" t="n">
        <v>1</v>
      </c>
      <c r="U12" s="3" t="n">
        <v>51000</v>
      </c>
      <c r="Y12" s="3" t="inlineStr">
        <is>
          <t>CENT_PW_SAINKI_MR</t>
        </is>
      </c>
      <c r="Z12" s="3" t="n">
        <v>4412</v>
      </c>
      <c r="AA12" s="3" t="inlineStr">
        <is>
          <t>per sq ft</t>
        </is>
      </c>
      <c r="AB12" s="3" t="inlineStr">
        <is>
          <t>Area</t>
        </is>
      </c>
      <c r="AC12" s="3" t="n">
        <v>32</v>
      </c>
      <c r="AD12" s="3" t="n">
        <v>125.87</v>
      </c>
      <c r="AE12" s="3">
        <f>+AC12*AD12</f>
        <v/>
      </c>
      <c r="AF12" s="4" t="n">
        <v>0.29</v>
      </c>
      <c r="AG12" s="3">
        <f>ROUND(AE12-(AE12*AF12),2)</f>
        <v/>
      </c>
      <c r="AH12" s="4" t="n">
        <v>0.18</v>
      </c>
      <c r="AI12" s="3">
        <f>ROUND(AG12+(AG12*AH12),2)</f>
        <v/>
      </c>
      <c r="AJ12" s="4" t="n">
        <v>0.1</v>
      </c>
      <c r="AK12" s="3">
        <f>ROUND(AI12*AJ12,2)</f>
        <v/>
      </c>
      <c r="AL12" s="3">
        <f>AI12+AK12</f>
        <v/>
      </c>
      <c r="AM12" s="3">
        <f>AE12-AL12</f>
        <v/>
      </c>
      <c r="AN12" s="4">
        <f>AM12/AE12</f>
        <v/>
      </c>
      <c r="AO12" s="3" t="inlineStr">
        <is>
          <t>3 hrs</t>
        </is>
      </c>
      <c r="AQ12" s="3" t="inlineStr">
        <is>
          <t>Length Weight</t>
        </is>
      </c>
      <c r="AS12" s="3" t="inlineStr">
        <is>
          <t>Sainik MR is a reliable, economical, and high-quality plywood from the house of CenturyPly, India's trusted plywood brand. Designed for interior applications, this commercial-grade (IS:303 certified) plywood offers excellent performance and durability in dry areas.</t>
        </is>
      </c>
    </row>
    <row r="13" ht="14.4" customHeight="1">
      <c r="A13" s="3" t="inlineStr">
        <is>
          <t>PROD_0002</t>
        </is>
      </c>
      <c r="B13" s="3" t="inlineStr">
        <is>
          <t>VAR_6</t>
        </is>
      </c>
      <c r="C13" s="3" t="inlineStr">
        <is>
          <t>Wooden Material</t>
        </is>
      </c>
      <c r="D13" s="3" t="inlineStr">
        <is>
          <t>Plywood</t>
        </is>
      </c>
      <c r="E13" s="3" t="inlineStr">
        <is>
          <t>Century Ply</t>
        </is>
      </c>
      <c r="F13" s="3" t="inlineStr">
        <is>
          <t>Sainik MR</t>
        </is>
      </c>
      <c r="H13" s="3" t="inlineStr">
        <is>
          <t>Type</t>
        </is>
      </c>
      <c r="I13" s="3" t="inlineStr">
        <is>
          <t>Boiling Water Proof</t>
        </is>
      </c>
      <c r="J13" s="3" t="inlineStr">
        <is>
          <t>Size</t>
        </is>
      </c>
      <c r="K13" s="3" t="inlineStr">
        <is>
          <t>8 ft X 4 ft</t>
        </is>
      </c>
      <c r="L13" s="3" t="inlineStr">
        <is>
          <t>Thickness</t>
        </is>
      </c>
      <c r="M13" s="3" t="inlineStr">
        <is>
          <t>18 mm</t>
        </is>
      </c>
      <c r="Q13" s="3" t="inlineStr">
        <is>
          <t>Manufacturer's Warranty</t>
        </is>
      </c>
      <c r="S13" s="3" t="n">
        <v>1</v>
      </c>
      <c r="U13" s="3" t="n">
        <v>51000</v>
      </c>
      <c r="Y13" s="3" t="inlineStr">
        <is>
          <t>CENT_PW_SAINKI_MR</t>
        </is>
      </c>
      <c r="Z13" s="3" t="n">
        <v>4412</v>
      </c>
      <c r="AA13" s="3" t="inlineStr">
        <is>
          <t>per sq ft</t>
        </is>
      </c>
      <c r="AB13" s="3" t="inlineStr">
        <is>
          <t>Area</t>
        </is>
      </c>
      <c r="AC13" s="3" t="n">
        <v>32</v>
      </c>
      <c r="AD13" s="3" t="n">
        <v>146.88</v>
      </c>
      <c r="AE13" s="3">
        <f>+AC13*AD13</f>
        <v/>
      </c>
      <c r="AF13" s="4" t="n">
        <v>0.29</v>
      </c>
      <c r="AG13" s="3">
        <f>ROUND(AE13-(AE13*AF13),2)</f>
        <v/>
      </c>
      <c r="AH13" s="4" t="n">
        <v>0.18</v>
      </c>
      <c r="AI13" s="3">
        <f>ROUND(AG13+(AG13*AH13),2)</f>
        <v/>
      </c>
      <c r="AJ13" s="4" t="n">
        <v>0.1</v>
      </c>
      <c r="AK13" s="3">
        <f>ROUND(AI13*AJ13,2)</f>
        <v/>
      </c>
      <c r="AL13" s="3">
        <f>AI13+AK13</f>
        <v/>
      </c>
      <c r="AM13" s="3">
        <f>AE13-AL13</f>
        <v/>
      </c>
      <c r="AN13" s="4">
        <f>AM13/AE13</f>
        <v/>
      </c>
      <c r="AO13" s="3" t="inlineStr">
        <is>
          <t>3 hrs</t>
        </is>
      </c>
      <c r="AQ13" s="3" t="inlineStr">
        <is>
          <t>Length Weight</t>
        </is>
      </c>
      <c r="AS13" s="3" t="inlineStr">
        <is>
          <t>Sainik MR is a reliable, economical, and high-quality plywood from the house of CenturyPly, India's trusted plywood brand. Designed for interior applications, this commercial-grade (IS:303 certified) plywood offers excellent performance and durability in dry areas.</t>
        </is>
      </c>
    </row>
    <row r="14" ht="14.4" customHeight="1">
      <c r="A14" s="3" t="inlineStr">
        <is>
          <t>PROD_0003</t>
        </is>
      </c>
      <c r="B14" s="3" t="inlineStr">
        <is>
          <t>VAR_1</t>
        </is>
      </c>
      <c r="C14" s="3" t="inlineStr">
        <is>
          <t>Wooden Material</t>
        </is>
      </c>
      <c r="D14" s="3" t="inlineStr">
        <is>
          <t>Plywood</t>
        </is>
      </c>
      <c r="E14" s="3" t="inlineStr">
        <is>
          <t>Century Ply</t>
        </is>
      </c>
      <c r="F14" s="3" t="inlineStr">
        <is>
          <t>Win MR</t>
        </is>
      </c>
      <c r="H14" s="3" t="inlineStr">
        <is>
          <t>Type</t>
        </is>
      </c>
      <c r="I14" s="3" t="inlineStr">
        <is>
          <t>Water Resistant</t>
        </is>
      </c>
      <c r="J14" s="3" t="inlineStr">
        <is>
          <t>Size</t>
        </is>
      </c>
      <c r="K14" s="3" t="inlineStr">
        <is>
          <t>8 ft X 4 ft</t>
        </is>
      </c>
      <c r="L14" s="3" t="inlineStr">
        <is>
          <t>Thickness</t>
        </is>
      </c>
      <c r="M14" s="3" t="inlineStr">
        <is>
          <t>4 mm</t>
        </is>
      </c>
      <c r="Q14" s="3" t="inlineStr">
        <is>
          <t>Manufacturer's Warranty</t>
        </is>
      </c>
      <c r="S14" s="3" t="n">
        <v>1</v>
      </c>
      <c r="U14" s="3" t="n">
        <v>51000</v>
      </c>
      <c r="Y14" s="3" t="inlineStr">
        <is>
          <t>CENT_PW_Win_MR</t>
        </is>
      </c>
      <c r="Z14" s="3" t="n">
        <v>4412</v>
      </c>
      <c r="AA14" s="3" t="inlineStr">
        <is>
          <t>per sq ft</t>
        </is>
      </c>
      <c r="AB14" s="3" t="inlineStr">
        <is>
          <t>Area</t>
        </is>
      </c>
      <c r="AC14" s="3" t="n">
        <v>32</v>
      </c>
      <c r="AD14" s="5" t="n">
        <v>63.9</v>
      </c>
      <c r="AE14" s="3">
        <f>+AC14*AD14</f>
        <v/>
      </c>
      <c r="AF14" s="4" t="n">
        <v>0.29</v>
      </c>
      <c r="AG14" s="3">
        <f>ROUND(AE14-(AE14*AF14),2)</f>
        <v/>
      </c>
      <c r="AH14" s="4" t="n">
        <v>0.18</v>
      </c>
      <c r="AI14" s="3">
        <f>ROUND(AG14+(AG14*AH14),2)</f>
        <v/>
      </c>
      <c r="AJ14" s="4" t="n">
        <v>0.1</v>
      </c>
      <c r="AK14" s="3">
        <f>ROUND(AI14*AJ14,2)</f>
        <v/>
      </c>
      <c r="AL14" s="3">
        <f>AI14+AK14</f>
        <v/>
      </c>
      <c r="AM14" s="3">
        <f>AE14-AL14</f>
        <v/>
      </c>
      <c r="AN14" s="4">
        <f>AM14/AE14</f>
        <v/>
      </c>
      <c r="AO14" s="3" t="inlineStr">
        <is>
          <t>3 hrs</t>
        </is>
      </c>
      <c r="AQ14" s="3" t="inlineStr">
        <is>
          <t>Length Weight</t>
        </is>
      </c>
      <c r="AS14" s="3" t="inlineStr">
        <is>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is>
      </c>
    </row>
    <row r="15" ht="14.4" customHeight="1">
      <c r="A15" s="3" t="inlineStr">
        <is>
          <t>PROD_0003</t>
        </is>
      </c>
      <c r="B15" s="3" t="inlineStr">
        <is>
          <t>VAR_2</t>
        </is>
      </c>
      <c r="C15" s="3" t="inlineStr">
        <is>
          <t>Wooden Material</t>
        </is>
      </c>
      <c r="D15" s="3" t="inlineStr">
        <is>
          <t>Plywood</t>
        </is>
      </c>
      <c r="E15" s="3" t="inlineStr">
        <is>
          <t>Century Ply</t>
        </is>
      </c>
      <c r="F15" s="3" t="inlineStr">
        <is>
          <t>Win MR</t>
        </is>
      </c>
      <c r="H15" s="3" t="inlineStr">
        <is>
          <t>Type</t>
        </is>
      </c>
      <c r="I15" s="3" t="inlineStr">
        <is>
          <t>Water Resistant</t>
        </is>
      </c>
      <c r="J15" s="3" t="inlineStr">
        <is>
          <t>Size</t>
        </is>
      </c>
      <c r="K15" s="3" t="inlineStr">
        <is>
          <t>8 ft X 4 ft</t>
        </is>
      </c>
      <c r="L15" s="3" t="inlineStr">
        <is>
          <t>Thickness</t>
        </is>
      </c>
      <c r="M15" s="3" t="inlineStr">
        <is>
          <t>6 mm</t>
        </is>
      </c>
      <c r="Q15" s="3" t="inlineStr">
        <is>
          <t>Manufacturer's Warranty</t>
        </is>
      </c>
      <c r="S15" s="3" t="n">
        <v>1</v>
      </c>
      <c r="U15" s="3" t="n">
        <v>51000</v>
      </c>
      <c r="Y15" s="3" t="inlineStr">
        <is>
          <t>CENT_PW_Win_MR</t>
        </is>
      </c>
      <c r="Z15" s="3" t="n">
        <v>4412</v>
      </c>
      <c r="AA15" s="3" t="inlineStr">
        <is>
          <t>per sq ft</t>
        </is>
      </c>
      <c r="AB15" s="3" t="inlineStr">
        <is>
          <t>Area</t>
        </is>
      </c>
      <c r="AC15" s="3" t="n">
        <v>32</v>
      </c>
      <c r="AD15" s="5" t="n">
        <v>77.8</v>
      </c>
      <c r="AE15" s="3">
        <f>+AC15*AD15</f>
        <v/>
      </c>
      <c r="AF15" s="4" t="n">
        <v>0.29</v>
      </c>
      <c r="AG15" s="3">
        <f>ROUND(AE15-(AE15*AF15),2)</f>
        <v/>
      </c>
      <c r="AH15" s="4" t="n">
        <v>0.18</v>
      </c>
      <c r="AI15" s="3">
        <f>ROUND(AG15+(AG15*AH15),2)</f>
        <v/>
      </c>
      <c r="AJ15" s="4" t="n">
        <v>0.1</v>
      </c>
      <c r="AK15" s="3">
        <f>ROUND(AI15*AJ15,2)</f>
        <v/>
      </c>
      <c r="AL15" s="3">
        <f>AI15+AK15</f>
        <v/>
      </c>
      <c r="AM15" s="3">
        <f>AE15-AL15</f>
        <v/>
      </c>
      <c r="AN15" s="4">
        <f>AM15/AE15</f>
        <v/>
      </c>
      <c r="AO15" s="3" t="inlineStr">
        <is>
          <t>3 hrs</t>
        </is>
      </c>
      <c r="AQ15" s="3" t="inlineStr">
        <is>
          <t>Length Weight</t>
        </is>
      </c>
      <c r="AS15" s="3" t="inlineStr">
        <is>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is>
      </c>
    </row>
    <row r="16" ht="14.4" customHeight="1">
      <c r="A16" s="3" t="inlineStr">
        <is>
          <t>PROD_0003</t>
        </is>
      </c>
      <c r="B16" s="3" t="inlineStr">
        <is>
          <t>VAR_3</t>
        </is>
      </c>
      <c r="C16" s="3" t="inlineStr">
        <is>
          <t>Wooden Material</t>
        </is>
      </c>
      <c r="D16" s="3" t="inlineStr">
        <is>
          <t>Plywood</t>
        </is>
      </c>
      <c r="E16" s="3" t="inlineStr">
        <is>
          <t>Century Ply</t>
        </is>
      </c>
      <c r="F16" s="3" t="inlineStr">
        <is>
          <t>Win MR</t>
        </is>
      </c>
      <c r="H16" s="3" t="inlineStr">
        <is>
          <t>Type</t>
        </is>
      </c>
      <c r="I16" s="3" t="inlineStr">
        <is>
          <t>Water Resistant</t>
        </is>
      </c>
      <c r="J16" s="3" t="inlineStr">
        <is>
          <t>Size</t>
        </is>
      </c>
      <c r="K16" s="3" t="inlineStr">
        <is>
          <t>8 ft X 4 ft</t>
        </is>
      </c>
      <c r="L16" s="3" t="inlineStr">
        <is>
          <t>Thickness</t>
        </is>
      </c>
      <c r="M16" s="3" t="inlineStr">
        <is>
          <t>8 mm</t>
        </is>
      </c>
      <c r="Q16" s="3" t="inlineStr">
        <is>
          <t>Manufacturer's Warranty</t>
        </is>
      </c>
      <c r="S16" s="3" t="n">
        <v>1</v>
      </c>
      <c r="U16" s="3" t="n">
        <v>51000</v>
      </c>
      <c r="Y16" s="3" t="inlineStr">
        <is>
          <t>CENT_PW_Win_MR</t>
        </is>
      </c>
      <c r="Z16" s="3" t="n">
        <v>4412</v>
      </c>
      <c r="AA16" s="3" t="inlineStr">
        <is>
          <t>per sq ft</t>
        </is>
      </c>
      <c r="AB16" s="3" t="inlineStr">
        <is>
          <t>Area</t>
        </is>
      </c>
      <c r="AC16" s="3" t="n">
        <v>32</v>
      </c>
      <c r="AD16" s="5" t="n">
        <v>96.40000000000001</v>
      </c>
      <c r="AE16" s="3">
        <f>+AC16*AD16</f>
        <v/>
      </c>
      <c r="AF16" s="4" t="n">
        <v>0.29</v>
      </c>
      <c r="AG16" s="3">
        <f>ROUND(AE16-(AE16*AF16),2)</f>
        <v/>
      </c>
      <c r="AH16" s="4" t="n">
        <v>0.18</v>
      </c>
      <c r="AI16" s="3">
        <f>ROUND(AG16+(AG16*AH16),2)</f>
        <v/>
      </c>
      <c r="AJ16" s="4" t="n">
        <v>0.1</v>
      </c>
      <c r="AK16" s="3">
        <f>ROUND(AI16*AJ16,2)</f>
        <v/>
      </c>
      <c r="AL16" s="3">
        <f>AI16+AK16</f>
        <v/>
      </c>
      <c r="AM16" s="3">
        <f>AE16-AL16</f>
        <v/>
      </c>
      <c r="AN16" s="4">
        <f>AM16/AE16</f>
        <v/>
      </c>
      <c r="AO16" s="3" t="inlineStr">
        <is>
          <t>3 hrs</t>
        </is>
      </c>
      <c r="AQ16" s="3" t="inlineStr">
        <is>
          <t>Length Weight</t>
        </is>
      </c>
      <c r="AS16" s="3" t="inlineStr">
        <is>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is>
      </c>
    </row>
    <row r="17" ht="14.4" customHeight="1">
      <c r="A17" s="3" t="inlineStr">
        <is>
          <t>PROD_0003</t>
        </is>
      </c>
      <c r="B17" s="3" t="inlineStr">
        <is>
          <t>VAR_4</t>
        </is>
      </c>
      <c r="C17" s="3" t="inlineStr">
        <is>
          <t>Wooden Material</t>
        </is>
      </c>
      <c r="D17" s="3" t="inlineStr">
        <is>
          <t>Plywood</t>
        </is>
      </c>
      <c r="E17" s="3" t="inlineStr">
        <is>
          <t>Century Ply</t>
        </is>
      </c>
      <c r="F17" s="3" t="inlineStr">
        <is>
          <t>Win MR</t>
        </is>
      </c>
      <c r="H17" s="3" t="inlineStr">
        <is>
          <t>Type</t>
        </is>
      </c>
      <c r="I17" s="3" t="inlineStr">
        <is>
          <t>Water Resistant</t>
        </is>
      </c>
      <c r="J17" s="3" t="inlineStr">
        <is>
          <t>Size</t>
        </is>
      </c>
      <c r="K17" s="3" t="inlineStr">
        <is>
          <t>8 ft X 4 ft</t>
        </is>
      </c>
      <c r="L17" s="3" t="inlineStr">
        <is>
          <t>Thickness</t>
        </is>
      </c>
      <c r="M17" s="3" t="inlineStr">
        <is>
          <t>12 mm</t>
        </is>
      </c>
      <c r="Q17" s="3" t="inlineStr">
        <is>
          <t>Manufacturer's Warranty</t>
        </is>
      </c>
      <c r="S17" s="3" t="n">
        <v>1</v>
      </c>
      <c r="U17" s="3" t="n">
        <v>51000</v>
      </c>
      <c r="Y17" s="3" t="inlineStr">
        <is>
          <t>CENT_PW_Win_MR</t>
        </is>
      </c>
      <c r="Z17" s="3" t="n">
        <v>4412</v>
      </c>
      <c r="AA17" s="3" t="inlineStr">
        <is>
          <t>per sq ft</t>
        </is>
      </c>
      <c r="AB17" s="3" t="inlineStr">
        <is>
          <t>Area</t>
        </is>
      </c>
      <c r="AC17" s="3" t="n">
        <v>32</v>
      </c>
      <c r="AD17" s="3" t="n">
        <v>122</v>
      </c>
      <c r="AE17" s="3">
        <f>+AC17*AD17</f>
        <v/>
      </c>
      <c r="AF17" s="4" t="n">
        <v>0.29</v>
      </c>
      <c r="AG17" s="3">
        <f>ROUND(AE17-(AE17*AF17),2)</f>
        <v/>
      </c>
      <c r="AH17" s="4" t="n">
        <v>0.18</v>
      </c>
      <c r="AI17" s="3">
        <f>ROUND(AG17+(AG17*AH17),2)</f>
        <v/>
      </c>
      <c r="AJ17" s="4" t="n">
        <v>0.1</v>
      </c>
      <c r="AK17" s="3">
        <f>ROUND(AI17*AJ17,2)</f>
        <v/>
      </c>
      <c r="AL17" s="3">
        <f>AI17+AK17</f>
        <v/>
      </c>
      <c r="AM17" s="3">
        <f>AE17-AL17</f>
        <v/>
      </c>
      <c r="AN17" s="4">
        <f>AM17/AE17</f>
        <v/>
      </c>
      <c r="AO17" s="3" t="inlineStr">
        <is>
          <t>3 hrs</t>
        </is>
      </c>
      <c r="AQ17" s="3" t="inlineStr">
        <is>
          <t>Length Weight</t>
        </is>
      </c>
      <c r="AS17" s="3" t="inlineStr">
        <is>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is>
      </c>
    </row>
    <row r="18" ht="14.4" customHeight="1">
      <c r="A18" s="3" t="inlineStr">
        <is>
          <t>PROD_0003</t>
        </is>
      </c>
      <c r="B18" s="3" t="inlineStr">
        <is>
          <t>VAR_5</t>
        </is>
      </c>
      <c r="C18" s="3" t="inlineStr">
        <is>
          <t>Wooden Material</t>
        </is>
      </c>
      <c r="D18" s="3" t="inlineStr">
        <is>
          <t>Plywood</t>
        </is>
      </c>
      <c r="E18" s="3" t="inlineStr">
        <is>
          <t>Century Ply</t>
        </is>
      </c>
      <c r="F18" s="3" t="inlineStr">
        <is>
          <t>Win MR</t>
        </is>
      </c>
      <c r="H18" s="3" t="inlineStr">
        <is>
          <t>Type</t>
        </is>
      </c>
      <c r="I18" s="3" t="inlineStr">
        <is>
          <t>Water Resistant</t>
        </is>
      </c>
      <c r="J18" s="3" t="inlineStr">
        <is>
          <t>Size</t>
        </is>
      </c>
      <c r="K18" s="3" t="inlineStr">
        <is>
          <t>8 ft X 4 ft</t>
        </is>
      </c>
      <c r="L18" s="3" t="inlineStr">
        <is>
          <t>Thickness</t>
        </is>
      </c>
      <c r="M18" s="3" t="inlineStr">
        <is>
          <t>15mm</t>
        </is>
      </c>
      <c r="Q18" s="3" t="inlineStr">
        <is>
          <t>Manufacturer's Warranty</t>
        </is>
      </c>
      <c r="S18" s="3" t="n">
        <v>1</v>
      </c>
      <c r="U18" s="3" t="n">
        <v>51000</v>
      </c>
      <c r="Y18" s="3" t="inlineStr">
        <is>
          <t>CENT_PW_Win_MR</t>
        </is>
      </c>
      <c r="Z18" s="3" t="n">
        <v>4412</v>
      </c>
      <c r="AA18" s="3" t="inlineStr">
        <is>
          <t>per sq ft</t>
        </is>
      </c>
      <c r="AB18" s="3" t="inlineStr">
        <is>
          <t>Area</t>
        </is>
      </c>
      <c r="AC18" s="3" t="n">
        <v>32</v>
      </c>
      <c r="AD18" s="3" t="n">
        <v>151.2</v>
      </c>
      <c r="AE18" s="3">
        <f>+AC18*AD18</f>
        <v/>
      </c>
      <c r="AF18" s="4" t="n">
        <v>0.29</v>
      </c>
      <c r="AG18" s="3">
        <f>ROUND(AE18-(AE18*AF18),2)</f>
        <v/>
      </c>
      <c r="AH18" s="4" t="n">
        <v>0.18</v>
      </c>
      <c r="AI18" s="3">
        <f>ROUND(AG18+(AG18*AH18),2)</f>
        <v/>
      </c>
      <c r="AJ18" s="4" t="n">
        <v>0.1</v>
      </c>
      <c r="AK18" s="3">
        <f>ROUND(AI18*AJ18,2)</f>
        <v/>
      </c>
      <c r="AL18" s="3">
        <f>AI18+AK18</f>
        <v/>
      </c>
      <c r="AM18" s="3">
        <f>AE18-AL18</f>
        <v/>
      </c>
      <c r="AN18" s="4">
        <f>AM18/AE18</f>
        <v/>
      </c>
      <c r="AO18" s="3" t="inlineStr">
        <is>
          <t>3 hrs</t>
        </is>
      </c>
      <c r="AQ18" s="3" t="inlineStr">
        <is>
          <t>Length Weight</t>
        </is>
      </c>
      <c r="AS18" s="3" t="inlineStr">
        <is>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is>
      </c>
    </row>
    <row r="19" ht="14.4" customHeight="1">
      <c r="A19" s="3" t="inlineStr">
        <is>
          <t>PROD_0003</t>
        </is>
      </c>
      <c r="B19" s="3" t="inlineStr">
        <is>
          <t>VAR_6</t>
        </is>
      </c>
      <c r="C19" s="3" t="inlineStr">
        <is>
          <t>Wooden Material</t>
        </is>
      </c>
      <c r="D19" s="3" t="inlineStr">
        <is>
          <t>Plywood</t>
        </is>
      </c>
      <c r="E19" s="3" t="inlineStr">
        <is>
          <t>Century Ply</t>
        </is>
      </c>
      <c r="F19" s="3" t="inlineStr">
        <is>
          <t>Win MR</t>
        </is>
      </c>
      <c r="H19" s="3" t="inlineStr">
        <is>
          <t>Type</t>
        </is>
      </c>
      <c r="I19" s="3" t="inlineStr">
        <is>
          <t>Water Resistant</t>
        </is>
      </c>
      <c r="J19" s="3" t="inlineStr">
        <is>
          <t>Size</t>
        </is>
      </c>
      <c r="K19" s="3" t="inlineStr">
        <is>
          <t>8 ft X 4 ft</t>
        </is>
      </c>
      <c r="L19" s="3" t="inlineStr">
        <is>
          <t>Thickness</t>
        </is>
      </c>
      <c r="M19" s="3" t="inlineStr">
        <is>
          <t>18mm</t>
        </is>
      </c>
      <c r="Q19" s="3" t="inlineStr">
        <is>
          <t>Manufacturer's Warranty</t>
        </is>
      </c>
      <c r="S19" s="3" t="n">
        <v>1</v>
      </c>
      <c r="U19" s="3" t="n">
        <v>51000</v>
      </c>
      <c r="Y19" s="3" t="inlineStr">
        <is>
          <t>CENT_PW_Win_MR</t>
        </is>
      </c>
      <c r="Z19" s="3" t="n">
        <v>4412</v>
      </c>
      <c r="AA19" s="3" t="inlineStr">
        <is>
          <t>per sq ft</t>
        </is>
      </c>
      <c r="AB19" s="3" t="inlineStr">
        <is>
          <t>Area</t>
        </is>
      </c>
      <c r="AC19" s="3" t="n">
        <v>32</v>
      </c>
      <c r="AD19" s="3" t="n">
        <v>175.2</v>
      </c>
      <c r="AE19" s="3">
        <f>+AC19*AD19</f>
        <v/>
      </c>
      <c r="AF19" s="4" t="n">
        <v>0.29</v>
      </c>
      <c r="AG19" s="3">
        <f>ROUND(AE19-(AE19*AF19),2)</f>
        <v/>
      </c>
      <c r="AH19" s="4" t="n">
        <v>0.18</v>
      </c>
      <c r="AI19" s="3">
        <f>ROUND(AG19+(AG19*AH19),2)</f>
        <v/>
      </c>
      <c r="AJ19" s="4" t="n">
        <v>0.1</v>
      </c>
      <c r="AK19" s="3">
        <f>ROUND(AI19*AJ19,2)</f>
        <v/>
      </c>
      <c r="AL19" s="3">
        <f>AI19+AK19</f>
        <v/>
      </c>
      <c r="AM19" s="3">
        <f>AE19-AL19</f>
        <v/>
      </c>
      <c r="AN19" s="4">
        <f>AM19/AE19</f>
        <v/>
      </c>
      <c r="AO19" s="3" t="inlineStr">
        <is>
          <t>3 hrs</t>
        </is>
      </c>
      <c r="AQ19" s="3" t="inlineStr">
        <is>
          <t>Length Weight</t>
        </is>
      </c>
      <c r="AS19" s="3" t="inlineStr">
        <is>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is>
      </c>
    </row>
    <row r="20" ht="14.4" customHeight="1">
      <c r="A20" s="3" t="inlineStr">
        <is>
          <t>PROD_0004</t>
        </is>
      </c>
      <c r="B20" s="3" t="inlineStr">
        <is>
          <t>VAR_1</t>
        </is>
      </c>
      <c r="C20" s="3" t="inlineStr">
        <is>
          <t>Wooden Material</t>
        </is>
      </c>
      <c r="D20" s="3" t="inlineStr">
        <is>
          <t>Plywood</t>
        </is>
      </c>
      <c r="E20" s="3" t="inlineStr">
        <is>
          <t>Century Ply</t>
        </is>
      </c>
      <c r="F20" s="3" t="inlineStr">
        <is>
          <t>Club Prime</t>
        </is>
      </c>
      <c r="H20" s="3" t="inlineStr">
        <is>
          <t>Type</t>
        </is>
      </c>
      <c r="I20" s="3" t="inlineStr">
        <is>
          <t>Boiling Water Proof</t>
        </is>
      </c>
      <c r="J20" s="3" t="inlineStr">
        <is>
          <t>Size</t>
        </is>
      </c>
      <c r="K20" s="3" t="inlineStr">
        <is>
          <t>8 ft X 4 ft</t>
        </is>
      </c>
      <c r="L20" s="3" t="inlineStr">
        <is>
          <t>Thickness</t>
        </is>
      </c>
      <c r="M20" s="3" t="inlineStr">
        <is>
          <t>4 mm</t>
        </is>
      </c>
      <c r="Q20" s="3" t="inlineStr">
        <is>
          <t>Manufacturer's Warranty</t>
        </is>
      </c>
      <c r="S20" s="3" t="n">
        <v>1</v>
      </c>
      <c r="U20" s="3" t="n">
        <v>51000</v>
      </c>
      <c r="Y20" s="3" t="inlineStr">
        <is>
          <t>CENT_PW_Club _Prime_BWP</t>
        </is>
      </c>
      <c r="Z20" s="3" t="n">
        <v>4412</v>
      </c>
      <c r="AA20" s="3" t="inlineStr">
        <is>
          <t>per sq ft</t>
        </is>
      </c>
      <c r="AB20" s="3" t="inlineStr">
        <is>
          <t>Area</t>
        </is>
      </c>
      <c r="AC20" s="3" t="n">
        <v>32</v>
      </c>
      <c r="AD20" s="3" t="n">
        <v>90.54000000000001</v>
      </c>
      <c r="AE20" s="3">
        <f>+AC20*AD20</f>
        <v/>
      </c>
      <c r="AF20" s="4" t="n">
        <v>0.19</v>
      </c>
      <c r="AG20" s="3">
        <f>ROUND(AE20-(AE20*AF20),2)</f>
        <v/>
      </c>
      <c r="AH20" s="4" t="n">
        <v>0.18</v>
      </c>
      <c r="AI20" s="3">
        <f>ROUND(AG20+(AG20*AH20),2)</f>
        <v/>
      </c>
      <c r="AJ20" s="4" t="n">
        <v>0.1</v>
      </c>
      <c r="AK20" s="3">
        <f>ROUND(AI20*AJ20,2)</f>
        <v/>
      </c>
      <c r="AL20" s="3">
        <f>AI20+AK20</f>
        <v/>
      </c>
      <c r="AM20" s="3">
        <f>AE20-AL20</f>
        <v/>
      </c>
      <c r="AN20" s="4">
        <f>AM20/AE20</f>
        <v/>
      </c>
      <c r="AO20" s="3" t="inlineStr">
        <is>
          <t>3 hrs</t>
        </is>
      </c>
      <c r="AQ20" s="3" t="inlineStr">
        <is>
          <t>Length Weight</t>
        </is>
      </c>
      <c r="AS20" s="3" t="inlineStr">
        <is>
          <t>Club Prime by CenturyPly is a premium BWP marine-grade plywood, passing 25 stringent BIS tests. It features Firewall Technology for fire protection and ViroKill Technology that eliminates 99.9% of viruses. With 65% stronger Glue Shear Strength, it ensures superior durability</t>
        </is>
      </c>
    </row>
    <row r="21" ht="15.75" customHeight="1">
      <c r="A21" s="3" t="inlineStr">
        <is>
          <t>PROD_0004</t>
        </is>
      </c>
      <c r="B21" s="3" t="inlineStr">
        <is>
          <t>VAR_2</t>
        </is>
      </c>
      <c r="C21" s="3" t="inlineStr">
        <is>
          <t>Wooden Material</t>
        </is>
      </c>
      <c r="D21" s="3" t="inlineStr">
        <is>
          <t>Plywood</t>
        </is>
      </c>
      <c r="E21" s="3" t="inlineStr">
        <is>
          <t>Century Ply</t>
        </is>
      </c>
      <c r="F21" s="3" t="inlineStr">
        <is>
          <t>Club Prime</t>
        </is>
      </c>
      <c r="H21" s="3" t="inlineStr">
        <is>
          <t>Type</t>
        </is>
      </c>
      <c r="I21" s="3" t="inlineStr">
        <is>
          <t>Boiling Water Proof</t>
        </is>
      </c>
      <c r="J21" s="3" t="inlineStr">
        <is>
          <t>Size</t>
        </is>
      </c>
      <c r="K21" s="3" t="inlineStr">
        <is>
          <t>8 ft X 4 ft</t>
        </is>
      </c>
      <c r="L21" s="3" t="inlineStr">
        <is>
          <t>Thickness</t>
        </is>
      </c>
      <c r="M21" s="3" t="inlineStr">
        <is>
          <t>6 mm</t>
        </is>
      </c>
      <c r="Q21" s="3" t="inlineStr">
        <is>
          <t>Manufacturer's Warranty</t>
        </is>
      </c>
      <c r="S21" s="3" t="n">
        <v>1</v>
      </c>
      <c r="U21" s="3" t="n">
        <v>51000</v>
      </c>
      <c r="Y21" s="3" t="inlineStr">
        <is>
          <t>CENT_PW_Club _Prime_BWP</t>
        </is>
      </c>
      <c r="Z21" s="3" t="n">
        <v>4412</v>
      </c>
      <c r="AA21" s="3" t="inlineStr">
        <is>
          <t>per sq ft</t>
        </is>
      </c>
      <c r="AB21" s="3" t="inlineStr">
        <is>
          <t>Area</t>
        </is>
      </c>
      <c r="AC21" s="3" t="n">
        <v>32</v>
      </c>
      <c r="AD21" s="3" t="n">
        <v>104.72</v>
      </c>
      <c r="AE21" s="3">
        <f>+AC21*AD21</f>
        <v/>
      </c>
      <c r="AF21" s="4" t="n">
        <v>0.19</v>
      </c>
      <c r="AG21" s="3">
        <f>ROUND(AE21-(AE21*AF21),2)</f>
        <v/>
      </c>
      <c r="AH21" s="4" t="n">
        <v>0.18</v>
      </c>
      <c r="AI21" s="3">
        <f>ROUND(AG21+(AG21*AH21),2)</f>
        <v/>
      </c>
      <c r="AJ21" s="4" t="n">
        <v>0.1</v>
      </c>
      <c r="AK21" s="3">
        <f>ROUND(AI21*AJ21,2)</f>
        <v/>
      </c>
      <c r="AL21" s="3">
        <f>AI21+AK21</f>
        <v/>
      </c>
      <c r="AM21" s="3">
        <f>AE21-AL21</f>
        <v/>
      </c>
      <c r="AN21" s="4">
        <f>AM21/AE21</f>
        <v/>
      </c>
      <c r="AO21" s="3" t="inlineStr">
        <is>
          <t>3 hrs</t>
        </is>
      </c>
      <c r="AQ21" s="3" t="inlineStr">
        <is>
          <t>Length Weight</t>
        </is>
      </c>
      <c r="AS21" s="3" t="inlineStr">
        <is>
          <t>Club Prime by CenturyPly is a premium BWP marine-grade plywood, passing 25 stringent BIS tests. It features Firewall Technology for fire protection and ViroKill Technology that eliminates 99.9% of viruses. With 65% stronger Glue Shear Strength, it ensures superior durability</t>
        </is>
      </c>
    </row>
    <row r="22" ht="15.75" customHeight="1">
      <c r="A22" s="3" t="inlineStr">
        <is>
          <t>PROD_0004</t>
        </is>
      </c>
      <c r="B22" s="3" t="inlineStr">
        <is>
          <t>VAR_3</t>
        </is>
      </c>
      <c r="C22" s="3" t="inlineStr">
        <is>
          <t>Wooden Material</t>
        </is>
      </c>
      <c r="D22" s="3" t="inlineStr">
        <is>
          <t>Plywood</t>
        </is>
      </c>
      <c r="E22" s="3" t="inlineStr">
        <is>
          <t>Century Ply</t>
        </is>
      </c>
      <c r="F22" s="3" t="inlineStr">
        <is>
          <t>Club Prime</t>
        </is>
      </c>
      <c r="H22" s="3" t="inlineStr">
        <is>
          <t>Type</t>
        </is>
      </c>
      <c r="I22" s="3" t="inlineStr">
        <is>
          <t>Boiling Water Proof</t>
        </is>
      </c>
      <c r="J22" s="3" t="inlineStr">
        <is>
          <t>Size</t>
        </is>
      </c>
      <c r="K22" s="3" t="inlineStr">
        <is>
          <t>8 ft X 4 ft</t>
        </is>
      </c>
      <c r="L22" s="3" t="inlineStr">
        <is>
          <t>Thickness</t>
        </is>
      </c>
      <c r="M22" s="3" t="inlineStr">
        <is>
          <t>9mm</t>
        </is>
      </c>
      <c r="Q22" s="3" t="inlineStr">
        <is>
          <t>Manufacturer's Warranty</t>
        </is>
      </c>
      <c r="S22" s="3" t="n">
        <v>1</v>
      </c>
      <c r="U22" s="3" t="n">
        <v>51000</v>
      </c>
      <c r="Y22" s="3" t="inlineStr">
        <is>
          <t>CENT_PW_Club _Prime_BWP</t>
        </is>
      </c>
      <c r="Z22" s="3" t="n">
        <v>4412</v>
      </c>
      <c r="AA22" s="3" t="inlineStr">
        <is>
          <t>per sq ft</t>
        </is>
      </c>
      <c r="AB22" s="3" t="inlineStr">
        <is>
          <t>Area</t>
        </is>
      </c>
      <c r="AC22" s="3" t="n">
        <v>32</v>
      </c>
      <c r="AD22" s="3" t="n">
        <v>126.3</v>
      </c>
      <c r="AE22" s="3">
        <f>+AC22*AD22</f>
        <v/>
      </c>
      <c r="AF22" s="4" t="n">
        <v>0.19</v>
      </c>
      <c r="AG22" s="3">
        <f>ROUND(AE22-(AE22*AF22),2)</f>
        <v/>
      </c>
      <c r="AH22" s="4" t="n">
        <v>0.18</v>
      </c>
      <c r="AI22" s="3">
        <f>ROUND(AG22+(AG22*AH22),2)</f>
        <v/>
      </c>
      <c r="AJ22" s="4" t="n">
        <v>0.1</v>
      </c>
      <c r="AK22" s="3">
        <f>ROUND(AI22*AJ22,2)</f>
        <v/>
      </c>
      <c r="AL22" s="3">
        <f>AI22+AK22</f>
        <v/>
      </c>
      <c r="AM22" s="3">
        <f>AE22-AL22</f>
        <v/>
      </c>
      <c r="AN22" s="4">
        <f>AM22/AE22</f>
        <v/>
      </c>
      <c r="AO22" s="3" t="inlineStr">
        <is>
          <t>3 hrs</t>
        </is>
      </c>
      <c r="AQ22" s="3" t="inlineStr">
        <is>
          <t>Length Weight</t>
        </is>
      </c>
      <c r="AS22" s="3" t="inlineStr">
        <is>
          <t>Club Prime by CenturyPly is a premium BWP marine-grade plywood, passing 25 stringent BIS tests. It features Firewall Technology for fire protection and ViroKill Technology that eliminates 99.9% of viruses. With 65% stronger Glue Shear Strength, it ensures superior durability</t>
        </is>
      </c>
    </row>
    <row r="23" ht="15.75" customHeight="1">
      <c r="A23" s="3" t="inlineStr">
        <is>
          <t>PROD_0004</t>
        </is>
      </c>
      <c r="B23" s="3" t="inlineStr">
        <is>
          <t>VAR_4</t>
        </is>
      </c>
      <c r="C23" s="3" t="inlineStr">
        <is>
          <t>Wooden Material</t>
        </is>
      </c>
      <c r="D23" s="3" t="inlineStr">
        <is>
          <t>Plywood</t>
        </is>
      </c>
      <c r="E23" s="3" t="inlineStr">
        <is>
          <t>Century Ply</t>
        </is>
      </c>
      <c r="F23" s="3" t="inlineStr">
        <is>
          <t>Club Prime</t>
        </is>
      </c>
      <c r="H23" s="3" t="inlineStr">
        <is>
          <t>Type</t>
        </is>
      </c>
      <c r="I23" s="3" t="inlineStr">
        <is>
          <t>Boiling Water Proof</t>
        </is>
      </c>
      <c r="J23" s="3" t="inlineStr">
        <is>
          <t>Size</t>
        </is>
      </c>
      <c r="K23" s="3" t="inlineStr">
        <is>
          <t>8 ft X 4 ft</t>
        </is>
      </c>
      <c r="L23" s="3" t="inlineStr">
        <is>
          <t>Thickness</t>
        </is>
      </c>
      <c r="M23" s="3" t="inlineStr">
        <is>
          <t>12 mm</t>
        </is>
      </c>
      <c r="Q23" s="3" t="inlineStr">
        <is>
          <t>Manufacturer's Warranty</t>
        </is>
      </c>
      <c r="S23" s="3" t="n">
        <v>1</v>
      </c>
      <c r="U23" s="3" t="n">
        <v>51000</v>
      </c>
      <c r="Y23" s="3" t="inlineStr">
        <is>
          <t>CENT_PW_Club _Prime_BWP</t>
        </is>
      </c>
      <c r="Z23" s="3" t="n">
        <v>4412</v>
      </c>
      <c r="AA23" s="3" t="inlineStr">
        <is>
          <t>per sq ft</t>
        </is>
      </c>
      <c r="AB23" s="3" t="inlineStr">
        <is>
          <t>Area</t>
        </is>
      </c>
      <c r="AC23" s="3" t="n">
        <v>32</v>
      </c>
      <c r="AD23" s="3" t="n">
        <v>159.53</v>
      </c>
      <c r="AE23" s="3">
        <f>+AC23*AD23</f>
        <v/>
      </c>
      <c r="AF23" s="4" t="n">
        <v>0.19</v>
      </c>
      <c r="AG23" s="3">
        <f>ROUND(AE23-(AE23*AF23),2)</f>
        <v/>
      </c>
      <c r="AH23" s="4" t="n">
        <v>0.18</v>
      </c>
      <c r="AI23" s="3">
        <f>ROUND(AG23+(AG23*AH23),2)</f>
        <v/>
      </c>
      <c r="AJ23" s="4" t="n">
        <v>0.1</v>
      </c>
      <c r="AK23" s="3">
        <f>ROUND(AI23*AJ23,2)</f>
        <v/>
      </c>
      <c r="AL23" s="3">
        <f>AI23+AK23</f>
        <v/>
      </c>
      <c r="AM23" s="3">
        <f>AE23-AL23</f>
        <v/>
      </c>
      <c r="AN23" s="4">
        <f>AM23/AE23</f>
        <v/>
      </c>
      <c r="AO23" s="3" t="inlineStr">
        <is>
          <t>3 hrs</t>
        </is>
      </c>
      <c r="AQ23" s="3" t="inlineStr">
        <is>
          <t>Length Weight</t>
        </is>
      </c>
      <c r="AS23" s="3" t="inlineStr">
        <is>
          <t>Club Prime by CenturyPly is a premium BWP marine-grade plywood, passing 25 stringent BIS tests. It features Firewall Technology for fire protection and ViroKill Technology that eliminates 99.9% of viruses. With 65% stronger Glue Shear Strength, it ensures superior durability</t>
        </is>
      </c>
    </row>
    <row r="24" ht="15.75" customHeight="1">
      <c r="A24" s="3" t="inlineStr">
        <is>
          <t>PROD_0004</t>
        </is>
      </c>
      <c r="B24" s="3" t="inlineStr">
        <is>
          <t>VAR_5</t>
        </is>
      </c>
      <c r="C24" s="3" t="inlineStr">
        <is>
          <t>Wooden Material</t>
        </is>
      </c>
      <c r="D24" s="3" t="inlineStr">
        <is>
          <t>Plywood</t>
        </is>
      </c>
      <c r="E24" s="3" t="inlineStr">
        <is>
          <t>Century Ply</t>
        </is>
      </c>
      <c r="F24" s="3" t="inlineStr">
        <is>
          <t>Club Prime</t>
        </is>
      </c>
      <c r="H24" s="3" t="inlineStr">
        <is>
          <t>Type</t>
        </is>
      </c>
      <c r="I24" s="3" t="inlineStr">
        <is>
          <t>Boiling Water Proof</t>
        </is>
      </c>
      <c r="J24" s="3" t="inlineStr">
        <is>
          <t>Size</t>
        </is>
      </c>
      <c r="K24" s="3" t="inlineStr">
        <is>
          <t>8 ft X 4 ft</t>
        </is>
      </c>
      <c r="L24" s="3" t="inlineStr">
        <is>
          <t>Thickness</t>
        </is>
      </c>
      <c r="M24" s="3" t="inlineStr">
        <is>
          <t>16mm</t>
        </is>
      </c>
      <c r="Q24" s="3" t="inlineStr">
        <is>
          <t>Manufacturer's Warranty</t>
        </is>
      </c>
      <c r="S24" s="3" t="n">
        <v>1</v>
      </c>
      <c r="U24" s="3" t="n">
        <v>51000</v>
      </c>
      <c r="Y24" s="3" t="inlineStr">
        <is>
          <t>CENT_PW_Club _Prime_BWP</t>
        </is>
      </c>
      <c r="Z24" s="3" t="n">
        <v>4412</v>
      </c>
      <c r="AA24" s="3" t="inlineStr">
        <is>
          <t>per sq ft</t>
        </is>
      </c>
      <c r="AB24" s="3" t="inlineStr">
        <is>
          <t>Area</t>
        </is>
      </c>
      <c r="AC24" s="3" t="n">
        <v>32</v>
      </c>
      <c r="AD24" s="3" t="n">
        <v>200.07</v>
      </c>
      <c r="AE24" s="3">
        <f>+AC24*AD24</f>
        <v/>
      </c>
      <c r="AF24" s="4" t="n">
        <v>0.19</v>
      </c>
      <c r="AG24" s="3">
        <f>ROUND(AE24-(AE24*AF24),2)</f>
        <v/>
      </c>
      <c r="AH24" s="4" t="n">
        <v>0.18</v>
      </c>
      <c r="AI24" s="3">
        <f>ROUND(AG24+(AG24*AH24),2)</f>
        <v/>
      </c>
      <c r="AJ24" s="4" t="n">
        <v>0.1</v>
      </c>
      <c r="AK24" s="3">
        <f>ROUND(AI24*AJ24,2)</f>
        <v/>
      </c>
      <c r="AL24" s="3">
        <f>AI24+AK24</f>
        <v/>
      </c>
      <c r="AM24" s="3">
        <f>AE24-AL24</f>
        <v/>
      </c>
      <c r="AN24" s="4">
        <f>AM24/AE24</f>
        <v/>
      </c>
      <c r="AO24" s="3" t="inlineStr">
        <is>
          <t>3 hrs</t>
        </is>
      </c>
      <c r="AQ24" s="3" t="inlineStr">
        <is>
          <t>Length Weight</t>
        </is>
      </c>
      <c r="AS24" s="3" t="inlineStr">
        <is>
          <t>Club Prime by CenturyPly is a premium BWP marine-grade plywood, passing 25 stringent BIS tests. It features Firewall Technology for fire protection and ViroKill Technology that eliminates 99.9% of viruses. With 65% stronger Glue Shear Strength, it ensures superior durability</t>
        </is>
      </c>
    </row>
    <row r="25" ht="15.75" customHeight="1">
      <c r="A25" s="3" t="inlineStr">
        <is>
          <t>PROD_0004</t>
        </is>
      </c>
      <c r="B25" s="3" t="inlineStr">
        <is>
          <t>VAR_6</t>
        </is>
      </c>
      <c r="C25" s="3" t="inlineStr">
        <is>
          <t>Wooden Material</t>
        </is>
      </c>
      <c r="D25" s="3" t="inlineStr">
        <is>
          <t>Plywood</t>
        </is>
      </c>
      <c r="E25" s="3" t="inlineStr">
        <is>
          <t>Century Ply</t>
        </is>
      </c>
      <c r="F25" s="3" t="inlineStr">
        <is>
          <t>Club Prime</t>
        </is>
      </c>
      <c r="H25" s="3" t="inlineStr">
        <is>
          <t>Type</t>
        </is>
      </c>
      <c r="I25" s="3" t="inlineStr">
        <is>
          <t>Boiling Water Proof</t>
        </is>
      </c>
      <c r="J25" s="3" t="inlineStr">
        <is>
          <t>Size</t>
        </is>
      </c>
      <c r="K25" s="3" t="inlineStr">
        <is>
          <t>8 ft X 4 ft</t>
        </is>
      </c>
      <c r="L25" s="3" t="inlineStr">
        <is>
          <t>Thickness</t>
        </is>
      </c>
      <c r="M25" s="3" t="inlineStr">
        <is>
          <t>19mm</t>
        </is>
      </c>
      <c r="Q25" s="3" t="inlineStr">
        <is>
          <t>Manufacturer's Warranty</t>
        </is>
      </c>
      <c r="S25" s="3" t="n">
        <v>1</v>
      </c>
      <c r="U25" s="3" t="n">
        <v>51000</v>
      </c>
      <c r="Y25" s="3" t="inlineStr">
        <is>
          <t>CENT_PW_Club _Prime_BWP</t>
        </is>
      </c>
      <c r="Z25" s="3" t="n">
        <v>4412</v>
      </c>
      <c r="AA25" s="3" t="inlineStr">
        <is>
          <t>per sq ft</t>
        </is>
      </c>
      <c r="AB25" s="3" t="inlineStr">
        <is>
          <t>Area</t>
        </is>
      </c>
      <c r="AC25" s="3" t="n">
        <v>32</v>
      </c>
      <c r="AD25" s="3" t="n">
        <v>230.04</v>
      </c>
      <c r="AE25" s="3">
        <f>+AC25*AD25</f>
        <v/>
      </c>
      <c r="AF25" s="4" t="n">
        <v>0.19</v>
      </c>
      <c r="AG25" s="3">
        <f>ROUND(AE25-(AE25*AF25),2)</f>
        <v/>
      </c>
      <c r="AH25" s="4" t="n">
        <v>0.18</v>
      </c>
      <c r="AI25" s="3">
        <f>ROUND(AG25+(AG25*AH25),2)</f>
        <v/>
      </c>
      <c r="AJ25" s="4" t="n">
        <v>0.1</v>
      </c>
      <c r="AK25" s="3">
        <f>ROUND(AI25*AJ25,2)</f>
        <v/>
      </c>
      <c r="AL25" s="3">
        <f>AI25+AK25</f>
        <v/>
      </c>
      <c r="AM25" s="3">
        <f>AE25-AL25</f>
        <v/>
      </c>
      <c r="AN25" s="4">
        <f>AM25/AE25</f>
        <v/>
      </c>
      <c r="AO25" s="3" t="inlineStr">
        <is>
          <t>3 hrs</t>
        </is>
      </c>
      <c r="AQ25" s="3" t="inlineStr">
        <is>
          <t>Length Weight</t>
        </is>
      </c>
      <c r="AS25" s="3" t="inlineStr">
        <is>
          <t>Club Prime by CenturyPly is a premium BWP marine-grade plywood, passing 25 stringent BIS tests. It features Firewall Technology for fire protection and ViroKill Technology that eliminates 99.9% of viruses. With 65% stronger Glue Shear Strength, it ensures superior durability</t>
        </is>
      </c>
    </row>
    <row r="26" ht="15.75" customHeight="1">
      <c r="A26" s="3" t="inlineStr">
        <is>
          <t>PROD_0005</t>
        </is>
      </c>
      <c r="B26" s="3" t="inlineStr">
        <is>
          <t>VAR_1</t>
        </is>
      </c>
      <c r="C26" s="3" t="inlineStr">
        <is>
          <t>Wooden Material</t>
        </is>
      </c>
      <c r="D26" s="3" t="inlineStr">
        <is>
          <t>Blockboard</t>
        </is>
      </c>
      <c r="E26" s="3" t="inlineStr">
        <is>
          <t>Century Ply</t>
        </is>
      </c>
      <c r="F26" s="3" t="inlineStr">
        <is>
          <t>Sainik MR</t>
        </is>
      </c>
      <c r="H26" s="3" t="inlineStr">
        <is>
          <t>Type</t>
        </is>
      </c>
      <c r="I26" s="3" t="inlineStr">
        <is>
          <t>Boiling Water Proof</t>
        </is>
      </c>
      <c r="J26" s="3" t="inlineStr">
        <is>
          <t>Size</t>
        </is>
      </c>
      <c r="K26" s="3" t="inlineStr">
        <is>
          <t>8 ft X 4 ft</t>
        </is>
      </c>
      <c r="L26" s="3" t="inlineStr">
        <is>
          <t>Thickness</t>
        </is>
      </c>
      <c r="M26" s="3" t="inlineStr">
        <is>
          <t>4 mm</t>
        </is>
      </c>
      <c r="Q26" s="3" t="inlineStr">
        <is>
          <t>Manufacturer's Warranty</t>
        </is>
      </c>
      <c r="S26" s="3" t="n">
        <v>1</v>
      </c>
      <c r="U26" s="3" t="n">
        <v>51000</v>
      </c>
      <c r="Y26" s="3" t="inlineStr">
        <is>
          <t xml:space="preserve">CENT_BB_SAINKI_MR </t>
        </is>
      </c>
      <c r="Z26" s="3" t="n">
        <v>4412</v>
      </c>
      <c r="AA26" s="3" t="inlineStr">
        <is>
          <t>per sq ft</t>
        </is>
      </c>
      <c r="AB26" s="3" t="inlineStr">
        <is>
          <t>Area</t>
        </is>
      </c>
      <c r="AC26" s="3" t="n">
        <v>32</v>
      </c>
      <c r="AD26" s="3" t="n">
        <v>53.59</v>
      </c>
      <c r="AE26" s="3">
        <f>+AC26*AD26</f>
        <v/>
      </c>
      <c r="AF26" s="4" t="n">
        <v>0.29</v>
      </c>
      <c r="AG26" s="3">
        <f>ROUND(AE26-(AE26*AF26),2)</f>
        <v/>
      </c>
      <c r="AH26" s="4" t="n">
        <v>0.18</v>
      </c>
      <c r="AI26" s="3">
        <f>ROUND(AG26+(AG26*AH26),2)</f>
        <v/>
      </c>
      <c r="AJ26" s="4" t="n">
        <v>0.1</v>
      </c>
      <c r="AK26" s="3">
        <f>ROUND(AI26*AJ26,2)</f>
        <v/>
      </c>
      <c r="AL26" s="3">
        <f>AI26+AK26</f>
        <v/>
      </c>
      <c r="AM26" s="3">
        <f>AE26-AL26</f>
        <v/>
      </c>
      <c r="AN26" s="4">
        <f>AM26/AE26</f>
        <v/>
      </c>
      <c r="AO26" s="3" t="inlineStr">
        <is>
          <t>3 hrs</t>
        </is>
      </c>
      <c r="AQ26" s="3" t="inlineStr">
        <is>
          <t>Length Weight</t>
        </is>
      </c>
      <c r="AS26" s="3" t="inlineStr">
        <is>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is>
      </c>
    </row>
    <row r="27" ht="15.75" customHeight="1">
      <c r="A27" s="3" t="inlineStr">
        <is>
          <t>PROD_0005</t>
        </is>
      </c>
      <c r="B27" s="3" t="inlineStr">
        <is>
          <t>VAR_2</t>
        </is>
      </c>
      <c r="C27" s="3" t="inlineStr">
        <is>
          <t>Wooden Material</t>
        </is>
      </c>
      <c r="D27" s="3" t="inlineStr">
        <is>
          <t>Blockboard</t>
        </is>
      </c>
      <c r="E27" s="3" t="inlineStr">
        <is>
          <t>Century Ply</t>
        </is>
      </c>
      <c r="F27" s="3" t="inlineStr">
        <is>
          <t>Sainik MR</t>
        </is>
      </c>
      <c r="H27" s="3" t="inlineStr">
        <is>
          <t>Type</t>
        </is>
      </c>
      <c r="I27" s="3" t="inlineStr">
        <is>
          <t>Boiling Water Proof</t>
        </is>
      </c>
      <c r="J27" s="3" t="inlineStr">
        <is>
          <t>Size</t>
        </is>
      </c>
      <c r="K27" s="3" t="inlineStr">
        <is>
          <t>8 ft X 4 ft</t>
        </is>
      </c>
      <c r="L27" s="3" t="inlineStr">
        <is>
          <t>Thickness</t>
        </is>
      </c>
      <c r="M27" s="3" t="inlineStr">
        <is>
          <t>6 mm</t>
        </is>
      </c>
      <c r="Q27" s="3" t="inlineStr">
        <is>
          <t>Manufacturer's Warranty</t>
        </is>
      </c>
      <c r="S27" s="3" t="n">
        <v>1</v>
      </c>
      <c r="U27" s="3" t="n">
        <v>51000</v>
      </c>
      <c r="Y27" s="3" t="inlineStr">
        <is>
          <t xml:space="preserve">CENT_BB_SAINKI_MR </t>
        </is>
      </c>
      <c r="Z27" s="3" t="n">
        <v>4412</v>
      </c>
      <c r="AA27" s="3" t="inlineStr">
        <is>
          <t>per sq ft</t>
        </is>
      </c>
      <c r="AB27" s="3" t="inlineStr">
        <is>
          <t>Area</t>
        </is>
      </c>
      <c r="AC27" s="3" t="n">
        <v>32</v>
      </c>
      <c r="AD27" s="3" t="n">
        <v>68.36</v>
      </c>
      <c r="AE27" s="3">
        <f>+AC27*AD27</f>
        <v/>
      </c>
      <c r="AF27" s="4" t="n">
        <v>0.29</v>
      </c>
      <c r="AG27" s="3">
        <f>ROUND(AE27-(AE27*AF27),2)</f>
        <v/>
      </c>
      <c r="AH27" s="4" t="n">
        <v>0.18</v>
      </c>
      <c r="AI27" s="3">
        <f>ROUND(AG27+(AG27*AH27),2)</f>
        <v/>
      </c>
      <c r="AJ27" s="4" t="n">
        <v>0.1</v>
      </c>
      <c r="AK27" s="3">
        <f>ROUND(AI27*AJ27,2)</f>
        <v/>
      </c>
      <c r="AL27" s="3">
        <f>AI27+AK27</f>
        <v/>
      </c>
      <c r="AM27" s="3">
        <f>AE27-AL27</f>
        <v/>
      </c>
      <c r="AN27" s="4">
        <f>AM27/AE27</f>
        <v/>
      </c>
      <c r="AO27" s="3" t="inlineStr">
        <is>
          <t>3 hrs</t>
        </is>
      </c>
      <c r="AQ27" s="3" t="inlineStr">
        <is>
          <t>Length Weight</t>
        </is>
      </c>
      <c r="AS27" s="3" t="inlineStr">
        <is>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is>
      </c>
    </row>
    <row r="28" ht="15.75" customHeight="1">
      <c r="A28" s="3" t="inlineStr">
        <is>
          <t>PROD_0005</t>
        </is>
      </c>
      <c r="B28" s="3" t="inlineStr">
        <is>
          <t>VAR_3</t>
        </is>
      </c>
      <c r="C28" s="3" t="inlineStr">
        <is>
          <t>Wooden Material</t>
        </is>
      </c>
      <c r="D28" s="3" t="inlineStr">
        <is>
          <t>Blockboard</t>
        </is>
      </c>
      <c r="E28" s="3" t="inlineStr">
        <is>
          <t>Century Ply</t>
        </is>
      </c>
      <c r="F28" s="3" t="inlineStr">
        <is>
          <t>Sainik MR</t>
        </is>
      </c>
      <c r="H28" s="3" t="inlineStr">
        <is>
          <t>Type</t>
        </is>
      </c>
      <c r="I28" s="3" t="inlineStr">
        <is>
          <t>Boiling Water Proof</t>
        </is>
      </c>
      <c r="J28" s="3" t="inlineStr">
        <is>
          <t>Size</t>
        </is>
      </c>
      <c r="K28" s="3" t="inlineStr">
        <is>
          <t>8 ft X 4 ft</t>
        </is>
      </c>
      <c r="L28" s="3" t="inlineStr">
        <is>
          <t>Thickness</t>
        </is>
      </c>
      <c r="M28" s="3" t="inlineStr">
        <is>
          <t>8 mm</t>
        </is>
      </c>
      <c r="Q28" s="3" t="inlineStr">
        <is>
          <t>Manufacturer's Warranty</t>
        </is>
      </c>
      <c r="S28" s="3" t="n">
        <v>1</v>
      </c>
      <c r="U28" s="3" t="n">
        <v>51000</v>
      </c>
      <c r="Y28" s="3" t="inlineStr">
        <is>
          <t xml:space="preserve">CENT_BB_SAINKI_MR </t>
        </is>
      </c>
      <c r="Z28" s="3" t="n">
        <v>4412</v>
      </c>
      <c r="AA28" s="3" t="inlineStr">
        <is>
          <t>per sq ft</t>
        </is>
      </c>
      <c r="AB28" s="3" t="inlineStr">
        <is>
          <t>Area</t>
        </is>
      </c>
      <c r="AC28" s="3" t="n">
        <v>32</v>
      </c>
      <c r="AD28" s="3" t="n">
        <v>85.31999999999999</v>
      </c>
      <c r="AE28" s="3">
        <f>+AC28*AD28</f>
        <v/>
      </c>
      <c r="AF28" s="4" t="n">
        <v>0.29</v>
      </c>
      <c r="AG28" s="3">
        <f>ROUND(AE28-(AE28*AF28),2)</f>
        <v/>
      </c>
      <c r="AH28" s="4" t="n">
        <v>0.18</v>
      </c>
      <c r="AI28" s="3">
        <f>ROUND(AG28+(AG28*AH28),2)</f>
        <v/>
      </c>
      <c r="AJ28" s="4" t="n">
        <v>0.1</v>
      </c>
      <c r="AK28" s="3">
        <f>ROUND(AI28*AJ28,2)</f>
        <v/>
      </c>
      <c r="AL28" s="3">
        <f>AI28+AK28</f>
        <v/>
      </c>
      <c r="AM28" s="3">
        <f>AE28-AL28</f>
        <v/>
      </c>
      <c r="AN28" s="4">
        <f>AM28/AE28</f>
        <v/>
      </c>
      <c r="AO28" s="3" t="inlineStr">
        <is>
          <t>3 hrs</t>
        </is>
      </c>
      <c r="AQ28" s="3" t="inlineStr">
        <is>
          <t>Length Weight</t>
        </is>
      </c>
      <c r="AS28" s="3" t="inlineStr">
        <is>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is>
      </c>
    </row>
    <row r="29" ht="15.75" customHeight="1">
      <c r="A29" s="3" t="inlineStr">
        <is>
          <t>PROD_0005</t>
        </is>
      </c>
      <c r="B29" s="3" t="inlineStr">
        <is>
          <t>VAR_4</t>
        </is>
      </c>
      <c r="C29" s="3" t="inlineStr">
        <is>
          <t>Wooden Material</t>
        </is>
      </c>
      <c r="D29" s="3" t="inlineStr">
        <is>
          <t>Blockboard</t>
        </is>
      </c>
      <c r="E29" s="3" t="inlineStr">
        <is>
          <t>Century Ply</t>
        </is>
      </c>
      <c r="F29" s="3" t="inlineStr">
        <is>
          <t>Sainik MR</t>
        </is>
      </c>
      <c r="H29" s="3" t="inlineStr">
        <is>
          <t>Type</t>
        </is>
      </c>
      <c r="I29" s="3" t="inlineStr">
        <is>
          <t>Boiling Water Proof</t>
        </is>
      </c>
      <c r="J29" s="3" t="inlineStr">
        <is>
          <t>Size</t>
        </is>
      </c>
      <c r="K29" s="3" t="inlineStr">
        <is>
          <t>8 ft X 4 ft</t>
        </is>
      </c>
      <c r="L29" s="3" t="inlineStr">
        <is>
          <t>Thickness</t>
        </is>
      </c>
      <c r="M29" s="3" t="inlineStr">
        <is>
          <t>12 mm</t>
        </is>
      </c>
      <c r="Q29" s="3" t="inlineStr">
        <is>
          <t>Manufacturer's Warranty</t>
        </is>
      </c>
      <c r="S29" s="3" t="n">
        <v>1</v>
      </c>
      <c r="U29" s="3" t="n">
        <v>51000</v>
      </c>
      <c r="Y29" s="3" t="inlineStr">
        <is>
          <t xml:space="preserve">CENT_BB_SAINKI_MR </t>
        </is>
      </c>
      <c r="Z29" s="3" t="n">
        <v>4412</v>
      </c>
      <c r="AA29" s="3" t="inlineStr">
        <is>
          <t>per sq ft</t>
        </is>
      </c>
      <c r="AB29" s="3" t="inlineStr">
        <is>
          <t>Area</t>
        </is>
      </c>
      <c r="AC29" s="3" t="n">
        <v>32</v>
      </c>
      <c r="AD29" s="3" t="n">
        <v>103.68</v>
      </c>
      <c r="AE29" s="3">
        <f>+AC29*AD29</f>
        <v/>
      </c>
      <c r="AF29" s="4" t="n">
        <v>0.29</v>
      </c>
      <c r="AG29" s="3">
        <f>ROUND(AE29-(AE29*AF29),2)</f>
        <v/>
      </c>
      <c r="AH29" s="4" t="n">
        <v>0.18</v>
      </c>
      <c r="AI29" s="3">
        <f>ROUND(AG29+(AG29*AH29),2)</f>
        <v/>
      </c>
      <c r="AJ29" s="4" t="n">
        <v>0.1</v>
      </c>
      <c r="AK29" s="3">
        <f>ROUND(AI29*AJ29,2)</f>
        <v/>
      </c>
      <c r="AL29" s="3">
        <f>AI29+AK29</f>
        <v/>
      </c>
      <c r="AM29" s="3">
        <f>AE29-AL29</f>
        <v/>
      </c>
      <c r="AN29" s="4">
        <f>AM29/AE29</f>
        <v/>
      </c>
      <c r="AO29" s="3" t="inlineStr">
        <is>
          <t>3 hrs</t>
        </is>
      </c>
      <c r="AQ29" s="3" t="inlineStr">
        <is>
          <t>Length Weight</t>
        </is>
      </c>
      <c r="AS29" s="3" t="inlineStr">
        <is>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is>
      </c>
    </row>
    <row r="30" ht="15.75" customHeight="1">
      <c r="A30" s="3" t="inlineStr">
        <is>
          <t>PROD_0005</t>
        </is>
      </c>
      <c r="B30" s="3" t="inlineStr">
        <is>
          <t>VAR_5</t>
        </is>
      </c>
      <c r="C30" s="3" t="inlineStr">
        <is>
          <t>Wooden Material</t>
        </is>
      </c>
      <c r="D30" s="3" t="inlineStr">
        <is>
          <t>Blockboard</t>
        </is>
      </c>
      <c r="E30" s="3" t="inlineStr">
        <is>
          <t>Century Ply</t>
        </is>
      </c>
      <c r="F30" s="3" t="inlineStr">
        <is>
          <t>Sainik MR</t>
        </is>
      </c>
      <c r="H30" s="3" t="inlineStr">
        <is>
          <t>Type</t>
        </is>
      </c>
      <c r="I30" s="3" t="inlineStr">
        <is>
          <t>Boiling Water Proof</t>
        </is>
      </c>
      <c r="J30" s="3" t="inlineStr">
        <is>
          <t>Size</t>
        </is>
      </c>
      <c r="K30" s="3" t="inlineStr">
        <is>
          <t>8 ft X 4 ft</t>
        </is>
      </c>
      <c r="L30" s="3" t="inlineStr">
        <is>
          <t>Thickness</t>
        </is>
      </c>
      <c r="M30" s="3" t="inlineStr">
        <is>
          <t>15 mm</t>
        </is>
      </c>
      <c r="Q30" s="3" t="inlineStr">
        <is>
          <t>Manufacturer's Warranty</t>
        </is>
      </c>
      <c r="S30" s="3" t="n">
        <v>1</v>
      </c>
      <c r="U30" s="3" t="n">
        <v>51000</v>
      </c>
      <c r="Y30" s="3" t="inlineStr">
        <is>
          <t xml:space="preserve">CENT_BB_SAINKI_MR </t>
        </is>
      </c>
      <c r="Z30" s="3" t="n">
        <v>4412</v>
      </c>
      <c r="AA30" s="3" t="inlineStr">
        <is>
          <t>per sq ft</t>
        </is>
      </c>
      <c r="AB30" s="3" t="inlineStr">
        <is>
          <t>Area</t>
        </is>
      </c>
      <c r="AC30" s="3" t="n">
        <v>32</v>
      </c>
      <c r="AD30" s="3" t="n">
        <v>125.87</v>
      </c>
      <c r="AE30" s="3">
        <f>+AC30*AD30</f>
        <v/>
      </c>
      <c r="AF30" s="4" t="n">
        <v>0.29</v>
      </c>
      <c r="AG30" s="3">
        <f>ROUND(AE30-(AE30*AF30),2)</f>
        <v/>
      </c>
      <c r="AH30" s="4" t="n">
        <v>0.18</v>
      </c>
      <c r="AI30" s="3">
        <f>ROUND(AG30+(AG30*AH30),2)</f>
        <v/>
      </c>
      <c r="AJ30" s="4" t="n">
        <v>0.1</v>
      </c>
      <c r="AK30" s="3">
        <f>ROUND(AI30*AJ30,2)</f>
        <v/>
      </c>
      <c r="AL30" s="3">
        <f>AI30+AK30</f>
        <v/>
      </c>
      <c r="AM30" s="3">
        <f>AE30-AL30</f>
        <v/>
      </c>
      <c r="AN30" s="4">
        <f>AM30/AE30</f>
        <v/>
      </c>
      <c r="AO30" s="3" t="inlineStr">
        <is>
          <t>3 hrs</t>
        </is>
      </c>
      <c r="AQ30" s="3" t="inlineStr">
        <is>
          <t>Length Weight</t>
        </is>
      </c>
      <c r="AS30" s="3" t="inlineStr">
        <is>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is>
      </c>
    </row>
    <row r="31" ht="15.75" customHeight="1">
      <c r="A31" s="3" t="inlineStr">
        <is>
          <t>PROD_0005</t>
        </is>
      </c>
      <c r="B31" s="3" t="inlineStr">
        <is>
          <t>VAR_6</t>
        </is>
      </c>
      <c r="C31" s="3" t="inlineStr">
        <is>
          <t>Wooden Material</t>
        </is>
      </c>
      <c r="D31" s="3" t="inlineStr">
        <is>
          <t>Blockboard</t>
        </is>
      </c>
      <c r="E31" s="3" t="inlineStr">
        <is>
          <t>Century Ply</t>
        </is>
      </c>
      <c r="F31" s="3" t="inlineStr">
        <is>
          <t>Sainik MR</t>
        </is>
      </c>
      <c r="H31" s="3" t="inlineStr">
        <is>
          <t>Type</t>
        </is>
      </c>
      <c r="I31" s="3" t="inlineStr">
        <is>
          <t>Boiling Water Proof</t>
        </is>
      </c>
      <c r="J31" s="3" t="inlineStr">
        <is>
          <t>Size</t>
        </is>
      </c>
      <c r="K31" s="3" t="inlineStr">
        <is>
          <t>8 ft X 4 ft</t>
        </is>
      </c>
      <c r="L31" s="3" t="inlineStr">
        <is>
          <t>Thickness</t>
        </is>
      </c>
      <c r="M31" s="3" t="inlineStr">
        <is>
          <t>18 mm</t>
        </is>
      </c>
      <c r="Q31" s="3" t="inlineStr">
        <is>
          <t>Manufacturer's Warranty</t>
        </is>
      </c>
      <c r="S31" s="3" t="n">
        <v>1</v>
      </c>
      <c r="U31" s="3" t="n">
        <v>51000</v>
      </c>
      <c r="Y31" s="3" t="inlineStr">
        <is>
          <t xml:space="preserve">CENT_BB_SAINKI_MR </t>
        </is>
      </c>
      <c r="Z31" s="3" t="n">
        <v>4412</v>
      </c>
      <c r="AA31" s="3" t="inlineStr">
        <is>
          <t>per sq ft</t>
        </is>
      </c>
      <c r="AB31" s="3" t="inlineStr">
        <is>
          <t>Area</t>
        </is>
      </c>
      <c r="AC31" s="3" t="n">
        <v>32</v>
      </c>
      <c r="AD31" s="3" t="n">
        <v>146.88</v>
      </c>
      <c r="AE31" s="3">
        <f>+AC31*AD31</f>
        <v/>
      </c>
      <c r="AF31" s="4" t="n">
        <v>0.29</v>
      </c>
      <c r="AG31" s="3">
        <f>ROUND(AE31-(AE31*AF31),2)</f>
        <v/>
      </c>
      <c r="AH31" s="4" t="n">
        <v>0.18</v>
      </c>
      <c r="AI31" s="3">
        <f>ROUND(AG31+(AG31*AH31),2)</f>
        <v/>
      </c>
      <c r="AJ31" s="4" t="n">
        <v>0.1</v>
      </c>
      <c r="AK31" s="3">
        <f>ROUND(AI31*AJ31,2)</f>
        <v/>
      </c>
      <c r="AL31" s="3">
        <f>AI31+AK31</f>
        <v/>
      </c>
      <c r="AM31" s="3">
        <f>AE31-AL31</f>
        <v/>
      </c>
      <c r="AN31" s="4">
        <f>AM31/AE31</f>
        <v/>
      </c>
      <c r="AO31" s="3" t="inlineStr">
        <is>
          <t>3 hrs</t>
        </is>
      </c>
      <c r="AQ31" s="3" t="inlineStr">
        <is>
          <t>Length Weight</t>
        </is>
      </c>
      <c r="AS31" s="3" t="inlineStr">
        <is>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is>
      </c>
    </row>
    <row r="32" ht="15.75" customHeight="1">
      <c r="A32" s="3" t="inlineStr">
        <is>
          <t>PROD_0006</t>
        </is>
      </c>
      <c r="B32" s="3" t="inlineStr">
        <is>
          <t>VAR_1</t>
        </is>
      </c>
      <c r="C32" s="3" t="inlineStr">
        <is>
          <t>Wooden Material</t>
        </is>
      </c>
      <c r="D32" s="3" t="inlineStr">
        <is>
          <t>Blockboard</t>
        </is>
      </c>
      <c r="E32" s="3" t="inlineStr">
        <is>
          <t>Century Ply</t>
        </is>
      </c>
      <c r="F32" s="3" t="inlineStr">
        <is>
          <t>Sainik 710</t>
        </is>
      </c>
      <c r="H32" s="3" t="inlineStr">
        <is>
          <t>Type</t>
        </is>
      </c>
      <c r="I32" s="3" t="inlineStr">
        <is>
          <t>Boiling Water Proof</t>
        </is>
      </c>
      <c r="J32" s="3" t="inlineStr">
        <is>
          <t>Size</t>
        </is>
      </c>
      <c r="K32" s="3" t="inlineStr">
        <is>
          <t>8 ft X 4 ft</t>
        </is>
      </c>
      <c r="L32" s="3" t="inlineStr">
        <is>
          <t>Thickness</t>
        </is>
      </c>
      <c r="M32" s="3" t="inlineStr">
        <is>
          <t>4 mm</t>
        </is>
      </c>
      <c r="Q32" s="3" t="inlineStr">
        <is>
          <t>Manufacturer's Warranty</t>
        </is>
      </c>
      <c r="S32" s="3" t="n">
        <v>1</v>
      </c>
      <c r="U32" s="3" t="n">
        <v>51000</v>
      </c>
      <c r="Y32" s="3" t="inlineStr">
        <is>
          <t xml:space="preserve">CENT_BB_SAINKI_710 </t>
        </is>
      </c>
      <c r="Z32" s="3" t="n">
        <v>4412</v>
      </c>
      <c r="AA32" s="3" t="inlineStr">
        <is>
          <t>per sq ft</t>
        </is>
      </c>
      <c r="AB32" s="3" t="inlineStr">
        <is>
          <t>Area</t>
        </is>
      </c>
      <c r="AC32" s="3" t="n">
        <v>32</v>
      </c>
      <c r="AD32" s="3" t="n">
        <v>54</v>
      </c>
      <c r="AE32" s="3">
        <f>+AC32*AD32</f>
        <v/>
      </c>
      <c r="AF32" s="4" t="n">
        <v>0.19</v>
      </c>
      <c r="AG32" s="3">
        <f>ROUND(AE32-(AE32*AF32),2)</f>
        <v/>
      </c>
      <c r="AH32" s="4" t="n">
        <v>0.18</v>
      </c>
      <c r="AI32" s="3">
        <f>ROUND(AG32+(AG32*AH32),2)</f>
        <v/>
      </c>
      <c r="AJ32" s="4" t="n">
        <v>0.1</v>
      </c>
      <c r="AK32" s="3">
        <f>ROUND(AI32*AJ32,2)</f>
        <v/>
      </c>
      <c r="AL32" s="3">
        <f>AI32+AK32</f>
        <v/>
      </c>
      <c r="AM32" s="3">
        <f>AE32-AL32</f>
        <v/>
      </c>
      <c r="AN32" s="4">
        <f>AM32/AE32</f>
        <v/>
      </c>
      <c r="AO32" s="3" t="inlineStr">
        <is>
          <t>3 hrs</t>
        </is>
      </c>
      <c r="AQ32" s="3" t="inlineStr">
        <is>
          <t>Length Weight</t>
        </is>
      </c>
      <c r="AS32" s="3" t="inlineStr">
        <is>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is>
      </c>
    </row>
    <row r="33" ht="15.75" customHeight="1">
      <c r="A33" s="3" t="inlineStr">
        <is>
          <t>PROD_0006</t>
        </is>
      </c>
      <c r="B33" s="3" t="inlineStr">
        <is>
          <t>VAR_2</t>
        </is>
      </c>
      <c r="C33" s="3" t="inlineStr">
        <is>
          <t>Wooden Material</t>
        </is>
      </c>
      <c r="D33" s="3" t="inlineStr">
        <is>
          <t>Blockboard</t>
        </is>
      </c>
      <c r="E33" s="3" t="inlineStr">
        <is>
          <t>Century Ply</t>
        </is>
      </c>
      <c r="F33" s="3" t="inlineStr">
        <is>
          <t>Sainik 710</t>
        </is>
      </c>
      <c r="H33" s="3" t="inlineStr">
        <is>
          <t>Type</t>
        </is>
      </c>
      <c r="I33" s="3" t="inlineStr">
        <is>
          <t>Boiling Water Proof</t>
        </is>
      </c>
      <c r="J33" s="3" t="inlineStr">
        <is>
          <t>Size</t>
        </is>
      </c>
      <c r="K33" s="3" t="inlineStr">
        <is>
          <t>8 ft X 4 ft</t>
        </is>
      </c>
      <c r="L33" s="3" t="inlineStr">
        <is>
          <t>Thickness</t>
        </is>
      </c>
      <c r="M33" s="3" t="inlineStr">
        <is>
          <t>6 mm</t>
        </is>
      </c>
      <c r="Q33" s="3" t="inlineStr">
        <is>
          <t>Manufacturer's Warranty</t>
        </is>
      </c>
      <c r="S33" s="3" t="n">
        <v>1</v>
      </c>
      <c r="U33" s="3" t="n">
        <v>51000</v>
      </c>
      <c r="Y33" s="3" t="inlineStr">
        <is>
          <t xml:space="preserve">CENT_BB_SAINKI_710 </t>
        </is>
      </c>
      <c r="Z33" s="3" t="n">
        <v>4412</v>
      </c>
      <c r="AA33" s="3" t="inlineStr">
        <is>
          <t>per sq ft</t>
        </is>
      </c>
      <c r="AB33" s="3" t="inlineStr">
        <is>
          <t>Area</t>
        </is>
      </c>
      <c r="AC33" s="3" t="n">
        <v>32</v>
      </c>
      <c r="AD33" s="3" t="n">
        <v>66.95999999999999</v>
      </c>
      <c r="AE33" s="3">
        <f>+AC33*AD33</f>
        <v/>
      </c>
      <c r="AF33" s="4" t="n">
        <v>0.19</v>
      </c>
      <c r="AG33" s="3">
        <f>ROUND(AE33-(AE33*AF33),2)</f>
        <v/>
      </c>
      <c r="AH33" s="4" t="n">
        <v>0.18</v>
      </c>
      <c r="AI33" s="3">
        <f>ROUND(AG33+(AG33*AH33),2)</f>
        <v/>
      </c>
      <c r="AJ33" s="4" t="n">
        <v>0.1</v>
      </c>
      <c r="AK33" s="3">
        <f>ROUND(AI33*AJ33,2)</f>
        <v/>
      </c>
      <c r="AL33" s="3">
        <f>AI33+AK33</f>
        <v/>
      </c>
      <c r="AM33" s="3">
        <f>AE33-AL33</f>
        <v/>
      </c>
      <c r="AN33" s="4">
        <f>AM33/AE33</f>
        <v/>
      </c>
      <c r="AO33" s="3" t="inlineStr">
        <is>
          <t>3 hrs</t>
        </is>
      </c>
      <c r="AQ33" s="3" t="inlineStr">
        <is>
          <t>Length Weight</t>
        </is>
      </c>
      <c r="AS33" s="3" t="inlineStr">
        <is>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is>
      </c>
    </row>
    <row r="34" ht="15.75" customHeight="1">
      <c r="A34" s="3" t="inlineStr">
        <is>
          <t>PROD_0006</t>
        </is>
      </c>
      <c r="B34" s="3" t="inlineStr">
        <is>
          <t>VAR_3</t>
        </is>
      </c>
      <c r="C34" s="3" t="inlineStr">
        <is>
          <t>Wooden Material</t>
        </is>
      </c>
      <c r="D34" s="3" t="inlineStr">
        <is>
          <t>Blockboard</t>
        </is>
      </c>
      <c r="E34" s="3" t="inlineStr">
        <is>
          <t>Century Ply</t>
        </is>
      </c>
      <c r="F34" s="3" t="inlineStr">
        <is>
          <t>Sainik 710</t>
        </is>
      </c>
      <c r="H34" s="3" t="inlineStr">
        <is>
          <t>Type</t>
        </is>
      </c>
      <c r="I34" s="3" t="inlineStr">
        <is>
          <t>Boiling Water Proof</t>
        </is>
      </c>
      <c r="J34" s="3" t="inlineStr">
        <is>
          <t>Size</t>
        </is>
      </c>
      <c r="K34" s="3" t="inlineStr">
        <is>
          <t>8 ft X 4 ft</t>
        </is>
      </c>
      <c r="L34" s="3" t="inlineStr">
        <is>
          <t>Thickness</t>
        </is>
      </c>
      <c r="M34" s="3" t="inlineStr">
        <is>
          <t>9mm</t>
        </is>
      </c>
      <c r="Q34" s="3" t="inlineStr">
        <is>
          <t>Manufacturer's Warranty</t>
        </is>
      </c>
      <c r="S34" s="3" t="n">
        <v>1</v>
      </c>
      <c r="U34" s="3" t="n">
        <v>51000</v>
      </c>
      <c r="Y34" s="3" t="inlineStr">
        <is>
          <t xml:space="preserve">CENT_BB_SAINKI_710 </t>
        </is>
      </c>
      <c r="Z34" s="3" t="n">
        <v>4412</v>
      </c>
      <c r="AA34" s="3" t="inlineStr">
        <is>
          <t>per sq ft</t>
        </is>
      </c>
      <c r="AB34" s="3" t="inlineStr">
        <is>
          <t>Area</t>
        </is>
      </c>
      <c r="AC34" s="3" t="n">
        <v>32</v>
      </c>
      <c r="AD34" s="3" t="n">
        <v>81</v>
      </c>
      <c r="AE34" s="3">
        <f>+AC34*AD34</f>
        <v/>
      </c>
      <c r="AF34" s="4" t="n">
        <v>0.19</v>
      </c>
      <c r="AG34" s="3">
        <f>ROUND(AE34-(AE34*AF34),2)</f>
        <v/>
      </c>
      <c r="AH34" s="4" t="n">
        <v>0.18</v>
      </c>
      <c r="AI34" s="3">
        <f>ROUND(AG34+(AG34*AH34),2)</f>
        <v/>
      </c>
      <c r="AJ34" s="4" t="n">
        <v>0.1</v>
      </c>
      <c r="AK34" s="3">
        <f>ROUND(AI34*AJ34,2)</f>
        <v/>
      </c>
      <c r="AL34" s="3">
        <f>AI34+AK34</f>
        <v/>
      </c>
      <c r="AM34" s="3">
        <f>AE34-AL34</f>
        <v/>
      </c>
      <c r="AN34" s="4">
        <f>AM34/AE34</f>
        <v/>
      </c>
      <c r="AO34" s="3" t="inlineStr">
        <is>
          <t>3 hrs</t>
        </is>
      </c>
      <c r="AQ34" s="3" t="inlineStr">
        <is>
          <t>Length Weight</t>
        </is>
      </c>
      <c r="AS34" s="3" t="inlineStr">
        <is>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is>
      </c>
    </row>
    <row r="35" ht="15.75" customHeight="1">
      <c r="A35" s="3" t="inlineStr">
        <is>
          <t>PROD_0006</t>
        </is>
      </c>
      <c r="B35" s="3" t="inlineStr">
        <is>
          <t>VAR_4</t>
        </is>
      </c>
      <c r="C35" s="3" t="inlineStr">
        <is>
          <t>Wooden Material</t>
        </is>
      </c>
      <c r="D35" s="3" t="inlineStr">
        <is>
          <t>Blockboard</t>
        </is>
      </c>
      <c r="E35" s="3" t="inlineStr">
        <is>
          <t>Century Ply</t>
        </is>
      </c>
      <c r="F35" s="3" t="inlineStr">
        <is>
          <t>Sainik 710</t>
        </is>
      </c>
      <c r="H35" s="3" t="inlineStr">
        <is>
          <t>Type</t>
        </is>
      </c>
      <c r="I35" s="3" t="inlineStr">
        <is>
          <t>Boiling Water Proof</t>
        </is>
      </c>
      <c r="J35" s="3" t="inlineStr">
        <is>
          <t>Size</t>
        </is>
      </c>
      <c r="K35" s="3" t="inlineStr">
        <is>
          <t>8 ft X 4 ft</t>
        </is>
      </c>
      <c r="L35" s="3" t="inlineStr">
        <is>
          <t>Thickness</t>
        </is>
      </c>
      <c r="M35" s="3" t="inlineStr">
        <is>
          <t>12 mm</t>
        </is>
      </c>
      <c r="Q35" s="3" t="inlineStr">
        <is>
          <t>Manufacturer's Warranty</t>
        </is>
      </c>
      <c r="S35" s="3" t="n">
        <v>1</v>
      </c>
      <c r="U35" s="3" t="n">
        <v>51000</v>
      </c>
      <c r="Y35" s="3" t="inlineStr">
        <is>
          <t xml:space="preserve">CENT_BB_SAINKI_710 </t>
        </is>
      </c>
      <c r="Z35" s="3" t="n">
        <v>4412</v>
      </c>
      <c r="AA35" s="3" t="inlineStr">
        <is>
          <t>per sq ft</t>
        </is>
      </c>
      <c r="AB35" s="3" t="inlineStr">
        <is>
          <t>Area</t>
        </is>
      </c>
      <c r="AC35" s="3" t="n">
        <v>32</v>
      </c>
      <c r="AD35" s="3" t="n">
        <v>104.76</v>
      </c>
      <c r="AE35" s="3">
        <f>+AC35*AD35</f>
        <v/>
      </c>
      <c r="AF35" s="4" t="n">
        <v>0.19</v>
      </c>
      <c r="AG35" s="3">
        <f>ROUND(AE35-(AE35*AF35),2)</f>
        <v/>
      </c>
      <c r="AH35" s="4" t="n">
        <v>0.18</v>
      </c>
      <c r="AI35" s="3">
        <f>ROUND(AG35+(AG35*AH35),2)</f>
        <v/>
      </c>
      <c r="AJ35" s="4" t="n">
        <v>0.1</v>
      </c>
      <c r="AK35" s="3">
        <f>ROUND(AI35*AJ35,2)</f>
        <v/>
      </c>
      <c r="AL35" s="3">
        <f>AI35+AK35</f>
        <v/>
      </c>
      <c r="AM35" s="3">
        <f>AE35-AL35</f>
        <v/>
      </c>
      <c r="AN35" s="4">
        <f>AM35/AE35</f>
        <v/>
      </c>
      <c r="AO35" s="3" t="inlineStr">
        <is>
          <t>3 hrs</t>
        </is>
      </c>
      <c r="AQ35" s="3" t="inlineStr">
        <is>
          <t>Length Weight</t>
        </is>
      </c>
      <c r="AS35" s="3" t="inlineStr">
        <is>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is>
      </c>
    </row>
    <row r="36" ht="15.75" customHeight="1">
      <c r="A36" s="3" t="inlineStr">
        <is>
          <t>PROD_0006</t>
        </is>
      </c>
      <c r="B36" s="3" t="inlineStr">
        <is>
          <t>VAR_5</t>
        </is>
      </c>
      <c r="C36" s="3" t="inlineStr">
        <is>
          <t>Wooden Material</t>
        </is>
      </c>
      <c r="D36" s="3" t="inlineStr">
        <is>
          <t>Blockboard</t>
        </is>
      </c>
      <c r="E36" s="3" t="inlineStr">
        <is>
          <t>Century Ply</t>
        </is>
      </c>
      <c r="F36" s="3" t="inlineStr">
        <is>
          <t>Sainik 710</t>
        </is>
      </c>
      <c r="H36" s="3" t="inlineStr">
        <is>
          <t>Type</t>
        </is>
      </c>
      <c r="I36" s="3" t="inlineStr">
        <is>
          <t>Boiling Water Proof</t>
        </is>
      </c>
      <c r="J36" s="3" t="inlineStr">
        <is>
          <t>Size</t>
        </is>
      </c>
      <c r="K36" s="3" t="inlineStr">
        <is>
          <t>8 ft X 4 ft</t>
        </is>
      </c>
      <c r="L36" s="3" t="inlineStr">
        <is>
          <t>Thickness</t>
        </is>
      </c>
      <c r="M36" s="3" t="inlineStr">
        <is>
          <t>16mm</t>
        </is>
      </c>
      <c r="Q36" s="3" t="inlineStr">
        <is>
          <t>Manufacturer's Warranty</t>
        </is>
      </c>
      <c r="S36" s="3" t="n">
        <v>1</v>
      </c>
      <c r="U36" s="3" t="n">
        <v>51000</v>
      </c>
      <c r="Y36" s="3" t="inlineStr">
        <is>
          <t xml:space="preserve">CENT_BB_SAINKI_710 </t>
        </is>
      </c>
      <c r="Z36" s="3" t="n">
        <v>4412</v>
      </c>
      <c r="AA36" s="3" t="inlineStr">
        <is>
          <t>per sq ft</t>
        </is>
      </c>
      <c r="AB36" s="3" t="inlineStr">
        <is>
          <t>Area</t>
        </is>
      </c>
      <c r="AC36" s="3" t="n">
        <v>32</v>
      </c>
      <c r="AD36" s="3" t="n">
        <v>130.68</v>
      </c>
      <c r="AE36" s="3">
        <f>+AC36*AD36</f>
        <v/>
      </c>
      <c r="AF36" s="4" t="n">
        <v>0.19</v>
      </c>
      <c r="AG36" s="3">
        <f>ROUND(AE36-(AE36*AF36),2)</f>
        <v/>
      </c>
      <c r="AH36" s="4" t="n">
        <v>0.18</v>
      </c>
      <c r="AI36" s="3">
        <f>ROUND(AG36+(AG36*AH36),2)</f>
        <v/>
      </c>
      <c r="AJ36" s="4" t="n">
        <v>0.1</v>
      </c>
      <c r="AK36" s="3">
        <f>ROUND(AI36*AJ36,2)</f>
        <v/>
      </c>
      <c r="AL36" s="3">
        <f>AI36+AK36</f>
        <v/>
      </c>
      <c r="AM36" s="3">
        <f>AE36-AL36</f>
        <v/>
      </c>
      <c r="AN36" s="4">
        <f>AM36/AE36</f>
        <v/>
      </c>
      <c r="AO36" s="3" t="inlineStr">
        <is>
          <t>3 hrs</t>
        </is>
      </c>
      <c r="AQ36" s="3" t="inlineStr">
        <is>
          <t>Length Weight</t>
        </is>
      </c>
      <c r="AS36" s="3" t="inlineStr">
        <is>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is>
      </c>
    </row>
    <row r="37" ht="15.75" customHeight="1">
      <c r="A37" s="3" t="inlineStr">
        <is>
          <t>PROD_0006</t>
        </is>
      </c>
      <c r="B37" s="3" t="inlineStr">
        <is>
          <t>VAR_6</t>
        </is>
      </c>
      <c r="C37" s="3" t="inlineStr">
        <is>
          <t>Wooden Material</t>
        </is>
      </c>
      <c r="D37" s="3" t="inlineStr">
        <is>
          <t>Blockboard</t>
        </is>
      </c>
      <c r="E37" s="3" t="inlineStr">
        <is>
          <t>Century Ply</t>
        </is>
      </c>
      <c r="F37" s="3" t="inlineStr">
        <is>
          <t>Sainik 710</t>
        </is>
      </c>
      <c r="H37" s="3" t="inlineStr">
        <is>
          <t>Type</t>
        </is>
      </c>
      <c r="I37" s="3" t="inlineStr">
        <is>
          <t>Boiling Water Proof</t>
        </is>
      </c>
      <c r="J37" s="3" t="inlineStr">
        <is>
          <t>Size</t>
        </is>
      </c>
      <c r="K37" s="3" t="inlineStr">
        <is>
          <t>8 ft X 4 ft</t>
        </is>
      </c>
      <c r="L37" s="3" t="inlineStr">
        <is>
          <t>Thickness</t>
        </is>
      </c>
      <c r="M37" s="3" t="inlineStr">
        <is>
          <t>19mm</t>
        </is>
      </c>
      <c r="Q37" s="3" t="inlineStr">
        <is>
          <t>Manufacturer's Warranty</t>
        </is>
      </c>
      <c r="S37" s="3" t="n">
        <v>1</v>
      </c>
      <c r="U37" s="3" t="n">
        <v>51000</v>
      </c>
      <c r="Y37" s="3" t="inlineStr">
        <is>
          <t xml:space="preserve">CENT_BB_SAINKI_710 </t>
        </is>
      </c>
      <c r="Z37" s="3" t="n">
        <v>4412</v>
      </c>
      <c r="AA37" s="3" t="inlineStr">
        <is>
          <t>per sq ft</t>
        </is>
      </c>
      <c r="AB37" s="3" t="inlineStr">
        <is>
          <t>Area</t>
        </is>
      </c>
      <c r="AC37" s="3" t="n">
        <v>32</v>
      </c>
      <c r="AD37" s="3" t="n">
        <v>151.2</v>
      </c>
      <c r="AE37" s="3">
        <f>+AC37*AD37</f>
        <v/>
      </c>
      <c r="AF37" s="4" t="n">
        <v>0.19</v>
      </c>
      <c r="AG37" s="3">
        <f>ROUND(AE37-(AE37*AF37),2)</f>
        <v/>
      </c>
      <c r="AH37" s="4" t="n">
        <v>0.18</v>
      </c>
      <c r="AI37" s="3">
        <f>ROUND(AG37+(AG37*AH37),2)</f>
        <v/>
      </c>
      <c r="AJ37" s="4" t="n">
        <v>0.1</v>
      </c>
      <c r="AK37" s="3">
        <f>ROUND(AI37*AJ37,2)</f>
        <v/>
      </c>
      <c r="AL37" s="3">
        <f>AI37+AK37</f>
        <v/>
      </c>
      <c r="AM37" s="3">
        <f>AE37-AL37</f>
        <v/>
      </c>
      <c r="AN37" s="4">
        <f>AM37/AE37</f>
        <v/>
      </c>
      <c r="AO37" s="3" t="inlineStr">
        <is>
          <t>3 hrs</t>
        </is>
      </c>
      <c r="AQ37" s="3" t="inlineStr">
        <is>
          <t>Length Weight</t>
        </is>
      </c>
      <c r="AS37" s="3" t="inlineStr">
        <is>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is>
      </c>
    </row>
    <row r="38" ht="15.75" customHeight="1">
      <c r="A38" s="3" t="inlineStr">
        <is>
          <t>PROD_0007</t>
        </is>
      </c>
      <c r="B38" s="3" t="inlineStr">
        <is>
          <t>VAR_1</t>
        </is>
      </c>
      <c r="C38" s="3" t="inlineStr">
        <is>
          <t>Wooden Material</t>
        </is>
      </c>
      <c r="D38" s="3" t="inlineStr">
        <is>
          <t>Blockboard</t>
        </is>
      </c>
      <c r="E38" s="3" t="inlineStr">
        <is>
          <t>Century Ply</t>
        </is>
      </c>
      <c r="F38" s="3" t="inlineStr">
        <is>
          <t>Win MR</t>
        </is>
      </c>
      <c r="H38" s="3" t="inlineStr">
        <is>
          <t>Type</t>
        </is>
      </c>
      <c r="I38" s="3" t="inlineStr">
        <is>
          <t>Water Resistant</t>
        </is>
      </c>
      <c r="J38" s="3" t="inlineStr">
        <is>
          <t>Size</t>
        </is>
      </c>
      <c r="K38" s="3" t="inlineStr">
        <is>
          <t>8 ft X 4 ft</t>
        </is>
      </c>
      <c r="L38" s="3" t="inlineStr">
        <is>
          <t>Thickness</t>
        </is>
      </c>
      <c r="M38" s="3" t="inlineStr">
        <is>
          <t>4 mm</t>
        </is>
      </c>
      <c r="Q38" s="3" t="inlineStr">
        <is>
          <t>Manufacturer's Warranty</t>
        </is>
      </c>
      <c r="S38" s="3" t="n">
        <v>1</v>
      </c>
      <c r="U38" s="3" t="n">
        <v>51000</v>
      </c>
      <c r="Y38" s="3" t="inlineStr">
        <is>
          <t>CENT_BB_Win_MR</t>
        </is>
      </c>
      <c r="Z38" s="3" t="n">
        <v>4412</v>
      </c>
      <c r="AA38" s="3" t="inlineStr">
        <is>
          <t>per sq ft</t>
        </is>
      </c>
      <c r="AB38" s="3" t="inlineStr">
        <is>
          <t>Area</t>
        </is>
      </c>
      <c r="AC38" s="3" t="n">
        <v>32</v>
      </c>
      <c r="AD38" s="3" t="n">
        <v>63.9</v>
      </c>
      <c r="AE38" s="3">
        <f>+AC38*AD38</f>
        <v/>
      </c>
      <c r="AF38" s="4" t="n">
        <v>0.29</v>
      </c>
      <c r="AG38" s="3">
        <f>ROUND(AE38-(AE38*AF38),2)</f>
        <v/>
      </c>
      <c r="AH38" s="4" t="n">
        <v>0.18</v>
      </c>
      <c r="AI38" s="3">
        <f>ROUND(AG38+(AG38*AH38),2)</f>
        <v/>
      </c>
      <c r="AJ38" s="4" t="n">
        <v>0.1</v>
      </c>
      <c r="AK38" s="3">
        <f>ROUND(AI38*AJ38,2)</f>
        <v/>
      </c>
      <c r="AL38" s="3">
        <f>AI38+AK38</f>
        <v/>
      </c>
      <c r="AM38" s="3">
        <f>AE38-AL38</f>
        <v/>
      </c>
      <c r="AN38" s="4">
        <f>AM38/AE38</f>
        <v/>
      </c>
      <c r="AO38" s="3" t="inlineStr">
        <is>
          <t>3 hrs</t>
        </is>
      </c>
      <c r="AQ38" s="3" t="inlineStr">
        <is>
          <t>Length Weight</t>
        </is>
      </c>
      <c r="AS38" s="3" t="inlineStr">
        <is>
          <t>CenturyPly WIN MR Block board offers premium quality and durability better than any other commercial grade block boards and at an affordable cost. It is an eco-friendly plywood made from seasoned wood. WIN STAR MR BB is water resistant and comes with a 5 year warranty.</t>
        </is>
      </c>
    </row>
    <row r="39" ht="15.75" customHeight="1">
      <c r="A39" s="3" t="inlineStr">
        <is>
          <t>PROD_0007</t>
        </is>
      </c>
      <c r="B39" s="3" t="inlineStr">
        <is>
          <t>VAR_2</t>
        </is>
      </c>
      <c r="C39" s="3" t="inlineStr">
        <is>
          <t>Wooden Material</t>
        </is>
      </c>
      <c r="D39" s="3" t="inlineStr">
        <is>
          <t>Blockboard</t>
        </is>
      </c>
      <c r="E39" s="3" t="inlineStr">
        <is>
          <t>Century Ply</t>
        </is>
      </c>
      <c r="F39" s="3" t="inlineStr">
        <is>
          <t>Win MR</t>
        </is>
      </c>
      <c r="H39" s="3" t="inlineStr">
        <is>
          <t>Type</t>
        </is>
      </c>
      <c r="I39" s="3" t="inlineStr">
        <is>
          <t>Water Resistant</t>
        </is>
      </c>
      <c r="J39" s="3" t="inlineStr">
        <is>
          <t>Size</t>
        </is>
      </c>
      <c r="K39" s="3" t="inlineStr">
        <is>
          <t>8 ft X 4 ft</t>
        </is>
      </c>
      <c r="L39" s="3" t="inlineStr">
        <is>
          <t>Thickness</t>
        </is>
      </c>
      <c r="M39" s="3" t="inlineStr">
        <is>
          <t>6 mm</t>
        </is>
      </c>
      <c r="Q39" s="3" t="inlineStr">
        <is>
          <t>Manufacturer's Warranty</t>
        </is>
      </c>
      <c r="S39" s="3" t="n">
        <v>1</v>
      </c>
      <c r="U39" s="3" t="n">
        <v>51000</v>
      </c>
      <c r="Y39" s="3" t="inlineStr">
        <is>
          <t>CENT_BB_Win_MR</t>
        </is>
      </c>
      <c r="Z39" s="3" t="n">
        <v>4412</v>
      </c>
      <c r="AA39" s="3" t="inlineStr">
        <is>
          <t>per sq ft</t>
        </is>
      </c>
      <c r="AB39" s="3" t="inlineStr">
        <is>
          <t>Area</t>
        </is>
      </c>
      <c r="AC39" s="3" t="n">
        <v>32</v>
      </c>
      <c r="AD39" s="3" t="n">
        <v>77.8</v>
      </c>
      <c r="AE39" s="3">
        <f>+AC39*AD39</f>
        <v/>
      </c>
      <c r="AF39" s="4" t="n">
        <v>0.29</v>
      </c>
      <c r="AG39" s="3">
        <f>ROUND(AE39-(AE39*AF39),2)</f>
        <v/>
      </c>
      <c r="AH39" s="4" t="n">
        <v>0.18</v>
      </c>
      <c r="AI39" s="3">
        <f>ROUND(AG39+(AG39*AH39),2)</f>
        <v/>
      </c>
      <c r="AJ39" s="4" t="n">
        <v>0.1</v>
      </c>
      <c r="AK39" s="3">
        <f>ROUND(AI39*AJ39,2)</f>
        <v/>
      </c>
      <c r="AL39" s="3">
        <f>AI39+AK39</f>
        <v/>
      </c>
      <c r="AM39" s="3">
        <f>AE39-AL39</f>
        <v/>
      </c>
      <c r="AN39" s="4">
        <f>AM39/AE39</f>
        <v/>
      </c>
      <c r="AO39" s="3" t="inlineStr">
        <is>
          <t>3 hrs</t>
        </is>
      </c>
      <c r="AQ39" s="3" t="inlineStr">
        <is>
          <t>Length Weight</t>
        </is>
      </c>
      <c r="AS39" s="3" t="inlineStr">
        <is>
          <t>CenturyPly WIN MR Block board offers premium quality and durability better than any other commercial grade block boards and at an affordable cost. It is an eco-friendly plywood made from seasoned wood. WIN STAR MR BB is water resistant and comes with a 5 year warranty.</t>
        </is>
      </c>
    </row>
    <row r="40" ht="15.75" customHeight="1">
      <c r="A40" s="3" t="inlineStr">
        <is>
          <t>PROD_0007</t>
        </is>
      </c>
      <c r="B40" s="3" t="inlineStr">
        <is>
          <t>VAR_3</t>
        </is>
      </c>
      <c r="C40" s="3" t="inlineStr">
        <is>
          <t>Wooden Material</t>
        </is>
      </c>
      <c r="D40" s="3" t="inlineStr">
        <is>
          <t>Blockboard</t>
        </is>
      </c>
      <c r="E40" s="3" t="inlineStr">
        <is>
          <t>Century Ply</t>
        </is>
      </c>
      <c r="F40" s="3" t="inlineStr">
        <is>
          <t>Win MR</t>
        </is>
      </c>
      <c r="H40" s="3" t="inlineStr">
        <is>
          <t>Type</t>
        </is>
      </c>
      <c r="I40" s="3" t="inlineStr">
        <is>
          <t>Water Resistant</t>
        </is>
      </c>
      <c r="J40" s="3" t="inlineStr">
        <is>
          <t>Size</t>
        </is>
      </c>
      <c r="K40" s="3" t="inlineStr">
        <is>
          <t>8 ft X 4 ft</t>
        </is>
      </c>
      <c r="L40" s="3" t="inlineStr">
        <is>
          <t>Thickness</t>
        </is>
      </c>
      <c r="M40" s="3" t="inlineStr">
        <is>
          <t>8 mm</t>
        </is>
      </c>
      <c r="Q40" s="3" t="inlineStr">
        <is>
          <t>Manufacturer's Warranty</t>
        </is>
      </c>
      <c r="S40" s="3" t="n">
        <v>1</v>
      </c>
      <c r="U40" s="3" t="n">
        <v>51000</v>
      </c>
      <c r="Y40" s="3" t="inlineStr">
        <is>
          <t>CENT_BB_Win_MR</t>
        </is>
      </c>
      <c r="Z40" s="3" t="n">
        <v>4412</v>
      </c>
      <c r="AA40" s="3" t="inlineStr">
        <is>
          <t>per sq ft</t>
        </is>
      </c>
      <c r="AB40" s="3" t="inlineStr">
        <is>
          <t>Area</t>
        </is>
      </c>
      <c r="AC40" s="3" t="n">
        <v>32</v>
      </c>
      <c r="AD40" s="3" t="n">
        <v>96.40000000000001</v>
      </c>
      <c r="AE40" s="3">
        <f>+AC40*AD40</f>
        <v/>
      </c>
      <c r="AF40" s="4" t="n">
        <v>0.29</v>
      </c>
      <c r="AG40" s="3">
        <f>ROUND(AE40-(AE40*AF40),2)</f>
        <v/>
      </c>
      <c r="AH40" s="4" t="n">
        <v>0.18</v>
      </c>
      <c r="AI40" s="3">
        <f>ROUND(AG40+(AG40*AH40),2)</f>
        <v/>
      </c>
      <c r="AJ40" s="4" t="n">
        <v>0.1</v>
      </c>
      <c r="AK40" s="3">
        <f>ROUND(AI40*AJ40,2)</f>
        <v/>
      </c>
      <c r="AL40" s="3">
        <f>AI40+AK40</f>
        <v/>
      </c>
      <c r="AM40" s="3">
        <f>AE40-AL40</f>
        <v/>
      </c>
      <c r="AN40" s="4">
        <f>AM40/AE40</f>
        <v/>
      </c>
      <c r="AO40" s="3" t="inlineStr">
        <is>
          <t>3 hrs</t>
        </is>
      </c>
      <c r="AQ40" s="3" t="inlineStr">
        <is>
          <t>Length Weight</t>
        </is>
      </c>
      <c r="AS40" s="3" t="inlineStr">
        <is>
          <t>CenturyPly WIN MR Block board offers premium quality and durability better than any other commercial grade block boards and at an affordable cost. It is an eco-friendly plywood made from seasoned wood. WIN STAR MR BB is water resistant and comes with a 5 year warranty.</t>
        </is>
      </c>
    </row>
    <row r="41" ht="15.75" customHeight="1">
      <c r="A41" s="3" t="inlineStr">
        <is>
          <t>PROD_0007</t>
        </is>
      </c>
      <c r="B41" s="3" t="inlineStr">
        <is>
          <t>VAR_4</t>
        </is>
      </c>
      <c r="C41" s="3" t="inlineStr">
        <is>
          <t>Wooden Material</t>
        </is>
      </c>
      <c r="D41" s="3" t="inlineStr">
        <is>
          <t>Blockboard</t>
        </is>
      </c>
      <c r="E41" s="3" t="inlineStr">
        <is>
          <t>Century Ply</t>
        </is>
      </c>
      <c r="F41" s="3" t="inlineStr">
        <is>
          <t>Win MR</t>
        </is>
      </c>
      <c r="H41" s="3" t="inlineStr">
        <is>
          <t>Type</t>
        </is>
      </c>
      <c r="I41" s="3" t="inlineStr">
        <is>
          <t>Water Resistant</t>
        </is>
      </c>
      <c r="J41" s="3" t="inlineStr">
        <is>
          <t>Size</t>
        </is>
      </c>
      <c r="K41" s="3" t="inlineStr">
        <is>
          <t>8 ft X 4 ft</t>
        </is>
      </c>
      <c r="L41" s="3" t="inlineStr">
        <is>
          <t>Thickness</t>
        </is>
      </c>
      <c r="M41" s="3" t="inlineStr">
        <is>
          <t>12 mm</t>
        </is>
      </c>
      <c r="Q41" s="3" t="inlineStr">
        <is>
          <t>Manufacturer's Warranty</t>
        </is>
      </c>
      <c r="S41" s="3" t="n">
        <v>1</v>
      </c>
      <c r="U41" s="3" t="n">
        <v>51000</v>
      </c>
      <c r="Y41" s="3" t="inlineStr">
        <is>
          <t>CENT_BB_Win_MR</t>
        </is>
      </c>
      <c r="Z41" s="3" t="n">
        <v>4412</v>
      </c>
      <c r="AA41" s="3" t="inlineStr">
        <is>
          <t>per sq ft</t>
        </is>
      </c>
      <c r="AB41" s="3" t="inlineStr">
        <is>
          <t>Area</t>
        </is>
      </c>
      <c r="AC41" s="3" t="n">
        <v>32</v>
      </c>
      <c r="AD41" s="3" t="n">
        <v>122</v>
      </c>
      <c r="AE41" s="3">
        <f>+AC41*AD41</f>
        <v/>
      </c>
      <c r="AF41" s="4" t="n">
        <v>0.29</v>
      </c>
      <c r="AG41" s="3">
        <f>ROUND(AE41-(AE41*AF41),2)</f>
        <v/>
      </c>
      <c r="AH41" s="4" t="n">
        <v>0.18</v>
      </c>
      <c r="AI41" s="3">
        <f>ROUND(AG41+(AG41*AH41),2)</f>
        <v/>
      </c>
      <c r="AJ41" s="4" t="n">
        <v>0.1</v>
      </c>
      <c r="AK41" s="3">
        <f>ROUND(AI41*AJ41,2)</f>
        <v/>
      </c>
      <c r="AL41" s="3">
        <f>AI41+AK41</f>
        <v/>
      </c>
      <c r="AM41" s="3">
        <f>AE41-AL41</f>
        <v/>
      </c>
      <c r="AN41" s="4">
        <f>AM41/AE41</f>
        <v/>
      </c>
      <c r="AO41" s="3" t="inlineStr">
        <is>
          <t>3 hrs</t>
        </is>
      </c>
      <c r="AQ41" s="3" t="inlineStr">
        <is>
          <t>Length Weight</t>
        </is>
      </c>
      <c r="AS41" s="3" t="inlineStr">
        <is>
          <t>CenturyPly WIN MR Block board offers premium quality and durability better than any other commercial grade block boards and at an affordable cost. It is an eco-friendly plywood made from seasoned wood. WIN STAR MR BB is water resistant and comes with a 5 year warranty.</t>
        </is>
      </c>
    </row>
    <row r="42" ht="15.75" customHeight="1">
      <c r="A42" s="3" t="inlineStr">
        <is>
          <t>PROD_0007</t>
        </is>
      </c>
      <c r="B42" s="3" t="inlineStr">
        <is>
          <t>VAR_5</t>
        </is>
      </c>
      <c r="C42" s="3" t="inlineStr">
        <is>
          <t>Wooden Material</t>
        </is>
      </c>
      <c r="D42" s="3" t="inlineStr">
        <is>
          <t>Blockboard</t>
        </is>
      </c>
      <c r="E42" s="3" t="inlineStr">
        <is>
          <t>Century Ply</t>
        </is>
      </c>
      <c r="F42" s="3" t="inlineStr">
        <is>
          <t>Win MR</t>
        </is>
      </c>
      <c r="H42" s="3" t="inlineStr">
        <is>
          <t>Type</t>
        </is>
      </c>
      <c r="I42" s="3" t="inlineStr">
        <is>
          <t>Water Resistant</t>
        </is>
      </c>
      <c r="J42" s="3" t="inlineStr">
        <is>
          <t>Size</t>
        </is>
      </c>
      <c r="K42" s="3" t="inlineStr">
        <is>
          <t>8 ft X 4 ft</t>
        </is>
      </c>
      <c r="L42" s="3" t="inlineStr">
        <is>
          <t>Thickness</t>
        </is>
      </c>
      <c r="M42" s="3" t="inlineStr">
        <is>
          <t>15mm</t>
        </is>
      </c>
      <c r="Q42" s="3" t="inlineStr">
        <is>
          <t>Manufacturer's Warranty</t>
        </is>
      </c>
      <c r="S42" s="3" t="n">
        <v>1</v>
      </c>
      <c r="U42" s="3" t="n">
        <v>51000</v>
      </c>
      <c r="Y42" s="3" t="inlineStr">
        <is>
          <t>CENT_BB_Win_MR</t>
        </is>
      </c>
      <c r="Z42" s="3" t="n">
        <v>4412</v>
      </c>
      <c r="AA42" s="3" t="inlineStr">
        <is>
          <t>per sq ft</t>
        </is>
      </c>
      <c r="AB42" s="3" t="inlineStr">
        <is>
          <t>Area</t>
        </is>
      </c>
      <c r="AC42" s="3" t="n">
        <v>32</v>
      </c>
      <c r="AD42" s="3" t="n">
        <v>151.2</v>
      </c>
      <c r="AE42" s="3">
        <f>+AC42*AD42</f>
        <v/>
      </c>
      <c r="AF42" s="4" t="n">
        <v>0.29</v>
      </c>
      <c r="AG42" s="3">
        <f>ROUND(AE42-(AE42*AF42),2)</f>
        <v/>
      </c>
      <c r="AH42" s="4" t="n">
        <v>0.18</v>
      </c>
      <c r="AI42" s="3">
        <f>ROUND(AG42+(AG42*AH42),2)</f>
        <v/>
      </c>
      <c r="AJ42" s="4" t="n">
        <v>0.1</v>
      </c>
      <c r="AK42" s="3">
        <f>ROUND(AI42*AJ42,2)</f>
        <v/>
      </c>
      <c r="AL42" s="3">
        <f>AI42+AK42</f>
        <v/>
      </c>
      <c r="AM42" s="3">
        <f>AE42-AL42</f>
        <v/>
      </c>
      <c r="AN42" s="4">
        <f>AM42/AE42</f>
        <v/>
      </c>
      <c r="AO42" s="3" t="inlineStr">
        <is>
          <t>3 hrs</t>
        </is>
      </c>
      <c r="AQ42" s="3" t="inlineStr">
        <is>
          <t>Length Weight</t>
        </is>
      </c>
      <c r="AS42" s="3" t="inlineStr">
        <is>
          <t>CenturyPly WIN MR Block board offers premium quality and durability better than any other commercial grade block boards and at an affordable cost. It is an eco-friendly plywood made from seasoned wood. WIN STAR MR BB is water resistant and comes with a 5 year warranty.</t>
        </is>
      </c>
    </row>
    <row r="43" ht="15.75" customHeight="1">
      <c r="A43" s="3" t="inlineStr">
        <is>
          <t>PROD_0007</t>
        </is>
      </c>
      <c r="B43" s="3" t="inlineStr">
        <is>
          <t>VAR_6</t>
        </is>
      </c>
      <c r="C43" s="3" t="inlineStr">
        <is>
          <t>Wooden Material</t>
        </is>
      </c>
      <c r="D43" s="3" t="inlineStr">
        <is>
          <t>Blockboard</t>
        </is>
      </c>
      <c r="E43" s="3" t="inlineStr">
        <is>
          <t>Century Ply</t>
        </is>
      </c>
      <c r="F43" s="3" t="inlineStr">
        <is>
          <t>Win MR</t>
        </is>
      </c>
      <c r="H43" s="3" t="inlineStr">
        <is>
          <t>Type</t>
        </is>
      </c>
      <c r="I43" s="3" t="inlineStr">
        <is>
          <t>Water Resistant</t>
        </is>
      </c>
      <c r="J43" s="3" t="inlineStr">
        <is>
          <t>Size</t>
        </is>
      </c>
      <c r="K43" s="3" t="inlineStr">
        <is>
          <t>8 ft X 4 ft</t>
        </is>
      </c>
      <c r="L43" s="3" t="inlineStr">
        <is>
          <t>Thickness</t>
        </is>
      </c>
      <c r="M43" s="3" t="inlineStr">
        <is>
          <t>18mm</t>
        </is>
      </c>
      <c r="Q43" s="3" t="inlineStr">
        <is>
          <t>Manufacturer's Warranty</t>
        </is>
      </c>
      <c r="S43" s="3" t="n">
        <v>1</v>
      </c>
      <c r="U43" s="3" t="n">
        <v>51000</v>
      </c>
      <c r="Y43" s="3" t="inlineStr">
        <is>
          <t>CENT_BB_Win_MR</t>
        </is>
      </c>
      <c r="Z43" s="3" t="n">
        <v>4412</v>
      </c>
      <c r="AA43" s="3" t="inlineStr">
        <is>
          <t>per sq ft</t>
        </is>
      </c>
      <c r="AB43" s="3" t="inlineStr">
        <is>
          <t>Area</t>
        </is>
      </c>
      <c r="AC43" s="3" t="n">
        <v>32</v>
      </c>
      <c r="AD43" s="3" t="n">
        <v>175.2</v>
      </c>
      <c r="AE43" s="3">
        <f>+AC43*AD43</f>
        <v/>
      </c>
      <c r="AF43" s="4" t="n">
        <v>0.29</v>
      </c>
      <c r="AG43" s="3">
        <f>ROUND(AE43-(AE43*AF43),2)</f>
        <v/>
      </c>
      <c r="AH43" s="4" t="n">
        <v>0.18</v>
      </c>
      <c r="AI43" s="3">
        <f>ROUND(AG43+(AG43*AH43),2)</f>
        <v/>
      </c>
      <c r="AJ43" s="4" t="n">
        <v>0.1</v>
      </c>
      <c r="AK43" s="3">
        <f>ROUND(AI43*AJ43,2)</f>
        <v/>
      </c>
      <c r="AL43" s="3">
        <f>AI43+AK43</f>
        <v/>
      </c>
      <c r="AM43" s="3">
        <f>AE43-AL43</f>
        <v/>
      </c>
      <c r="AN43" s="4">
        <f>AM43/AE43</f>
        <v/>
      </c>
      <c r="AO43" s="3" t="inlineStr">
        <is>
          <t>3 hrs</t>
        </is>
      </c>
      <c r="AQ43" s="3" t="inlineStr">
        <is>
          <t>Length Weight</t>
        </is>
      </c>
      <c r="AS43" s="3" t="inlineStr">
        <is>
          <t>CenturyPly WIN MR Block board offers premium quality and durability better than any other commercial grade block boards and at an affordable cost. It is an eco-friendly plywood made from seasoned wood. WIN STAR MR BB is water resistant and comes with a 5 year warranty.</t>
        </is>
      </c>
    </row>
    <row r="44" ht="15.75" customHeight="1">
      <c r="A44" s="3" t="inlineStr">
        <is>
          <t>PROD_0008</t>
        </is>
      </c>
      <c r="B44" s="3" t="inlineStr">
        <is>
          <t>VAR_1</t>
        </is>
      </c>
      <c r="C44" s="3" t="inlineStr">
        <is>
          <t>Wooden Material</t>
        </is>
      </c>
      <c r="D44" s="3" t="inlineStr">
        <is>
          <t>Blockboard</t>
        </is>
      </c>
      <c r="E44" s="3" t="inlineStr">
        <is>
          <t>Century Ply</t>
        </is>
      </c>
      <c r="F44" s="3" t="inlineStr">
        <is>
          <t>Club Prime</t>
        </is>
      </c>
      <c r="H44" s="3" t="inlineStr">
        <is>
          <t>Type</t>
        </is>
      </c>
      <c r="I44" s="3" t="inlineStr">
        <is>
          <t>Boiling Water Proof</t>
        </is>
      </c>
      <c r="J44" s="3" t="inlineStr">
        <is>
          <t>Size</t>
        </is>
      </c>
      <c r="K44" s="3" t="inlineStr">
        <is>
          <t>8 ft X 4 ft</t>
        </is>
      </c>
      <c r="L44" s="3" t="inlineStr">
        <is>
          <t>Thickness</t>
        </is>
      </c>
      <c r="M44" s="3" t="inlineStr">
        <is>
          <t>4 mm</t>
        </is>
      </c>
      <c r="Q44" s="3" t="inlineStr">
        <is>
          <t>Manufacturer's Warranty</t>
        </is>
      </c>
      <c r="S44" s="3" t="n">
        <v>1</v>
      </c>
      <c r="U44" s="3" t="n">
        <v>51000</v>
      </c>
      <c r="Y44" s="3" t="inlineStr">
        <is>
          <t>CENT_BB_Club _Prime_BWP</t>
        </is>
      </c>
      <c r="Z44" s="3" t="n">
        <v>4412</v>
      </c>
      <c r="AA44" s="3" t="inlineStr">
        <is>
          <t>per sq ft</t>
        </is>
      </c>
      <c r="AB44" s="3" t="inlineStr">
        <is>
          <t>Area</t>
        </is>
      </c>
      <c r="AC44" s="3" t="n">
        <v>32</v>
      </c>
      <c r="AD44" s="3" t="n">
        <v>112.32</v>
      </c>
      <c r="AE44" s="3">
        <f>+AC44*AD44</f>
        <v/>
      </c>
      <c r="AF44" s="4" t="n">
        <v>0.29</v>
      </c>
      <c r="AG44" s="3">
        <f>ROUND(AE44-(AE44*AF44),2)</f>
        <v/>
      </c>
      <c r="AH44" s="4" t="n">
        <v>0.18</v>
      </c>
      <c r="AI44" s="3">
        <f>ROUND(AG44+(AG44*AH44),2)</f>
        <v/>
      </c>
      <c r="AJ44" s="4" t="n">
        <v>0.1</v>
      </c>
      <c r="AK44" s="3">
        <f>ROUND(AI44*AJ44,2)</f>
        <v/>
      </c>
      <c r="AL44" s="3">
        <f>AI44+AK44</f>
        <v/>
      </c>
      <c r="AM44" s="3">
        <f>AE44-AL44</f>
        <v/>
      </c>
      <c r="AN44" s="4">
        <f>AM44/AE44</f>
        <v/>
      </c>
      <c r="AO44" s="3" t="inlineStr">
        <is>
          <t>3 hrs</t>
        </is>
      </c>
      <c r="AQ44" s="3" t="inlineStr">
        <is>
          <t>Length Weight</t>
        </is>
      </c>
      <c r="AS44" s="3" t="inlineStr">
        <is>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is>
      </c>
    </row>
    <row r="45" ht="15.75" customHeight="1">
      <c r="A45" s="3" t="inlineStr">
        <is>
          <t>PROD_0008</t>
        </is>
      </c>
      <c r="B45" s="3" t="inlineStr">
        <is>
          <t>VAR_2</t>
        </is>
      </c>
      <c r="C45" s="3" t="inlineStr">
        <is>
          <t>Wooden Material</t>
        </is>
      </c>
      <c r="D45" s="3" t="inlineStr">
        <is>
          <t>Blockboard</t>
        </is>
      </c>
      <c r="E45" s="3" t="inlineStr">
        <is>
          <t>Century Ply</t>
        </is>
      </c>
      <c r="F45" s="3" t="inlineStr">
        <is>
          <t>Club Prime</t>
        </is>
      </c>
      <c r="H45" s="3" t="inlineStr">
        <is>
          <t>Type</t>
        </is>
      </c>
      <c r="I45" s="3" t="inlineStr">
        <is>
          <t>Boiling Water Proof</t>
        </is>
      </c>
      <c r="J45" s="3" t="inlineStr">
        <is>
          <t>Size</t>
        </is>
      </c>
      <c r="K45" s="3" t="inlineStr">
        <is>
          <t>8 ft X 4 ft</t>
        </is>
      </c>
      <c r="L45" s="3" t="inlineStr">
        <is>
          <t>Thickness</t>
        </is>
      </c>
      <c r="M45" s="3" t="inlineStr">
        <is>
          <t>6 mm</t>
        </is>
      </c>
      <c r="Q45" s="3" t="inlineStr">
        <is>
          <t>Manufacturer's Warranty</t>
        </is>
      </c>
      <c r="S45" s="3" t="n">
        <v>1</v>
      </c>
      <c r="U45" s="3" t="n">
        <v>51000</v>
      </c>
      <c r="Y45" s="3" t="inlineStr">
        <is>
          <t>CENT_BB_Club _Prime_BWP</t>
        </is>
      </c>
      <c r="Z45" s="3" t="n">
        <v>4412</v>
      </c>
      <c r="AA45" s="3" t="inlineStr">
        <is>
          <t>per sq ft</t>
        </is>
      </c>
      <c r="AB45" s="3" t="inlineStr">
        <is>
          <t>Area</t>
        </is>
      </c>
      <c r="AC45" s="3" t="n">
        <v>32</v>
      </c>
      <c r="AD45" s="3" t="n">
        <v>130.68</v>
      </c>
      <c r="AE45" s="3">
        <f>+AC45*AD45</f>
        <v/>
      </c>
      <c r="AF45" s="4" t="n">
        <v>0.29</v>
      </c>
      <c r="AG45" s="3">
        <f>ROUND(AE45-(AE45*AF45),2)</f>
        <v/>
      </c>
      <c r="AH45" s="4" t="n">
        <v>0.18</v>
      </c>
      <c r="AI45" s="3">
        <f>ROUND(AG45+(AG45*AH45),2)</f>
        <v/>
      </c>
      <c r="AJ45" s="4" t="n">
        <v>0.1</v>
      </c>
      <c r="AK45" s="3">
        <f>ROUND(AI45*AJ45,2)</f>
        <v/>
      </c>
      <c r="AL45" s="3">
        <f>AI45+AK45</f>
        <v/>
      </c>
      <c r="AM45" s="3">
        <f>AE45-AL45</f>
        <v/>
      </c>
      <c r="AN45" s="4">
        <f>AM45/AE45</f>
        <v/>
      </c>
      <c r="AO45" s="3" t="inlineStr">
        <is>
          <t>3 hrs</t>
        </is>
      </c>
      <c r="AQ45" s="3" t="inlineStr">
        <is>
          <t>Length Weight</t>
        </is>
      </c>
      <c r="AS45" s="3" t="inlineStr">
        <is>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is>
      </c>
    </row>
    <row r="46" ht="15.75" customHeight="1">
      <c r="A46" s="3" t="inlineStr">
        <is>
          <t>PROD_0008</t>
        </is>
      </c>
      <c r="B46" s="3" t="inlineStr">
        <is>
          <t>VAR_3</t>
        </is>
      </c>
      <c r="C46" s="3" t="inlineStr">
        <is>
          <t>Wooden Material</t>
        </is>
      </c>
      <c r="D46" s="3" t="inlineStr">
        <is>
          <t>Blockboard</t>
        </is>
      </c>
      <c r="E46" s="3" t="inlineStr">
        <is>
          <t>Century Ply</t>
        </is>
      </c>
      <c r="F46" s="3" t="inlineStr">
        <is>
          <t>Club Prime</t>
        </is>
      </c>
      <c r="H46" s="3" t="inlineStr">
        <is>
          <t>Type</t>
        </is>
      </c>
      <c r="I46" s="3" t="inlineStr">
        <is>
          <t>Boiling Water Proof</t>
        </is>
      </c>
      <c r="J46" s="3" t="inlineStr">
        <is>
          <t>Size</t>
        </is>
      </c>
      <c r="K46" s="3" t="inlineStr">
        <is>
          <t>8 ft X 4 ft</t>
        </is>
      </c>
      <c r="L46" s="3" t="inlineStr">
        <is>
          <t>Thickness</t>
        </is>
      </c>
      <c r="M46" s="3" t="inlineStr">
        <is>
          <t>9mm</t>
        </is>
      </c>
      <c r="Q46" s="3" t="inlineStr">
        <is>
          <t>Manufacturer's Warranty</t>
        </is>
      </c>
      <c r="S46" s="3" t="n">
        <v>1</v>
      </c>
      <c r="U46" s="3" t="n">
        <v>51000</v>
      </c>
      <c r="Y46" s="3" t="inlineStr">
        <is>
          <t>CENT_BB_Club _Prime_BWP</t>
        </is>
      </c>
      <c r="Z46" s="3" t="n">
        <v>4412</v>
      </c>
      <c r="AA46" s="3" t="inlineStr">
        <is>
          <t>per sq ft</t>
        </is>
      </c>
      <c r="AB46" s="3" t="inlineStr">
        <is>
          <t>Area</t>
        </is>
      </c>
      <c r="AC46" s="3" t="n">
        <v>32</v>
      </c>
      <c r="AD46" s="3" t="n">
        <v>158.76</v>
      </c>
      <c r="AE46" s="3">
        <f>+AC46*AD46</f>
        <v/>
      </c>
      <c r="AF46" s="4" t="n">
        <v>0.29</v>
      </c>
      <c r="AG46" s="3">
        <f>ROUND(AE46-(AE46*AF46),2)</f>
        <v/>
      </c>
      <c r="AH46" s="4" t="n">
        <v>0.18</v>
      </c>
      <c r="AI46" s="3">
        <f>ROUND(AG46+(AG46*AH46),2)</f>
        <v/>
      </c>
      <c r="AJ46" s="4" t="n">
        <v>0.1</v>
      </c>
      <c r="AK46" s="3">
        <f>ROUND(AI46*AJ46,2)</f>
        <v/>
      </c>
      <c r="AL46" s="3">
        <f>AI46+AK46</f>
        <v/>
      </c>
      <c r="AM46" s="3">
        <f>AE46-AL46</f>
        <v/>
      </c>
      <c r="AN46" s="4">
        <f>AM46/AE46</f>
        <v/>
      </c>
      <c r="AO46" s="3" t="inlineStr">
        <is>
          <t>3 hrs</t>
        </is>
      </c>
      <c r="AQ46" s="3" t="inlineStr">
        <is>
          <t>Length Weight</t>
        </is>
      </c>
      <c r="AS46" s="3" t="inlineStr">
        <is>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is>
      </c>
    </row>
    <row r="47" ht="15.75" customHeight="1">
      <c r="A47" s="3" t="inlineStr">
        <is>
          <t>PROD_0008</t>
        </is>
      </c>
      <c r="B47" s="3" t="inlineStr">
        <is>
          <t>VAR_4</t>
        </is>
      </c>
      <c r="C47" s="3" t="inlineStr">
        <is>
          <t>Wooden Material</t>
        </is>
      </c>
      <c r="D47" s="3" t="inlineStr">
        <is>
          <t>Blockboard</t>
        </is>
      </c>
      <c r="E47" s="3" t="inlineStr">
        <is>
          <t>Century Ply</t>
        </is>
      </c>
      <c r="F47" s="3" t="inlineStr">
        <is>
          <t>Club Prime</t>
        </is>
      </c>
      <c r="H47" s="3" t="inlineStr">
        <is>
          <t>Type</t>
        </is>
      </c>
      <c r="I47" s="3" t="inlineStr">
        <is>
          <t>Boiling Water Proof</t>
        </is>
      </c>
      <c r="J47" s="3" t="inlineStr">
        <is>
          <t>Size</t>
        </is>
      </c>
      <c r="K47" s="3" t="inlineStr">
        <is>
          <t>8 ft X 4 ft</t>
        </is>
      </c>
      <c r="L47" s="3" t="inlineStr">
        <is>
          <t>Thickness</t>
        </is>
      </c>
      <c r="M47" s="3" t="inlineStr">
        <is>
          <t>12 mm</t>
        </is>
      </c>
      <c r="Q47" s="3" t="inlineStr">
        <is>
          <t>Manufacturer's Warranty</t>
        </is>
      </c>
      <c r="S47" s="3" t="n">
        <v>1</v>
      </c>
      <c r="U47" s="3" t="n">
        <v>51000</v>
      </c>
      <c r="Y47" s="3" t="inlineStr">
        <is>
          <t>CENT_BB_Club _Prime_BWP</t>
        </is>
      </c>
      <c r="Z47" s="3" t="n">
        <v>4412</v>
      </c>
      <c r="AA47" s="3" t="inlineStr">
        <is>
          <t>per sq ft</t>
        </is>
      </c>
      <c r="AB47" s="3" t="inlineStr">
        <is>
          <t>Area</t>
        </is>
      </c>
      <c r="AC47" s="3" t="n">
        <v>32</v>
      </c>
      <c r="AD47" s="3" t="n">
        <v>199.8</v>
      </c>
      <c r="AE47" s="3">
        <f>+AC47*AD47</f>
        <v/>
      </c>
      <c r="AF47" s="4" t="n">
        <v>0.29</v>
      </c>
      <c r="AG47" s="3">
        <f>ROUND(AE47-(AE47*AF47),2)</f>
        <v/>
      </c>
      <c r="AH47" s="4" t="n">
        <v>0.18</v>
      </c>
      <c r="AI47" s="3">
        <f>ROUND(AG47+(AG47*AH47),2)</f>
        <v/>
      </c>
      <c r="AJ47" s="4" t="n">
        <v>0.1</v>
      </c>
      <c r="AK47" s="3">
        <f>ROUND(AI47*AJ47,2)</f>
        <v/>
      </c>
      <c r="AL47" s="3">
        <f>AI47+AK47</f>
        <v/>
      </c>
      <c r="AM47" s="3">
        <f>AE47-AL47</f>
        <v/>
      </c>
      <c r="AN47" s="4">
        <f>AM47/AE47</f>
        <v/>
      </c>
      <c r="AO47" s="3" t="inlineStr">
        <is>
          <t>3 hrs</t>
        </is>
      </c>
      <c r="AQ47" s="3" t="inlineStr">
        <is>
          <t>Length Weight</t>
        </is>
      </c>
      <c r="AS47" s="3" t="inlineStr">
        <is>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is>
      </c>
    </row>
    <row r="48" ht="15.75" customHeight="1">
      <c r="A48" s="3" t="inlineStr">
        <is>
          <t>PROD_0008</t>
        </is>
      </c>
      <c r="B48" s="3" t="inlineStr">
        <is>
          <t>VAR_5</t>
        </is>
      </c>
      <c r="C48" s="3" t="inlineStr">
        <is>
          <t>Wooden Material</t>
        </is>
      </c>
      <c r="D48" s="3" t="inlineStr">
        <is>
          <t>Blockboard</t>
        </is>
      </c>
      <c r="E48" s="3" t="inlineStr">
        <is>
          <t>Century Ply</t>
        </is>
      </c>
      <c r="F48" s="3" t="inlineStr">
        <is>
          <t>Club Prime</t>
        </is>
      </c>
      <c r="H48" s="3" t="inlineStr">
        <is>
          <t>Type</t>
        </is>
      </c>
      <c r="I48" s="3" t="inlineStr">
        <is>
          <t>Boiling Water Proof</t>
        </is>
      </c>
      <c r="J48" s="3" t="inlineStr">
        <is>
          <t>Size</t>
        </is>
      </c>
      <c r="K48" s="3" t="inlineStr">
        <is>
          <t>8 ft X 4 ft</t>
        </is>
      </c>
      <c r="L48" s="3" t="inlineStr">
        <is>
          <t>Thickness</t>
        </is>
      </c>
      <c r="M48" s="3" t="inlineStr">
        <is>
          <t>16mm</t>
        </is>
      </c>
      <c r="Q48" s="3" t="inlineStr">
        <is>
          <t>Manufacturer's Warranty</t>
        </is>
      </c>
      <c r="S48" s="3" t="n">
        <v>1</v>
      </c>
      <c r="U48" s="3" t="n">
        <v>51000</v>
      </c>
      <c r="Y48" s="3" t="inlineStr">
        <is>
          <t>CENT_BB_Club _Prime_BWP</t>
        </is>
      </c>
      <c r="Z48" s="3" t="n">
        <v>4412</v>
      </c>
      <c r="AA48" s="3" t="inlineStr">
        <is>
          <t>per sq ft</t>
        </is>
      </c>
      <c r="AB48" s="3" t="inlineStr">
        <is>
          <t>Area</t>
        </is>
      </c>
      <c r="AC48" s="3" t="n">
        <v>32</v>
      </c>
      <c r="AD48" s="3" t="n">
        <v>249.48</v>
      </c>
      <c r="AE48" s="3">
        <f>+AC48*AD48</f>
        <v/>
      </c>
      <c r="AF48" s="4" t="n">
        <v>0.29</v>
      </c>
      <c r="AG48" s="3">
        <f>ROUND(AE48-(AE48*AF48),2)</f>
        <v/>
      </c>
      <c r="AH48" s="4" t="n">
        <v>0.18</v>
      </c>
      <c r="AI48" s="3">
        <f>ROUND(AG48+(AG48*AH48),2)</f>
        <v/>
      </c>
      <c r="AJ48" s="4" t="n">
        <v>0.1</v>
      </c>
      <c r="AK48" s="3">
        <f>ROUND(AI48*AJ48,2)</f>
        <v/>
      </c>
      <c r="AL48" s="3">
        <f>AI48+AK48</f>
        <v/>
      </c>
      <c r="AM48" s="3">
        <f>AE48-AL48</f>
        <v/>
      </c>
      <c r="AN48" s="4">
        <f>AM48/AE48</f>
        <v/>
      </c>
      <c r="AO48" s="3" t="inlineStr">
        <is>
          <t>3 hrs</t>
        </is>
      </c>
      <c r="AQ48" s="3" t="inlineStr">
        <is>
          <t>Length Weight</t>
        </is>
      </c>
      <c r="AS48" s="3" t="inlineStr">
        <is>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is>
      </c>
    </row>
    <row r="49" ht="15.75" customHeight="1">
      <c r="A49" s="3" t="inlineStr">
        <is>
          <t>PROD_0008</t>
        </is>
      </c>
      <c r="B49" s="3" t="inlineStr">
        <is>
          <t>VAR_6</t>
        </is>
      </c>
      <c r="C49" s="3" t="inlineStr">
        <is>
          <t>Wooden Material</t>
        </is>
      </c>
      <c r="D49" s="3" t="inlineStr">
        <is>
          <t>Blockboard</t>
        </is>
      </c>
      <c r="E49" s="3" t="inlineStr">
        <is>
          <t>Century Ply</t>
        </is>
      </c>
      <c r="F49" s="3" t="inlineStr">
        <is>
          <t>Club Prime</t>
        </is>
      </c>
      <c r="H49" s="3" t="inlineStr">
        <is>
          <t>Type</t>
        </is>
      </c>
      <c r="I49" s="3" t="inlineStr">
        <is>
          <t>Boiling Water Proof</t>
        </is>
      </c>
      <c r="J49" s="3" t="inlineStr">
        <is>
          <t>Size</t>
        </is>
      </c>
      <c r="K49" s="3" t="inlineStr">
        <is>
          <t>8 ft X 4 ft</t>
        </is>
      </c>
      <c r="L49" s="3" t="inlineStr">
        <is>
          <t>Thickness</t>
        </is>
      </c>
      <c r="M49" s="3" t="inlineStr">
        <is>
          <t>19mm</t>
        </is>
      </c>
      <c r="Q49" s="3" t="inlineStr">
        <is>
          <t>Manufacturer's Warranty</t>
        </is>
      </c>
      <c r="S49" s="3" t="n">
        <v>1</v>
      </c>
      <c r="U49" s="3" t="n">
        <v>51000</v>
      </c>
      <c r="Y49" s="3" t="inlineStr">
        <is>
          <t>CENT_BB_Club _Prime_BWP</t>
        </is>
      </c>
      <c r="Z49" s="3" t="n">
        <v>4412</v>
      </c>
      <c r="AA49" s="3" t="inlineStr">
        <is>
          <t>per sq ft</t>
        </is>
      </c>
      <c r="AB49" s="3" t="inlineStr">
        <is>
          <t>Area</t>
        </is>
      </c>
      <c r="AC49" s="3" t="n">
        <v>32</v>
      </c>
      <c r="AD49" s="3" t="n">
        <v>291.6</v>
      </c>
      <c r="AE49" s="3">
        <f>+AC49*AD49</f>
        <v/>
      </c>
      <c r="AF49" s="4" t="n">
        <v>0.29</v>
      </c>
      <c r="AG49" s="3">
        <f>ROUND(AE49-(AE49*AF49),2)</f>
        <v/>
      </c>
      <c r="AH49" s="4" t="n">
        <v>0.18</v>
      </c>
      <c r="AI49" s="3">
        <f>ROUND(AG49+(AG49*AH49),2)</f>
        <v/>
      </c>
      <c r="AJ49" s="4" t="n">
        <v>0.1</v>
      </c>
      <c r="AK49" s="3">
        <f>ROUND(AI49*AJ49,2)</f>
        <v/>
      </c>
      <c r="AL49" s="3">
        <f>AI49+AK49</f>
        <v/>
      </c>
      <c r="AM49" s="3">
        <f>AE49-AL49</f>
        <v/>
      </c>
      <c r="AN49" s="4">
        <f>AM49/AE49</f>
        <v/>
      </c>
      <c r="AO49" s="3" t="inlineStr">
        <is>
          <t>3 hrs</t>
        </is>
      </c>
      <c r="AQ49" s="3" t="inlineStr">
        <is>
          <t>Length Weight</t>
        </is>
      </c>
      <c r="AS49" s="3" t="inlineStr">
        <is>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is>
      </c>
    </row>
    <row r="50" ht="15.75" customHeight="1">
      <c r="A50" s="3" t="inlineStr">
        <is>
          <t>PROD_0009</t>
        </is>
      </c>
      <c r="B50" s="3" t="inlineStr">
        <is>
          <t>VAR_1</t>
        </is>
      </c>
      <c r="C50" s="3" t="inlineStr">
        <is>
          <t>Wooden Material</t>
        </is>
      </c>
      <c r="D50" s="3" t="inlineStr">
        <is>
          <t>MDF</t>
        </is>
      </c>
      <c r="E50" s="3" t="inlineStr">
        <is>
          <t>Action Tesa</t>
        </is>
      </c>
      <c r="F50" s="3" t="inlineStr">
        <is>
          <t>Plain</t>
        </is>
      </c>
      <c r="H50" s="3" t="inlineStr">
        <is>
          <t>Application</t>
        </is>
      </c>
      <c r="I50" s="3" t="inlineStr">
        <is>
          <t>Interior</t>
        </is>
      </c>
      <c r="J50" s="3" t="inlineStr">
        <is>
          <t>Size</t>
        </is>
      </c>
      <c r="K50" s="3" t="inlineStr">
        <is>
          <t>8 ft X 4 ft</t>
        </is>
      </c>
      <c r="L50" s="3" t="inlineStr">
        <is>
          <t>Thickness</t>
        </is>
      </c>
      <c r="M50" s="3" t="inlineStr">
        <is>
          <t>5.50 mm</t>
        </is>
      </c>
      <c r="N50" s="3" t="inlineStr">
        <is>
          <t>Color</t>
        </is>
      </c>
      <c r="O50" s="3" t="inlineStr">
        <is>
          <t>Plain</t>
        </is>
      </c>
      <c r="Q50" s="3" t="inlineStr">
        <is>
          <t>Manufacturer's Warranty</t>
        </is>
      </c>
      <c r="S50" s="3" t="n">
        <v>1</v>
      </c>
      <c r="U50" s="3" t="n">
        <v>80000</v>
      </c>
      <c r="Y50" s="3" t="inlineStr">
        <is>
          <t>AT_MDF_PLAIN_IG</t>
        </is>
      </c>
      <c r="Z50" s="3" t="n">
        <v>4411</v>
      </c>
      <c r="AA50" s="3" t="inlineStr">
        <is>
          <t>per sq ft</t>
        </is>
      </c>
      <c r="AB50" s="3" t="inlineStr">
        <is>
          <t>Area</t>
        </is>
      </c>
      <c r="AC50" s="3" t="n">
        <v>32</v>
      </c>
      <c r="AD50" s="3" t="n">
        <v>24.55</v>
      </c>
      <c r="AE50" s="3">
        <f>+AC50*AD50</f>
        <v/>
      </c>
      <c r="AF50" s="4" t="n">
        <v>0.39</v>
      </c>
      <c r="AG50" s="3">
        <f>ROUND(AE50-(AE50*AF50),2)</f>
        <v/>
      </c>
      <c r="AH50" s="4" t="n">
        <v>0.18</v>
      </c>
      <c r="AI50" s="3">
        <f>ROUND(AG50+(AG50*AH50),2)</f>
        <v/>
      </c>
      <c r="AJ50" s="4" t="n">
        <v>0.1</v>
      </c>
      <c r="AK50" s="3">
        <f>ROUND(AI50*AJ50,2)</f>
        <v/>
      </c>
      <c r="AL50" s="3">
        <f>AI50+AK50</f>
        <v/>
      </c>
      <c r="AM50" s="3">
        <f>AE50-AL50</f>
        <v/>
      </c>
      <c r="AN50" s="4">
        <f>AM50/AE50</f>
        <v/>
      </c>
      <c r="AO50" s="3" t="inlineStr">
        <is>
          <t>3 hrs</t>
        </is>
      </c>
      <c r="AQ50" s="3" t="inlineStr">
        <is>
          <t>Length Weight</t>
        </is>
      </c>
      <c r="AS50"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1" ht="15.75" customHeight="1">
      <c r="A51" s="3" t="inlineStr">
        <is>
          <t>PROD_0009</t>
        </is>
      </c>
      <c r="B51" s="3" t="inlineStr">
        <is>
          <t>VAR_2</t>
        </is>
      </c>
      <c r="C51" s="3" t="inlineStr">
        <is>
          <t>Wooden Material</t>
        </is>
      </c>
      <c r="D51" s="3" t="inlineStr">
        <is>
          <t>MDF</t>
        </is>
      </c>
      <c r="E51" s="3" t="inlineStr">
        <is>
          <t>Action Tesa</t>
        </is>
      </c>
      <c r="F51" s="3" t="inlineStr">
        <is>
          <t>Plain</t>
        </is>
      </c>
      <c r="H51" s="3" t="inlineStr">
        <is>
          <t>Application</t>
        </is>
      </c>
      <c r="I51" s="3" t="inlineStr">
        <is>
          <t>Interior</t>
        </is>
      </c>
      <c r="J51" s="3" t="inlineStr">
        <is>
          <t>Size</t>
        </is>
      </c>
      <c r="K51" s="3" t="inlineStr">
        <is>
          <t>8 ft X 4 ft</t>
        </is>
      </c>
      <c r="L51" s="3" t="inlineStr">
        <is>
          <t>Thickness</t>
        </is>
      </c>
      <c r="M51" s="3" t="inlineStr">
        <is>
          <t>7.30mm</t>
        </is>
      </c>
      <c r="N51" s="3" t="inlineStr">
        <is>
          <t>Color</t>
        </is>
      </c>
      <c r="O51" s="3" t="inlineStr">
        <is>
          <t>Plain</t>
        </is>
      </c>
      <c r="Q51" s="3" t="inlineStr">
        <is>
          <t>Manufacturer's Warranty</t>
        </is>
      </c>
      <c r="S51" s="3" t="n">
        <v>1</v>
      </c>
      <c r="U51" s="3" t="n">
        <v>80000</v>
      </c>
      <c r="Y51" s="3" t="inlineStr">
        <is>
          <t>AT_MDF_PLAIN_IG</t>
        </is>
      </c>
      <c r="Z51" s="3" t="n">
        <v>4411</v>
      </c>
      <c r="AA51" s="3" t="inlineStr">
        <is>
          <t>per sq ft</t>
        </is>
      </c>
      <c r="AB51" s="3" t="inlineStr">
        <is>
          <t>Area</t>
        </is>
      </c>
      <c r="AC51" s="3" t="n">
        <v>32</v>
      </c>
      <c r="AD51" s="3" t="n">
        <v>30.12</v>
      </c>
      <c r="AE51" s="3">
        <f>+AC51*AD51</f>
        <v/>
      </c>
      <c r="AF51" s="4" t="n">
        <v>0.39</v>
      </c>
      <c r="AG51" s="3">
        <f>ROUND(AE51-(AE51*AF51),2)</f>
        <v/>
      </c>
      <c r="AH51" s="4" t="n">
        <v>0.18</v>
      </c>
      <c r="AI51" s="3">
        <f>ROUND(AG51+(AG51*AH51),2)</f>
        <v/>
      </c>
      <c r="AJ51" s="4" t="n">
        <v>0.1</v>
      </c>
      <c r="AK51" s="3">
        <f>ROUND(AI51*AJ51,2)</f>
        <v/>
      </c>
      <c r="AL51" s="3">
        <f>AI51+AK51</f>
        <v/>
      </c>
      <c r="AM51" s="3">
        <f>AE51-AL51</f>
        <v/>
      </c>
      <c r="AN51" s="4">
        <f>AM51/AE51</f>
        <v/>
      </c>
      <c r="AO51" s="3" t="inlineStr">
        <is>
          <t>3 hrs</t>
        </is>
      </c>
      <c r="AQ51" s="3" t="inlineStr">
        <is>
          <t>Length Weight</t>
        </is>
      </c>
      <c r="AS51"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2" ht="15.75" customHeight="1">
      <c r="A52" s="3" t="inlineStr">
        <is>
          <t>PROD_0009</t>
        </is>
      </c>
      <c r="B52" s="3" t="inlineStr">
        <is>
          <t>VAR_3</t>
        </is>
      </c>
      <c r="C52" s="3" t="inlineStr">
        <is>
          <t>Wooden Material</t>
        </is>
      </c>
      <c r="D52" s="3" t="inlineStr">
        <is>
          <t>MDF</t>
        </is>
      </c>
      <c r="E52" s="3" t="inlineStr">
        <is>
          <t>Action Tesa</t>
        </is>
      </c>
      <c r="F52" s="3" t="inlineStr">
        <is>
          <t>Plain</t>
        </is>
      </c>
      <c r="H52" s="3" t="inlineStr">
        <is>
          <t>Application</t>
        </is>
      </c>
      <c r="I52" s="3" t="inlineStr">
        <is>
          <t>Interior</t>
        </is>
      </c>
      <c r="J52" s="3" t="inlineStr">
        <is>
          <t>Size</t>
        </is>
      </c>
      <c r="K52" s="3" t="inlineStr">
        <is>
          <t>8 ft X 4 ft</t>
        </is>
      </c>
      <c r="L52" s="3" t="inlineStr">
        <is>
          <t>Thickness</t>
        </is>
      </c>
      <c r="M52" s="3" t="inlineStr">
        <is>
          <t>11mm</t>
        </is>
      </c>
      <c r="N52" s="3" t="inlineStr">
        <is>
          <t>Color</t>
        </is>
      </c>
      <c r="O52" s="3" t="inlineStr">
        <is>
          <t>Plain</t>
        </is>
      </c>
      <c r="Q52" s="3" t="inlineStr">
        <is>
          <t>Manufacturer's Warranty</t>
        </is>
      </c>
      <c r="S52" s="3" t="n">
        <v>1</v>
      </c>
      <c r="U52" s="3" t="n">
        <v>80000</v>
      </c>
      <c r="Y52" s="3" t="inlineStr">
        <is>
          <t>AT_MDF_PLAIN_IG</t>
        </is>
      </c>
      <c r="Z52" s="3" t="n">
        <v>4411</v>
      </c>
      <c r="AA52" s="3" t="inlineStr">
        <is>
          <t>per sq ft</t>
        </is>
      </c>
      <c r="AB52" s="3" t="inlineStr">
        <is>
          <t>Area</t>
        </is>
      </c>
      <c r="AC52" s="3" t="n">
        <v>32</v>
      </c>
      <c r="AD52" s="3" t="n">
        <v>46.03</v>
      </c>
      <c r="AE52" s="3">
        <f>+AC52*AD52</f>
        <v/>
      </c>
      <c r="AF52" s="4" t="n">
        <v>0.39</v>
      </c>
      <c r="AG52" s="3">
        <f>ROUND(AE52-(AE52*AF52),2)</f>
        <v/>
      </c>
      <c r="AH52" s="4" t="n">
        <v>0.18</v>
      </c>
      <c r="AI52" s="3">
        <f>ROUND(AG52+(AG52*AH52),2)</f>
        <v/>
      </c>
      <c r="AJ52" s="4" t="n">
        <v>0.1</v>
      </c>
      <c r="AK52" s="3">
        <f>ROUND(AI52*AJ52,2)</f>
        <v/>
      </c>
      <c r="AL52" s="3">
        <f>AI52+AK52</f>
        <v/>
      </c>
      <c r="AM52" s="3">
        <f>AE52-AL52</f>
        <v/>
      </c>
      <c r="AN52" s="4">
        <f>AM52/AE52</f>
        <v/>
      </c>
      <c r="AO52" s="3" t="inlineStr">
        <is>
          <t>3 hrs</t>
        </is>
      </c>
      <c r="AQ52" s="3" t="inlineStr">
        <is>
          <t>Length Weight</t>
        </is>
      </c>
      <c r="AS52"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3" ht="15.75" customHeight="1">
      <c r="A53" s="3" t="inlineStr">
        <is>
          <t>PROD_0009</t>
        </is>
      </c>
      <c r="B53" s="3" t="inlineStr">
        <is>
          <t>VAR_4</t>
        </is>
      </c>
      <c r="C53" s="3" t="inlineStr">
        <is>
          <t>Wooden Material</t>
        </is>
      </c>
      <c r="D53" s="3" t="inlineStr">
        <is>
          <t>MDF</t>
        </is>
      </c>
      <c r="E53" s="3" t="inlineStr">
        <is>
          <t>Action Tesa</t>
        </is>
      </c>
      <c r="F53" s="3" t="inlineStr">
        <is>
          <t>Plain</t>
        </is>
      </c>
      <c r="H53" s="3" t="inlineStr">
        <is>
          <t>Application</t>
        </is>
      </c>
      <c r="I53" s="3" t="inlineStr">
        <is>
          <t>Interior</t>
        </is>
      </c>
      <c r="J53" s="3" t="inlineStr">
        <is>
          <t>Size</t>
        </is>
      </c>
      <c r="K53" s="3" t="inlineStr">
        <is>
          <t>8 ft X 4 ft</t>
        </is>
      </c>
      <c r="L53" s="3" t="inlineStr">
        <is>
          <t>Thickness</t>
        </is>
      </c>
      <c r="M53" s="3" t="inlineStr">
        <is>
          <t>16.50mm</t>
        </is>
      </c>
      <c r="N53" s="3" t="inlineStr">
        <is>
          <t>Color</t>
        </is>
      </c>
      <c r="O53" s="3" t="inlineStr">
        <is>
          <t>Plain</t>
        </is>
      </c>
      <c r="Q53" s="3" t="inlineStr">
        <is>
          <t>Manufacturer's Warranty</t>
        </is>
      </c>
      <c r="S53" s="3" t="n">
        <v>1</v>
      </c>
      <c r="U53" s="3" t="n">
        <v>80000</v>
      </c>
      <c r="Y53" s="3" t="inlineStr">
        <is>
          <t>AT_MDF_PLAIN_IG</t>
        </is>
      </c>
      <c r="Z53" s="3" t="n">
        <v>4411</v>
      </c>
      <c r="AA53" s="3" t="inlineStr">
        <is>
          <t>per sq ft</t>
        </is>
      </c>
      <c r="AB53" s="3" t="inlineStr">
        <is>
          <t>Area</t>
        </is>
      </c>
      <c r="AC53" s="3" t="n">
        <v>32</v>
      </c>
      <c r="AD53" s="3" t="n">
        <v>65.87</v>
      </c>
      <c r="AE53" s="3">
        <f>+AC53*AD53</f>
        <v/>
      </c>
      <c r="AF53" s="4" t="n">
        <v>0.39</v>
      </c>
      <c r="AG53" s="3">
        <f>ROUND(AE53-(AE53*AF53),2)</f>
        <v/>
      </c>
      <c r="AH53" s="4" t="n">
        <v>0.18</v>
      </c>
      <c r="AI53" s="3">
        <f>ROUND(AG53+(AG53*AH53),2)</f>
        <v/>
      </c>
      <c r="AJ53" s="4" t="n">
        <v>0.1</v>
      </c>
      <c r="AK53" s="3">
        <f>ROUND(AI53*AJ53,2)</f>
        <v/>
      </c>
      <c r="AL53" s="3">
        <f>AI53+AK53</f>
        <v/>
      </c>
      <c r="AM53" s="3">
        <f>AE53-AL53</f>
        <v/>
      </c>
      <c r="AN53" s="4">
        <f>AM53/AE53</f>
        <v/>
      </c>
      <c r="AO53" s="3" t="inlineStr">
        <is>
          <t>3 hrs</t>
        </is>
      </c>
      <c r="AQ53" s="3" t="inlineStr">
        <is>
          <t>Length Weight</t>
        </is>
      </c>
      <c r="AS53"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4" ht="15.75" customHeight="1">
      <c r="A54" s="3" t="inlineStr">
        <is>
          <t>PROD_0009</t>
        </is>
      </c>
      <c r="B54" s="3" t="inlineStr">
        <is>
          <t>VAR_5</t>
        </is>
      </c>
      <c r="C54" s="3" t="inlineStr">
        <is>
          <t>Wooden Material</t>
        </is>
      </c>
      <c r="D54" s="3" t="inlineStr">
        <is>
          <t>MDF</t>
        </is>
      </c>
      <c r="E54" s="3" t="inlineStr">
        <is>
          <t>Action Tesa</t>
        </is>
      </c>
      <c r="F54" s="3" t="inlineStr">
        <is>
          <t>Plain</t>
        </is>
      </c>
      <c r="H54" s="3" t="inlineStr">
        <is>
          <t>Application</t>
        </is>
      </c>
      <c r="I54" s="3" t="inlineStr">
        <is>
          <t>Interior</t>
        </is>
      </c>
      <c r="J54" s="3" t="inlineStr">
        <is>
          <t>Size</t>
        </is>
      </c>
      <c r="K54" s="3" t="inlineStr">
        <is>
          <t>8 ft X 4 ft</t>
        </is>
      </c>
      <c r="L54" s="3" t="inlineStr">
        <is>
          <t>Thickness</t>
        </is>
      </c>
      <c r="M54" s="3" t="inlineStr">
        <is>
          <t>17mm</t>
        </is>
      </c>
      <c r="N54" s="3" t="inlineStr">
        <is>
          <t>Color</t>
        </is>
      </c>
      <c r="O54" s="3" t="inlineStr">
        <is>
          <t>Plain</t>
        </is>
      </c>
      <c r="Q54" s="3" t="inlineStr">
        <is>
          <t>Manufacturer's Warranty</t>
        </is>
      </c>
      <c r="S54" s="3" t="n">
        <v>1</v>
      </c>
      <c r="U54" s="3" t="n">
        <v>80000</v>
      </c>
      <c r="Y54" s="3" t="inlineStr">
        <is>
          <t>AT_MDF_PLAIN_IG</t>
        </is>
      </c>
      <c r="Z54" s="3" t="n">
        <v>4411</v>
      </c>
      <c r="AA54" s="3" t="inlineStr">
        <is>
          <t>per sq ft</t>
        </is>
      </c>
      <c r="AB54" s="3" t="inlineStr">
        <is>
          <t>Area</t>
        </is>
      </c>
      <c r="AC54" s="3" t="n">
        <v>32</v>
      </c>
      <c r="AD54" s="3" t="n">
        <v>67.83</v>
      </c>
      <c r="AE54" s="3">
        <f>+AC54*AD54</f>
        <v/>
      </c>
      <c r="AF54" s="4" t="n">
        <v>0.39</v>
      </c>
      <c r="AG54" s="3">
        <f>ROUND(AE54-(AE54*AF54),2)</f>
        <v/>
      </c>
      <c r="AH54" s="4" t="n">
        <v>0.18</v>
      </c>
      <c r="AI54" s="3">
        <f>ROUND(AG54+(AG54*AH54),2)</f>
        <v/>
      </c>
      <c r="AJ54" s="4" t="n">
        <v>0.1</v>
      </c>
      <c r="AK54" s="3">
        <f>ROUND(AI54*AJ54,2)</f>
        <v/>
      </c>
      <c r="AL54" s="3">
        <f>AI54+AK54</f>
        <v/>
      </c>
      <c r="AM54" s="3">
        <f>AE54-AL54</f>
        <v/>
      </c>
      <c r="AN54" s="4">
        <f>AM54/AE54</f>
        <v/>
      </c>
      <c r="AO54" s="3" t="inlineStr">
        <is>
          <t>3 hrs</t>
        </is>
      </c>
      <c r="AQ54" s="3" t="inlineStr">
        <is>
          <t>Length Weight</t>
        </is>
      </c>
      <c r="AS54"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5" ht="15.75" customHeight="1">
      <c r="A55" s="3" t="inlineStr">
        <is>
          <t>PROD_0009</t>
        </is>
      </c>
      <c r="B55" s="3" t="inlineStr">
        <is>
          <t>VAR_6</t>
        </is>
      </c>
      <c r="C55" s="3" t="inlineStr">
        <is>
          <t>Wooden Material</t>
        </is>
      </c>
      <c r="D55" s="3" t="inlineStr">
        <is>
          <t>MDF</t>
        </is>
      </c>
      <c r="E55" s="3" t="inlineStr">
        <is>
          <t>Action Tesa</t>
        </is>
      </c>
      <c r="F55" s="3" t="inlineStr">
        <is>
          <t>Plain</t>
        </is>
      </c>
      <c r="H55" s="3" t="inlineStr">
        <is>
          <t>Application</t>
        </is>
      </c>
      <c r="I55" s="3" t="inlineStr">
        <is>
          <t>Interior</t>
        </is>
      </c>
      <c r="J55" s="3" t="inlineStr">
        <is>
          <t>Size</t>
        </is>
      </c>
      <c r="K55" s="3" t="inlineStr">
        <is>
          <t>8 ft X 4 ft</t>
        </is>
      </c>
      <c r="L55" s="3" t="inlineStr">
        <is>
          <t>Thickness</t>
        </is>
      </c>
      <c r="M55" s="3" t="inlineStr">
        <is>
          <t>18mm</t>
        </is>
      </c>
      <c r="N55" s="3" t="inlineStr">
        <is>
          <t>Color</t>
        </is>
      </c>
      <c r="O55" s="3" t="inlineStr">
        <is>
          <t>Plain</t>
        </is>
      </c>
      <c r="Q55" s="3" t="inlineStr">
        <is>
          <t>Manufacturer's Warranty</t>
        </is>
      </c>
      <c r="S55" s="3" t="n">
        <v>1</v>
      </c>
      <c r="U55" s="3" t="n">
        <v>80000</v>
      </c>
      <c r="Y55" s="3" t="inlineStr">
        <is>
          <t>AT_MDF_PLAIN_IG</t>
        </is>
      </c>
      <c r="Z55" s="3" t="n">
        <v>4411</v>
      </c>
      <c r="AA55" s="3" t="inlineStr">
        <is>
          <t>per sq ft</t>
        </is>
      </c>
      <c r="AB55" s="3" t="inlineStr">
        <is>
          <t>Area</t>
        </is>
      </c>
      <c r="AC55" s="3" t="n">
        <v>32</v>
      </c>
      <c r="AD55" s="3" t="n">
        <v>74.93000000000001</v>
      </c>
      <c r="AE55" s="3">
        <f>+AC55*AD55</f>
        <v/>
      </c>
      <c r="AF55" s="4" t="n">
        <v>0.39</v>
      </c>
      <c r="AG55" s="3">
        <f>ROUND(AE55-(AE55*AF55),2)</f>
        <v/>
      </c>
      <c r="AH55" s="4" t="n">
        <v>0.18</v>
      </c>
      <c r="AI55" s="3">
        <f>ROUND(AG55+(AG55*AH55),2)</f>
        <v/>
      </c>
      <c r="AJ55" s="4" t="n">
        <v>0.1</v>
      </c>
      <c r="AK55" s="3">
        <f>ROUND(AI55*AJ55,2)</f>
        <v/>
      </c>
      <c r="AL55" s="3">
        <f>AI55+AK55</f>
        <v/>
      </c>
      <c r="AM55" s="3">
        <f>AE55-AL55</f>
        <v/>
      </c>
      <c r="AN55" s="4">
        <f>AM55/AE55</f>
        <v/>
      </c>
      <c r="AO55" s="3" t="inlineStr">
        <is>
          <t>3 hrs</t>
        </is>
      </c>
      <c r="AQ55" s="3" t="inlineStr">
        <is>
          <t>Length Weight</t>
        </is>
      </c>
      <c r="AS55"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6" ht="15.75" customHeight="1">
      <c r="A56" s="3" t="inlineStr">
        <is>
          <t>PROD_0009</t>
        </is>
      </c>
      <c r="B56" s="3" t="inlineStr">
        <is>
          <t>VAR_7</t>
        </is>
      </c>
      <c r="C56" s="3" t="inlineStr">
        <is>
          <t>Wooden Material</t>
        </is>
      </c>
      <c r="D56" s="3" t="inlineStr">
        <is>
          <t>MDF</t>
        </is>
      </c>
      <c r="E56" s="3" t="inlineStr">
        <is>
          <t>Action Tesa</t>
        </is>
      </c>
      <c r="F56" s="3" t="inlineStr">
        <is>
          <t>Plain</t>
        </is>
      </c>
      <c r="H56" s="3" t="inlineStr">
        <is>
          <t>Application</t>
        </is>
      </c>
      <c r="I56" s="3" t="inlineStr">
        <is>
          <t>Exterior</t>
        </is>
      </c>
      <c r="J56" s="3" t="inlineStr">
        <is>
          <t>Size</t>
        </is>
      </c>
      <c r="K56" s="3" t="inlineStr">
        <is>
          <t>8 ft X 4 ft</t>
        </is>
      </c>
      <c r="L56" s="3" t="inlineStr">
        <is>
          <t>Thickness</t>
        </is>
      </c>
      <c r="M56" s="3" t="inlineStr">
        <is>
          <t>5.50 mm</t>
        </is>
      </c>
      <c r="N56" s="3" t="inlineStr">
        <is>
          <t>Color</t>
        </is>
      </c>
      <c r="O56" s="3" t="inlineStr">
        <is>
          <t>Plain</t>
        </is>
      </c>
      <c r="Q56" s="3" t="inlineStr">
        <is>
          <t>Manufacturer's Warranty</t>
        </is>
      </c>
      <c r="S56" s="3" t="n">
        <v>1</v>
      </c>
      <c r="U56" s="3" t="n">
        <v>80000</v>
      </c>
      <c r="Y56" s="3" t="inlineStr">
        <is>
          <t>AT_MDF_PLAIN_IG</t>
        </is>
      </c>
      <c r="Z56" s="3" t="n">
        <v>4411</v>
      </c>
      <c r="AA56" s="3" t="inlineStr">
        <is>
          <t>per sq ft</t>
        </is>
      </c>
      <c r="AB56" s="3" t="inlineStr">
        <is>
          <t>Area</t>
        </is>
      </c>
      <c r="AC56" s="3" t="n">
        <v>32</v>
      </c>
      <c r="AD56" s="3" t="n">
        <v>31.63</v>
      </c>
      <c r="AE56" s="3">
        <f>+AC56*AD56</f>
        <v/>
      </c>
      <c r="AF56" s="4" t="n">
        <v>0.39</v>
      </c>
      <c r="AG56" s="3">
        <f>ROUND(AE56-(AE56*AF56),2)</f>
        <v/>
      </c>
      <c r="AH56" s="4" t="n">
        <v>0.18</v>
      </c>
      <c r="AI56" s="3">
        <f>ROUND(AG56+(AG56*AH56),2)</f>
        <v/>
      </c>
      <c r="AJ56" s="4" t="n">
        <v>0.1</v>
      </c>
      <c r="AK56" s="3">
        <f>ROUND(AI56*AJ56,2)</f>
        <v/>
      </c>
      <c r="AL56" s="3">
        <f>AI56+AK56</f>
        <v/>
      </c>
      <c r="AM56" s="3">
        <f>AE56-AL56</f>
        <v/>
      </c>
      <c r="AN56" s="4">
        <f>AM56/AE56</f>
        <v/>
      </c>
      <c r="AO56" s="3" t="inlineStr">
        <is>
          <t>3 hrs</t>
        </is>
      </c>
      <c r="AQ56" s="3" t="inlineStr">
        <is>
          <t>Length Weight</t>
        </is>
      </c>
      <c r="AS56"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7" ht="15.75" customHeight="1">
      <c r="A57" s="3" t="inlineStr">
        <is>
          <t>PROD_0009</t>
        </is>
      </c>
      <c r="B57" s="3" t="inlineStr">
        <is>
          <t>VAR_8</t>
        </is>
      </c>
      <c r="C57" s="3" t="inlineStr">
        <is>
          <t>Wooden Material</t>
        </is>
      </c>
      <c r="D57" s="3" t="inlineStr">
        <is>
          <t>MDF</t>
        </is>
      </c>
      <c r="E57" s="3" t="inlineStr">
        <is>
          <t>Action Tesa</t>
        </is>
      </c>
      <c r="F57" s="3" t="inlineStr">
        <is>
          <t>Plain</t>
        </is>
      </c>
      <c r="H57" s="3" t="inlineStr">
        <is>
          <t>Application</t>
        </is>
      </c>
      <c r="I57" s="3" t="inlineStr">
        <is>
          <t>Exterior</t>
        </is>
      </c>
      <c r="J57" s="3" t="inlineStr">
        <is>
          <t>Size</t>
        </is>
      </c>
      <c r="K57" s="3" t="inlineStr">
        <is>
          <t>8 ft X 4 ft</t>
        </is>
      </c>
      <c r="L57" s="3" t="inlineStr">
        <is>
          <t>Thickness</t>
        </is>
      </c>
      <c r="M57" s="3" t="inlineStr">
        <is>
          <t>7.30 mm</t>
        </is>
      </c>
      <c r="N57" s="3" t="inlineStr">
        <is>
          <t>Color</t>
        </is>
      </c>
      <c r="O57" s="3" t="inlineStr">
        <is>
          <t>Plain</t>
        </is>
      </c>
      <c r="Q57" s="3" t="inlineStr">
        <is>
          <t>Manufacturer's Warranty</t>
        </is>
      </c>
      <c r="S57" s="3" t="n">
        <v>1</v>
      </c>
      <c r="U57" s="3" t="n">
        <v>80000</v>
      </c>
      <c r="Y57" s="3" t="inlineStr">
        <is>
          <t>AT_MDF_PLAIN_IG</t>
        </is>
      </c>
      <c r="Z57" s="3" t="n">
        <v>4411</v>
      </c>
      <c r="AA57" s="3" t="inlineStr">
        <is>
          <t>per sq ft</t>
        </is>
      </c>
      <c r="AB57" s="3" t="inlineStr">
        <is>
          <t>Area</t>
        </is>
      </c>
      <c r="AC57" s="3" t="n">
        <v>32</v>
      </c>
      <c r="AD57" s="3" t="n">
        <v>38.87</v>
      </c>
      <c r="AE57" s="3">
        <f>+AC57*AD57</f>
        <v/>
      </c>
      <c r="AF57" s="4" t="n">
        <v>0.39</v>
      </c>
      <c r="AG57" s="3">
        <f>ROUND(AE57-(AE57*AF57),2)</f>
        <v/>
      </c>
      <c r="AH57" s="4" t="n">
        <v>0.18</v>
      </c>
      <c r="AI57" s="3">
        <f>ROUND(AG57+(AG57*AH57),2)</f>
        <v/>
      </c>
      <c r="AJ57" s="4" t="n">
        <v>0.1</v>
      </c>
      <c r="AK57" s="3">
        <f>ROUND(AI57*AJ57,2)</f>
        <v/>
      </c>
      <c r="AL57" s="3">
        <f>AI57+AK57</f>
        <v/>
      </c>
      <c r="AM57" s="3">
        <f>AE57-AL57</f>
        <v/>
      </c>
      <c r="AN57" s="4">
        <f>AM57/AE57</f>
        <v/>
      </c>
      <c r="AO57" s="3" t="inlineStr">
        <is>
          <t>3 hrs</t>
        </is>
      </c>
      <c r="AQ57" s="3" t="inlineStr">
        <is>
          <t>Length Weight</t>
        </is>
      </c>
      <c r="AS57"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8" ht="15.75" customHeight="1">
      <c r="A58" s="3" t="inlineStr">
        <is>
          <t>PROD_0009</t>
        </is>
      </c>
      <c r="B58" s="3" t="inlineStr">
        <is>
          <t>VAR_9</t>
        </is>
      </c>
      <c r="C58" s="3" t="inlineStr">
        <is>
          <t>Wooden Material</t>
        </is>
      </c>
      <c r="D58" s="3" t="inlineStr">
        <is>
          <t>MDF</t>
        </is>
      </c>
      <c r="E58" s="3" t="inlineStr">
        <is>
          <t>Action Tesa</t>
        </is>
      </c>
      <c r="F58" s="3" t="inlineStr">
        <is>
          <t>Plain</t>
        </is>
      </c>
      <c r="H58" s="3" t="inlineStr">
        <is>
          <t>Application</t>
        </is>
      </c>
      <c r="I58" s="3" t="inlineStr">
        <is>
          <t>Exterior</t>
        </is>
      </c>
      <c r="J58" s="3" t="inlineStr">
        <is>
          <t>Size</t>
        </is>
      </c>
      <c r="K58" s="3" t="inlineStr">
        <is>
          <t>8 ft X 4 ft</t>
        </is>
      </c>
      <c r="L58" s="3" t="inlineStr">
        <is>
          <t>Thickness</t>
        </is>
      </c>
      <c r="M58" s="3" t="inlineStr">
        <is>
          <t>11 mm</t>
        </is>
      </c>
      <c r="N58" s="3" t="inlineStr">
        <is>
          <t>Color</t>
        </is>
      </c>
      <c r="O58" s="3" t="inlineStr">
        <is>
          <t>Plain</t>
        </is>
      </c>
      <c r="Q58" s="3" t="inlineStr">
        <is>
          <t>Manufacturer's Warranty</t>
        </is>
      </c>
      <c r="S58" s="3" t="n">
        <v>1</v>
      </c>
      <c r="U58" s="3" t="n">
        <v>80000</v>
      </c>
      <c r="Y58" s="3" t="inlineStr">
        <is>
          <t>AT_MDF_PLAIN_IG</t>
        </is>
      </c>
      <c r="Z58" s="3" t="n">
        <v>4411</v>
      </c>
      <c r="AA58" s="3" t="inlineStr">
        <is>
          <t>per sq ft</t>
        </is>
      </c>
      <c r="AB58" s="3" t="inlineStr">
        <is>
          <t>Area</t>
        </is>
      </c>
      <c r="AC58" s="3" t="n">
        <v>32</v>
      </c>
      <c r="AD58" s="3" t="n">
        <v>59.38</v>
      </c>
      <c r="AE58" s="3">
        <f>+AC58*AD58</f>
        <v/>
      </c>
      <c r="AF58" s="4" t="n">
        <v>0.39</v>
      </c>
      <c r="AG58" s="3">
        <f>ROUND(AE58-(AE58*AF58),2)</f>
        <v/>
      </c>
      <c r="AH58" s="4" t="n">
        <v>0.18</v>
      </c>
      <c r="AI58" s="3">
        <f>ROUND(AG58+(AG58*AH58),2)</f>
        <v/>
      </c>
      <c r="AJ58" s="4" t="n">
        <v>0.1</v>
      </c>
      <c r="AK58" s="3">
        <f>ROUND(AI58*AJ58,2)</f>
        <v/>
      </c>
      <c r="AL58" s="3">
        <f>AI58+AK58</f>
        <v/>
      </c>
      <c r="AM58" s="3">
        <f>AE58-AL58</f>
        <v/>
      </c>
      <c r="AN58" s="4">
        <f>AM58/AE58</f>
        <v/>
      </c>
      <c r="AO58" s="3" t="inlineStr">
        <is>
          <t>3 hrs</t>
        </is>
      </c>
      <c r="AQ58" s="3" t="inlineStr">
        <is>
          <t>Length Weight</t>
        </is>
      </c>
      <c r="AS58"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59" ht="15.75" customHeight="1">
      <c r="A59" s="3" t="inlineStr">
        <is>
          <t>PROD_0009</t>
        </is>
      </c>
      <c r="B59" s="3" t="inlineStr">
        <is>
          <t>VAR_10</t>
        </is>
      </c>
      <c r="C59" s="3" t="inlineStr">
        <is>
          <t>Wooden Material</t>
        </is>
      </c>
      <c r="D59" s="3" t="inlineStr">
        <is>
          <t>MDF</t>
        </is>
      </c>
      <c r="E59" s="3" t="inlineStr">
        <is>
          <t>Action Tesa</t>
        </is>
      </c>
      <c r="F59" s="3" t="inlineStr">
        <is>
          <t>Plain</t>
        </is>
      </c>
      <c r="H59" s="3" t="inlineStr">
        <is>
          <t>Application</t>
        </is>
      </c>
      <c r="I59" s="3" t="inlineStr">
        <is>
          <t>Exterior</t>
        </is>
      </c>
      <c r="J59" s="3" t="inlineStr">
        <is>
          <t>Size</t>
        </is>
      </c>
      <c r="K59" s="3" t="inlineStr">
        <is>
          <t>8 ft X 4 ft</t>
        </is>
      </c>
      <c r="L59" s="3" t="inlineStr">
        <is>
          <t>Thickness</t>
        </is>
      </c>
      <c r="M59" s="3" t="inlineStr">
        <is>
          <t>12 mm</t>
        </is>
      </c>
      <c r="N59" s="3" t="inlineStr">
        <is>
          <t>Color</t>
        </is>
      </c>
      <c r="O59" s="3" t="inlineStr">
        <is>
          <t>Plain</t>
        </is>
      </c>
      <c r="Q59" s="3" t="inlineStr">
        <is>
          <t>Manufacturer's Warranty</t>
        </is>
      </c>
      <c r="S59" s="3" t="n">
        <v>1</v>
      </c>
      <c r="U59" s="3" t="n">
        <v>80000</v>
      </c>
      <c r="Y59" s="3" t="inlineStr">
        <is>
          <t>AT_MDF_PLAIN_IG</t>
        </is>
      </c>
      <c r="Z59" s="3" t="n">
        <v>4411</v>
      </c>
      <c r="AA59" s="3" t="inlineStr">
        <is>
          <t>per sq ft</t>
        </is>
      </c>
      <c r="AB59" s="3" t="inlineStr">
        <is>
          <t>Area</t>
        </is>
      </c>
      <c r="AC59" s="3" t="n">
        <v>32</v>
      </c>
      <c r="AD59" s="3" t="n">
        <v>63.47</v>
      </c>
      <c r="AE59" s="3">
        <f>+AC59*AD59</f>
        <v/>
      </c>
      <c r="AF59" s="4" t="n">
        <v>0.39</v>
      </c>
      <c r="AG59" s="3">
        <f>ROUND(AE59-(AE59*AF59),2)</f>
        <v/>
      </c>
      <c r="AH59" s="4" t="n">
        <v>0.18</v>
      </c>
      <c r="AI59" s="3">
        <f>ROUND(AG59+(AG59*AH59),2)</f>
        <v/>
      </c>
      <c r="AJ59" s="4" t="n">
        <v>0.1</v>
      </c>
      <c r="AK59" s="3">
        <f>ROUND(AI59*AJ59,2)</f>
        <v/>
      </c>
      <c r="AL59" s="3">
        <f>AI59+AK59</f>
        <v/>
      </c>
      <c r="AM59" s="3">
        <f>AE59-AL59</f>
        <v/>
      </c>
      <c r="AN59" s="4">
        <f>AM59/AE59</f>
        <v/>
      </c>
      <c r="AO59" s="3" t="inlineStr">
        <is>
          <t>3 hrs</t>
        </is>
      </c>
      <c r="AQ59" s="3" t="inlineStr">
        <is>
          <t>Length Weight</t>
        </is>
      </c>
      <c r="AS59"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0" ht="15.75" customHeight="1">
      <c r="A60" s="3" t="inlineStr">
        <is>
          <t>PROD_0009</t>
        </is>
      </c>
      <c r="B60" s="3" t="inlineStr">
        <is>
          <t>VAR_11</t>
        </is>
      </c>
      <c r="C60" s="3" t="inlineStr">
        <is>
          <t>Wooden Material</t>
        </is>
      </c>
      <c r="D60" s="3" t="inlineStr">
        <is>
          <t>MDF</t>
        </is>
      </c>
      <c r="E60" s="3" t="inlineStr">
        <is>
          <t>Action Tesa</t>
        </is>
      </c>
      <c r="F60" s="3" t="inlineStr">
        <is>
          <t>Plain</t>
        </is>
      </c>
      <c r="H60" s="3" t="inlineStr">
        <is>
          <t>Application</t>
        </is>
      </c>
      <c r="I60" s="3" t="inlineStr">
        <is>
          <t>Exterior</t>
        </is>
      </c>
      <c r="J60" s="3" t="inlineStr">
        <is>
          <t>Size</t>
        </is>
      </c>
      <c r="K60" s="3" t="inlineStr">
        <is>
          <t>8 ft X 4 ft</t>
        </is>
      </c>
      <c r="L60" s="3" t="inlineStr">
        <is>
          <t>Thickness</t>
        </is>
      </c>
      <c r="M60" s="3" t="inlineStr">
        <is>
          <t>17 mm</t>
        </is>
      </c>
      <c r="N60" s="3" t="inlineStr">
        <is>
          <t>Color</t>
        </is>
      </c>
      <c r="O60" s="3" t="inlineStr">
        <is>
          <t>Plain</t>
        </is>
      </c>
      <c r="Q60" s="3" t="inlineStr">
        <is>
          <t>Manufacturer's Warranty</t>
        </is>
      </c>
      <c r="S60" s="3" t="n">
        <v>1</v>
      </c>
      <c r="U60" s="3" t="n">
        <v>80000</v>
      </c>
      <c r="Y60" s="3" t="inlineStr">
        <is>
          <t>AT_MDF_PLAIN_IG</t>
        </is>
      </c>
      <c r="Z60" s="3" t="n">
        <v>4411</v>
      </c>
      <c r="AA60" s="3" t="inlineStr">
        <is>
          <t>per sq ft</t>
        </is>
      </c>
      <c r="AB60" s="3" t="inlineStr">
        <is>
          <t>Area</t>
        </is>
      </c>
      <c r="AC60" s="3" t="n">
        <v>32</v>
      </c>
      <c r="AD60" s="3" t="n">
        <v>87.37</v>
      </c>
      <c r="AE60" s="3">
        <f>+AC60*AD60</f>
        <v/>
      </c>
      <c r="AF60" s="4" t="n">
        <v>0.39</v>
      </c>
      <c r="AG60" s="3">
        <f>ROUND(AE60-(AE60*AF60),2)</f>
        <v/>
      </c>
      <c r="AH60" s="4" t="n">
        <v>0.18</v>
      </c>
      <c r="AI60" s="3">
        <f>ROUND(AG60+(AG60*AH60),2)</f>
        <v/>
      </c>
      <c r="AJ60" s="4" t="n">
        <v>0.1</v>
      </c>
      <c r="AK60" s="3">
        <f>ROUND(AI60*AJ60,2)</f>
        <v/>
      </c>
      <c r="AL60" s="3">
        <f>AI60+AK60</f>
        <v/>
      </c>
      <c r="AM60" s="3">
        <f>AE60-AL60</f>
        <v/>
      </c>
      <c r="AN60" s="4">
        <f>AM60/AE60</f>
        <v/>
      </c>
      <c r="AO60" s="3" t="inlineStr">
        <is>
          <t>3 hrs</t>
        </is>
      </c>
      <c r="AQ60" s="3" t="inlineStr">
        <is>
          <t>Length Weight</t>
        </is>
      </c>
      <c r="AS60"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1" ht="15.75" customHeight="1">
      <c r="A61" s="3" t="inlineStr">
        <is>
          <t>PROD_0009</t>
        </is>
      </c>
      <c r="B61" s="3" t="inlineStr">
        <is>
          <t>VAR_12</t>
        </is>
      </c>
      <c r="C61" s="3" t="inlineStr">
        <is>
          <t>Wooden Material</t>
        </is>
      </c>
      <c r="D61" s="3" t="inlineStr">
        <is>
          <t>MDF</t>
        </is>
      </c>
      <c r="E61" s="3" t="inlineStr">
        <is>
          <t>Action Tesa</t>
        </is>
      </c>
      <c r="F61" s="3" t="inlineStr">
        <is>
          <t>Plain</t>
        </is>
      </c>
      <c r="H61" s="3" t="inlineStr">
        <is>
          <t>Application</t>
        </is>
      </c>
      <c r="I61" s="3" t="inlineStr">
        <is>
          <t>Exterior</t>
        </is>
      </c>
      <c r="J61" s="3" t="inlineStr">
        <is>
          <t>Size</t>
        </is>
      </c>
      <c r="K61" s="3" t="inlineStr">
        <is>
          <t>8 ft X 4 ft</t>
        </is>
      </c>
      <c r="L61" s="3" t="inlineStr">
        <is>
          <t>Thickness</t>
        </is>
      </c>
      <c r="M61" s="3" t="inlineStr">
        <is>
          <t>18 mm</t>
        </is>
      </c>
      <c r="N61" s="3" t="inlineStr">
        <is>
          <t>Color</t>
        </is>
      </c>
      <c r="O61" s="3" t="inlineStr">
        <is>
          <t>Plain</t>
        </is>
      </c>
      <c r="Q61" s="3" t="inlineStr">
        <is>
          <t>Manufacturer's Warranty</t>
        </is>
      </c>
      <c r="S61" s="3" t="n">
        <v>1</v>
      </c>
      <c r="U61" s="3" t="n">
        <v>80000</v>
      </c>
      <c r="Y61" s="3" t="inlineStr">
        <is>
          <t>AT_MDF_PLAIN_IG</t>
        </is>
      </c>
      <c r="Z61" s="3" t="n">
        <v>4411</v>
      </c>
      <c r="AA61" s="3" t="inlineStr">
        <is>
          <t>per sq ft</t>
        </is>
      </c>
      <c r="AB61" s="3" t="inlineStr">
        <is>
          <t>Area</t>
        </is>
      </c>
      <c r="AC61" s="3" t="n">
        <v>32</v>
      </c>
      <c r="AD61" s="3" t="n">
        <v>96.52</v>
      </c>
      <c r="AE61" s="3">
        <f>+AC61*AD61</f>
        <v/>
      </c>
      <c r="AF61" s="4" t="n">
        <v>0.39</v>
      </c>
      <c r="AG61" s="3">
        <f>ROUND(AE61-(AE61*AF61),2)</f>
        <v/>
      </c>
      <c r="AH61" s="4" t="n">
        <v>0.18</v>
      </c>
      <c r="AI61" s="3">
        <f>ROUND(AG61+(AG61*AH61),2)</f>
        <v/>
      </c>
      <c r="AJ61" s="4" t="n">
        <v>0.1</v>
      </c>
      <c r="AK61" s="3">
        <f>ROUND(AI61*AJ61,2)</f>
        <v/>
      </c>
      <c r="AL61" s="3">
        <f>AI61+AK61</f>
        <v/>
      </c>
      <c r="AM61" s="3">
        <f>AE61-AL61</f>
        <v/>
      </c>
      <c r="AN61" s="4">
        <f>AM61/AE61</f>
        <v/>
      </c>
      <c r="AO61" s="3" t="inlineStr">
        <is>
          <t>3 hrs</t>
        </is>
      </c>
      <c r="AQ61" s="3" t="inlineStr">
        <is>
          <t>Length Weight</t>
        </is>
      </c>
      <c r="AS61"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2" ht="15.75" customHeight="1">
      <c r="A62" s="3" t="inlineStr">
        <is>
          <t>PROD_0010</t>
        </is>
      </c>
      <c r="B62" s="3" t="inlineStr">
        <is>
          <t>VAR_1</t>
        </is>
      </c>
      <c r="C62" s="3" t="inlineStr">
        <is>
          <t>Wooden Material</t>
        </is>
      </c>
      <c r="D62" s="3" t="inlineStr">
        <is>
          <t>MDF</t>
        </is>
      </c>
      <c r="E62" s="3" t="inlineStr">
        <is>
          <t>Action Tesa</t>
        </is>
      </c>
      <c r="F62" s="3" t="inlineStr">
        <is>
          <t>One Side Laminate</t>
        </is>
      </c>
      <c r="H62" s="3" t="inlineStr">
        <is>
          <t>Application</t>
        </is>
      </c>
      <c r="I62" s="3" t="inlineStr">
        <is>
          <t>Interior</t>
        </is>
      </c>
      <c r="J62" s="3" t="inlineStr">
        <is>
          <t>Size</t>
        </is>
      </c>
      <c r="K62" s="3" t="inlineStr">
        <is>
          <t>8 ft X 4 ft</t>
        </is>
      </c>
      <c r="L62" s="3" t="inlineStr">
        <is>
          <t>Thickness</t>
        </is>
      </c>
      <c r="M62" s="3" t="inlineStr">
        <is>
          <t>5.50 mm</t>
        </is>
      </c>
      <c r="N62" s="3" t="inlineStr">
        <is>
          <t>Color</t>
        </is>
      </c>
      <c r="O62" s="3" t="inlineStr">
        <is>
          <t>White</t>
        </is>
      </c>
      <c r="Q62" s="3" t="inlineStr">
        <is>
          <t>Manufacturer's Warranty</t>
        </is>
      </c>
      <c r="S62" s="3" t="n">
        <v>1</v>
      </c>
      <c r="U62" s="3" t="n">
        <v>80000</v>
      </c>
      <c r="Y62" s="3" t="inlineStr">
        <is>
          <t>AT_MDF_OSL_LAM_IG</t>
        </is>
      </c>
      <c r="Z62" s="3" t="n">
        <v>4411</v>
      </c>
      <c r="AA62" s="3" t="inlineStr">
        <is>
          <t>per sq ft</t>
        </is>
      </c>
      <c r="AB62" s="3" t="inlineStr">
        <is>
          <t>Area</t>
        </is>
      </c>
      <c r="AC62" s="3" t="n">
        <v>32</v>
      </c>
      <c r="AD62" s="3" t="n">
        <v>49.55</v>
      </c>
      <c r="AE62" s="3">
        <f>+AC62*AD62</f>
        <v/>
      </c>
      <c r="AF62" s="4" t="n">
        <v>0.39</v>
      </c>
      <c r="AG62" s="3">
        <f>ROUND(AE62-(AE62*AF62),2)</f>
        <v/>
      </c>
      <c r="AH62" s="4" t="n">
        <v>0.18</v>
      </c>
      <c r="AI62" s="3">
        <f>ROUND(AG62+(AG62*AH62),2)</f>
        <v/>
      </c>
      <c r="AJ62" s="4" t="n">
        <v>0.1</v>
      </c>
      <c r="AK62" s="3">
        <f>ROUND(AI62*AJ62,2)</f>
        <v/>
      </c>
      <c r="AL62" s="3">
        <f>AI62+AK62</f>
        <v/>
      </c>
      <c r="AM62" s="3">
        <f>AE62-AL62</f>
        <v/>
      </c>
      <c r="AN62" s="4">
        <f>AM62/AE62</f>
        <v/>
      </c>
      <c r="AO62" s="3" t="inlineStr">
        <is>
          <t>3 hrs</t>
        </is>
      </c>
      <c r="AQ62" s="3" t="inlineStr">
        <is>
          <t>Length Weight</t>
        </is>
      </c>
      <c r="AS62"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3" ht="15.75" customHeight="1">
      <c r="A63" s="3" t="inlineStr">
        <is>
          <t>PROD_0010</t>
        </is>
      </c>
      <c r="B63" s="3" t="inlineStr">
        <is>
          <t>VAR_2</t>
        </is>
      </c>
      <c r="C63" s="3" t="inlineStr">
        <is>
          <t>Wooden Material</t>
        </is>
      </c>
      <c r="D63" s="3" t="inlineStr">
        <is>
          <t>MDF</t>
        </is>
      </c>
      <c r="E63" s="3" t="inlineStr">
        <is>
          <t>Action Tesa</t>
        </is>
      </c>
      <c r="F63" s="3" t="inlineStr">
        <is>
          <t>One Side Laminate</t>
        </is>
      </c>
      <c r="H63" s="3" t="inlineStr">
        <is>
          <t>Application</t>
        </is>
      </c>
      <c r="I63" s="3" t="inlineStr">
        <is>
          <t>Interior</t>
        </is>
      </c>
      <c r="J63" s="3" t="inlineStr">
        <is>
          <t>Size</t>
        </is>
      </c>
      <c r="K63" s="3" t="inlineStr">
        <is>
          <t>8 ft X 4 ft</t>
        </is>
      </c>
      <c r="L63" s="3" t="inlineStr">
        <is>
          <t>Thickness</t>
        </is>
      </c>
      <c r="M63" s="3" t="inlineStr">
        <is>
          <t>7.30mm</t>
        </is>
      </c>
      <c r="N63" s="3" t="inlineStr">
        <is>
          <t>Color</t>
        </is>
      </c>
      <c r="O63" s="3" t="inlineStr">
        <is>
          <t>White</t>
        </is>
      </c>
      <c r="Q63" s="3" t="inlineStr">
        <is>
          <t>Manufacturer's Warranty</t>
        </is>
      </c>
      <c r="S63" s="3" t="n">
        <v>1</v>
      </c>
      <c r="U63" s="3" t="n">
        <v>80000</v>
      </c>
      <c r="Y63" s="3" t="inlineStr">
        <is>
          <t>AT_MDF_OSL_LAM_IG</t>
        </is>
      </c>
      <c r="Z63" s="3" t="n">
        <v>4411</v>
      </c>
      <c r="AA63" s="3" t="inlineStr">
        <is>
          <t>per sq ft</t>
        </is>
      </c>
      <c r="AB63" s="3" t="inlineStr">
        <is>
          <t>Area</t>
        </is>
      </c>
      <c r="AC63" s="3" t="n">
        <v>32</v>
      </c>
      <c r="AD63" s="3" t="n">
        <v>55.11</v>
      </c>
      <c r="AE63" s="3">
        <f>+AC63*AD63</f>
        <v/>
      </c>
      <c r="AF63" s="4" t="n">
        <v>0.39</v>
      </c>
      <c r="AG63" s="3">
        <f>ROUND(AE63-(AE63*AF63),2)</f>
        <v/>
      </c>
      <c r="AH63" s="4" t="n">
        <v>0.18</v>
      </c>
      <c r="AI63" s="3">
        <f>ROUND(AG63+(AG63*AH63),2)</f>
        <v/>
      </c>
      <c r="AJ63" s="4" t="n">
        <v>0.1</v>
      </c>
      <c r="AK63" s="3">
        <f>ROUND(AI63*AJ63,2)</f>
        <v/>
      </c>
      <c r="AL63" s="3">
        <f>AI63+AK63</f>
        <v/>
      </c>
      <c r="AM63" s="3">
        <f>AE63-AL63</f>
        <v/>
      </c>
      <c r="AN63" s="4">
        <f>AM63/AE63</f>
        <v/>
      </c>
      <c r="AO63" s="3" t="inlineStr">
        <is>
          <t>3 hrs</t>
        </is>
      </c>
      <c r="AQ63" s="3" t="inlineStr">
        <is>
          <t>Length Weight</t>
        </is>
      </c>
      <c r="AS63"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4" ht="15.75" customHeight="1">
      <c r="A64" s="3" t="inlineStr">
        <is>
          <t>PROD_0010</t>
        </is>
      </c>
      <c r="B64" s="3" t="inlineStr">
        <is>
          <t>VAR_3</t>
        </is>
      </c>
      <c r="C64" s="3" t="inlineStr">
        <is>
          <t>Wooden Material</t>
        </is>
      </c>
      <c r="D64" s="3" t="inlineStr">
        <is>
          <t>MDF</t>
        </is>
      </c>
      <c r="E64" s="3" t="inlineStr">
        <is>
          <t>Action Tesa</t>
        </is>
      </c>
      <c r="F64" s="3" t="inlineStr">
        <is>
          <t>One Side Laminate</t>
        </is>
      </c>
      <c r="H64" s="3" t="inlineStr">
        <is>
          <t>Application</t>
        </is>
      </c>
      <c r="I64" s="3" t="inlineStr">
        <is>
          <t>Interior</t>
        </is>
      </c>
      <c r="J64" s="3" t="inlineStr">
        <is>
          <t>Size</t>
        </is>
      </c>
      <c r="K64" s="3" t="inlineStr">
        <is>
          <t>8 ft X 4 ft</t>
        </is>
      </c>
      <c r="L64" s="3" t="inlineStr">
        <is>
          <t>Thickness</t>
        </is>
      </c>
      <c r="M64" s="3" t="inlineStr">
        <is>
          <t>11mm</t>
        </is>
      </c>
      <c r="N64" s="3" t="inlineStr">
        <is>
          <t>Color</t>
        </is>
      </c>
      <c r="O64" s="3" t="inlineStr">
        <is>
          <t>White</t>
        </is>
      </c>
      <c r="Q64" s="3" t="inlineStr">
        <is>
          <t>Manufacturer's Warranty</t>
        </is>
      </c>
      <c r="S64" s="3" t="n">
        <v>1</v>
      </c>
      <c r="U64" s="3" t="n">
        <v>80000</v>
      </c>
      <c r="Y64" s="3" t="inlineStr">
        <is>
          <t>AT_MDF_OSL_LAM_IG</t>
        </is>
      </c>
      <c r="Z64" s="3" t="n">
        <v>4411</v>
      </c>
      <c r="AA64" s="3" t="inlineStr">
        <is>
          <t>per sq ft</t>
        </is>
      </c>
      <c r="AB64" s="3" t="inlineStr">
        <is>
          <t>Area</t>
        </is>
      </c>
      <c r="AC64" s="3" t="n">
        <v>32</v>
      </c>
      <c r="AD64" s="3" t="n">
        <v>71.01000000000001</v>
      </c>
      <c r="AE64" s="3">
        <f>+AC64*AD64</f>
        <v/>
      </c>
      <c r="AF64" s="4" t="n">
        <v>0.39</v>
      </c>
      <c r="AG64" s="3">
        <f>ROUND(AE64-(AE64*AF64),2)</f>
        <v/>
      </c>
      <c r="AH64" s="4" t="n">
        <v>0.18</v>
      </c>
      <c r="AI64" s="3">
        <f>ROUND(AG64+(AG64*AH64),2)</f>
        <v/>
      </c>
      <c r="AJ64" s="4" t="n">
        <v>0.1</v>
      </c>
      <c r="AK64" s="3">
        <f>ROUND(AI64*AJ64,2)</f>
        <v/>
      </c>
      <c r="AL64" s="3">
        <f>AI64+AK64</f>
        <v/>
      </c>
      <c r="AM64" s="3">
        <f>AE64-AL64</f>
        <v/>
      </c>
      <c r="AN64" s="4">
        <f>AM64/AE64</f>
        <v/>
      </c>
      <c r="AO64" s="3" t="inlineStr">
        <is>
          <t>3 hrs</t>
        </is>
      </c>
      <c r="AQ64" s="3" t="inlineStr">
        <is>
          <t>Length Weight</t>
        </is>
      </c>
      <c r="AS64"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5" ht="15.75" customHeight="1">
      <c r="A65" s="3" t="inlineStr">
        <is>
          <t>PROD_0010</t>
        </is>
      </c>
      <c r="B65" s="3" t="inlineStr">
        <is>
          <t>VAR_4</t>
        </is>
      </c>
      <c r="C65" s="3" t="inlineStr">
        <is>
          <t>Wooden Material</t>
        </is>
      </c>
      <c r="D65" s="3" t="inlineStr">
        <is>
          <t>MDF</t>
        </is>
      </c>
      <c r="E65" s="3" t="inlineStr">
        <is>
          <t>Action Tesa</t>
        </is>
      </c>
      <c r="F65" s="3" t="inlineStr">
        <is>
          <t>One Side Laminate</t>
        </is>
      </c>
      <c r="H65" s="3" t="inlineStr">
        <is>
          <t>Application</t>
        </is>
      </c>
      <c r="I65" s="3" t="inlineStr">
        <is>
          <t>Interior</t>
        </is>
      </c>
      <c r="J65" s="3" t="inlineStr">
        <is>
          <t>Size</t>
        </is>
      </c>
      <c r="K65" s="3" t="inlineStr">
        <is>
          <t>8 ft X 4 ft</t>
        </is>
      </c>
      <c r="L65" s="3" t="inlineStr">
        <is>
          <t>Thickness</t>
        </is>
      </c>
      <c r="M65" s="3" t="inlineStr">
        <is>
          <t>16.50mm</t>
        </is>
      </c>
      <c r="N65" s="3" t="inlineStr">
        <is>
          <t>Color</t>
        </is>
      </c>
      <c r="O65" s="3" t="inlineStr">
        <is>
          <t>White</t>
        </is>
      </c>
      <c r="Q65" s="3" t="inlineStr">
        <is>
          <t>Manufacturer's Warranty</t>
        </is>
      </c>
      <c r="S65" s="3" t="n">
        <v>1</v>
      </c>
      <c r="U65" s="3" t="n">
        <v>80000</v>
      </c>
      <c r="Y65" s="3" t="inlineStr">
        <is>
          <t>AT_MDF_OSL_LAM_IG</t>
        </is>
      </c>
      <c r="Z65" s="3" t="n">
        <v>4411</v>
      </c>
      <c r="AA65" s="3" t="inlineStr">
        <is>
          <t>per sq ft</t>
        </is>
      </c>
      <c r="AB65" s="3" t="inlineStr">
        <is>
          <t>Area</t>
        </is>
      </c>
      <c r="AC65" s="3" t="n">
        <v>32</v>
      </c>
      <c r="AD65" s="3" t="n">
        <v>90.81</v>
      </c>
      <c r="AE65" s="3">
        <f>+AC65*AD65</f>
        <v/>
      </c>
      <c r="AF65" s="4" t="n">
        <v>0.39</v>
      </c>
      <c r="AG65" s="3">
        <f>ROUND(AE65-(AE65*AF65),2)</f>
        <v/>
      </c>
      <c r="AH65" s="4" t="n">
        <v>0.18</v>
      </c>
      <c r="AI65" s="3">
        <f>ROUND(AG65+(AG65*AH65),2)</f>
        <v/>
      </c>
      <c r="AJ65" s="4" t="n">
        <v>0.1</v>
      </c>
      <c r="AK65" s="3">
        <f>ROUND(AI65*AJ65,2)</f>
        <v/>
      </c>
      <c r="AL65" s="3">
        <f>AI65+AK65</f>
        <v/>
      </c>
      <c r="AM65" s="3">
        <f>AE65-AL65</f>
        <v/>
      </c>
      <c r="AN65" s="4">
        <f>AM65/AE65</f>
        <v/>
      </c>
      <c r="AO65" s="3" t="inlineStr">
        <is>
          <t>3 hrs</t>
        </is>
      </c>
      <c r="AQ65" s="3" t="inlineStr">
        <is>
          <t>Length Weight</t>
        </is>
      </c>
      <c r="AS65"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6" ht="15.75" customHeight="1">
      <c r="A66" s="3" t="inlineStr">
        <is>
          <t>PROD_0010</t>
        </is>
      </c>
      <c r="B66" s="3" t="inlineStr">
        <is>
          <t>VAR_5</t>
        </is>
      </c>
      <c r="C66" s="3" t="inlineStr">
        <is>
          <t>Wooden Material</t>
        </is>
      </c>
      <c r="D66" s="3" t="inlineStr">
        <is>
          <t>MDF</t>
        </is>
      </c>
      <c r="E66" s="3" t="inlineStr">
        <is>
          <t>Action Tesa</t>
        </is>
      </c>
      <c r="F66" s="3" t="inlineStr">
        <is>
          <t>One Side Laminate</t>
        </is>
      </c>
      <c r="H66" s="3" t="inlineStr">
        <is>
          <t>Application</t>
        </is>
      </c>
      <c r="I66" s="3" t="inlineStr">
        <is>
          <t>Interior</t>
        </is>
      </c>
      <c r="J66" s="3" t="inlineStr">
        <is>
          <t>Size</t>
        </is>
      </c>
      <c r="K66" s="3" t="inlineStr">
        <is>
          <t>8 ft X 4 ft</t>
        </is>
      </c>
      <c r="L66" s="3" t="inlineStr">
        <is>
          <t>Thickness</t>
        </is>
      </c>
      <c r="M66" s="3" t="inlineStr">
        <is>
          <t>17mm</t>
        </is>
      </c>
      <c r="N66" s="3" t="inlineStr">
        <is>
          <t>Color</t>
        </is>
      </c>
      <c r="O66" s="3" t="inlineStr">
        <is>
          <t>White</t>
        </is>
      </c>
      <c r="Q66" s="3" t="inlineStr">
        <is>
          <t>Manufacturer's Warranty</t>
        </is>
      </c>
      <c r="S66" s="3" t="n">
        <v>1</v>
      </c>
      <c r="U66" s="3" t="n">
        <v>80000</v>
      </c>
      <c r="Y66" s="3" t="inlineStr">
        <is>
          <t>AT_MDF_OSL_LAM_IG</t>
        </is>
      </c>
      <c r="Z66" s="3" t="n">
        <v>4411</v>
      </c>
      <c r="AA66" s="3" t="inlineStr">
        <is>
          <t>per sq ft</t>
        </is>
      </c>
      <c r="AB66" s="3" t="inlineStr">
        <is>
          <t>Area</t>
        </is>
      </c>
      <c r="AC66" s="3" t="n">
        <v>32</v>
      </c>
      <c r="AD66" s="5" t="n">
        <v>92.8</v>
      </c>
      <c r="AE66" s="3">
        <f>+AC66*AD66</f>
        <v/>
      </c>
      <c r="AF66" s="4" t="n">
        <v>0.39</v>
      </c>
      <c r="AG66" s="3">
        <f>ROUND(AE66-(AE66*AF66),2)</f>
        <v/>
      </c>
      <c r="AH66" s="4" t="n">
        <v>0.18</v>
      </c>
      <c r="AI66" s="3">
        <f>ROUND(AG66+(AG66*AH66),2)</f>
        <v/>
      </c>
      <c r="AJ66" s="4" t="n">
        <v>0.1</v>
      </c>
      <c r="AK66" s="3">
        <f>ROUND(AI66*AJ66,2)</f>
        <v/>
      </c>
      <c r="AL66" s="3">
        <f>AI66+AK66</f>
        <v/>
      </c>
      <c r="AM66" s="3">
        <f>AE66-AL66</f>
        <v/>
      </c>
      <c r="AN66" s="4">
        <f>AM66/AE66</f>
        <v/>
      </c>
      <c r="AO66" s="3" t="inlineStr">
        <is>
          <t>3 hrs</t>
        </is>
      </c>
      <c r="AQ66" s="3" t="inlineStr">
        <is>
          <t>Length Weight</t>
        </is>
      </c>
      <c r="AS66"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7" ht="15.75" customHeight="1">
      <c r="A67" s="3" t="inlineStr">
        <is>
          <t>PROD_0010</t>
        </is>
      </c>
      <c r="B67" s="3" t="inlineStr">
        <is>
          <t>VAR_6</t>
        </is>
      </c>
      <c r="C67" s="3" t="inlineStr">
        <is>
          <t>Wooden Material</t>
        </is>
      </c>
      <c r="D67" s="3" t="inlineStr">
        <is>
          <t>MDF</t>
        </is>
      </c>
      <c r="E67" s="3" t="inlineStr">
        <is>
          <t>Action Tesa</t>
        </is>
      </c>
      <c r="F67" s="3" t="inlineStr">
        <is>
          <t>One Side Laminate</t>
        </is>
      </c>
      <c r="H67" s="3" t="inlineStr">
        <is>
          <t>Application</t>
        </is>
      </c>
      <c r="I67" s="3" t="inlineStr">
        <is>
          <t>Interior</t>
        </is>
      </c>
      <c r="J67" s="3" t="inlineStr">
        <is>
          <t>Size</t>
        </is>
      </c>
      <c r="K67" s="3" t="inlineStr">
        <is>
          <t>8 ft X 4 ft</t>
        </is>
      </c>
      <c r="L67" s="3" t="inlineStr">
        <is>
          <t>Thickness</t>
        </is>
      </c>
      <c r="M67" s="3" t="inlineStr">
        <is>
          <t>18mm</t>
        </is>
      </c>
      <c r="N67" s="3" t="inlineStr">
        <is>
          <t>Color</t>
        </is>
      </c>
      <c r="O67" s="3" t="inlineStr">
        <is>
          <t>White</t>
        </is>
      </c>
      <c r="Q67" s="3" t="inlineStr">
        <is>
          <t>Manufacturer's Warranty</t>
        </is>
      </c>
      <c r="S67" s="3" t="n">
        <v>1</v>
      </c>
      <c r="U67" s="3" t="n">
        <v>80000</v>
      </c>
      <c r="Y67" s="3" t="inlineStr">
        <is>
          <t>AT_MDF_OSL_LAM_IG</t>
        </is>
      </c>
      <c r="Z67" s="3" t="n">
        <v>4411</v>
      </c>
      <c r="AA67" s="3" t="inlineStr">
        <is>
          <t>per sq ft</t>
        </is>
      </c>
      <c r="AB67" s="3" t="inlineStr">
        <is>
          <t>Area</t>
        </is>
      </c>
      <c r="AC67" s="3" t="n">
        <v>32</v>
      </c>
      <c r="AD67" s="3" t="n">
        <v>99.91</v>
      </c>
      <c r="AE67" s="3">
        <f>+AC67*AD67</f>
        <v/>
      </c>
      <c r="AF67" s="4" t="n">
        <v>0.39</v>
      </c>
      <c r="AG67" s="3">
        <f>ROUND(AE67-(AE67*AF67),2)</f>
        <v/>
      </c>
      <c r="AH67" s="4" t="n">
        <v>0.18</v>
      </c>
      <c r="AI67" s="3">
        <f>ROUND(AG67+(AG67*AH67),2)</f>
        <v/>
      </c>
      <c r="AJ67" s="4" t="n">
        <v>0.1</v>
      </c>
      <c r="AK67" s="3">
        <f>ROUND(AI67*AJ67,2)</f>
        <v/>
      </c>
      <c r="AL67" s="3">
        <f>AI67+AK67</f>
        <v/>
      </c>
      <c r="AM67" s="3">
        <f>AE67-AL67</f>
        <v/>
      </c>
      <c r="AN67" s="4">
        <f>AM67/AE67</f>
        <v/>
      </c>
      <c r="AO67" s="3" t="inlineStr">
        <is>
          <t>3 hrs</t>
        </is>
      </c>
      <c r="AQ67" s="3" t="inlineStr">
        <is>
          <t>Length Weight</t>
        </is>
      </c>
      <c r="AS67"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8" ht="15.75" customHeight="1">
      <c r="A68" s="3" t="inlineStr">
        <is>
          <t>PROD_0010</t>
        </is>
      </c>
      <c r="B68" s="3" t="inlineStr">
        <is>
          <t>VAR_7</t>
        </is>
      </c>
      <c r="C68" s="3" t="inlineStr">
        <is>
          <t>Wooden Material</t>
        </is>
      </c>
      <c r="D68" s="3" t="inlineStr">
        <is>
          <t>MDF</t>
        </is>
      </c>
      <c r="E68" s="3" t="inlineStr">
        <is>
          <t>Action Tesa</t>
        </is>
      </c>
      <c r="F68" s="3" t="inlineStr">
        <is>
          <t>One Side Laminate</t>
        </is>
      </c>
      <c r="H68" s="3" t="inlineStr">
        <is>
          <t>Application</t>
        </is>
      </c>
      <c r="I68" s="3" t="inlineStr">
        <is>
          <t>Exterior</t>
        </is>
      </c>
      <c r="J68" s="3" t="inlineStr">
        <is>
          <t>Size</t>
        </is>
      </c>
      <c r="K68" s="3" t="inlineStr">
        <is>
          <t>8 ft X 4 ft</t>
        </is>
      </c>
      <c r="L68" s="3" t="inlineStr">
        <is>
          <t>Thickness</t>
        </is>
      </c>
      <c r="M68" s="3" t="inlineStr">
        <is>
          <t>7.30 mm</t>
        </is>
      </c>
      <c r="N68" s="3" t="inlineStr">
        <is>
          <t>Color</t>
        </is>
      </c>
      <c r="O68" s="3" t="inlineStr">
        <is>
          <t>White</t>
        </is>
      </c>
      <c r="Q68" s="3" t="inlineStr">
        <is>
          <t>Manufacturer's Warranty</t>
        </is>
      </c>
      <c r="S68" s="3" t="n">
        <v>1</v>
      </c>
      <c r="U68" s="3" t="n">
        <v>80000</v>
      </c>
      <c r="Y68" s="3" t="inlineStr">
        <is>
          <t>AT_MDF_OSL_LAM_IG</t>
        </is>
      </c>
      <c r="Z68" s="3" t="n">
        <v>4411</v>
      </c>
      <c r="AA68" s="3" t="inlineStr">
        <is>
          <t>per sq ft</t>
        </is>
      </c>
      <c r="AB68" s="3" t="inlineStr">
        <is>
          <t>Area</t>
        </is>
      </c>
      <c r="AC68" s="3" t="n">
        <v>32</v>
      </c>
      <c r="AD68" s="3" t="n">
        <v>63.81</v>
      </c>
      <c r="AE68" s="3">
        <f>+AC68*AD68</f>
        <v/>
      </c>
      <c r="AF68" s="4" t="n">
        <v>0.39</v>
      </c>
      <c r="AG68" s="3">
        <f>ROUND(AE68-(AE68*AF68),2)</f>
        <v/>
      </c>
      <c r="AH68" s="4" t="n">
        <v>0.18</v>
      </c>
      <c r="AI68" s="3">
        <f>ROUND(AG68+(AG68*AH68),2)</f>
        <v/>
      </c>
      <c r="AJ68" s="4" t="n">
        <v>0.1</v>
      </c>
      <c r="AK68" s="3">
        <f>ROUND(AI68*AJ68,2)</f>
        <v/>
      </c>
      <c r="AL68" s="3">
        <f>AI68+AK68</f>
        <v/>
      </c>
      <c r="AM68" s="3">
        <f>AE68-AL68</f>
        <v/>
      </c>
      <c r="AN68" s="4">
        <f>AM68/AE68</f>
        <v/>
      </c>
      <c r="AO68" s="3" t="inlineStr">
        <is>
          <t>3 hrs</t>
        </is>
      </c>
      <c r="AQ68" s="3" t="inlineStr">
        <is>
          <t>Length Weight</t>
        </is>
      </c>
      <c r="AS68"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69" ht="15.75" customHeight="1">
      <c r="A69" s="3" t="inlineStr">
        <is>
          <t>PROD_0010</t>
        </is>
      </c>
      <c r="B69" s="3" t="inlineStr">
        <is>
          <t>VAR_8</t>
        </is>
      </c>
      <c r="C69" s="3" t="inlineStr">
        <is>
          <t>Wooden Material</t>
        </is>
      </c>
      <c r="D69" s="3" t="inlineStr">
        <is>
          <t>MDF</t>
        </is>
      </c>
      <c r="E69" s="3" t="inlineStr">
        <is>
          <t>Action Tesa</t>
        </is>
      </c>
      <c r="F69" s="3" t="inlineStr">
        <is>
          <t>One Side Laminate</t>
        </is>
      </c>
      <c r="H69" s="3" t="inlineStr">
        <is>
          <t>Application</t>
        </is>
      </c>
      <c r="I69" s="3" t="inlineStr">
        <is>
          <t>Exterior</t>
        </is>
      </c>
      <c r="J69" s="3" t="inlineStr">
        <is>
          <t>Size</t>
        </is>
      </c>
      <c r="K69" s="3" t="inlineStr">
        <is>
          <t>8 ft X 4 ft</t>
        </is>
      </c>
      <c r="L69" s="3" t="inlineStr">
        <is>
          <t>Thickness</t>
        </is>
      </c>
      <c r="M69" s="3" t="inlineStr">
        <is>
          <t>11 mm</t>
        </is>
      </c>
      <c r="N69" s="3" t="inlineStr">
        <is>
          <t>Color</t>
        </is>
      </c>
      <c r="O69" s="3" t="inlineStr">
        <is>
          <t>White</t>
        </is>
      </c>
      <c r="Q69" s="3" t="inlineStr">
        <is>
          <t>Manufacturer's Warranty</t>
        </is>
      </c>
      <c r="S69" s="3" t="n">
        <v>1</v>
      </c>
      <c r="U69" s="3" t="n">
        <v>80000</v>
      </c>
      <c r="Y69" s="3" t="inlineStr">
        <is>
          <t>AT_MDF_OSL_LAM_IG</t>
        </is>
      </c>
      <c r="Z69" s="3" t="n">
        <v>4411</v>
      </c>
      <c r="AA69" s="3" t="inlineStr">
        <is>
          <t>per sq ft</t>
        </is>
      </c>
      <c r="AB69" s="3" t="inlineStr">
        <is>
          <t>Area</t>
        </is>
      </c>
      <c r="AC69" s="3" t="n">
        <v>32</v>
      </c>
      <c r="AD69" s="3" t="n">
        <v>84.36</v>
      </c>
      <c r="AE69" s="3">
        <f>+AC69*AD69</f>
        <v/>
      </c>
      <c r="AF69" s="4" t="n">
        <v>0.39</v>
      </c>
      <c r="AG69" s="3">
        <f>ROUND(AE69-(AE69*AF69),2)</f>
        <v/>
      </c>
      <c r="AH69" s="4" t="n">
        <v>0.18</v>
      </c>
      <c r="AI69" s="3">
        <f>ROUND(AG69+(AG69*AH69),2)</f>
        <v/>
      </c>
      <c r="AJ69" s="4" t="n">
        <v>0.1</v>
      </c>
      <c r="AK69" s="3">
        <f>ROUND(AI69*AJ69,2)</f>
        <v/>
      </c>
      <c r="AL69" s="3">
        <f>AI69+AK69</f>
        <v/>
      </c>
      <c r="AM69" s="3">
        <f>AE69-AL69</f>
        <v/>
      </c>
      <c r="AN69" s="4">
        <f>AM69/AE69</f>
        <v/>
      </c>
      <c r="AO69" s="3" t="inlineStr">
        <is>
          <t>3 hrs</t>
        </is>
      </c>
      <c r="AQ69" s="3" t="inlineStr">
        <is>
          <t>Length Weight</t>
        </is>
      </c>
      <c r="AS69"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0" ht="15.75" customHeight="1">
      <c r="A70" s="3" t="inlineStr">
        <is>
          <t>PROD_0010</t>
        </is>
      </c>
      <c r="B70" s="3" t="inlineStr">
        <is>
          <t>VAR_9</t>
        </is>
      </c>
      <c r="C70" s="3" t="inlineStr">
        <is>
          <t>Wooden Material</t>
        </is>
      </c>
      <c r="D70" s="3" t="inlineStr">
        <is>
          <t>MDF</t>
        </is>
      </c>
      <c r="E70" s="3" t="inlineStr">
        <is>
          <t>Action Tesa</t>
        </is>
      </c>
      <c r="F70" s="3" t="inlineStr">
        <is>
          <t>One Side Laminate</t>
        </is>
      </c>
      <c r="H70" s="3" t="inlineStr">
        <is>
          <t>Application</t>
        </is>
      </c>
      <c r="I70" s="3" t="inlineStr">
        <is>
          <t>Exterior</t>
        </is>
      </c>
      <c r="J70" s="3" t="inlineStr">
        <is>
          <t>Size</t>
        </is>
      </c>
      <c r="K70" s="3" t="inlineStr">
        <is>
          <t>8 ft X 4 ft</t>
        </is>
      </c>
      <c r="L70" s="3" t="inlineStr">
        <is>
          <t>Thickness</t>
        </is>
      </c>
      <c r="M70" s="3" t="inlineStr">
        <is>
          <t>17 mm</t>
        </is>
      </c>
      <c r="N70" s="3" t="inlineStr">
        <is>
          <t>Color</t>
        </is>
      </c>
      <c r="O70" s="3" t="inlineStr">
        <is>
          <t>White</t>
        </is>
      </c>
      <c r="Q70" s="3" t="inlineStr">
        <is>
          <t>Manufacturer's Warranty</t>
        </is>
      </c>
      <c r="S70" s="3" t="n">
        <v>1</v>
      </c>
      <c r="U70" s="3" t="n">
        <v>80000</v>
      </c>
      <c r="Y70" s="3" t="inlineStr">
        <is>
          <t>AT_MDF_OSL_LAM_IG</t>
        </is>
      </c>
      <c r="Z70" s="3" t="n">
        <v>4411</v>
      </c>
      <c r="AA70" s="3" t="inlineStr">
        <is>
          <t>per sq ft</t>
        </is>
      </c>
      <c r="AB70" s="3" t="inlineStr">
        <is>
          <t>Area</t>
        </is>
      </c>
      <c r="AC70" s="3" t="n">
        <v>32</v>
      </c>
      <c r="AD70" s="3" t="n">
        <v>112.36</v>
      </c>
      <c r="AE70" s="3">
        <f>+AC70*AD70</f>
        <v/>
      </c>
      <c r="AF70" s="4" t="n">
        <v>0.39</v>
      </c>
      <c r="AG70" s="3">
        <f>ROUND(AE70-(AE70*AF70),2)</f>
        <v/>
      </c>
      <c r="AH70" s="4" t="n">
        <v>0.18</v>
      </c>
      <c r="AI70" s="3">
        <f>ROUND(AG70+(AG70*AH70),2)</f>
        <v/>
      </c>
      <c r="AJ70" s="4" t="n">
        <v>0.1</v>
      </c>
      <c r="AK70" s="3">
        <f>ROUND(AI70*AJ70,2)</f>
        <v/>
      </c>
      <c r="AL70" s="3">
        <f>AI70+AK70</f>
        <v/>
      </c>
      <c r="AM70" s="3">
        <f>AE70-AL70</f>
        <v/>
      </c>
      <c r="AN70" s="4">
        <f>AM70/AE70</f>
        <v/>
      </c>
      <c r="AO70" s="3" t="inlineStr">
        <is>
          <t>3 hrs</t>
        </is>
      </c>
      <c r="AQ70" s="3" t="inlineStr">
        <is>
          <t>Length Weight</t>
        </is>
      </c>
      <c r="AS70"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1" ht="15.75" customHeight="1">
      <c r="A71" s="3" t="inlineStr">
        <is>
          <t>PROD_0010</t>
        </is>
      </c>
      <c r="B71" s="3" t="inlineStr">
        <is>
          <t>VAR_10</t>
        </is>
      </c>
      <c r="C71" s="3" t="inlineStr">
        <is>
          <t>Wooden Material</t>
        </is>
      </c>
      <c r="D71" s="3" t="inlineStr">
        <is>
          <t>MDF</t>
        </is>
      </c>
      <c r="E71" s="3" t="inlineStr">
        <is>
          <t>Action Tesa</t>
        </is>
      </c>
      <c r="F71" s="3" t="inlineStr">
        <is>
          <t>One Side Laminate</t>
        </is>
      </c>
      <c r="H71" s="3" t="inlineStr">
        <is>
          <t>Application</t>
        </is>
      </c>
      <c r="I71" s="3" t="inlineStr">
        <is>
          <t>Exterior</t>
        </is>
      </c>
      <c r="J71" s="3" t="inlineStr">
        <is>
          <t>Size</t>
        </is>
      </c>
      <c r="K71" s="3" t="inlineStr">
        <is>
          <t>8 ft X 4 ft</t>
        </is>
      </c>
      <c r="L71" s="3" t="inlineStr">
        <is>
          <t>Thickness</t>
        </is>
      </c>
      <c r="M71" s="3" t="inlineStr">
        <is>
          <t>18 mm</t>
        </is>
      </c>
      <c r="N71" s="3" t="inlineStr">
        <is>
          <t>Color</t>
        </is>
      </c>
      <c r="O71" s="3" t="inlineStr">
        <is>
          <t>White</t>
        </is>
      </c>
      <c r="Q71" s="3" t="inlineStr">
        <is>
          <t>Manufacturer's Warranty</t>
        </is>
      </c>
      <c r="S71" s="3" t="n">
        <v>1</v>
      </c>
      <c r="U71" s="3" t="n">
        <v>80000</v>
      </c>
      <c r="Y71" s="3" t="inlineStr">
        <is>
          <t>AT_MDF_OSL_LAM_IG</t>
        </is>
      </c>
      <c r="Z71" s="3" t="n">
        <v>4411</v>
      </c>
      <c r="AA71" s="3" t="inlineStr">
        <is>
          <t>per sq ft</t>
        </is>
      </c>
      <c r="AB71" s="3" t="inlineStr">
        <is>
          <t>Area</t>
        </is>
      </c>
      <c r="AC71" s="3" t="n">
        <v>32</v>
      </c>
      <c r="AD71" s="3" t="n">
        <v>121.51</v>
      </c>
      <c r="AE71" s="3">
        <f>+AC71*AD71</f>
        <v/>
      </c>
      <c r="AF71" s="4" t="n">
        <v>0.39</v>
      </c>
      <c r="AG71" s="3">
        <f>ROUND(AE71-(AE71*AF71),2)</f>
        <v/>
      </c>
      <c r="AH71" s="4" t="n">
        <v>0.18</v>
      </c>
      <c r="AI71" s="3">
        <f>ROUND(AG71+(AG71*AH71),2)</f>
        <v/>
      </c>
      <c r="AJ71" s="4" t="n">
        <v>0.1</v>
      </c>
      <c r="AK71" s="3">
        <f>ROUND(AI71*AJ71,2)</f>
        <v/>
      </c>
      <c r="AL71" s="3">
        <f>AI71+AK71</f>
        <v/>
      </c>
      <c r="AM71" s="3">
        <f>AE71-AL71</f>
        <v/>
      </c>
      <c r="AN71" s="4">
        <f>AM71/AE71</f>
        <v/>
      </c>
      <c r="AO71" s="3" t="inlineStr">
        <is>
          <t>3 hrs</t>
        </is>
      </c>
      <c r="AQ71" s="3" t="inlineStr">
        <is>
          <t>Length Weight</t>
        </is>
      </c>
      <c r="AS71"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2" ht="15.75" customHeight="1">
      <c r="A72" s="3" t="inlineStr">
        <is>
          <t>PROD_0011</t>
        </is>
      </c>
      <c r="B72" s="3" t="inlineStr">
        <is>
          <t>VAR_1</t>
        </is>
      </c>
      <c r="C72" s="3" t="inlineStr">
        <is>
          <t>Wooden Material</t>
        </is>
      </c>
      <c r="D72" s="3" t="inlineStr">
        <is>
          <t>MDF</t>
        </is>
      </c>
      <c r="E72" s="3" t="inlineStr">
        <is>
          <t>Action Tesa</t>
        </is>
      </c>
      <c r="F72" s="3" t="inlineStr">
        <is>
          <t>Both Side Laminate</t>
        </is>
      </c>
      <c r="H72" s="3" t="inlineStr">
        <is>
          <t>Application</t>
        </is>
      </c>
      <c r="I72" s="3" t="inlineStr">
        <is>
          <t>Interior</t>
        </is>
      </c>
      <c r="J72" s="3" t="inlineStr">
        <is>
          <t>Size</t>
        </is>
      </c>
      <c r="K72" s="3" t="inlineStr">
        <is>
          <t>8 ft X 4 ft</t>
        </is>
      </c>
      <c r="L72" s="3" t="inlineStr">
        <is>
          <t>Thickness</t>
        </is>
      </c>
      <c r="M72" s="3" t="inlineStr">
        <is>
          <t>5.50 mm</t>
        </is>
      </c>
      <c r="N72" s="3" t="inlineStr">
        <is>
          <t>Color</t>
        </is>
      </c>
      <c r="O72" s="3" t="inlineStr">
        <is>
          <t>White</t>
        </is>
      </c>
      <c r="Q72" s="3" t="inlineStr">
        <is>
          <t>Manufacturer's Warranty</t>
        </is>
      </c>
      <c r="S72" s="3" t="n">
        <v>1</v>
      </c>
      <c r="U72" s="3" t="n">
        <v>80000</v>
      </c>
      <c r="Y72" s="3" t="inlineStr">
        <is>
          <t>AT_MDF_BSL_LAM_IG</t>
        </is>
      </c>
      <c r="Z72" s="3" t="n">
        <v>4411</v>
      </c>
      <c r="AA72" s="3" t="inlineStr">
        <is>
          <t>per sq ft</t>
        </is>
      </c>
      <c r="AB72" s="3" t="inlineStr">
        <is>
          <t>Area</t>
        </is>
      </c>
      <c r="AC72" s="3" t="n">
        <v>32</v>
      </c>
      <c r="AD72" s="3" t="n">
        <v>52.01</v>
      </c>
      <c r="AE72" s="3">
        <f>+AC72*AD72</f>
        <v/>
      </c>
      <c r="AF72" s="4" t="n">
        <v>0.39</v>
      </c>
      <c r="AG72" s="3">
        <f>ROUND(AE72-(AE72*AF72),2)</f>
        <v/>
      </c>
      <c r="AH72" s="4" t="n">
        <v>0.18</v>
      </c>
      <c r="AI72" s="3">
        <f>ROUND(AG72+(AG72*AH72),2)</f>
        <v/>
      </c>
      <c r="AJ72" s="4" t="n">
        <v>0.1</v>
      </c>
      <c r="AK72" s="3">
        <f>ROUND(AI72*AJ72,2)</f>
        <v/>
      </c>
      <c r="AL72" s="3">
        <f>AI72+AK72</f>
        <v/>
      </c>
      <c r="AM72" s="3">
        <f>AE72-AL72</f>
        <v/>
      </c>
      <c r="AN72" s="4">
        <f>AM72/AE72</f>
        <v/>
      </c>
      <c r="AO72" s="3" t="inlineStr">
        <is>
          <t>3 hrs</t>
        </is>
      </c>
      <c r="AQ72" s="3" t="inlineStr">
        <is>
          <t>Length Weight</t>
        </is>
      </c>
      <c r="AS72"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3" ht="15.75" customHeight="1">
      <c r="A73" s="3" t="inlineStr">
        <is>
          <t>PROD_0011</t>
        </is>
      </c>
      <c r="B73" s="3" t="inlineStr">
        <is>
          <t>VAR_2</t>
        </is>
      </c>
      <c r="C73" s="3" t="inlineStr">
        <is>
          <t>Wooden Material</t>
        </is>
      </c>
      <c r="D73" s="3" t="inlineStr">
        <is>
          <t>MDF</t>
        </is>
      </c>
      <c r="E73" s="3" t="inlineStr">
        <is>
          <t>Action Tesa</t>
        </is>
      </c>
      <c r="F73" s="3" t="inlineStr">
        <is>
          <t>Both Side Laminate</t>
        </is>
      </c>
      <c r="H73" s="3" t="inlineStr">
        <is>
          <t>Application</t>
        </is>
      </c>
      <c r="I73" s="3" t="inlineStr">
        <is>
          <t>Interior</t>
        </is>
      </c>
      <c r="J73" s="3" t="inlineStr">
        <is>
          <t>Size</t>
        </is>
      </c>
      <c r="K73" s="3" t="inlineStr">
        <is>
          <t>8 ft X 4 ft</t>
        </is>
      </c>
      <c r="L73" s="3" t="inlineStr">
        <is>
          <t>Thickness</t>
        </is>
      </c>
      <c r="M73" s="3" t="inlineStr">
        <is>
          <t>7.30mm</t>
        </is>
      </c>
      <c r="N73" s="3" t="inlineStr">
        <is>
          <t>Color</t>
        </is>
      </c>
      <c r="O73" s="3" t="inlineStr">
        <is>
          <t>White</t>
        </is>
      </c>
      <c r="Q73" s="3" t="inlineStr">
        <is>
          <t>Manufacturer's Warranty</t>
        </is>
      </c>
      <c r="S73" s="3" t="n">
        <v>1</v>
      </c>
      <c r="U73" s="3" t="n">
        <v>80000</v>
      </c>
      <c r="Y73" s="3" t="inlineStr">
        <is>
          <t>AT_MDF_BSL_LAM_IG</t>
        </is>
      </c>
      <c r="Z73" s="3" t="n">
        <v>4411</v>
      </c>
      <c r="AA73" s="3" t="inlineStr">
        <is>
          <t>per sq ft</t>
        </is>
      </c>
      <c r="AB73" s="3" t="inlineStr">
        <is>
          <t>Area</t>
        </is>
      </c>
      <c r="AC73" s="3" t="n">
        <v>32</v>
      </c>
      <c r="AD73" s="3" t="n">
        <v>57.59</v>
      </c>
      <c r="AE73" s="3">
        <f>+AC73*AD73</f>
        <v/>
      </c>
      <c r="AF73" s="4" t="n">
        <v>0.39</v>
      </c>
      <c r="AG73" s="3">
        <f>ROUND(AE73-(AE73*AF73),2)</f>
        <v/>
      </c>
      <c r="AH73" s="4" t="n">
        <v>0.18</v>
      </c>
      <c r="AI73" s="3">
        <f>ROUND(AG73+(AG73*AH73),2)</f>
        <v/>
      </c>
      <c r="AJ73" s="4" t="n">
        <v>0.1</v>
      </c>
      <c r="AK73" s="3">
        <f>ROUND(AI73*AJ73,2)</f>
        <v/>
      </c>
      <c r="AL73" s="3">
        <f>AI73+AK73</f>
        <v/>
      </c>
      <c r="AM73" s="3">
        <f>AE73-AL73</f>
        <v/>
      </c>
      <c r="AN73" s="4">
        <f>AM73/AE73</f>
        <v/>
      </c>
      <c r="AO73" s="3" t="inlineStr">
        <is>
          <t>3 hrs</t>
        </is>
      </c>
      <c r="AQ73" s="3" t="inlineStr">
        <is>
          <t>Length Weight</t>
        </is>
      </c>
      <c r="AS73"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4" ht="15.75" customHeight="1">
      <c r="A74" s="3" t="inlineStr">
        <is>
          <t>PROD_0011</t>
        </is>
      </c>
      <c r="B74" s="3" t="inlineStr">
        <is>
          <t>VAR_3</t>
        </is>
      </c>
      <c r="C74" s="3" t="inlineStr">
        <is>
          <t>Wooden Material</t>
        </is>
      </c>
      <c r="D74" s="3" t="inlineStr">
        <is>
          <t>MDF</t>
        </is>
      </c>
      <c r="E74" s="3" t="inlineStr">
        <is>
          <t>Action Tesa</t>
        </is>
      </c>
      <c r="F74" s="3" t="inlineStr">
        <is>
          <t>Both Side Laminate</t>
        </is>
      </c>
      <c r="H74" s="3" t="inlineStr">
        <is>
          <t>Application</t>
        </is>
      </c>
      <c r="I74" s="3" t="inlineStr">
        <is>
          <t>Interior</t>
        </is>
      </c>
      <c r="J74" s="3" t="inlineStr">
        <is>
          <t>Size</t>
        </is>
      </c>
      <c r="K74" s="3" t="inlineStr">
        <is>
          <t>8 ft X 4 ft</t>
        </is>
      </c>
      <c r="L74" s="3" t="inlineStr">
        <is>
          <t>Thickness</t>
        </is>
      </c>
      <c r="M74" s="3" t="inlineStr">
        <is>
          <t>11mm</t>
        </is>
      </c>
      <c r="N74" s="3" t="inlineStr">
        <is>
          <t>Color</t>
        </is>
      </c>
      <c r="O74" s="3" t="inlineStr">
        <is>
          <t>White</t>
        </is>
      </c>
      <c r="Q74" s="3" t="inlineStr">
        <is>
          <t>Manufacturer's Warranty</t>
        </is>
      </c>
      <c r="S74" s="3" t="n">
        <v>1</v>
      </c>
      <c r="U74" s="3" t="n">
        <v>80000</v>
      </c>
      <c r="Y74" s="3" t="inlineStr">
        <is>
          <t>AT_MDF_BSL_LAM_IG</t>
        </is>
      </c>
      <c r="Z74" s="3" t="n">
        <v>4411</v>
      </c>
      <c r="AA74" s="3" t="inlineStr">
        <is>
          <t>per sq ft</t>
        </is>
      </c>
      <c r="AB74" s="3" t="inlineStr">
        <is>
          <t>Area</t>
        </is>
      </c>
      <c r="AC74" s="3" t="n">
        <v>32</v>
      </c>
      <c r="AD74" s="3" t="n">
        <v>73.52</v>
      </c>
      <c r="AE74" s="3">
        <f>+AC74*AD74</f>
        <v/>
      </c>
      <c r="AF74" s="4" t="n">
        <v>0.39</v>
      </c>
      <c r="AG74" s="3">
        <f>ROUND(AE74-(AE74*AF74),2)</f>
        <v/>
      </c>
      <c r="AH74" s="4" t="n">
        <v>0.18</v>
      </c>
      <c r="AI74" s="3">
        <f>ROUND(AG74+(AG74*AH74),2)</f>
        <v/>
      </c>
      <c r="AJ74" s="4" t="n">
        <v>0.1</v>
      </c>
      <c r="AK74" s="3">
        <f>ROUND(AI74*AJ74,2)</f>
        <v/>
      </c>
      <c r="AL74" s="3">
        <f>AI74+AK74</f>
        <v/>
      </c>
      <c r="AM74" s="3">
        <f>AE74-AL74</f>
        <v/>
      </c>
      <c r="AN74" s="4">
        <f>AM74/AE74</f>
        <v/>
      </c>
      <c r="AO74" s="3" t="inlineStr">
        <is>
          <t>3 hrs</t>
        </is>
      </c>
      <c r="AQ74" s="3" t="inlineStr">
        <is>
          <t>Length Weight</t>
        </is>
      </c>
      <c r="AS74"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5" ht="15.75" customHeight="1">
      <c r="A75" s="3" t="inlineStr">
        <is>
          <t>PROD_0011</t>
        </is>
      </c>
      <c r="B75" s="3" t="inlineStr">
        <is>
          <t>VAR_4</t>
        </is>
      </c>
      <c r="C75" s="3" t="inlineStr">
        <is>
          <t>Wooden Material</t>
        </is>
      </c>
      <c r="D75" s="3" t="inlineStr">
        <is>
          <t>MDF</t>
        </is>
      </c>
      <c r="E75" s="3" t="inlineStr">
        <is>
          <t>Action Tesa</t>
        </is>
      </c>
      <c r="F75" s="3" t="inlineStr">
        <is>
          <t>Both Side Laminate</t>
        </is>
      </c>
      <c r="H75" s="3" t="inlineStr">
        <is>
          <t>Application</t>
        </is>
      </c>
      <c r="I75" s="3" t="inlineStr">
        <is>
          <t>Interior</t>
        </is>
      </c>
      <c r="J75" s="3" t="inlineStr">
        <is>
          <t>Size</t>
        </is>
      </c>
      <c r="K75" s="3" t="inlineStr">
        <is>
          <t>8 ft X 4 ft</t>
        </is>
      </c>
      <c r="L75" s="3" t="inlineStr">
        <is>
          <t>Thickness</t>
        </is>
      </c>
      <c r="M75" s="3" t="inlineStr">
        <is>
          <t>16.50mm</t>
        </is>
      </c>
      <c r="N75" s="3" t="inlineStr">
        <is>
          <t>Color</t>
        </is>
      </c>
      <c r="O75" s="3" t="inlineStr">
        <is>
          <t>White</t>
        </is>
      </c>
      <c r="Q75" s="3" t="inlineStr">
        <is>
          <t>Manufacturer's Warranty</t>
        </is>
      </c>
      <c r="S75" s="3" t="n">
        <v>1</v>
      </c>
      <c r="U75" s="3" t="n">
        <v>80000</v>
      </c>
      <c r="Y75" s="3" t="inlineStr">
        <is>
          <t>AT_MDF_BSL_LAM_IG</t>
        </is>
      </c>
      <c r="Z75" s="3" t="n">
        <v>4411</v>
      </c>
      <c r="AA75" s="3" t="inlineStr">
        <is>
          <t>per sq ft</t>
        </is>
      </c>
      <c r="AB75" s="3" t="inlineStr">
        <is>
          <t>Area</t>
        </is>
      </c>
      <c r="AC75" s="3" t="n">
        <v>32</v>
      </c>
      <c r="AD75" s="3" t="n">
        <v>93.31999999999999</v>
      </c>
      <c r="AE75" s="3">
        <f>+AC75*AD75</f>
        <v/>
      </c>
      <c r="AF75" s="4" t="n">
        <v>0.39</v>
      </c>
      <c r="AG75" s="3">
        <f>ROUND(AE75-(AE75*AF75),2)</f>
        <v/>
      </c>
      <c r="AH75" s="4" t="n">
        <v>0.18</v>
      </c>
      <c r="AI75" s="3">
        <f>ROUND(AG75+(AG75*AH75),2)</f>
        <v/>
      </c>
      <c r="AJ75" s="4" t="n">
        <v>0.1</v>
      </c>
      <c r="AK75" s="3">
        <f>ROUND(AI75*AJ75,2)</f>
        <v/>
      </c>
      <c r="AL75" s="3">
        <f>AI75+AK75</f>
        <v/>
      </c>
      <c r="AM75" s="3">
        <f>AE75-AL75</f>
        <v/>
      </c>
      <c r="AN75" s="4">
        <f>AM75/AE75</f>
        <v/>
      </c>
      <c r="AO75" s="3" t="inlineStr">
        <is>
          <t>3 hrs</t>
        </is>
      </c>
      <c r="AQ75" s="3" t="inlineStr">
        <is>
          <t>Length Weight</t>
        </is>
      </c>
      <c r="AS75"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6" ht="15.75" customHeight="1">
      <c r="A76" s="3" t="inlineStr">
        <is>
          <t>PROD_0011</t>
        </is>
      </c>
      <c r="B76" s="3" t="inlineStr">
        <is>
          <t>VAR_5</t>
        </is>
      </c>
      <c r="C76" s="3" t="inlineStr">
        <is>
          <t>Wooden Material</t>
        </is>
      </c>
      <c r="D76" s="3" t="inlineStr">
        <is>
          <t>MDF</t>
        </is>
      </c>
      <c r="E76" s="3" t="inlineStr">
        <is>
          <t>Action Tesa</t>
        </is>
      </c>
      <c r="F76" s="3" t="inlineStr">
        <is>
          <t>Both Side Laminate</t>
        </is>
      </c>
      <c r="H76" s="3" t="inlineStr">
        <is>
          <t>Application</t>
        </is>
      </c>
      <c r="I76" s="3" t="inlineStr">
        <is>
          <t>Interior</t>
        </is>
      </c>
      <c r="J76" s="3" t="inlineStr">
        <is>
          <t>Size</t>
        </is>
      </c>
      <c r="K76" s="3" t="inlineStr">
        <is>
          <t>8 ft X 4 ft</t>
        </is>
      </c>
      <c r="L76" s="3" t="inlineStr">
        <is>
          <t>Thickness</t>
        </is>
      </c>
      <c r="M76" s="3" t="inlineStr">
        <is>
          <t>17mm</t>
        </is>
      </c>
      <c r="N76" s="3" t="inlineStr">
        <is>
          <t>Color</t>
        </is>
      </c>
      <c r="O76" s="3" t="inlineStr">
        <is>
          <t>White</t>
        </is>
      </c>
      <c r="Q76" s="3" t="inlineStr">
        <is>
          <t>Manufacturer's Warranty</t>
        </is>
      </c>
      <c r="S76" s="3" t="n">
        <v>1</v>
      </c>
      <c r="U76" s="3" t="n">
        <v>80000</v>
      </c>
      <c r="Y76" s="3" t="inlineStr">
        <is>
          <t>AT_MDF_BSL_LAM_IG</t>
        </is>
      </c>
      <c r="Z76" s="3" t="n">
        <v>4411</v>
      </c>
      <c r="AA76" s="3" t="inlineStr">
        <is>
          <t>per sq ft</t>
        </is>
      </c>
      <c r="AB76" s="3" t="inlineStr">
        <is>
          <t>Area</t>
        </is>
      </c>
      <c r="AC76" s="3" t="n">
        <v>32</v>
      </c>
      <c r="AD76" s="3" t="n">
        <v>95.34</v>
      </c>
      <c r="AE76" s="3">
        <f>+AC76*AD76</f>
        <v/>
      </c>
      <c r="AF76" s="4" t="n">
        <v>0.39</v>
      </c>
      <c r="AG76" s="3">
        <f>ROUND(AE76-(AE76*AF76),2)</f>
        <v/>
      </c>
      <c r="AH76" s="4" t="n">
        <v>0.18</v>
      </c>
      <c r="AI76" s="3">
        <f>ROUND(AG76+(AG76*AH76),2)</f>
        <v/>
      </c>
      <c r="AJ76" s="4" t="n">
        <v>0.1</v>
      </c>
      <c r="AK76" s="3">
        <f>ROUND(AI76*AJ76,2)</f>
        <v/>
      </c>
      <c r="AL76" s="3">
        <f>AI76+AK76</f>
        <v/>
      </c>
      <c r="AM76" s="3">
        <f>AE76-AL76</f>
        <v/>
      </c>
      <c r="AN76" s="4">
        <f>AM76/AE76</f>
        <v/>
      </c>
      <c r="AO76" s="3" t="inlineStr">
        <is>
          <t>3 hrs</t>
        </is>
      </c>
      <c r="AQ76" s="3" t="inlineStr">
        <is>
          <t>Length Weight</t>
        </is>
      </c>
      <c r="AS76"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7" ht="15.75" customHeight="1">
      <c r="A77" s="3" t="inlineStr">
        <is>
          <t>PROD_0011</t>
        </is>
      </c>
      <c r="B77" s="3" t="inlineStr">
        <is>
          <t>VAR_6</t>
        </is>
      </c>
      <c r="C77" s="3" t="inlineStr">
        <is>
          <t>Wooden Material</t>
        </is>
      </c>
      <c r="D77" s="3" t="inlineStr">
        <is>
          <t>MDF</t>
        </is>
      </c>
      <c r="E77" s="3" t="inlineStr">
        <is>
          <t>Action Tesa</t>
        </is>
      </c>
      <c r="F77" s="3" t="inlineStr">
        <is>
          <t>Both Side Laminate</t>
        </is>
      </c>
      <c r="H77" s="3" t="inlineStr">
        <is>
          <t>Application</t>
        </is>
      </c>
      <c r="I77" s="3" t="inlineStr">
        <is>
          <t>Interior</t>
        </is>
      </c>
      <c r="J77" s="3" t="inlineStr">
        <is>
          <t>Size</t>
        </is>
      </c>
      <c r="K77" s="3" t="inlineStr">
        <is>
          <t>8 ft X 4 ft</t>
        </is>
      </c>
      <c r="L77" s="3" t="inlineStr">
        <is>
          <t>Thickness</t>
        </is>
      </c>
      <c r="M77" s="3" t="inlineStr">
        <is>
          <t>18mm</t>
        </is>
      </c>
      <c r="N77" s="3" t="inlineStr">
        <is>
          <t>Color</t>
        </is>
      </c>
      <c r="O77" s="3" t="inlineStr">
        <is>
          <t>White</t>
        </is>
      </c>
      <c r="Q77" s="3" t="inlineStr">
        <is>
          <t>Manufacturer's Warranty</t>
        </is>
      </c>
      <c r="S77" s="3" t="n">
        <v>1</v>
      </c>
      <c r="U77" s="3" t="n">
        <v>80000</v>
      </c>
      <c r="Y77" s="3" t="inlineStr">
        <is>
          <t>AT_MDF_BSL_LAM_IG</t>
        </is>
      </c>
      <c r="Z77" s="3" t="n">
        <v>4411</v>
      </c>
      <c r="AA77" s="3" t="inlineStr">
        <is>
          <t>per sq ft</t>
        </is>
      </c>
      <c r="AB77" s="3" t="inlineStr">
        <is>
          <t>Area</t>
        </is>
      </c>
      <c r="AC77" s="3" t="n">
        <v>32</v>
      </c>
      <c r="AD77" s="5" t="n">
        <v>102.4</v>
      </c>
      <c r="AE77" s="3">
        <f>+AC77*AD77</f>
        <v/>
      </c>
      <c r="AF77" s="4" t="n">
        <v>0.39</v>
      </c>
      <c r="AG77" s="3">
        <f>ROUND(AE77-(AE77*AF77),2)</f>
        <v/>
      </c>
      <c r="AH77" s="4" t="n">
        <v>0.18</v>
      </c>
      <c r="AI77" s="3">
        <f>ROUND(AG77+(AG77*AH77),2)</f>
        <v/>
      </c>
      <c r="AJ77" s="4" t="n">
        <v>0.1</v>
      </c>
      <c r="AK77" s="3">
        <f>ROUND(AI77*AJ77,2)</f>
        <v/>
      </c>
      <c r="AL77" s="3">
        <f>AI77+AK77</f>
        <v/>
      </c>
      <c r="AM77" s="3">
        <f>AE77-AL77</f>
        <v/>
      </c>
      <c r="AN77" s="4">
        <f>AM77/AE77</f>
        <v/>
      </c>
      <c r="AO77" s="3" t="inlineStr">
        <is>
          <t>3 hrs</t>
        </is>
      </c>
      <c r="AQ77" s="3" t="inlineStr">
        <is>
          <t>Length Weight</t>
        </is>
      </c>
      <c r="AS77"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8" ht="15.75" customHeight="1">
      <c r="A78" s="3" t="inlineStr">
        <is>
          <t>PROD_0011</t>
        </is>
      </c>
      <c r="B78" s="3" t="inlineStr">
        <is>
          <t>VAR_7</t>
        </is>
      </c>
      <c r="C78" s="3" t="inlineStr">
        <is>
          <t>Wooden Material</t>
        </is>
      </c>
      <c r="D78" s="3" t="inlineStr">
        <is>
          <t>MDF</t>
        </is>
      </c>
      <c r="E78" s="3" t="inlineStr">
        <is>
          <t>Action Tesa</t>
        </is>
      </c>
      <c r="F78" s="3" t="inlineStr">
        <is>
          <t>Both Side Laminate</t>
        </is>
      </c>
      <c r="H78" s="3" t="inlineStr">
        <is>
          <t>Application</t>
        </is>
      </c>
      <c r="I78" s="3" t="inlineStr">
        <is>
          <t>Interior</t>
        </is>
      </c>
      <c r="J78" s="3" t="inlineStr">
        <is>
          <t>Size</t>
        </is>
      </c>
      <c r="K78" s="3" t="inlineStr">
        <is>
          <t>8 ft X 4 ft</t>
        </is>
      </c>
      <c r="L78" s="3" t="inlineStr">
        <is>
          <t>Thickness</t>
        </is>
      </c>
      <c r="M78" s="3" t="inlineStr">
        <is>
          <t>7.30 mm</t>
        </is>
      </c>
      <c r="N78" s="3" t="inlineStr">
        <is>
          <t>Color</t>
        </is>
      </c>
      <c r="O78" s="3" t="inlineStr">
        <is>
          <t>White</t>
        </is>
      </c>
      <c r="Q78" s="3" t="inlineStr">
        <is>
          <t>Manufacturer's Warranty</t>
        </is>
      </c>
      <c r="S78" s="3" t="n">
        <v>1</v>
      </c>
      <c r="U78" s="3" t="n">
        <v>80000</v>
      </c>
      <c r="Y78" s="3" t="inlineStr">
        <is>
          <t>AT_MDF_BSL_LAM_IG</t>
        </is>
      </c>
      <c r="Z78" s="3" t="n">
        <v>4411</v>
      </c>
      <c r="AA78" s="3" t="inlineStr">
        <is>
          <t>per sq ft</t>
        </is>
      </c>
      <c r="AB78" s="3" t="inlineStr">
        <is>
          <t>Area</t>
        </is>
      </c>
      <c r="AC78" s="3" t="n">
        <v>32</v>
      </c>
      <c r="AD78" s="3" t="n">
        <v>66.33</v>
      </c>
      <c r="AE78" s="3">
        <f>+AC78*AD78</f>
        <v/>
      </c>
      <c r="AF78" s="4" t="n">
        <v>0.39</v>
      </c>
      <c r="AG78" s="3">
        <f>ROUND(AE78-(AE78*AF78),2)</f>
        <v/>
      </c>
      <c r="AH78" s="4" t="n">
        <v>0.18</v>
      </c>
      <c r="AI78" s="3">
        <f>ROUND(AG78+(AG78*AH78),2)</f>
        <v/>
      </c>
      <c r="AJ78" s="4" t="n">
        <v>0.1</v>
      </c>
      <c r="AK78" s="3">
        <f>ROUND(AI78*AJ78,2)</f>
        <v/>
      </c>
      <c r="AL78" s="3">
        <f>AI78+AK78</f>
        <v/>
      </c>
      <c r="AM78" s="3">
        <f>AE78-AL78</f>
        <v/>
      </c>
      <c r="AN78" s="4">
        <f>AM78/AE78</f>
        <v/>
      </c>
      <c r="AO78" s="3" t="inlineStr">
        <is>
          <t>3 hrs</t>
        </is>
      </c>
      <c r="AQ78" s="3" t="inlineStr">
        <is>
          <t>Length Weight</t>
        </is>
      </c>
      <c r="AS78"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79" ht="15.75" customHeight="1">
      <c r="A79" s="3" t="inlineStr">
        <is>
          <t>PROD_0011</t>
        </is>
      </c>
      <c r="B79" s="3" t="inlineStr">
        <is>
          <t>VAR_8</t>
        </is>
      </c>
      <c r="C79" s="3" t="inlineStr">
        <is>
          <t>Wooden Material</t>
        </is>
      </c>
      <c r="D79" s="3" t="inlineStr">
        <is>
          <t>MDF</t>
        </is>
      </c>
      <c r="E79" s="3" t="inlineStr">
        <is>
          <t>Action Tesa</t>
        </is>
      </c>
      <c r="F79" s="3" t="inlineStr">
        <is>
          <t>Both Side Laminate</t>
        </is>
      </c>
      <c r="H79" s="3" t="inlineStr">
        <is>
          <t>Application</t>
        </is>
      </c>
      <c r="I79" s="3" t="inlineStr">
        <is>
          <t>Interior</t>
        </is>
      </c>
      <c r="J79" s="3" t="inlineStr">
        <is>
          <t>Size</t>
        </is>
      </c>
      <c r="K79" s="3" t="inlineStr">
        <is>
          <t>8 ft X 4 ft</t>
        </is>
      </c>
      <c r="L79" s="3" t="inlineStr">
        <is>
          <t>Thickness</t>
        </is>
      </c>
      <c r="M79" s="3" t="inlineStr">
        <is>
          <t>11 mm</t>
        </is>
      </c>
      <c r="N79" s="3" t="inlineStr">
        <is>
          <t>Color</t>
        </is>
      </c>
      <c r="O79" s="3" t="inlineStr">
        <is>
          <t>White</t>
        </is>
      </c>
      <c r="Q79" s="3" t="inlineStr">
        <is>
          <t>Manufacturer's Warranty</t>
        </is>
      </c>
      <c r="S79" s="3" t="n">
        <v>1</v>
      </c>
      <c r="U79" s="3" t="n">
        <v>80000</v>
      </c>
      <c r="Y79" s="3" t="inlineStr">
        <is>
          <t>AT_MDF_BSL_LAM_IG</t>
        </is>
      </c>
      <c r="Z79" s="3" t="n">
        <v>4411</v>
      </c>
      <c r="AA79" s="3" t="inlineStr">
        <is>
          <t>per sq ft</t>
        </is>
      </c>
      <c r="AB79" s="3" t="inlineStr">
        <is>
          <t>Area</t>
        </is>
      </c>
      <c r="AC79" s="3" t="n">
        <v>32</v>
      </c>
      <c r="AD79" s="3" t="n">
        <v>86.87</v>
      </c>
      <c r="AE79" s="3">
        <f>+AC79*AD79</f>
        <v/>
      </c>
      <c r="AF79" s="4" t="n">
        <v>0.39</v>
      </c>
      <c r="AG79" s="3">
        <f>ROUND(AE79-(AE79*AF79),2)</f>
        <v/>
      </c>
      <c r="AH79" s="4" t="n">
        <v>0.18</v>
      </c>
      <c r="AI79" s="3">
        <f>ROUND(AG79+(AG79*AH79),2)</f>
        <v/>
      </c>
      <c r="AJ79" s="4" t="n">
        <v>0.1</v>
      </c>
      <c r="AK79" s="3">
        <f>ROUND(AI79*AJ79,2)</f>
        <v/>
      </c>
      <c r="AL79" s="3">
        <f>AI79+AK79</f>
        <v/>
      </c>
      <c r="AM79" s="3">
        <f>AE79-AL79</f>
        <v/>
      </c>
      <c r="AN79" s="4">
        <f>AM79/AE79</f>
        <v/>
      </c>
      <c r="AO79" s="3" t="inlineStr">
        <is>
          <t>3 hrs</t>
        </is>
      </c>
      <c r="AQ79" s="3" t="inlineStr">
        <is>
          <t>Length Weight</t>
        </is>
      </c>
      <c r="AS79"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0" ht="15.75" customHeight="1">
      <c r="A80" s="3" t="inlineStr">
        <is>
          <t>PROD_0011</t>
        </is>
      </c>
      <c r="B80" s="3" t="inlineStr">
        <is>
          <t>VAR_9</t>
        </is>
      </c>
      <c r="C80" s="3" t="inlineStr">
        <is>
          <t>Wooden Material</t>
        </is>
      </c>
      <c r="D80" s="3" t="inlineStr">
        <is>
          <t>MDF</t>
        </is>
      </c>
      <c r="E80" s="3" t="inlineStr">
        <is>
          <t>Action Tesa</t>
        </is>
      </c>
      <c r="F80" s="3" t="inlineStr">
        <is>
          <t>Both Side Laminate</t>
        </is>
      </c>
      <c r="H80" s="3" t="inlineStr">
        <is>
          <t>Application</t>
        </is>
      </c>
      <c r="I80" s="3" t="inlineStr">
        <is>
          <t>Interior</t>
        </is>
      </c>
      <c r="J80" s="3" t="inlineStr">
        <is>
          <t>Size</t>
        </is>
      </c>
      <c r="K80" s="3" t="inlineStr">
        <is>
          <t>8 ft X 4 ft</t>
        </is>
      </c>
      <c r="L80" s="3" t="inlineStr">
        <is>
          <t>Thickness</t>
        </is>
      </c>
      <c r="M80" s="3" t="inlineStr">
        <is>
          <t>17 mm</t>
        </is>
      </c>
      <c r="N80" s="3" t="inlineStr">
        <is>
          <t>Color</t>
        </is>
      </c>
      <c r="O80" s="3" t="inlineStr">
        <is>
          <t>White</t>
        </is>
      </c>
      <c r="Q80" s="3" t="inlineStr">
        <is>
          <t>Manufacturer's Warranty</t>
        </is>
      </c>
      <c r="S80" s="3" t="n">
        <v>1</v>
      </c>
      <c r="U80" s="3" t="n">
        <v>80000</v>
      </c>
      <c r="Y80" s="3" t="inlineStr">
        <is>
          <t>AT_MDF_BSL_LAM_IG</t>
        </is>
      </c>
      <c r="Z80" s="3" t="n">
        <v>4411</v>
      </c>
      <c r="AA80" s="3" t="inlineStr">
        <is>
          <t>per sq ft</t>
        </is>
      </c>
      <c r="AB80" s="3" t="inlineStr">
        <is>
          <t>Area</t>
        </is>
      </c>
      <c r="AC80" s="3" t="n">
        <v>32</v>
      </c>
      <c r="AD80" s="3" t="n">
        <v>114.85</v>
      </c>
      <c r="AE80" s="3">
        <f>+AC80*AD80</f>
        <v/>
      </c>
      <c r="AF80" s="4" t="n">
        <v>0.39</v>
      </c>
      <c r="AG80" s="3">
        <f>ROUND(AE80-(AE80*AF80),2)</f>
        <v/>
      </c>
      <c r="AH80" s="4" t="n">
        <v>0.18</v>
      </c>
      <c r="AI80" s="3">
        <f>ROUND(AG80+(AG80*AH80),2)</f>
        <v/>
      </c>
      <c r="AJ80" s="4" t="n">
        <v>0.1</v>
      </c>
      <c r="AK80" s="3">
        <f>ROUND(AI80*AJ80,2)</f>
        <v/>
      </c>
      <c r="AL80" s="3">
        <f>AI80+AK80</f>
        <v/>
      </c>
      <c r="AM80" s="3">
        <f>AE80-AL80</f>
        <v/>
      </c>
      <c r="AN80" s="4">
        <f>AM80/AE80</f>
        <v/>
      </c>
      <c r="AO80" s="3" t="inlineStr">
        <is>
          <t>3 hrs</t>
        </is>
      </c>
      <c r="AQ80" s="3" t="inlineStr">
        <is>
          <t>Length Weight</t>
        </is>
      </c>
      <c r="AS80"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1" ht="15.75" customHeight="1">
      <c r="A81" s="3" t="inlineStr">
        <is>
          <t>PROD_0011</t>
        </is>
      </c>
      <c r="B81" s="3" t="inlineStr">
        <is>
          <t>VAR_10</t>
        </is>
      </c>
      <c r="C81" s="3" t="inlineStr">
        <is>
          <t>Wooden Material</t>
        </is>
      </c>
      <c r="D81" s="3" t="inlineStr">
        <is>
          <t>MDF</t>
        </is>
      </c>
      <c r="E81" s="3" t="inlineStr">
        <is>
          <t>Action Tesa</t>
        </is>
      </c>
      <c r="F81" s="3" t="inlineStr">
        <is>
          <t>Both Side Laminate</t>
        </is>
      </c>
      <c r="H81" s="3" t="inlineStr">
        <is>
          <t>Application</t>
        </is>
      </c>
      <c r="I81" s="3" t="inlineStr">
        <is>
          <t>Interior</t>
        </is>
      </c>
      <c r="J81" s="3" t="inlineStr">
        <is>
          <t>Size</t>
        </is>
      </c>
      <c r="K81" s="3" t="inlineStr">
        <is>
          <t>8 ft X 4 ft</t>
        </is>
      </c>
      <c r="L81" s="3" t="inlineStr">
        <is>
          <t>Thickness</t>
        </is>
      </c>
      <c r="M81" s="3" t="inlineStr">
        <is>
          <t>18 mm</t>
        </is>
      </c>
      <c r="N81" s="3" t="inlineStr">
        <is>
          <t>Color</t>
        </is>
      </c>
      <c r="O81" s="3" t="inlineStr">
        <is>
          <t>White</t>
        </is>
      </c>
      <c r="Q81" s="3" t="inlineStr">
        <is>
          <t>Manufacturer's Warranty</t>
        </is>
      </c>
      <c r="S81" s="3" t="n">
        <v>1</v>
      </c>
      <c r="U81" s="3" t="n">
        <v>80000</v>
      </c>
      <c r="Y81" s="3" t="inlineStr">
        <is>
          <t>AT_MDF_BSL_LAM_IG</t>
        </is>
      </c>
      <c r="Z81" s="3" t="n">
        <v>4411</v>
      </c>
      <c r="AA81" s="3" t="inlineStr">
        <is>
          <t>per sq ft</t>
        </is>
      </c>
      <c r="AB81" s="3" t="inlineStr">
        <is>
          <t>Area</t>
        </is>
      </c>
      <c r="AC81" s="3" t="n">
        <v>32</v>
      </c>
      <c r="AD81" s="3" t="n">
        <v>124</v>
      </c>
      <c r="AE81" s="3">
        <f>+AC81*AD81</f>
        <v/>
      </c>
      <c r="AF81" s="4" t="n">
        <v>0.39</v>
      </c>
      <c r="AG81" s="3">
        <f>ROUND(AE81-(AE81*AF81),2)</f>
        <v/>
      </c>
      <c r="AH81" s="4" t="n">
        <v>0.18</v>
      </c>
      <c r="AI81" s="3">
        <f>ROUND(AG81+(AG81*AH81),2)</f>
        <v/>
      </c>
      <c r="AJ81" s="4" t="n">
        <v>0.1</v>
      </c>
      <c r="AK81" s="3">
        <f>ROUND(AI81*AJ81,2)</f>
        <v/>
      </c>
      <c r="AL81" s="3">
        <f>AI81+AK81</f>
        <v/>
      </c>
      <c r="AM81" s="3">
        <f>AE81-AL81</f>
        <v/>
      </c>
      <c r="AN81" s="4">
        <f>AM81/AE81</f>
        <v/>
      </c>
      <c r="AO81" s="3" t="inlineStr">
        <is>
          <t>3 hrs</t>
        </is>
      </c>
      <c r="AQ81" s="3" t="inlineStr">
        <is>
          <t>Length Weight</t>
        </is>
      </c>
      <c r="AS81"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2" ht="15.75" customHeight="1">
      <c r="A82" s="3" t="inlineStr">
        <is>
          <t>PROD_0012</t>
        </is>
      </c>
      <c r="B82" s="3" t="inlineStr">
        <is>
          <t>VAR_1</t>
        </is>
      </c>
      <c r="C82" s="3" t="inlineStr">
        <is>
          <t>Wooden Material</t>
        </is>
      </c>
      <c r="D82" s="3" t="inlineStr">
        <is>
          <t>MDF</t>
        </is>
      </c>
      <c r="E82" s="3" t="inlineStr">
        <is>
          <t>Action Tesa</t>
        </is>
      </c>
      <c r="F82" s="3" t="inlineStr">
        <is>
          <t>Both Side Board</t>
        </is>
      </c>
      <c r="H82" s="3" t="inlineStr">
        <is>
          <t>Application</t>
        </is>
      </c>
      <c r="I82" s="3" t="inlineStr">
        <is>
          <t>Interior</t>
        </is>
      </c>
      <c r="J82" s="3" t="inlineStr">
        <is>
          <t>Size</t>
        </is>
      </c>
      <c r="K82" s="3" t="inlineStr">
        <is>
          <t>8 ft X 4 ft</t>
        </is>
      </c>
      <c r="L82" s="3" t="inlineStr">
        <is>
          <t>Thickness</t>
        </is>
      </c>
      <c r="M82" s="3" t="inlineStr">
        <is>
          <t>5.50 mm</t>
        </is>
      </c>
      <c r="N82" s="3" t="inlineStr">
        <is>
          <t>Color</t>
        </is>
      </c>
      <c r="O82" s="3" t="inlineStr">
        <is>
          <t>White</t>
        </is>
      </c>
      <c r="Q82" s="3" t="inlineStr">
        <is>
          <t>Manufacturer's Warranty</t>
        </is>
      </c>
      <c r="S82" s="3" t="n">
        <v>1</v>
      </c>
      <c r="U82" s="3" t="n">
        <v>80000</v>
      </c>
      <c r="Y82" s="3" t="inlineStr">
        <is>
          <t>AT_MDF_BSB_LAM_IG</t>
        </is>
      </c>
      <c r="Z82" s="3" t="n">
        <v>4411</v>
      </c>
      <c r="AA82" s="3" t="inlineStr">
        <is>
          <t>per sq ft</t>
        </is>
      </c>
      <c r="AB82" s="3" t="inlineStr">
        <is>
          <t>Area</t>
        </is>
      </c>
      <c r="AC82" s="3" t="n">
        <v>32</v>
      </c>
      <c r="AD82" s="3" t="n">
        <v>47</v>
      </c>
      <c r="AE82" s="3">
        <f>+AC82*AD82</f>
        <v/>
      </c>
      <c r="AF82" s="4" t="n">
        <v>0.39</v>
      </c>
      <c r="AG82" s="3">
        <f>ROUND(AE82-(AE82*AF82),2)</f>
        <v/>
      </c>
      <c r="AH82" s="4" t="n">
        <v>0.18</v>
      </c>
      <c r="AI82" s="3">
        <f>ROUND(AG82+(AG82*AH82),2)</f>
        <v/>
      </c>
      <c r="AJ82" s="4" t="n">
        <v>0.1</v>
      </c>
      <c r="AK82" s="3">
        <f>ROUND(AI82*AJ82,2)</f>
        <v/>
      </c>
      <c r="AL82" s="3">
        <f>AI82+AK82</f>
        <v/>
      </c>
      <c r="AM82" s="3">
        <f>AE82-AL82</f>
        <v/>
      </c>
      <c r="AN82" s="4">
        <f>AM82/AE82</f>
        <v/>
      </c>
      <c r="AO82" s="3" t="inlineStr">
        <is>
          <t>3 hrs</t>
        </is>
      </c>
      <c r="AQ82" s="3" t="inlineStr">
        <is>
          <t>Length Weight</t>
        </is>
      </c>
      <c r="AS82"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3" ht="15.75" customHeight="1">
      <c r="A83" s="3" t="inlineStr">
        <is>
          <t>PROD_0012</t>
        </is>
      </c>
      <c r="B83" s="3" t="inlineStr">
        <is>
          <t>VAR_2</t>
        </is>
      </c>
      <c r="C83" s="3" t="inlineStr">
        <is>
          <t>Wooden Material</t>
        </is>
      </c>
      <c r="D83" s="3" t="inlineStr">
        <is>
          <t>MDF</t>
        </is>
      </c>
      <c r="E83" s="3" t="inlineStr">
        <is>
          <t>Action Tesa</t>
        </is>
      </c>
      <c r="F83" s="3" t="inlineStr">
        <is>
          <t>Both Side Board</t>
        </is>
      </c>
      <c r="H83" s="3" t="inlineStr">
        <is>
          <t>Application</t>
        </is>
      </c>
      <c r="I83" s="3" t="inlineStr">
        <is>
          <t>Interior</t>
        </is>
      </c>
      <c r="J83" s="3" t="inlineStr">
        <is>
          <t>Size</t>
        </is>
      </c>
      <c r="K83" s="3" t="inlineStr">
        <is>
          <t>8 ft X 4 ft</t>
        </is>
      </c>
      <c r="L83" s="3" t="inlineStr">
        <is>
          <t>Thickness</t>
        </is>
      </c>
      <c r="M83" s="3" t="inlineStr">
        <is>
          <t>7.30 mm</t>
        </is>
      </c>
      <c r="N83" s="3" t="inlineStr">
        <is>
          <t>Color</t>
        </is>
      </c>
      <c r="O83" s="3" t="inlineStr">
        <is>
          <t>White</t>
        </is>
      </c>
      <c r="Q83" s="3" t="inlineStr">
        <is>
          <t>Manufacturer's Warranty</t>
        </is>
      </c>
      <c r="S83" s="3" t="n">
        <v>1</v>
      </c>
      <c r="U83" s="3" t="n">
        <v>80000</v>
      </c>
      <c r="Y83" s="3" t="inlineStr">
        <is>
          <t>AT_MDF_BSB_LAM_IG</t>
        </is>
      </c>
      <c r="Z83" s="3" t="n">
        <v>4411</v>
      </c>
      <c r="AA83" s="3" t="inlineStr">
        <is>
          <t>per sq ft</t>
        </is>
      </c>
      <c r="AB83" s="3" t="inlineStr">
        <is>
          <t>Area</t>
        </is>
      </c>
      <c r="AC83" s="3" t="n">
        <v>32</v>
      </c>
      <c r="AD83" s="3" t="n">
        <v>52.59</v>
      </c>
      <c r="AE83" s="3">
        <f>+AC83*AD83</f>
        <v/>
      </c>
      <c r="AF83" s="4" t="n">
        <v>0.39</v>
      </c>
      <c r="AG83" s="3">
        <f>ROUND(AE83-(AE83*AF83),2)</f>
        <v/>
      </c>
      <c r="AH83" s="4" t="n">
        <v>0.18</v>
      </c>
      <c r="AI83" s="3">
        <f>ROUND(AG83+(AG83*AH83),2)</f>
        <v/>
      </c>
      <c r="AJ83" s="4" t="n">
        <v>0.1</v>
      </c>
      <c r="AK83" s="3">
        <f>ROUND(AI83*AJ83,2)</f>
        <v/>
      </c>
      <c r="AL83" s="3">
        <f>AI83+AK83</f>
        <v/>
      </c>
      <c r="AM83" s="3">
        <f>AE83-AL83</f>
        <v/>
      </c>
      <c r="AN83" s="4">
        <f>AM83/AE83</f>
        <v/>
      </c>
      <c r="AO83" s="3" t="inlineStr">
        <is>
          <t>3 hrs</t>
        </is>
      </c>
      <c r="AQ83" s="3" t="inlineStr">
        <is>
          <t>Length Weight</t>
        </is>
      </c>
      <c r="AS83"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4" ht="15.75" customHeight="1">
      <c r="A84" s="3" t="inlineStr">
        <is>
          <t>PROD_0012</t>
        </is>
      </c>
      <c r="B84" s="3" t="inlineStr">
        <is>
          <t>VAR_3</t>
        </is>
      </c>
      <c r="C84" s="3" t="inlineStr">
        <is>
          <t>Wooden Material</t>
        </is>
      </c>
      <c r="D84" s="3" t="inlineStr">
        <is>
          <t>MDF</t>
        </is>
      </c>
      <c r="E84" s="3" t="inlineStr">
        <is>
          <t>Action Tesa</t>
        </is>
      </c>
      <c r="F84" s="3" t="inlineStr">
        <is>
          <t>Both Side Board</t>
        </is>
      </c>
      <c r="H84" s="3" t="inlineStr">
        <is>
          <t>Application</t>
        </is>
      </c>
      <c r="I84" s="3" t="inlineStr">
        <is>
          <t>Interior</t>
        </is>
      </c>
      <c r="J84" s="3" t="inlineStr">
        <is>
          <t>Size</t>
        </is>
      </c>
      <c r="K84" s="3" t="inlineStr">
        <is>
          <t>8 ft X 4 ft</t>
        </is>
      </c>
      <c r="L84" s="3" t="inlineStr">
        <is>
          <t>Thickness</t>
        </is>
      </c>
      <c r="M84" s="3" t="inlineStr">
        <is>
          <t>11 mm</t>
        </is>
      </c>
      <c r="N84" s="3" t="inlineStr">
        <is>
          <t>Color</t>
        </is>
      </c>
      <c r="O84" s="3" t="inlineStr">
        <is>
          <t>White</t>
        </is>
      </c>
      <c r="Q84" s="3" t="inlineStr">
        <is>
          <t>Manufacturer's Warranty</t>
        </is>
      </c>
      <c r="S84" s="3" t="n">
        <v>1</v>
      </c>
      <c r="U84" s="3" t="n">
        <v>80000</v>
      </c>
      <c r="Y84" s="3" t="inlineStr">
        <is>
          <t>AT_MDF_BSB_LAM_IG</t>
        </is>
      </c>
      <c r="Z84" s="3" t="n">
        <v>4411</v>
      </c>
      <c r="AA84" s="3" t="inlineStr">
        <is>
          <t>per sq ft</t>
        </is>
      </c>
      <c r="AB84" s="3" t="inlineStr">
        <is>
          <t>Area</t>
        </is>
      </c>
      <c r="AC84" s="3" t="n">
        <v>32</v>
      </c>
      <c r="AD84" s="3" t="n">
        <v>68.53</v>
      </c>
      <c r="AE84" s="3">
        <f>+AC84*AD84</f>
        <v/>
      </c>
      <c r="AF84" s="4" t="n">
        <v>0.39</v>
      </c>
      <c r="AG84" s="3">
        <f>ROUND(AE84-(AE84*AF84),2)</f>
        <v/>
      </c>
      <c r="AH84" s="4" t="n">
        <v>0.18</v>
      </c>
      <c r="AI84" s="3">
        <f>ROUND(AG84+(AG84*AH84),2)</f>
        <v/>
      </c>
      <c r="AJ84" s="4" t="n">
        <v>0.1</v>
      </c>
      <c r="AK84" s="3">
        <f>ROUND(AI84*AJ84,2)</f>
        <v/>
      </c>
      <c r="AL84" s="3">
        <f>AI84+AK84</f>
        <v/>
      </c>
      <c r="AM84" s="3">
        <f>AE84-AL84</f>
        <v/>
      </c>
      <c r="AN84" s="4">
        <f>AM84/AE84</f>
        <v/>
      </c>
      <c r="AO84" s="3" t="inlineStr">
        <is>
          <t>3 hrs</t>
        </is>
      </c>
      <c r="AQ84" s="3" t="inlineStr">
        <is>
          <t>Length Weight</t>
        </is>
      </c>
      <c r="AS84"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5" ht="15.75" customHeight="1">
      <c r="A85" s="3" t="inlineStr">
        <is>
          <t>PROD_0012</t>
        </is>
      </c>
      <c r="B85" s="3" t="inlineStr">
        <is>
          <t>VAR_4</t>
        </is>
      </c>
      <c r="C85" s="3" t="inlineStr">
        <is>
          <t>Wooden Material</t>
        </is>
      </c>
      <c r="D85" s="3" t="inlineStr">
        <is>
          <t>MDF</t>
        </is>
      </c>
      <c r="E85" s="3" t="inlineStr">
        <is>
          <t>Action Tesa</t>
        </is>
      </c>
      <c r="F85" s="3" t="inlineStr">
        <is>
          <t>Both Side Board</t>
        </is>
      </c>
      <c r="H85" s="3" t="inlineStr">
        <is>
          <t>Application</t>
        </is>
      </c>
      <c r="I85" s="3" t="inlineStr">
        <is>
          <t>Interior</t>
        </is>
      </c>
      <c r="J85" s="3" t="inlineStr">
        <is>
          <t>Size</t>
        </is>
      </c>
      <c r="K85" s="3" t="inlineStr">
        <is>
          <t>8 ft X 4 ft</t>
        </is>
      </c>
      <c r="L85" s="3" t="inlineStr">
        <is>
          <t>Thickness</t>
        </is>
      </c>
      <c r="M85" s="3" t="inlineStr">
        <is>
          <t>12 mm</t>
        </is>
      </c>
      <c r="N85" s="3" t="inlineStr">
        <is>
          <t>Color</t>
        </is>
      </c>
      <c r="O85" s="3" t="inlineStr">
        <is>
          <t>White</t>
        </is>
      </c>
      <c r="Q85" s="3" t="inlineStr">
        <is>
          <t>Manufacturer's Warranty</t>
        </is>
      </c>
      <c r="S85" s="3" t="n">
        <v>1</v>
      </c>
      <c r="U85" s="3" t="n">
        <v>80000</v>
      </c>
      <c r="Y85" s="3" t="inlineStr">
        <is>
          <t>AT_MDF_BSB_LAM_IG</t>
        </is>
      </c>
      <c r="Z85" s="3" t="n">
        <v>4411</v>
      </c>
      <c r="AA85" s="3" t="inlineStr">
        <is>
          <t>per sq ft</t>
        </is>
      </c>
      <c r="AB85" s="3" t="inlineStr">
        <is>
          <t>Area</t>
        </is>
      </c>
      <c r="AC85" s="3" t="n">
        <v>32</v>
      </c>
      <c r="AD85" s="3" t="n">
        <v>71.81</v>
      </c>
      <c r="AE85" s="3">
        <f>+AC85*AD85</f>
        <v/>
      </c>
      <c r="AF85" s="4" t="n">
        <v>0.39</v>
      </c>
      <c r="AG85" s="3">
        <f>ROUND(AE85-(AE85*AF85),2)</f>
        <v/>
      </c>
      <c r="AH85" s="4" t="n">
        <v>0.18</v>
      </c>
      <c r="AI85" s="3">
        <f>ROUND(AG85+(AG85*AH85),2)</f>
        <v/>
      </c>
      <c r="AJ85" s="4" t="n">
        <v>0.1</v>
      </c>
      <c r="AK85" s="3">
        <f>ROUND(AI85*AJ85,2)</f>
        <v/>
      </c>
      <c r="AL85" s="3">
        <f>AI85+AK85</f>
        <v/>
      </c>
      <c r="AM85" s="3">
        <f>AE85-AL85</f>
        <v/>
      </c>
      <c r="AN85" s="4">
        <f>AM85/AE85</f>
        <v/>
      </c>
      <c r="AO85" s="3" t="inlineStr">
        <is>
          <t>3 hrs</t>
        </is>
      </c>
      <c r="AQ85" s="3" t="inlineStr">
        <is>
          <t>Length Weight</t>
        </is>
      </c>
      <c r="AS85"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6" ht="15.75" customHeight="1">
      <c r="A86" s="3" t="inlineStr">
        <is>
          <t>PROD_0012</t>
        </is>
      </c>
      <c r="B86" s="3" t="inlineStr">
        <is>
          <t>VAR_5</t>
        </is>
      </c>
      <c r="C86" s="3" t="inlineStr">
        <is>
          <t>Wooden Material</t>
        </is>
      </c>
      <c r="D86" s="3" t="inlineStr">
        <is>
          <t>MDF</t>
        </is>
      </c>
      <c r="E86" s="3" t="inlineStr">
        <is>
          <t>Action Tesa</t>
        </is>
      </c>
      <c r="F86" s="3" t="inlineStr">
        <is>
          <t>Both Side Board</t>
        </is>
      </c>
      <c r="H86" s="3" t="inlineStr">
        <is>
          <t>Application</t>
        </is>
      </c>
      <c r="I86" s="3" t="inlineStr">
        <is>
          <t>Interior</t>
        </is>
      </c>
      <c r="J86" s="3" t="inlineStr">
        <is>
          <t>Size</t>
        </is>
      </c>
      <c r="K86" s="3" t="inlineStr">
        <is>
          <t>8 ft X 4 ft</t>
        </is>
      </c>
      <c r="L86" s="3" t="inlineStr">
        <is>
          <t>Thickness</t>
        </is>
      </c>
      <c r="M86" s="3" t="inlineStr">
        <is>
          <t>16.50 mm</t>
        </is>
      </c>
      <c r="N86" s="3" t="inlineStr">
        <is>
          <t>Color</t>
        </is>
      </c>
      <c r="O86" s="3" t="inlineStr">
        <is>
          <t>White</t>
        </is>
      </c>
      <c r="Q86" s="3" t="inlineStr">
        <is>
          <t>Manufacturer's Warranty</t>
        </is>
      </c>
      <c r="S86" s="3" t="n">
        <v>1</v>
      </c>
      <c r="U86" s="3" t="n">
        <v>80000</v>
      </c>
      <c r="Y86" s="3" t="inlineStr">
        <is>
          <t>AT_MDF_BSB_LAM_IG</t>
        </is>
      </c>
      <c r="Z86" s="3" t="n">
        <v>4411</v>
      </c>
      <c r="AA86" s="3" t="inlineStr">
        <is>
          <t>per sq ft</t>
        </is>
      </c>
      <c r="AB86" s="3" t="inlineStr">
        <is>
          <t>Area</t>
        </is>
      </c>
      <c r="AC86" s="3" t="n">
        <v>32</v>
      </c>
      <c r="AD86" s="3" t="n">
        <v>88.31</v>
      </c>
      <c r="AE86" s="3">
        <f>+AC86*AD86</f>
        <v/>
      </c>
      <c r="AF86" s="4" t="n">
        <v>0.39</v>
      </c>
      <c r="AG86" s="3">
        <f>ROUND(AE86-(AE86*AF86),2)</f>
        <v/>
      </c>
      <c r="AH86" s="4" t="n">
        <v>0.18</v>
      </c>
      <c r="AI86" s="3">
        <f>ROUND(AG86+(AG86*AH86),2)</f>
        <v/>
      </c>
      <c r="AJ86" s="4" t="n">
        <v>0.1</v>
      </c>
      <c r="AK86" s="3">
        <f>ROUND(AI86*AJ86,2)</f>
        <v/>
      </c>
      <c r="AL86" s="3">
        <f>AI86+AK86</f>
        <v/>
      </c>
      <c r="AM86" s="3">
        <f>AE86-AL86</f>
        <v/>
      </c>
      <c r="AN86" s="4">
        <f>AM86/AE86</f>
        <v/>
      </c>
      <c r="AO86" s="3" t="inlineStr">
        <is>
          <t>3 hrs</t>
        </is>
      </c>
      <c r="AQ86" s="3" t="inlineStr">
        <is>
          <t>Length Weight</t>
        </is>
      </c>
      <c r="AS86"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7" ht="15.75" customHeight="1">
      <c r="A87" s="3" t="inlineStr">
        <is>
          <t>PROD_0012</t>
        </is>
      </c>
      <c r="B87" s="3" t="inlineStr">
        <is>
          <t>VAR_6</t>
        </is>
      </c>
      <c r="C87" s="3" t="inlineStr">
        <is>
          <t>Wooden Material</t>
        </is>
      </c>
      <c r="D87" s="3" t="inlineStr">
        <is>
          <t>MDF</t>
        </is>
      </c>
      <c r="E87" s="3" t="inlineStr">
        <is>
          <t>Action Tesa</t>
        </is>
      </c>
      <c r="F87" s="3" t="inlineStr">
        <is>
          <t>Both Side Board</t>
        </is>
      </c>
      <c r="H87" s="3" t="inlineStr">
        <is>
          <t>Application</t>
        </is>
      </c>
      <c r="I87" s="3" t="inlineStr">
        <is>
          <t>Interior</t>
        </is>
      </c>
      <c r="J87" s="3" t="inlineStr">
        <is>
          <t>Size</t>
        </is>
      </c>
      <c r="K87" s="3" t="inlineStr">
        <is>
          <t>8 ft X 4 ft</t>
        </is>
      </c>
      <c r="L87" s="3" t="inlineStr">
        <is>
          <t>Thickness</t>
        </is>
      </c>
      <c r="M87" s="3" t="inlineStr">
        <is>
          <t>17 mm</t>
        </is>
      </c>
      <c r="N87" s="3" t="inlineStr">
        <is>
          <t>Color</t>
        </is>
      </c>
      <c r="O87" s="3" t="inlineStr">
        <is>
          <t>White</t>
        </is>
      </c>
      <c r="Q87" s="3" t="inlineStr">
        <is>
          <t>Manufacturer's Warranty</t>
        </is>
      </c>
      <c r="S87" s="3" t="n">
        <v>1</v>
      </c>
      <c r="U87" s="3" t="n">
        <v>80000</v>
      </c>
      <c r="Y87" s="3" t="inlineStr">
        <is>
          <t>AT_MDF_BSB_LAM_IG</t>
        </is>
      </c>
      <c r="Z87" s="3" t="n">
        <v>4411</v>
      </c>
      <c r="AA87" s="3" t="inlineStr">
        <is>
          <t>per sq ft</t>
        </is>
      </c>
      <c r="AB87" s="3" t="inlineStr">
        <is>
          <t>Area</t>
        </is>
      </c>
      <c r="AC87" s="3" t="n">
        <v>32</v>
      </c>
      <c r="AD87" s="3" t="n">
        <v>90.31999999999999</v>
      </c>
      <c r="AE87" s="3">
        <f>+AC87*AD87</f>
        <v/>
      </c>
      <c r="AF87" s="4" t="n">
        <v>0.39</v>
      </c>
      <c r="AG87" s="3">
        <f>ROUND(AE87-(AE87*AF87),2)</f>
        <v/>
      </c>
      <c r="AH87" s="4" t="n">
        <v>0.18</v>
      </c>
      <c r="AI87" s="3">
        <f>ROUND(AG87+(AG87*AH87),2)</f>
        <v/>
      </c>
      <c r="AJ87" s="4" t="n">
        <v>0.1</v>
      </c>
      <c r="AK87" s="3">
        <f>ROUND(AI87*AJ87,2)</f>
        <v/>
      </c>
      <c r="AL87" s="3">
        <f>AI87+AK87</f>
        <v/>
      </c>
      <c r="AM87" s="3">
        <f>AE87-AL87</f>
        <v/>
      </c>
      <c r="AN87" s="4">
        <f>AM87/AE87</f>
        <v/>
      </c>
      <c r="AO87" s="3" t="inlineStr">
        <is>
          <t>3 hrs</t>
        </is>
      </c>
      <c r="AQ87" s="3" t="inlineStr">
        <is>
          <t>Length Weight</t>
        </is>
      </c>
      <c r="AS87"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8" ht="15.75" customHeight="1">
      <c r="A88" s="3" t="inlineStr">
        <is>
          <t>PROD_0012</t>
        </is>
      </c>
      <c r="B88" s="3" t="inlineStr">
        <is>
          <t>VAR_7</t>
        </is>
      </c>
      <c r="C88" s="3" t="inlineStr">
        <is>
          <t>Wooden Material</t>
        </is>
      </c>
      <c r="D88" s="3" t="inlineStr">
        <is>
          <t>MDF</t>
        </is>
      </c>
      <c r="E88" s="3" t="inlineStr">
        <is>
          <t>Action Tesa</t>
        </is>
      </c>
      <c r="F88" s="3" t="inlineStr">
        <is>
          <t>Both Side Board</t>
        </is>
      </c>
      <c r="H88" s="3" t="inlineStr">
        <is>
          <t>Application</t>
        </is>
      </c>
      <c r="I88" s="3" t="inlineStr">
        <is>
          <t>Interior</t>
        </is>
      </c>
      <c r="J88" s="3" t="inlineStr">
        <is>
          <t>Size</t>
        </is>
      </c>
      <c r="K88" s="3" t="inlineStr">
        <is>
          <t>8 ft X 4 ft</t>
        </is>
      </c>
      <c r="L88" s="3" t="inlineStr">
        <is>
          <t>Thickness</t>
        </is>
      </c>
      <c r="M88" s="3" t="inlineStr">
        <is>
          <t>18 mm</t>
        </is>
      </c>
      <c r="N88" s="3" t="inlineStr">
        <is>
          <t>Color</t>
        </is>
      </c>
      <c r="O88" s="3" t="inlineStr">
        <is>
          <t>White</t>
        </is>
      </c>
      <c r="Q88" s="3" t="inlineStr">
        <is>
          <t>Manufacturer's Warranty</t>
        </is>
      </c>
      <c r="S88" s="3" t="n">
        <v>1</v>
      </c>
      <c r="U88" s="3" t="n">
        <v>80000</v>
      </c>
      <c r="Y88" s="3" t="inlineStr">
        <is>
          <t>AT_MDF_BSB_LAM_IG</t>
        </is>
      </c>
      <c r="Z88" s="3" t="n">
        <v>4411</v>
      </c>
      <c r="AA88" s="3" t="inlineStr">
        <is>
          <t>per sq ft</t>
        </is>
      </c>
      <c r="AB88" s="3" t="inlineStr">
        <is>
          <t>Area</t>
        </is>
      </c>
      <c r="AC88" s="3" t="n">
        <v>32</v>
      </c>
      <c r="AD88" s="5" t="n">
        <v>97.40000000000001</v>
      </c>
      <c r="AE88" s="3">
        <f>+AC88*AD88</f>
        <v/>
      </c>
      <c r="AF88" s="4" t="n">
        <v>0.39</v>
      </c>
      <c r="AG88" s="3">
        <f>ROUND(AE88-(AE88*AF88),2)</f>
        <v/>
      </c>
      <c r="AH88" s="4" t="n">
        <v>0.18</v>
      </c>
      <c r="AI88" s="3">
        <f>ROUND(AG88+(AG88*AH88),2)</f>
        <v/>
      </c>
      <c r="AJ88" s="4" t="n">
        <v>0.1</v>
      </c>
      <c r="AK88" s="3">
        <f>ROUND(AI88*AJ88,2)</f>
        <v/>
      </c>
      <c r="AL88" s="3">
        <f>AI88+AK88</f>
        <v/>
      </c>
      <c r="AM88" s="3">
        <f>AE88-AL88</f>
        <v/>
      </c>
      <c r="AN88" s="4">
        <f>AM88/AE88</f>
        <v/>
      </c>
      <c r="AO88" s="3" t="inlineStr">
        <is>
          <t>3 hrs</t>
        </is>
      </c>
      <c r="AQ88" s="3" t="inlineStr">
        <is>
          <t>Length Weight</t>
        </is>
      </c>
      <c r="AS88"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89" ht="15.75" customHeight="1">
      <c r="A89" s="3" t="inlineStr">
        <is>
          <t>PROD_0012</t>
        </is>
      </c>
      <c r="B89" s="3" t="inlineStr">
        <is>
          <t>VAR_8</t>
        </is>
      </c>
      <c r="C89" s="3" t="inlineStr">
        <is>
          <t>Wooden Material</t>
        </is>
      </c>
      <c r="D89" s="3" t="inlineStr">
        <is>
          <t>MDF</t>
        </is>
      </c>
      <c r="E89" s="3" t="inlineStr">
        <is>
          <t>Action Tesa</t>
        </is>
      </c>
      <c r="F89" s="3" t="inlineStr">
        <is>
          <t>Both Side Board</t>
        </is>
      </c>
      <c r="H89" s="3" t="inlineStr">
        <is>
          <t>Application</t>
        </is>
      </c>
      <c r="I89" s="3" t="inlineStr">
        <is>
          <t>Interior</t>
        </is>
      </c>
      <c r="J89" s="3" t="inlineStr">
        <is>
          <t>Size</t>
        </is>
      </c>
      <c r="K89" s="3" t="inlineStr">
        <is>
          <t>8 ft X 4 ft</t>
        </is>
      </c>
      <c r="L89" s="3" t="inlineStr">
        <is>
          <t>Thickness</t>
        </is>
      </c>
      <c r="M89" s="3" t="inlineStr">
        <is>
          <t>7.30 mm</t>
        </is>
      </c>
      <c r="N89" s="3" t="inlineStr">
        <is>
          <t>Color</t>
        </is>
      </c>
      <c r="O89" s="3" t="inlineStr">
        <is>
          <t>White</t>
        </is>
      </c>
      <c r="Q89" s="3" t="inlineStr">
        <is>
          <t>Manufacturer's Warranty</t>
        </is>
      </c>
      <c r="S89" s="3" t="n">
        <v>1</v>
      </c>
      <c r="U89" s="3" t="n">
        <v>80000</v>
      </c>
      <c r="Y89" s="3" t="inlineStr">
        <is>
          <t>AT_MDF_BSB_LAM_IG</t>
        </is>
      </c>
      <c r="Z89" s="3" t="n">
        <v>4411</v>
      </c>
      <c r="AA89" s="3" t="inlineStr">
        <is>
          <t>per sq ft</t>
        </is>
      </c>
      <c r="AB89" s="3" t="inlineStr">
        <is>
          <t>Area</t>
        </is>
      </c>
      <c r="AC89" s="3" t="n">
        <v>32</v>
      </c>
      <c r="AD89" s="3" t="n">
        <v>61.34</v>
      </c>
      <c r="AE89" s="3">
        <f>+AC89*AD89</f>
        <v/>
      </c>
      <c r="AF89" s="4" t="n">
        <v>0.39</v>
      </c>
      <c r="AG89" s="3">
        <f>ROUND(AE89-(AE89*AF89),2)</f>
        <v/>
      </c>
      <c r="AH89" s="4" t="n">
        <v>0.18</v>
      </c>
      <c r="AI89" s="3">
        <f>ROUND(AG89+(AG89*AH89),2)</f>
        <v/>
      </c>
      <c r="AJ89" s="4" t="n">
        <v>0.1</v>
      </c>
      <c r="AK89" s="3">
        <f>ROUND(AI89*AJ89,2)</f>
        <v/>
      </c>
      <c r="AL89" s="3">
        <f>AI89+AK89</f>
        <v/>
      </c>
      <c r="AM89" s="3">
        <f>AE89-AL89</f>
        <v/>
      </c>
      <c r="AN89" s="4">
        <f>AM89/AE89</f>
        <v/>
      </c>
      <c r="AO89" s="3" t="inlineStr">
        <is>
          <t>3 hrs</t>
        </is>
      </c>
      <c r="AQ89" s="3" t="inlineStr">
        <is>
          <t>Length Weight</t>
        </is>
      </c>
      <c r="AS89"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90" ht="15.75" customHeight="1">
      <c r="A90" s="3" t="inlineStr">
        <is>
          <t>PROD_0012</t>
        </is>
      </c>
      <c r="B90" s="3" t="inlineStr">
        <is>
          <t>VAR_9</t>
        </is>
      </c>
      <c r="C90" s="3" t="inlineStr">
        <is>
          <t>Wooden Material</t>
        </is>
      </c>
      <c r="D90" s="3" t="inlineStr">
        <is>
          <t>MDF</t>
        </is>
      </c>
      <c r="E90" s="3" t="inlineStr">
        <is>
          <t>Action Tesa</t>
        </is>
      </c>
      <c r="F90" s="3" t="inlineStr">
        <is>
          <t>Both Side Board</t>
        </is>
      </c>
      <c r="H90" s="3" t="inlineStr">
        <is>
          <t>Application</t>
        </is>
      </c>
      <c r="I90" s="3" t="inlineStr">
        <is>
          <t>Interior</t>
        </is>
      </c>
      <c r="J90" s="3" t="inlineStr">
        <is>
          <t>Size</t>
        </is>
      </c>
      <c r="K90" s="3" t="inlineStr">
        <is>
          <t>8 ft X 4 ft</t>
        </is>
      </c>
      <c r="L90" s="3" t="inlineStr">
        <is>
          <t>Thickness</t>
        </is>
      </c>
      <c r="M90" s="3" t="inlineStr">
        <is>
          <t>11 mm</t>
        </is>
      </c>
      <c r="N90" s="3" t="inlineStr">
        <is>
          <t>Color</t>
        </is>
      </c>
      <c r="O90" s="3" t="inlineStr">
        <is>
          <t>White</t>
        </is>
      </c>
      <c r="Q90" s="3" t="inlineStr">
        <is>
          <t>Manufacturer's Warranty</t>
        </is>
      </c>
      <c r="S90" s="3" t="n">
        <v>1</v>
      </c>
      <c r="U90" s="3" t="n">
        <v>80000</v>
      </c>
      <c r="Y90" s="3" t="inlineStr">
        <is>
          <t>AT_MDF_BSB_LAM_IG</t>
        </is>
      </c>
      <c r="Z90" s="3" t="n">
        <v>4411</v>
      </c>
      <c r="AA90" s="3" t="inlineStr">
        <is>
          <t>per sq ft</t>
        </is>
      </c>
      <c r="AB90" s="3" t="inlineStr">
        <is>
          <t>Area</t>
        </is>
      </c>
      <c r="AC90" s="3" t="n">
        <v>32</v>
      </c>
      <c r="AD90" s="5" t="n">
        <v>81.90000000000001</v>
      </c>
      <c r="AE90" s="3">
        <f>+AC90*AD90</f>
        <v/>
      </c>
      <c r="AF90" s="4" t="n">
        <v>0.39</v>
      </c>
      <c r="AG90" s="3">
        <f>ROUND(AE90-(AE90*AF90),2)</f>
        <v/>
      </c>
      <c r="AH90" s="4" t="n">
        <v>0.18</v>
      </c>
      <c r="AI90" s="3">
        <f>ROUND(AG90+(AG90*AH90),2)</f>
        <v/>
      </c>
      <c r="AJ90" s="4" t="n">
        <v>0.1</v>
      </c>
      <c r="AK90" s="3">
        <f>ROUND(AI90*AJ90,2)</f>
        <v/>
      </c>
      <c r="AL90" s="3">
        <f>AI90+AK90</f>
        <v/>
      </c>
      <c r="AM90" s="3">
        <f>AE90-AL90</f>
        <v/>
      </c>
      <c r="AN90" s="4">
        <f>AM90/AE90</f>
        <v/>
      </c>
      <c r="AO90" s="3" t="inlineStr">
        <is>
          <t>3 hrs</t>
        </is>
      </c>
      <c r="AQ90" s="3" t="inlineStr">
        <is>
          <t>Length Weight</t>
        </is>
      </c>
      <c r="AS90"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91" ht="15.75" customHeight="1">
      <c r="A91" s="3" t="inlineStr">
        <is>
          <t>PROD_0012</t>
        </is>
      </c>
      <c r="B91" s="3" t="inlineStr">
        <is>
          <t>VAR_10</t>
        </is>
      </c>
      <c r="C91" s="3" t="inlineStr">
        <is>
          <t>Wooden Material</t>
        </is>
      </c>
      <c r="D91" s="3" t="inlineStr">
        <is>
          <t>MDF</t>
        </is>
      </c>
      <c r="E91" s="3" t="inlineStr">
        <is>
          <t>Action Tesa</t>
        </is>
      </c>
      <c r="F91" s="3" t="inlineStr">
        <is>
          <t>Both Side Board</t>
        </is>
      </c>
      <c r="H91" s="3" t="inlineStr">
        <is>
          <t>Application</t>
        </is>
      </c>
      <c r="I91" s="3" t="inlineStr">
        <is>
          <t>Interior</t>
        </is>
      </c>
      <c r="J91" s="3" t="inlineStr">
        <is>
          <t>Size</t>
        </is>
      </c>
      <c r="K91" s="3" t="inlineStr">
        <is>
          <t>8 ft X 4 ft</t>
        </is>
      </c>
      <c r="L91" s="3" t="inlineStr">
        <is>
          <t>Thickness</t>
        </is>
      </c>
      <c r="M91" s="3" t="inlineStr">
        <is>
          <t>17 mm</t>
        </is>
      </c>
      <c r="N91" s="3" t="inlineStr">
        <is>
          <t>Color</t>
        </is>
      </c>
      <c r="O91" s="3" t="inlineStr">
        <is>
          <t>White</t>
        </is>
      </c>
      <c r="Q91" s="3" t="inlineStr">
        <is>
          <t>Manufacturer's Warranty</t>
        </is>
      </c>
      <c r="S91" s="3" t="n">
        <v>1</v>
      </c>
      <c r="U91" s="3" t="n">
        <v>80000</v>
      </c>
      <c r="Y91" s="3" t="inlineStr">
        <is>
          <t>AT_MDF_BSB_LAM_IG</t>
        </is>
      </c>
      <c r="Z91" s="3" t="n">
        <v>4411</v>
      </c>
      <c r="AA91" s="3" t="inlineStr">
        <is>
          <t>per sq ft</t>
        </is>
      </c>
      <c r="AB91" s="3" t="inlineStr">
        <is>
          <t>Area</t>
        </is>
      </c>
      <c r="AC91" s="3" t="n">
        <v>32</v>
      </c>
      <c r="AD91" s="3" t="n">
        <v>109.87</v>
      </c>
      <c r="AE91" s="3">
        <f>+AC91*AD91</f>
        <v/>
      </c>
      <c r="AF91" s="4" t="n">
        <v>0.39</v>
      </c>
      <c r="AG91" s="3">
        <f>ROUND(AE91-(AE91*AF91),2)</f>
        <v/>
      </c>
      <c r="AH91" s="4" t="n">
        <v>0.18</v>
      </c>
      <c r="AI91" s="3">
        <f>ROUND(AG91+(AG91*AH91),2)</f>
        <v/>
      </c>
      <c r="AJ91" s="4" t="n">
        <v>0.1</v>
      </c>
      <c r="AK91" s="3">
        <f>ROUND(AI91*AJ91,2)</f>
        <v/>
      </c>
      <c r="AL91" s="3">
        <f>AI91+AK91</f>
        <v/>
      </c>
      <c r="AM91" s="3">
        <f>AE91-AL91</f>
        <v/>
      </c>
      <c r="AN91" s="4">
        <f>AM91/AE91</f>
        <v/>
      </c>
      <c r="AO91" s="3" t="inlineStr">
        <is>
          <t>3 hrs</t>
        </is>
      </c>
      <c r="AQ91" s="3" t="inlineStr">
        <is>
          <t>Length Weight</t>
        </is>
      </c>
      <c r="AS91"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92" ht="15.75" customHeight="1">
      <c r="A92" s="3" t="inlineStr">
        <is>
          <t>PROD_0012</t>
        </is>
      </c>
      <c r="B92" s="3" t="inlineStr">
        <is>
          <t>VAR_11</t>
        </is>
      </c>
      <c r="C92" s="3" t="inlineStr">
        <is>
          <t>Wooden Material</t>
        </is>
      </c>
      <c r="D92" s="3" t="inlineStr">
        <is>
          <t>MDF</t>
        </is>
      </c>
      <c r="E92" s="3" t="inlineStr">
        <is>
          <t>Action Tesa</t>
        </is>
      </c>
      <c r="F92" s="3" t="inlineStr">
        <is>
          <t>Both Side Board</t>
        </is>
      </c>
      <c r="H92" s="3" t="inlineStr">
        <is>
          <t>Application</t>
        </is>
      </c>
      <c r="I92" s="3" t="inlineStr">
        <is>
          <t>Interior</t>
        </is>
      </c>
      <c r="J92" s="3" t="inlineStr">
        <is>
          <t>Size</t>
        </is>
      </c>
      <c r="K92" s="3" t="inlineStr">
        <is>
          <t>8 ft X 4 ft</t>
        </is>
      </c>
      <c r="L92" s="3" t="inlineStr">
        <is>
          <t>Thickness</t>
        </is>
      </c>
      <c r="M92" s="3" t="inlineStr">
        <is>
          <t>18 mm</t>
        </is>
      </c>
      <c r="N92" s="3" t="inlineStr">
        <is>
          <t>Color</t>
        </is>
      </c>
      <c r="O92" s="3" t="inlineStr">
        <is>
          <t>White</t>
        </is>
      </c>
      <c r="Q92" s="3" t="inlineStr">
        <is>
          <t>Manufacturer's Warranty</t>
        </is>
      </c>
      <c r="S92" s="3" t="n">
        <v>1</v>
      </c>
      <c r="U92" s="3" t="n">
        <v>80000</v>
      </c>
      <c r="Y92" s="3" t="inlineStr">
        <is>
          <t>AT_MDF_BSB_LAM_IG</t>
        </is>
      </c>
      <c r="Z92" s="3" t="n">
        <v>4411</v>
      </c>
      <c r="AA92" s="3" t="inlineStr">
        <is>
          <t>per sq ft</t>
        </is>
      </c>
      <c r="AB92" s="3" t="inlineStr">
        <is>
          <t>Area</t>
        </is>
      </c>
      <c r="AC92" s="3" t="n">
        <v>32</v>
      </c>
      <c r="AD92" s="3" t="n">
        <v>119</v>
      </c>
      <c r="AE92" s="3">
        <f>+AC92*AD92</f>
        <v/>
      </c>
      <c r="AF92" s="4" t="n">
        <v>0.39</v>
      </c>
      <c r="AG92" s="3">
        <f>ROUND(AE92-(AE92*AF92),2)</f>
        <v/>
      </c>
      <c r="AH92" s="4" t="n">
        <v>0.18</v>
      </c>
      <c r="AI92" s="3">
        <f>ROUND(AG92+(AG92*AH92),2)</f>
        <v/>
      </c>
      <c r="AJ92" s="4" t="n">
        <v>0.1</v>
      </c>
      <c r="AK92" s="3">
        <f>ROUND(AI92*AJ92,2)</f>
        <v/>
      </c>
      <c r="AL92" s="3">
        <f>AI92+AK92</f>
        <v/>
      </c>
      <c r="AM92" s="3">
        <f>AE92-AL92</f>
        <v/>
      </c>
      <c r="AN92" s="4">
        <f>AM92/AE92</f>
        <v/>
      </c>
      <c r="AO92" s="3" t="inlineStr">
        <is>
          <t>3 hrs</t>
        </is>
      </c>
      <c r="AQ92" s="3" t="inlineStr">
        <is>
          <t>Length Weight</t>
        </is>
      </c>
      <c r="AS92"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93" ht="15.75" customHeight="1">
      <c r="A93" s="3" t="inlineStr">
        <is>
          <t>PROD_0013</t>
        </is>
      </c>
      <c r="B93" s="3" t="inlineStr">
        <is>
          <t>VAR_1</t>
        </is>
      </c>
      <c r="C93" s="3" t="inlineStr">
        <is>
          <t>Wooden Material</t>
        </is>
      </c>
      <c r="D93" s="3" t="inlineStr">
        <is>
          <t>MDF</t>
        </is>
      </c>
      <c r="E93" s="3" t="inlineStr">
        <is>
          <t>Action Tesa</t>
        </is>
      </c>
      <c r="F93" s="3" t="inlineStr">
        <is>
          <t>One Side Raw</t>
        </is>
      </c>
      <c r="H93" s="3" t="inlineStr">
        <is>
          <t>Application</t>
        </is>
      </c>
      <c r="I93" s="3" t="inlineStr">
        <is>
          <t>Interior</t>
        </is>
      </c>
      <c r="J93" s="3" t="inlineStr">
        <is>
          <t>Size</t>
        </is>
      </c>
      <c r="K93" s="3" t="inlineStr">
        <is>
          <t>8 ft X 4 ft</t>
        </is>
      </c>
      <c r="L93" s="3" t="inlineStr">
        <is>
          <t>Thickness</t>
        </is>
      </c>
      <c r="M93" s="3" t="inlineStr">
        <is>
          <t>17 mm</t>
        </is>
      </c>
      <c r="N93" s="3" t="inlineStr">
        <is>
          <t>Color</t>
        </is>
      </c>
      <c r="O93" s="3" t="inlineStr">
        <is>
          <t>White</t>
        </is>
      </c>
      <c r="Q93" s="3" t="inlineStr">
        <is>
          <t>Manufacturer's Warranty</t>
        </is>
      </c>
      <c r="S93" s="3" t="n">
        <v>1</v>
      </c>
      <c r="U93" s="3" t="n">
        <v>80000</v>
      </c>
      <c r="Y93" s="3" t="inlineStr">
        <is>
          <t>AT_MDF_OSR_LAM_IG</t>
        </is>
      </c>
      <c r="Z93" s="3" t="n">
        <v>4411</v>
      </c>
      <c r="AA93" s="3" t="inlineStr">
        <is>
          <t>per sq ft</t>
        </is>
      </c>
      <c r="AB93" s="3" t="inlineStr">
        <is>
          <t>Area</t>
        </is>
      </c>
      <c r="AC93" s="3" t="n">
        <v>32</v>
      </c>
      <c r="AD93" s="3" t="n">
        <v>102.17</v>
      </c>
      <c r="AE93" s="3">
        <f>+AC93*AD93</f>
        <v/>
      </c>
      <c r="AF93" s="4" t="n">
        <v>0.39</v>
      </c>
      <c r="AG93" s="3">
        <f>ROUND(AE93-(AE93*AF93),2)</f>
        <v/>
      </c>
      <c r="AH93" s="4" t="n">
        <v>0.18</v>
      </c>
      <c r="AI93" s="3">
        <f>ROUND(AG93+(AG93*AH93),2)</f>
        <v/>
      </c>
      <c r="AJ93" s="4" t="n">
        <v>0.1</v>
      </c>
      <c r="AK93" s="3">
        <f>ROUND(AI93*AJ93,2)</f>
        <v/>
      </c>
      <c r="AL93" s="3">
        <f>AI93+AK93</f>
        <v/>
      </c>
      <c r="AM93" s="3">
        <f>AE93-AL93</f>
        <v/>
      </c>
      <c r="AN93" s="4">
        <f>AM93/AE93</f>
        <v/>
      </c>
      <c r="AO93" s="3" t="inlineStr">
        <is>
          <t>3 hrs</t>
        </is>
      </c>
      <c r="AQ93" s="3" t="inlineStr">
        <is>
          <t>Length Weight</t>
        </is>
      </c>
      <c r="AS93" s="3" t="inlineStr">
        <is>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is>
      </c>
    </row>
    <row r="94" ht="15.75" customHeight="1">
      <c r="A94" s="3" t="inlineStr">
        <is>
          <t>PROD_0014</t>
        </is>
      </c>
      <c r="B94" s="3" t="inlineStr">
        <is>
          <t>VAR_1</t>
        </is>
      </c>
      <c r="C94" s="3" t="inlineStr">
        <is>
          <t>Wooden Material</t>
        </is>
      </c>
      <c r="D94" s="3" t="inlineStr">
        <is>
          <t>HDHMR</t>
        </is>
      </c>
      <c r="E94" s="3" t="inlineStr">
        <is>
          <t>Action Tesa</t>
        </is>
      </c>
      <c r="F94" s="3" t="inlineStr">
        <is>
          <t>Plain</t>
        </is>
      </c>
      <c r="H94" s="3" t="inlineStr">
        <is>
          <t>Application</t>
        </is>
      </c>
      <c r="I94" s="3" t="inlineStr">
        <is>
          <t>Interior</t>
        </is>
      </c>
      <c r="J94" s="3" t="inlineStr">
        <is>
          <t>Size</t>
        </is>
      </c>
      <c r="K94" s="3" t="inlineStr">
        <is>
          <t>8 ft X 4 ft</t>
        </is>
      </c>
      <c r="L94" s="3" t="inlineStr">
        <is>
          <t>Thickness</t>
        </is>
      </c>
      <c r="M94" s="3" t="inlineStr">
        <is>
          <t>5.50 mm</t>
        </is>
      </c>
      <c r="N94" s="3" t="inlineStr">
        <is>
          <t>Color</t>
        </is>
      </c>
      <c r="O94" s="3" t="inlineStr">
        <is>
          <t>Plain</t>
        </is>
      </c>
      <c r="Q94" s="3" t="inlineStr">
        <is>
          <t>Manufacturer's Warranty</t>
        </is>
      </c>
      <c r="S94" s="3" t="n">
        <v>1</v>
      </c>
      <c r="U94" s="3" t="n">
        <v>80000</v>
      </c>
      <c r="W94" s="3" t="inlineStr">
        <is>
          <t>Internal</t>
        </is>
      </c>
      <c r="X94" s="3" t="inlineStr">
        <is>
          <t>Wardrobe</t>
        </is>
      </c>
      <c r="Y94" s="3" t="inlineStr">
        <is>
          <t>AT_HDHMR_PLAIN</t>
        </is>
      </c>
      <c r="Z94" s="3" t="n">
        <v>4411</v>
      </c>
      <c r="AA94" s="3" t="inlineStr">
        <is>
          <t>per sq ft</t>
        </is>
      </c>
      <c r="AB94" s="3" t="inlineStr">
        <is>
          <t>Area</t>
        </is>
      </c>
      <c r="AC94" s="3" t="n">
        <v>32</v>
      </c>
      <c r="AD94" s="3" t="n">
        <v>41.29</v>
      </c>
      <c r="AE94" s="3">
        <f>+AC94*AD94</f>
        <v/>
      </c>
      <c r="AF94" s="4" t="n">
        <v>0.39</v>
      </c>
      <c r="AG94" s="3">
        <f>ROUND(AE94-(AE94*AF94),2)</f>
        <v/>
      </c>
      <c r="AH94" s="4" t="n">
        <v>0.18</v>
      </c>
      <c r="AI94" s="3">
        <f>ROUND(AG94+(AG94*AH94),2)</f>
        <v/>
      </c>
      <c r="AJ94" s="4" t="n">
        <v>0.1</v>
      </c>
      <c r="AK94" s="3">
        <f>ROUND(AI94*AJ94,2)</f>
        <v/>
      </c>
      <c r="AL94" s="3">
        <f>AI94+AK94</f>
        <v/>
      </c>
      <c r="AM94" s="3">
        <f>AE94-AL94</f>
        <v/>
      </c>
      <c r="AN94" s="4">
        <f>AM94/AE94</f>
        <v/>
      </c>
      <c r="AO94" s="3" t="inlineStr">
        <is>
          <t>3 hrs</t>
        </is>
      </c>
      <c r="AQ94" s="3" t="inlineStr">
        <is>
          <t>Length Weight</t>
        </is>
      </c>
      <c r="AS94"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95" ht="15.75" customHeight="1">
      <c r="A95" s="3" t="inlineStr">
        <is>
          <t>PROD_0014</t>
        </is>
      </c>
      <c r="B95" s="3" t="inlineStr">
        <is>
          <t>VAR_2</t>
        </is>
      </c>
      <c r="C95" s="3" t="inlineStr">
        <is>
          <t>Wooden Material</t>
        </is>
      </c>
      <c r="D95" s="3" t="inlineStr">
        <is>
          <t>HDHMR</t>
        </is>
      </c>
      <c r="E95" s="3" t="inlineStr">
        <is>
          <t>Action Tesa</t>
        </is>
      </c>
      <c r="F95" s="3" t="inlineStr">
        <is>
          <t>Plain</t>
        </is>
      </c>
      <c r="H95" s="3" t="inlineStr">
        <is>
          <t>Application</t>
        </is>
      </c>
      <c r="I95" s="3" t="inlineStr">
        <is>
          <t>Interior</t>
        </is>
      </c>
      <c r="J95" s="3" t="inlineStr">
        <is>
          <t>Size</t>
        </is>
      </c>
      <c r="K95" s="3" t="inlineStr">
        <is>
          <t>8 ft X 4 ft</t>
        </is>
      </c>
      <c r="L95" s="3" t="inlineStr">
        <is>
          <t>Thickness</t>
        </is>
      </c>
      <c r="M95" s="3" t="inlineStr">
        <is>
          <t>8 mm</t>
        </is>
      </c>
      <c r="N95" s="3" t="inlineStr">
        <is>
          <t>Color</t>
        </is>
      </c>
      <c r="O95" s="3" t="inlineStr">
        <is>
          <t>Plain</t>
        </is>
      </c>
      <c r="Q95" s="3" t="inlineStr">
        <is>
          <t>Manufacturer's Warranty</t>
        </is>
      </c>
      <c r="S95" s="3" t="n">
        <v>1</v>
      </c>
      <c r="U95" s="3" t="n">
        <v>80000</v>
      </c>
      <c r="X95" s="3" t="inlineStr">
        <is>
          <t>Kitchen</t>
        </is>
      </c>
      <c r="Y95" s="3" t="inlineStr">
        <is>
          <t>AT_HDHMR_PLAIN</t>
        </is>
      </c>
      <c r="Z95" s="3" t="n">
        <v>4411</v>
      </c>
      <c r="AA95" s="3" t="inlineStr">
        <is>
          <t>per sq ft</t>
        </is>
      </c>
      <c r="AB95" s="3" t="inlineStr">
        <is>
          <t>Area</t>
        </is>
      </c>
      <c r="AC95" s="3" t="n">
        <v>32</v>
      </c>
      <c r="AD95" s="3" t="n">
        <v>55.66</v>
      </c>
      <c r="AE95" s="3">
        <f>+AC95*AD95</f>
        <v/>
      </c>
      <c r="AF95" s="4" t="n">
        <v>0.39</v>
      </c>
      <c r="AG95" s="3">
        <f>ROUND(AE95-(AE95*AF95),2)</f>
        <v/>
      </c>
      <c r="AH95" s="4" t="n">
        <v>0.18</v>
      </c>
      <c r="AI95" s="3">
        <f>ROUND(AG95+(AG95*AH95),2)</f>
        <v/>
      </c>
      <c r="AJ95" s="4" t="n">
        <v>0.1</v>
      </c>
      <c r="AK95" s="3">
        <f>ROUND(AI95*AJ95,2)</f>
        <v/>
      </c>
      <c r="AL95" s="3">
        <f>AI95+AK95</f>
        <v/>
      </c>
      <c r="AM95" s="3">
        <f>AE95-AL95</f>
        <v/>
      </c>
      <c r="AN95" s="4">
        <f>AM95/AE95</f>
        <v/>
      </c>
      <c r="AO95" s="3" t="inlineStr">
        <is>
          <t>3 hrs</t>
        </is>
      </c>
      <c r="AQ95" s="3" t="inlineStr">
        <is>
          <t>Length Weight</t>
        </is>
      </c>
      <c r="AS95"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96" ht="15.75" customHeight="1">
      <c r="A96" s="3" t="inlineStr">
        <is>
          <t>PROD_0014</t>
        </is>
      </c>
      <c r="B96" s="3" t="inlineStr">
        <is>
          <t>VAR_3</t>
        </is>
      </c>
      <c r="C96" s="3" t="inlineStr">
        <is>
          <t>Wooden Material</t>
        </is>
      </c>
      <c r="D96" s="3" t="inlineStr">
        <is>
          <t>HDHMR</t>
        </is>
      </c>
      <c r="E96" s="3" t="inlineStr">
        <is>
          <t>Action Tesa</t>
        </is>
      </c>
      <c r="F96" s="3" t="inlineStr">
        <is>
          <t>Plain</t>
        </is>
      </c>
      <c r="H96" s="3" t="inlineStr">
        <is>
          <t>Application</t>
        </is>
      </c>
      <c r="I96" s="3" t="inlineStr">
        <is>
          <t>Interior</t>
        </is>
      </c>
      <c r="J96" s="3" t="inlineStr">
        <is>
          <t>Size</t>
        </is>
      </c>
      <c r="K96" s="3" t="inlineStr">
        <is>
          <t>8 ft X 4 ft</t>
        </is>
      </c>
      <c r="L96" s="3" t="inlineStr">
        <is>
          <t>Thickness</t>
        </is>
      </c>
      <c r="M96" s="3" t="inlineStr">
        <is>
          <t>12 mm</t>
        </is>
      </c>
      <c r="N96" s="3" t="inlineStr">
        <is>
          <t>Color</t>
        </is>
      </c>
      <c r="O96" s="3" t="inlineStr">
        <is>
          <t>Plain</t>
        </is>
      </c>
      <c r="Q96" s="3" t="inlineStr">
        <is>
          <t>Manufacturer's Warranty</t>
        </is>
      </c>
      <c r="S96" s="3" t="n">
        <v>1</v>
      </c>
      <c r="U96" s="3" t="n">
        <v>80000</v>
      </c>
      <c r="Y96" s="3" t="inlineStr">
        <is>
          <t>AT_HDHMR_PLAIN</t>
        </is>
      </c>
      <c r="Z96" s="3" t="n">
        <v>4411</v>
      </c>
      <c r="AA96" s="3" t="inlineStr">
        <is>
          <t>per sq ft</t>
        </is>
      </c>
      <c r="AB96" s="3" t="inlineStr">
        <is>
          <t>Area</t>
        </is>
      </c>
      <c r="AC96" s="3" t="n">
        <v>32</v>
      </c>
      <c r="AD96" s="3" t="n">
        <v>84.72</v>
      </c>
      <c r="AE96" s="3">
        <f>+AC96*AD96</f>
        <v/>
      </c>
      <c r="AF96" s="4" t="n">
        <v>0.39</v>
      </c>
      <c r="AG96" s="3">
        <f>ROUND(AE96-(AE96*AF96),2)</f>
        <v/>
      </c>
      <c r="AH96" s="4" t="n">
        <v>0.18</v>
      </c>
      <c r="AI96" s="3">
        <f>ROUND(AG96+(AG96*AH96),2)</f>
        <v/>
      </c>
      <c r="AJ96" s="4" t="n">
        <v>0.1</v>
      </c>
      <c r="AK96" s="3">
        <f>ROUND(AI96*AJ96,2)</f>
        <v/>
      </c>
      <c r="AL96" s="3">
        <f>AI96+AK96</f>
        <v/>
      </c>
      <c r="AM96" s="3">
        <f>AE96-AL96</f>
        <v/>
      </c>
      <c r="AN96" s="4">
        <f>AM96/AE96</f>
        <v/>
      </c>
      <c r="AO96" s="3" t="inlineStr">
        <is>
          <t>3 hrs</t>
        </is>
      </c>
      <c r="AQ96" s="3" t="inlineStr">
        <is>
          <t>Length Weight</t>
        </is>
      </c>
      <c r="AS96"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97" ht="15.75" customHeight="1">
      <c r="A97" s="3" t="inlineStr">
        <is>
          <t>PROD_0014</t>
        </is>
      </c>
      <c r="B97" s="3" t="inlineStr">
        <is>
          <t>VAR_4</t>
        </is>
      </c>
      <c r="C97" s="3" t="inlineStr">
        <is>
          <t>Wooden Material</t>
        </is>
      </c>
      <c r="D97" s="3" t="inlineStr">
        <is>
          <t>HDHMR</t>
        </is>
      </c>
      <c r="E97" s="3" t="inlineStr">
        <is>
          <t>Action Tesa</t>
        </is>
      </c>
      <c r="F97" s="3" t="inlineStr">
        <is>
          <t>Plain</t>
        </is>
      </c>
      <c r="H97" s="3" t="inlineStr">
        <is>
          <t>Application</t>
        </is>
      </c>
      <c r="I97" s="3" t="inlineStr">
        <is>
          <t>Interior</t>
        </is>
      </c>
      <c r="J97" s="3" t="inlineStr">
        <is>
          <t>Size</t>
        </is>
      </c>
      <c r="K97" s="3" t="inlineStr">
        <is>
          <t>8 ft X 4 ft</t>
        </is>
      </c>
      <c r="L97" s="3" t="inlineStr">
        <is>
          <t>Thickness</t>
        </is>
      </c>
      <c r="M97" s="3" t="inlineStr">
        <is>
          <t>16 mm</t>
        </is>
      </c>
      <c r="N97" s="3" t="inlineStr">
        <is>
          <t>Color</t>
        </is>
      </c>
      <c r="O97" s="3" t="inlineStr">
        <is>
          <t>Plain</t>
        </is>
      </c>
      <c r="Q97" s="3" t="inlineStr">
        <is>
          <t>Manufacturer's Warranty</t>
        </is>
      </c>
      <c r="S97" s="3" t="n">
        <v>1</v>
      </c>
      <c r="U97" s="3" t="n">
        <v>80000</v>
      </c>
      <c r="Y97" s="3" t="inlineStr">
        <is>
          <t>AT_HDHMR_PLAIN</t>
        </is>
      </c>
      <c r="Z97" s="3" t="n">
        <v>4411</v>
      </c>
      <c r="AA97" s="3" t="inlineStr">
        <is>
          <t>per sq ft</t>
        </is>
      </c>
      <c r="AB97" s="3" t="inlineStr">
        <is>
          <t>Area</t>
        </is>
      </c>
      <c r="AC97" s="3" t="n">
        <v>32</v>
      </c>
      <c r="AD97" s="3" t="n">
        <v>107.47</v>
      </c>
      <c r="AE97" s="3">
        <f>+AC97*AD97</f>
        <v/>
      </c>
      <c r="AF97" s="4" t="n">
        <v>0.39</v>
      </c>
      <c r="AG97" s="3">
        <f>ROUND(AE97-(AE97*AF97),2)</f>
        <v/>
      </c>
      <c r="AH97" s="4" t="n">
        <v>0.18</v>
      </c>
      <c r="AI97" s="3">
        <f>ROUND(AG97+(AG97*AH97),2)</f>
        <v/>
      </c>
      <c r="AJ97" s="4" t="n">
        <v>0.1</v>
      </c>
      <c r="AK97" s="3">
        <f>ROUND(AI97*AJ97,2)</f>
        <v/>
      </c>
      <c r="AL97" s="3">
        <f>AI97+AK97</f>
        <v/>
      </c>
      <c r="AM97" s="3">
        <f>AE97-AL97</f>
        <v/>
      </c>
      <c r="AN97" s="4">
        <f>AM97/AE97</f>
        <v/>
      </c>
      <c r="AO97" s="3" t="inlineStr">
        <is>
          <t>3 hrs</t>
        </is>
      </c>
      <c r="AQ97" s="3" t="inlineStr">
        <is>
          <t>Length Weight</t>
        </is>
      </c>
      <c r="AS97"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98" ht="15.75" customHeight="1">
      <c r="A98" s="3" t="inlineStr">
        <is>
          <t>PROD_0014</t>
        </is>
      </c>
      <c r="B98" s="3" t="inlineStr">
        <is>
          <t>VAR_5</t>
        </is>
      </c>
      <c r="C98" s="3" t="inlineStr">
        <is>
          <t>Wooden Material</t>
        </is>
      </c>
      <c r="D98" s="3" t="inlineStr">
        <is>
          <t>HDHMR</t>
        </is>
      </c>
      <c r="E98" s="3" t="inlineStr">
        <is>
          <t>Action Tesa</t>
        </is>
      </c>
      <c r="F98" s="3" t="inlineStr">
        <is>
          <t>Plain</t>
        </is>
      </c>
      <c r="H98" s="3" t="inlineStr">
        <is>
          <t>Application</t>
        </is>
      </c>
      <c r="I98" s="3" t="inlineStr">
        <is>
          <t>Interior</t>
        </is>
      </c>
      <c r="J98" s="3" t="inlineStr">
        <is>
          <t>Size</t>
        </is>
      </c>
      <c r="K98" s="3" t="inlineStr">
        <is>
          <t>8 ft X 4 ft</t>
        </is>
      </c>
      <c r="L98" s="3" t="inlineStr">
        <is>
          <t>Thickness</t>
        </is>
      </c>
      <c r="M98" s="3" t="inlineStr">
        <is>
          <t>16.75 mm</t>
        </is>
      </c>
      <c r="N98" s="3" t="inlineStr">
        <is>
          <t>Color</t>
        </is>
      </c>
      <c r="O98" s="3" t="inlineStr">
        <is>
          <t>Plain</t>
        </is>
      </c>
      <c r="Q98" s="3" t="inlineStr">
        <is>
          <t>Manufacturer's Warranty</t>
        </is>
      </c>
      <c r="S98" s="3" t="n">
        <v>1</v>
      </c>
      <c r="U98" s="3" t="n">
        <v>80000</v>
      </c>
      <c r="Y98" s="3" t="inlineStr">
        <is>
          <t>AT_HDHMR_PLAIN</t>
        </is>
      </c>
      <c r="Z98" s="3" t="n">
        <v>4411</v>
      </c>
      <c r="AA98" s="3" t="inlineStr">
        <is>
          <t>per sq ft</t>
        </is>
      </c>
      <c r="AB98" s="3" t="inlineStr">
        <is>
          <t>Area</t>
        </is>
      </c>
      <c r="AC98" s="3" t="n">
        <v>32</v>
      </c>
      <c r="AD98" s="3" t="n">
        <v>112.48</v>
      </c>
      <c r="AE98" s="3">
        <f>+AC98*AD98</f>
        <v/>
      </c>
      <c r="AF98" s="4" t="n">
        <v>0.39</v>
      </c>
      <c r="AG98" s="3">
        <f>ROUND(AE98-(AE98*AF98),2)</f>
        <v/>
      </c>
      <c r="AH98" s="4" t="n">
        <v>0.18</v>
      </c>
      <c r="AI98" s="3">
        <f>ROUND(AG98+(AG98*AH98),2)</f>
        <v/>
      </c>
      <c r="AJ98" s="4" t="n">
        <v>0.1</v>
      </c>
      <c r="AK98" s="3">
        <f>ROUND(AI98*AJ98,2)</f>
        <v/>
      </c>
      <c r="AL98" s="3">
        <f>AI98+AK98</f>
        <v/>
      </c>
      <c r="AM98" s="3">
        <f>AE98-AL98</f>
        <v/>
      </c>
      <c r="AN98" s="4">
        <f>AM98/AE98</f>
        <v/>
      </c>
      <c r="AO98" s="3" t="inlineStr">
        <is>
          <t>3 hrs</t>
        </is>
      </c>
      <c r="AQ98" s="3" t="inlineStr">
        <is>
          <t>Length Weight</t>
        </is>
      </c>
      <c r="AS98"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99" ht="15.75" customHeight="1">
      <c r="A99" s="3" t="inlineStr">
        <is>
          <t>PROD_0014</t>
        </is>
      </c>
      <c r="B99" s="3" t="inlineStr">
        <is>
          <t>VAR_6</t>
        </is>
      </c>
      <c r="C99" s="3" t="inlineStr">
        <is>
          <t>Wooden Material</t>
        </is>
      </c>
      <c r="D99" s="3" t="inlineStr">
        <is>
          <t>HDHMR</t>
        </is>
      </c>
      <c r="E99" s="3" t="inlineStr">
        <is>
          <t>Action Tesa</t>
        </is>
      </c>
      <c r="F99" s="3" t="inlineStr">
        <is>
          <t>Plain</t>
        </is>
      </c>
      <c r="H99" s="3" t="inlineStr">
        <is>
          <t>Application</t>
        </is>
      </c>
      <c r="I99" s="3" t="inlineStr">
        <is>
          <t>Interior</t>
        </is>
      </c>
      <c r="J99" s="3" t="inlineStr">
        <is>
          <t>Size</t>
        </is>
      </c>
      <c r="K99" s="3" t="inlineStr">
        <is>
          <t>8 ft X 4 ft</t>
        </is>
      </c>
      <c r="L99" s="3" t="inlineStr">
        <is>
          <t>Thickness</t>
        </is>
      </c>
      <c r="M99" s="3" t="inlineStr">
        <is>
          <t>18 mm</t>
        </is>
      </c>
      <c r="N99" s="3" t="inlineStr">
        <is>
          <t>Color</t>
        </is>
      </c>
      <c r="O99" s="3" t="inlineStr">
        <is>
          <t>Plain</t>
        </is>
      </c>
      <c r="Q99" s="3" t="inlineStr">
        <is>
          <t>Manufacturer's Warranty</t>
        </is>
      </c>
      <c r="S99" s="3" t="n">
        <v>1</v>
      </c>
      <c r="U99" s="3" t="n">
        <v>80000</v>
      </c>
      <c r="Y99" s="3" t="inlineStr">
        <is>
          <t>AT_HDHMR_PLAIN</t>
        </is>
      </c>
      <c r="Z99" s="3" t="n">
        <v>4411</v>
      </c>
      <c r="AA99" s="3" t="inlineStr">
        <is>
          <t>per sq ft</t>
        </is>
      </c>
      <c r="AB99" s="3" t="inlineStr">
        <is>
          <t>Area</t>
        </is>
      </c>
      <c r="AC99" s="3" t="n">
        <v>32</v>
      </c>
      <c r="AD99" s="3" t="n">
        <v>126.09</v>
      </c>
      <c r="AE99" s="3">
        <f>+AC99*AD99</f>
        <v/>
      </c>
      <c r="AF99" s="4" t="n">
        <v>0.39</v>
      </c>
      <c r="AG99" s="3">
        <f>ROUND(AE99-(AE99*AF99),2)</f>
        <v/>
      </c>
      <c r="AH99" s="4" t="n">
        <v>0.18</v>
      </c>
      <c r="AI99" s="3">
        <f>ROUND(AG99+(AG99*AH99),2)</f>
        <v/>
      </c>
      <c r="AJ99" s="4" t="n">
        <v>0.1</v>
      </c>
      <c r="AK99" s="3">
        <f>ROUND(AI99*AJ99,2)</f>
        <v/>
      </c>
      <c r="AL99" s="3">
        <f>AI99+AK99</f>
        <v/>
      </c>
      <c r="AM99" s="3">
        <f>AE99-AL99</f>
        <v/>
      </c>
      <c r="AN99" s="4">
        <f>AM99/AE99</f>
        <v/>
      </c>
      <c r="AO99" s="3" t="inlineStr">
        <is>
          <t>3 hrs</t>
        </is>
      </c>
      <c r="AQ99" s="3" t="inlineStr">
        <is>
          <t>Length Weight</t>
        </is>
      </c>
      <c r="AS99"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0" ht="15.75" customHeight="1">
      <c r="A100" s="3" t="inlineStr">
        <is>
          <t>PROD_0015</t>
        </is>
      </c>
      <c r="B100" s="3" t="inlineStr">
        <is>
          <t>VAR_1</t>
        </is>
      </c>
      <c r="C100" s="3" t="inlineStr">
        <is>
          <t>Wooden Material</t>
        </is>
      </c>
      <c r="D100" s="3" t="inlineStr">
        <is>
          <t>HDHMR</t>
        </is>
      </c>
      <c r="E100" s="3" t="inlineStr">
        <is>
          <t>Action Tesa</t>
        </is>
      </c>
      <c r="F100" s="3" t="inlineStr">
        <is>
          <t>One Side Laminate</t>
        </is>
      </c>
      <c r="H100" s="3" t="inlineStr">
        <is>
          <t>Application</t>
        </is>
      </c>
      <c r="I100" s="3" t="inlineStr">
        <is>
          <t>Interior</t>
        </is>
      </c>
      <c r="J100" s="3" t="inlineStr">
        <is>
          <t>Size</t>
        </is>
      </c>
      <c r="K100" s="3" t="inlineStr">
        <is>
          <t>8 ft X 4 ft</t>
        </is>
      </c>
      <c r="L100" s="3" t="inlineStr">
        <is>
          <t>Thickness</t>
        </is>
      </c>
      <c r="M100" s="3" t="inlineStr">
        <is>
          <t>5.50 mm</t>
        </is>
      </c>
      <c r="N100" s="3" t="inlineStr">
        <is>
          <t>Color</t>
        </is>
      </c>
      <c r="O100" s="3" t="inlineStr">
        <is>
          <t>Frosty White</t>
        </is>
      </c>
      <c r="Q100" s="3" t="inlineStr">
        <is>
          <t>Manufacturer's Warranty</t>
        </is>
      </c>
      <c r="S100" s="3" t="n">
        <v>1</v>
      </c>
      <c r="U100" s="3" t="n">
        <v>80000</v>
      </c>
      <c r="Y100" s="3" t="inlineStr">
        <is>
          <t>AT_HDHMR_OSL_LAM</t>
        </is>
      </c>
      <c r="Z100" s="3" t="n">
        <v>4411</v>
      </c>
      <c r="AA100" s="3" t="inlineStr">
        <is>
          <t>per sq ft</t>
        </is>
      </c>
      <c r="AB100" s="3" t="inlineStr">
        <is>
          <t>Area</t>
        </is>
      </c>
      <c r="AC100" s="3" t="n">
        <v>32</v>
      </c>
      <c r="AD100" s="3" t="n">
        <v>66.31999999999999</v>
      </c>
      <c r="AE100" s="3">
        <f>+AC100*AD100</f>
        <v/>
      </c>
      <c r="AF100" s="4" t="n">
        <v>0.39</v>
      </c>
      <c r="AG100" s="3">
        <f>ROUND(AE100-(AE100*AF100),2)</f>
        <v/>
      </c>
      <c r="AH100" s="4" t="n">
        <v>0.18</v>
      </c>
      <c r="AI100" s="3">
        <f>ROUND(AG100+(AG100*AH100),2)</f>
        <v/>
      </c>
      <c r="AJ100" s="4" t="n">
        <v>0.1</v>
      </c>
      <c r="AK100" s="3">
        <f>ROUND(AI100*AJ100,2)</f>
        <v/>
      </c>
      <c r="AL100" s="3">
        <f>AI100+AK100</f>
        <v/>
      </c>
      <c r="AM100" s="3">
        <f>AE100-AL100</f>
        <v/>
      </c>
      <c r="AN100" s="4">
        <f>AM100/AE100</f>
        <v/>
      </c>
      <c r="AO100" s="3" t="inlineStr">
        <is>
          <t>3 hrs</t>
        </is>
      </c>
      <c r="AQ100" s="3" t="inlineStr">
        <is>
          <t>Length Weight</t>
        </is>
      </c>
      <c r="AS100"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1" ht="15.75" customHeight="1">
      <c r="A101" s="3" t="inlineStr">
        <is>
          <t>PROD_0015</t>
        </is>
      </c>
      <c r="B101" s="3" t="inlineStr">
        <is>
          <t>VAR_2</t>
        </is>
      </c>
      <c r="C101" s="3" t="inlineStr">
        <is>
          <t>Wooden Material</t>
        </is>
      </c>
      <c r="D101" s="3" t="inlineStr">
        <is>
          <t>HDHMR</t>
        </is>
      </c>
      <c r="E101" s="3" t="inlineStr">
        <is>
          <t>Action Tesa</t>
        </is>
      </c>
      <c r="F101" s="3" t="inlineStr">
        <is>
          <t>One Side Laminate</t>
        </is>
      </c>
      <c r="H101" s="3" t="inlineStr">
        <is>
          <t>Application</t>
        </is>
      </c>
      <c r="I101" s="3" t="inlineStr">
        <is>
          <t>Interior</t>
        </is>
      </c>
      <c r="J101" s="3" t="inlineStr">
        <is>
          <t>Size</t>
        </is>
      </c>
      <c r="K101" s="3" t="inlineStr">
        <is>
          <t>8 ft X 4 ft</t>
        </is>
      </c>
      <c r="L101" s="3" t="inlineStr">
        <is>
          <t>Thickness</t>
        </is>
      </c>
      <c r="M101" s="3" t="inlineStr">
        <is>
          <t>8 mm</t>
        </is>
      </c>
      <c r="N101" s="3" t="inlineStr">
        <is>
          <t>Color</t>
        </is>
      </c>
      <c r="O101" s="3" t="inlineStr">
        <is>
          <t>Frosty White</t>
        </is>
      </c>
      <c r="Q101" s="3" t="inlineStr">
        <is>
          <t>Manufacturer's Warranty</t>
        </is>
      </c>
      <c r="S101" s="3" t="n">
        <v>1</v>
      </c>
      <c r="U101" s="3" t="n">
        <v>80000</v>
      </c>
      <c r="Y101" s="3" t="inlineStr">
        <is>
          <t>AT_HDHMR_OSL_LAM</t>
        </is>
      </c>
      <c r="Z101" s="3" t="n">
        <v>4411</v>
      </c>
      <c r="AA101" s="3" t="inlineStr">
        <is>
          <t>per sq ft</t>
        </is>
      </c>
      <c r="AB101" s="3" t="inlineStr">
        <is>
          <t>Area</t>
        </is>
      </c>
      <c r="AC101" s="3" t="n">
        <v>32</v>
      </c>
      <c r="AD101" s="5" t="n">
        <v>80.7</v>
      </c>
      <c r="AE101" s="3">
        <f>+AC101*AD101</f>
        <v/>
      </c>
      <c r="AF101" s="4" t="n">
        <v>0.39</v>
      </c>
      <c r="AG101" s="3">
        <f>ROUND(AE101-(AE101*AF101),2)</f>
        <v/>
      </c>
      <c r="AH101" s="4" t="n">
        <v>0.18</v>
      </c>
      <c r="AI101" s="3">
        <f>ROUND(AG101+(AG101*AH101),2)</f>
        <v/>
      </c>
      <c r="AJ101" s="4" t="n">
        <v>0.1</v>
      </c>
      <c r="AK101" s="3">
        <f>ROUND(AI101*AJ101,2)</f>
        <v/>
      </c>
      <c r="AL101" s="3">
        <f>AI101+AK101</f>
        <v/>
      </c>
      <c r="AM101" s="3">
        <f>AE101-AL101</f>
        <v/>
      </c>
      <c r="AN101" s="4">
        <f>AM101/AE101</f>
        <v/>
      </c>
      <c r="AO101" s="3" t="inlineStr">
        <is>
          <t>3 hrs</t>
        </is>
      </c>
      <c r="AQ101" s="3" t="inlineStr">
        <is>
          <t>Length Weight</t>
        </is>
      </c>
      <c r="AS101"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2" ht="15.75" customHeight="1">
      <c r="A102" s="3" t="inlineStr">
        <is>
          <t>PROD_0015</t>
        </is>
      </c>
      <c r="B102" s="3" t="inlineStr">
        <is>
          <t>VAR_3</t>
        </is>
      </c>
      <c r="C102" s="3" t="inlineStr">
        <is>
          <t>Wooden Material</t>
        </is>
      </c>
      <c r="D102" s="3" t="inlineStr">
        <is>
          <t>HDHMR</t>
        </is>
      </c>
      <c r="E102" s="3" t="inlineStr">
        <is>
          <t>Action Tesa</t>
        </is>
      </c>
      <c r="F102" s="3" t="inlineStr">
        <is>
          <t>One Side Laminate</t>
        </is>
      </c>
      <c r="H102" s="3" t="inlineStr">
        <is>
          <t>Application</t>
        </is>
      </c>
      <c r="I102" s="3" t="inlineStr">
        <is>
          <t>Interior</t>
        </is>
      </c>
      <c r="J102" s="3" t="inlineStr">
        <is>
          <t>Size</t>
        </is>
      </c>
      <c r="K102" s="3" t="inlineStr">
        <is>
          <t>8 ft X 4 ft</t>
        </is>
      </c>
      <c r="L102" s="3" t="inlineStr">
        <is>
          <t>Thickness</t>
        </is>
      </c>
      <c r="M102" s="3" t="inlineStr">
        <is>
          <t>12 mm</t>
        </is>
      </c>
      <c r="N102" s="3" t="inlineStr">
        <is>
          <t>Color</t>
        </is>
      </c>
      <c r="O102" s="3" t="inlineStr">
        <is>
          <t>Frosty White</t>
        </is>
      </c>
      <c r="Q102" s="3" t="inlineStr">
        <is>
          <t>Manufacturer's Warranty</t>
        </is>
      </c>
      <c r="S102" s="3" t="n">
        <v>1</v>
      </c>
      <c r="U102" s="3" t="n">
        <v>80000</v>
      </c>
      <c r="Y102" s="3" t="inlineStr">
        <is>
          <t>AT_HDHMR_OSL_LAM</t>
        </is>
      </c>
      <c r="Z102" s="3" t="n">
        <v>4411</v>
      </c>
      <c r="AA102" s="3" t="inlineStr">
        <is>
          <t>per sq ft</t>
        </is>
      </c>
      <c r="AB102" s="3" t="inlineStr">
        <is>
          <t>Area</t>
        </is>
      </c>
      <c r="AC102" s="3" t="n">
        <v>32</v>
      </c>
      <c r="AD102" s="3" t="n">
        <v>109.73</v>
      </c>
      <c r="AE102" s="3">
        <f>+AC102*AD102</f>
        <v/>
      </c>
      <c r="AF102" s="4" t="n">
        <v>0.39</v>
      </c>
      <c r="AG102" s="3">
        <f>ROUND(AE102-(AE102*AF102),2)</f>
        <v/>
      </c>
      <c r="AH102" s="4" t="n">
        <v>0.18</v>
      </c>
      <c r="AI102" s="3">
        <f>ROUND(AG102+(AG102*AH102),2)</f>
        <v/>
      </c>
      <c r="AJ102" s="4" t="n">
        <v>0.1</v>
      </c>
      <c r="AK102" s="3">
        <f>ROUND(AI102*AJ102,2)</f>
        <v/>
      </c>
      <c r="AL102" s="3">
        <f>AI102+AK102</f>
        <v/>
      </c>
      <c r="AM102" s="3">
        <f>AE102-AL102</f>
        <v/>
      </c>
      <c r="AN102" s="4">
        <f>AM102/AE102</f>
        <v/>
      </c>
      <c r="AO102" s="3" t="inlineStr">
        <is>
          <t>3 hrs</t>
        </is>
      </c>
      <c r="AQ102" s="3" t="inlineStr">
        <is>
          <t>Length Weight</t>
        </is>
      </c>
      <c r="AS102"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3" ht="15.75" customHeight="1">
      <c r="A103" s="3" t="inlineStr">
        <is>
          <t>PROD_0015</t>
        </is>
      </c>
      <c r="B103" s="3" t="inlineStr">
        <is>
          <t>VAR_4</t>
        </is>
      </c>
      <c r="C103" s="3" t="inlineStr">
        <is>
          <t>Wooden Material</t>
        </is>
      </c>
      <c r="D103" s="3" t="inlineStr">
        <is>
          <t>HDHMR</t>
        </is>
      </c>
      <c r="E103" s="3" t="inlineStr">
        <is>
          <t>Action Tesa</t>
        </is>
      </c>
      <c r="F103" s="3" t="inlineStr">
        <is>
          <t>One Side Laminate</t>
        </is>
      </c>
      <c r="H103" s="3" t="inlineStr">
        <is>
          <t>Application</t>
        </is>
      </c>
      <c r="I103" s="3" t="inlineStr">
        <is>
          <t>Interior</t>
        </is>
      </c>
      <c r="J103" s="3" t="inlineStr">
        <is>
          <t>Size</t>
        </is>
      </c>
      <c r="K103" s="3" t="inlineStr">
        <is>
          <t>8 ft X 4 ft</t>
        </is>
      </c>
      <c r="L103" s="3" t="inlineStr">
        <is>
          <t>Thickness</t>
        </is>
      </c>
      <c r="M103" s="3" t="inlineStr">
        <is>
          <t>16 mm</t>
        </is>
      </c>
      <c r="N103" s="3" t="inlineStr">
        <is>
          <t>Color</t>
        </is>
      </c>
      <c r="O103" s="3" t="inlineStr">
        <is>
          <t>Frosty White</t>
        </is>
      </c>
      <c r="Q103" s="3" t="inlineStr">
        <is>
          <t>Manufacturer's Warranty</t>
        </is>
      </c>
      <c r="S103" s="3" t="n">
        <v>1</v>
      </c>
      <c r="U103" s="3" t="n">
        <v>80000</v>
      </c>
      <c r="Y103" s="3" t="inlineStr">
        <is>
          <t>AT_HDHMR_OSL_LAM</t>
        </is>
      </c>
      <c r="Z103" s="3" t="n">
        <v>4411</v>
      </c>
      <c r="AA103" s="3" t="inlineStr">
        <is>
          <t>per sq ft</t>
        </is>
      </c>
      <c r="AB103" s="3" t="inlineStr">
        <is>
          <t>Area</t>
        </is>
      </c>
      <c r="AC103" s="3" t="n">
        <v>32</v>
      </c>
      <c r="AD103" s="3" t="n">
        <v>132.52</v>
      </c>
      <c r="AE103" s="3">
        <f>+AC103*AD103</f>
        <v/>
      </c>
      <c r="AF103" s="4" t="n">
        <v>0.39</v>
      </c>
      <c r="AG103" s="3">
        <f>ROUND(AE103-(AE103*AF103),2)</f>
        <v/>
      </c>
      <c r="AH103" s="4" t="n">
        <v>0.18</v>
      </c>
      <c r="AI103" s="3">
        <f>ROUND(AG103+(AG103*AH103),2)</f>
        <v/>
      </c>
      <c r="AJ103" s="4" t="n">
        <v>0.1</v>
      </c>
      <c r="AK103" s="3">
        <f>ROUND(AI103*AJ103,2)</f>
        <v/>
      </c>
      <c r="AL103" s="3">
        <f>AI103+AK103</f>
        <v/>
      </c>
      <c r="AM103" s="3">
        <f>AE103-AL103</f>
        <v/>
      </c>
      <c r="AN103" s="4">
        <f>AM103/AE103</f>
        <v/>
      </c>
      <c r="AO103" s="3" t="inlineStr">
        <is>
          <t>3 hrs</t>
        </is>
      </c>
      <c r="AQ103" s="3" t="inlineStr">
        <is>
          <t>Length Weight</t>
        </is>
      </c>
      <c r="AS103"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4" ht="15.75" customHeight="1">
      <c r="A104" s="3" t="inlineStr">
        <is>
          <t>PROD_0015</t>
        </is>
      </c>
      <c r="B104" s="3" t="inlineStr">
        <is>
          <t>VAR_5</t>
        </is>
      </c>
      <c r="C104" s="3" t="inlineStr">
        <is>
          <t>Wooden Material</t>
        </is>
      </c>
      <c r="D104" s="3" t="inlineStr">
        <is>
          <t>HDHMR</t>
        </is>
      </c>
      <c r="E104" s="3" t="inlineStr">
        <is>
          <t>Action Tesa</t>
        </is>
      </c>
      <c r="F104" s="3" t="inlineStr">
        <is>
          <t>One Side Laminate</t>
        </is>
      </c>
      <c r="H104" s="3" t="inlineStr">
        <is>
          <t>Application</t>
        </is>
      </c>
      <c r="I104" s="3" t="inlineStr">
        <is>
          <t>Interior</t>
        </is>
      </c>
      <c r="J104" s="3" t="inlineStr">
        <is>
          <t>Size</t>
        </is>
      </c>
      <c r="K104" s="3" t="inlineStr">
        <is>
          <t>8 ft X 4 ft</t>
        </is>
      </c>
      <c r="L104" s="3" t="inlineStr">
        <is>
          <t>Thickness</t>
        </is>
      </c>
      <c r="M104" s="3" t="inlineStr">
        <is>
          <t>16.75 mm</t>
        </is>
      </c>
      <c r="N104" s="3" t="inlineStr">
        <is>
          <t>Color</t>
        </is>
      </c>
      <c r="O104" s="3" t="inlineStr">
        <is>
          <t>Frosty White</t>
        </is>
      </c>
      <c r="Q104" s="3" t="inlineStr">
        <is>
          <t>Manufacturer's Warranty</t>
        </is>
      </c>
      <c r="S104" s="3" t="n">
        <v>1</v>
      </c>
      <c r="U104" s="3" t="n">
        <v>80000</v>
      </c>
      <c r="Y104" s="3" t="inlineStr">
        <is>
          <t>AT_HDHMR_OSL_LAM</t>
        </is>
      </c>
      <c r="Z104" s="3" t="n">
        <v>4411</v>
      </c>
      <c r="AA104" s="3" t="inlineStr">
        <is>
          <t>per sq ft</t>
        </is>
      </c>
      <c r="AB104" s="3" t="inlineStr">
        <is>
          <t>Area</t>
        </is>
      </c>
      <c r="AC104" s="3" t="n">
        <v>32</v>
      </c>
      <c r="AD104" s="3" t="n">
        <v>137.52</v>
      </c>
      <c r="AE104" s="3">
        <f>+AC104*AD104</f>
        <v/>
      </c>
      <c r="AF104" s="4" t="n">
        <v>0.39</v>
      </c>
      <c r="AG104" s="3">
        <f>ROUND(AE104-(AE104*AF104),2)</f>
        <v/>
      </c>
      <c r="AH104" s="4" t="n">
        <v>0.18</v>
      </c>
      <c r="AI104" s="3">
        <f>ROUND(AG104+(AG104*AH104),2)</f>
        <v/>
      </c>
      <c r="AJ104" s="4" t="n">
        <v>0.1</v>
      </c>
      <c r="AK104" s="3">
        <f>ROUND(AI104*AJ104,2)</f>
        <v/>
      </c>
      <c r="AL104" s="3">
        <f>AI104+AK104</f>
        <v/>
      </c>
      <c r="AM104" s="3">
        <f>AE104-AL104</f>
        <v/>
      </c>
      <c r="AN104" s="4">
        <f>AM104/AE104</f>
        <v/>
      </c>
      <c r="AO104" s="3" t="inlineStr">
        <is>
          <t>3 hrs</t>
        </is>
      </c>
      <c r="AQ104" s="3" t="inlineStr">
        <is>
          <t>Length Weight</t>
        </is>
      </c>
      <c r="AS104"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5" ht="15.75" customHeight="1">
      <c r="A105" s="3" t="inlineStr">
        <is>
          <t>PROD_0015</t>
        </is>
      </c>
      <c r="B105" s="3" t="inlineStr">
        <is>
          <t>VAR_6</t>
        </is>
      </c>
      <c r="C105" s="3" t="inlineStr">
        <is>
          <t>Wooden Material</t>
        </is>
      </c>
      <c r="D105" s="3" t="inlineStr">
        <is>
          <t>HDHMR</t>
        </is>
      </c>
      <c r="E105" s="3" t="inlineStr">
        <is>
          <t>Action Tesa</t>
        </is>
      </c>
      <c r="F105" s="3" t="inlineStr">
        <is>
          <t>One Side Laminate</t>
        </is>
      </c>
      <c r="H105" s="3" t="inlineStr">
        <is>
          <t>Application</t>
        </is>
      </c>
      <c r="I105" s="3" t="inlineStr">
        <is>
          <t>Interior</t>
        </is>
      </c>
      <c r="J105" s="3" t="inlineStr">
        <is>
          <t>Size</t>
        </is>
      </c>
      <c r="K105" s="3" t="inlineStr">
        <is>
          <t>8 ft X 4 ft</t>
        </is>
      </c>
      <c r="L105" s="3" t="inlineStr">
        <is>
          <t>Thickness</t>
        </is>
      </c>
      <c r="M105" s="3" t="inlineStr">
        <is>
          <t>18 mm</t>
        </is>
      </c>
      <c r="N105" s="3" t="inlineStr">
        <is>
          <t>Color</t>
        </is>
      </c>
      <c r="O105" s="3" t="inlineStr">
        <is>
          <t>Frosty White</t>
        </is>
      </c>
      <c r="Q105" s="3" t="inlineStr">
        <is>
          <t>Manufacturer's Warranty</t>
        </is>
      </c>
      <c r="S105" s="3" t="n">
        <v>1</v>
      </c>
      <c r="U105" s="3" t="n">
        <v>80000</v>
      </c>
      <c r="Y105" s="3" t="inlineStr">
        <is>
          <t>AT_HDHMR_OSL_LAM</t>
        </is>
      </c>
      <c r="Z105" s="3" t="n">
        <v>4411</v>
      </c>
      <c r="AA105" s="3" t="inlineStr">
        <is>
          <t>per sq ft</t>
        </is>
      </c>
      <c r="AB105" s="3" t="inlineStr">
        <is>
          <t>Area</t>
        </is>
      </c>
      <c r="AC105" s="3" t="n">
        <v>32</v>
      </c>
      <c r="AD105" s="3" t="n">
        <v>151.15</v>
      </c>
      <c r="AE105" s="3">
        <f>+AC105*AD105</f>
        <v/>
      </c>
      <c r="AF105" s="4" t="n">
        <v>0.39</v>
      </c>
      <c r="AG105" s="3">
        <f>ROUND(AE105-(AE105*AF105),2)</f>
        <v/>
      </c>
      <c r="AH105" s="4" t="n">
        <v>0.18</v>
      </c>
      <c r="AI105" s="3">
        <f>ROUND(AG105+(AG105*AH105),2)</f>
        <v/>
      </c>
      <c r="AJ105" s="4" t="n">
        <v>0.1</v>
      </c>
      <c r="AK105" s="3">
        <f>ROUND(AI105*AJ105,2)</f>
        <v/>
      </c>
      <c r="AL105" s="3">
        <f>AI105+AK105</f>
        <v/>
      </c>
      <c r="AM105" s="3">
        <f>AE105-AL105</f>
        <v/>
      </c>
      <c r="AN105" s="4">
        <f>AM105/AE105</f>
        <v/>
      </c>
      <c r="AO105" s="3" t="inlineStr">
        <is>
          <t>3 hrs</t>
        </is>
      </c>
      <c r="AQ105" s="3" t="inlineStr">
        <is>
          <t>Length Weight</t>
        </is>
      </c>
      <c r="AS105"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6" ht="15.75" customHeight="1">
      <c r="A106" s="3" t="inlineStr">
        <is>
          <t>PROD_0016</t>
        </is>
      </c>
      <c r="B106" s="3" t="inlineStr">
        <is>
          <t>VAR_1</t>
        </is>
      </c>
      <c r="C106" s="3" t="inlineStr">
        <is>
          <t>Wooden Material</t>
        </is>
      </c>
      <c r="D106" s="3" t="inlineStr">
        <is>
          <t>HDHMR</t>
        </is>
      </c>
      <c r="E106" s="3" t="inlineStr">
        <is>
          <t>Action Tesa</t>
        </is>
      </c>
      <c r="F106" s="3" t="inlineStr">
        <is>
          <t>Both Side Laminate</t>
        </is>
      </c>
      <c r="H106" s="3" t="inlineStr">
        <is>
          <t>Application</t>
        </is>
      </c>
      <c r="I106" s="3" t="inlineStr">
        <is>
          <t>Interior</t>
        </is>
      </c>
      <c r="J106" s="3" t="inlineStr">
        <is>
          <t>Size</t>
        </is>
      </c>
      <c r="K106" s="3" t="inlineStr">
        <is>
          <t>8 ft X 4 ft</t>
        </is>
      </c>
      <c r="L106" s="3" t="inlineStr">
        <is>
          <t>Thickness</t>
        </is>
      </c>
      <c r="M106" s="3" t="inlineStr">
        <is>
          <t>5.50 mm</t>
        </is>
      </c>
      <c r="N106" s="3" t="inlineStr">
        <is>
          <t>Color</t>
        </is>
      </c>
      <c r="O106" s="3" t="inlineStr">
        <is>
          <t>Frosty White</t>
        </is>
      </c>
      <c r="Q106" s="3" t="inlineStr">
        <is>
          <t>Manufacturer's Warranty</t>
        </is>
      </c>
      <c r="S106" s="3" t="n">
        <v>1</v>
      </c>
      <c r="U106" s="3" t="n">
        <v>80000</v>
      </c>
      <c r="Y106" s="3" t="inlineStr">
        <is>
          <t>AT_HDHMR_BSL_LAM</t>
        </is>
      </c>
      <c r="Z106" s="3" t="n">
        <v>4411</v>
      </c>
      <c r="AA106" s="3" t="inlineStr">
        <is>
          <t>per sq ft</t>
        </is>
      </c>
      <c r="AB106" s="3" t="inlineStr">
        <is>
          <t>Area</t>
        </is>
      </c>
      <c r="AC106" s="3" t="n">
        <v>32</v>
      </c>
      <c r="AD106" s="3" t="n">
        <v>68.84</v>
      </c>
      <c r="AE106" s="3">
        <f>+AC106*AD106</f>
        <v/>
      </c>
      <c r="AF106" s="4" t="n">
        <v>0.39</v>
      </c>
      <c r="AG106" s="3">
        <f>ROUND(AE106-(AE106*AF106),2)</f>
        <v/>
      </c>
      <c r="AH106" s="4" t="n">
        <v>0.18</v>
      </c>
      <c r="AI106" s="3">
        <f>ROUND(AG106+(AG106*AH106),2)</f>
        <v/>
      </c>
      <c r="AJ106" s="4" t="n">
        <v>0.1</v>
      </c>
      <c r="AK106" s="3">
        <f>ROUND(AI106*AJ106,2)</f>
        <v/>
      </c>
      <c r="AL106" s="3">
        <f>AI106+AK106</f>
        <v/>
      </c>
      <c r="AM106" s="3">
        <f>AE106-AL106</f>
        <v/>
      </c>
      <c r="AN106" s="4">
        <f>AM106/AE106</f>
        <v/>
      </c>
      <c r="AO106" s="3" t="inlineStr">
        <is>
          <t>3 hrs</t>
        </is>
      </c>
      <c r="AQ106" s="3" t="inlineStr">
        <is>
          <t>Length Weight</t>
        </is>
      </c>
      <c r="AS106"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7" ht="15.75" customHeight="1">
      <c r="A107" s="3" t="inlineStr">
        <is>
          <t>PROD_0016</t>
        </is>
      </c>
      <c r="B107" s="3" t="inlineStr">
        <is>
          <t>VAR_2</t>
        </is>
      </c>
      <c r="C107" s="3" t="inlineStr">
        <is>
          <t>Wooden Material</t>
        </is>
      </c>
      <c r="D107" s="3" t="inlineStr">
        <is>
          <t>HDHMR</t>
        </is>
      </c>
      <c r="E107" s="3" t="inlineStr">
        <is>
          <t>Action Tesa</t>
        </is>
      </c>
      <c r="F107" s="3" t="inlineStr">
        <is>
          <t>Both Side Laminate</t>
        </is>
      </c>
      <c r="H107" s="3" t="inlineStr">
        <is>
          <t>Application</t>
        </is>
      </c>
      <c r="I107" s="3" t="inlineStr">
        <is>
          <t>Interior</t>
        </is>
      </c>
      <c r="J107" s="3" t="inlineStr">
        <is>
          <t>Size</t>
        </is>
      </c>
      <c r="K107" s="3" t="inlineStr">
        <is>
          <t>8 ft X 4 ft</t>
        </is>
      </c>
      <c r="L107" s="3" t="inlineStr">
        <is>
          <t>Thickness</t>
        </is>
      </c>
      <c r="M107" s="3" t="inlineStr">
        <is>
          <t>8 mm</t>
        </is>
      </c>
      <c r="N107" s="3" t="inlineStr">
        <is>
          <t>Color</t>
        </is>
      </c>
      <c r="O107" s="3" t="inlineStr">
        <is>
          <t>Frosty White</t>
        </is>
      </c>
      <c r="Q107" s="3" t="inlineStr">
        <is>
          <t>Manufacturer's Warranty</t>
        </is>
      </c>
      <c r="S107" s="3" t="n">
        <v>1</v>
      </c>
      <c r="U107" s="3" t="n">
        <v>80000</v>
      </c>
      <c r="Y107" s="3" t="inlineStr">
        <is>
          <t>AT_HDHMR_BSL_LAM</t>
        </is>
      </c>
      <c r="Z107" s="3" t="n">
        <v>4411</v>
      </c>
      <c r="AA107" s="3" t="inlineStr">
        <is>
          <t>per sq ft</t>
        </is>
      </c>
      <c r="AB107" s="3" t="inlineStr">
        <is>
          <t>Area</t>
        </is>
      </c>
      <c r="AC107" s="3" t="n">
        <v>32</v>
      </c>
      <c r="AD107" s="3" t="n">
        <v>83.23</v>
      </c>
      <c r="AE107" s="3">
        <f>+AC107*AD107</f>
        <v/>
      </c>
      <c r="AF107" s="4" t="n">
        <v>0.39</v>
      </c>
      <c r="AG107" s="3">
        <f>ROUND(AE107-(AE107*AF107),2)</f>
        <v/>
      </c>
      <c r="AH107" s="4" t="n">
        <v>0.18</v>
      </c>
      <c r="AI107" s="3">
        <f>ROUND(AG107+(AG107*AH107),2)</f>
        <v/>
      </c>
      <c r="AJ107" s="4" t="n">
        <v>0.1</v>
      </c>
      <c r="AK107" s="3">
        <f>ROUND(AI107*AJ107,2)</f>
        <v/>
      </c>
      <c r="AL107" s="3">
        <f>AI107+AK107</f>
        <v/>
      </c>
      <c r="AM107" s="3">
        <f>AE107-AL107</f>
        <v/>
      </c>
      <c r="AN107" s="4">
        <f>AM107/AE107</f>
        <v/>
      </c>
      <c r="AO107" s="3" t="inlineStr">
        <is>
          <t>3 hrs</t>
        </is>
      </c>
      <c r="AQ107" s="3" t="inlineStr">
        <is>
          <t>Length Weight</t>
        </is>
      </c>
      <c r="AS107"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8" ht="15.75" customHeight="1">
      <c r="A108" s="3" t="inlineStr">
        <is>
          <t>PROD_0016</t>
        </is>
      </c>
      <c r="B108" s="3" t="inlineStr">
        <is>
          <t>VAR_3</t>
        </is>
      </c>
      <c r="C108" s="3" t="inlineStr">
        <is>
          <t>Wooden Material</t>
        </is>
      </c>
      <c r="D108" s="3" t="inlineStr">
        <is>
          <t>HDHMR</t>
        </is>
      </c>
      <c r="E108" s="3" t="inlineStr">
        <is>
          <t>Action Tesa</t>
        </is>
      </c>
      <c r="F108" s="3" t="inlineStr">
        <is>
          <t>Both Side Laminate</t>
        </is>
      </c>
      <c r="H108" s="3" t="inlineStr">
        <is>
          <t>Application</t>
        </is>
      </c>
      <c r="I108" s="3" t="inlineStr">
        <is>
          <t>Interior</t>
        </is>
      </c>
      <c r="J108" s="3" t="inlineStr">
        <is>
          <t>Size</t>
        </is>
      </c>
      <c r="K108" s="3" t="inlineStr">
        <is>
          <t>8 ft X 4 ft</t>
        </is>
      </c>
      <c r="L108" s="3" t="inlineStr">
        <is>
          <t>Thickness</t>
        </is>
      </c>
      <c r="M108" s="3" t="inlineStr">
        <is>
          <t>12 mm</t>
        </is>
      </c>
      <c r="N108" s="3" t="inlineStr">
        <is>
          <t>Color</t>
        </is>
      </c>
      <c r="O108" s="3" t="inlineStr">
        <is>
          <t>Frosty White</t>
        </is>
      </c>
      <c r="Q108" s="3" t="inlineStr">
        <is>
          <t>Manufacturer's Warranty</t>
        </is>
      </c>
      <c r="S108" s="3" t="n">
        <v>1</v>
      </c>
      <c r="U108" s="3" t="n">
        <v>80000</v>
      </c>
      <c r="Y108" s="3" t="inlineStr">
        <is>
          <t>AT_HDHMR_BSL_LAM</t>
        </is>
      </c>
      <c r="Z108" s="3" t="n">
        <v>4411</v>
      </c>
      <c r="AA108" s="3" t="inlineStr">
        <is>
          <t>per sq ft</t>
        </is>
      </c>
      <c r="AB108" s="3" t="inlineStr">
        <is>
          <t>Area</t>
        </is>
      </c>
      <c r="AC108" s="3" t="n">
        <v>32</v>
      </c>
      <c r="AD108" s="3" t="n">
        <v>112.25</v>
      </c>
      <c r="AE108" s="3">
        <f>+AC108*AD108</f>
        <v/>
      </c>
      <c r="AF108" s="4" t="n">
        <v>0.39</v>
      </c>
      <c r="AG108" s="3">
        <f>ROUND(AE108-(AE108*AF108),2)</f>
        <v/>
      </c>
      <c r="AH108" s="4" t="n">
        <v>0.18</v>
      </c>
      <c r="AI108" s="3">
        <f>ROUND(AG108+(AG108*AH108),2)</f>
        <v/>
      </c>
      <c r="AJ108" s="4" t="n">
        <v>0.1</v>
      </c>
      <c r="AK108" s="3">
        <f>ROUND(AI108*AJ108,2)</f>
        <v/>
      </c>
      <c r="AL108" s="3">
        <f>AI108+AK108</f>
        <v/>
      </c>
      <c r="AM108" s="3">
        <f>AE108-AL108</f>
        <v/>
      </c>
      <c r="AN108" s="4">
        <f>AM108/AE108</f>
        <v/>
      </c>
      <c r="AO108" s="3" t="inlineStr">
        <is>
          <t>3 hrs</t>
        </is>
      </c>
      <c r="AQ108" s="3" t="inlineStr">
        <is>
          <t>Length Weight</t>
        </is>
      </c>
      <c r="AS108"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09" ht="15.75" customHeight="1">
      <c r="A109" s="3" t="inlineStr">
        <is>
          <t>PROD_0016</t>
        </is>
      </c>
      <c r="B109" s="3" t="inlineStr">
        <is>
          <t>VAR_4</t>
        </is>
      </c>
      <c r="C109" s="3" t="inlineStr">
        <is>
          <t>Wooden Material</t>
        </is>
      </c>
      <c r="D109" s="3" t="inlineStr">
        <is>
          <t>HDHMR</t>
        </is>
      </c>
      <c r="E109" s="3" t="inlineStr">
        <is>
          <t>Action Tesa</t>
        </is>
      </c>
      <c r="F109" s="3" t="inlineStr">
        <is>
          <t>Both Side Laminate</t>
        </is>
      </c>
      <c r="H109" s="3" t="inlineStr">
        <is>
          <t>Application</t>
        </is>
      </c>
      <c r="I109" s="3" t="inlineStr">
        <is>
          <t>Interior</t>
        </is>
      </c>
      <c r="J109" s="3" t="inlineStr">
        <is>
          <t>Size</t>
        </is>
      </c>
      <c r="K109" s="3" t="inlineStr">
        <is>
          <t>8 ft X 4 ft</t>
        </is>
      </c>
      <c r="L109" s="3" t="inlineStr">
        <is>
          <t>Thickness</t>
        </is>
      </c>
      <c r="M109" s="3" t="inlineStr">
        <is>
          <t>16 mm</t>
        </is>
      </c>
      <c r="N109" s="3" t="inlineStr">
        <is>
          <t>Color</t>
        </is>
      </c>
      <c r="O109" s="3" t="inlineStr">
        <is>
          <t>Frosty White</t>
        </is>
      </c>
      <c r="Q109" s="3" t="inlineStr">
        <is>
          <t>Manufacturer's Warranty</t>
        </is>
      </c>
      <c r="S109" s="3" t="n">
        <v>1</v>
      </c>
      <c r="U109" s="3" t="n">
        <v>80000</v>
      </c>
      <c r="Y109" s="3" t="inlineStr">
        <is>
          <t>AT_HDHMR_BSL_LAM</t>
        </is>
      </c>
      <c r="Z109" s="3" t="n">
        <v>4411</v>
      </c>
      <c r="AA109" s="3" t="inlineStr">
        <is>
          <t>per sq ft</t>
        </is>
      </c>
      <c r="AB109" s="3" t="inlineStr">
        <is>
          <t>Area</t>
        </is>
      </c>
      <c r="AC109" s="3" t="n">
        <v>32</v>
      </c>
      <c r="AD109" s="3" t="n">
        <v>135.01</v>
      </c>
      <c r="AE109" s="3">
        <f>+AC109*AD109</f>
        <v/>
      </c>
      <c r="AF109" s="4" t="n">
        <v>0.39</v>
      </c>
      <c r="AG109" s="3">
        <f>ROUND(AE109-(AE109*AF109),2)</f>
        <v/>
      </c>
      <c r="AH109" s="4" t="n">
        <v>0.18</v>
      </c>
      <c r="AI109" s="3">
        <f>ROUND(AG109+(AG109*AH109),2)</f>
        <v/>
      </c>
      <c r="AJ109" s="4" t="n">
        <v>0.1</v>
      </c>
      <c r="AK109" s="3">
        <f>ROUND(AI109*AJ109,2)</f>
        <v/>
      </c>
      <c r="AL109" s="3">
        <f>AI109+AK109</f>
        <v/>
      </c>
      <c r="AM109" s="3">
        <f>AE109-AL109</f>
        <v/>
      </c>
      <c r="AN109" s="4">
        <f>AM109/AE109</f>
        <v/>
      </c>
      <c r="AO109" s="3" t="inlineStr">
        <is>
          <t>3 hrs</t>
        </is>
      </c>
      <c r="AQ109" s="3" t="inlineStr">
        <is>
          <t>Length Weight</t>
        </is>
      </c>
      <c r="AS109"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0" ht="15.75" customHeight="1">
      <c r="A110" s="3" t="inlineStr">
        <is>
          <t>PROD_0016</t>
        </is>
      </c>
      <c r="B110" s="3" t="inlineStr">
        <is>
          <t>VAR_5</t>
        </is>
      </c>
      <c r="C110" s="3" t="inlineStr">
        <is>
          <t>Wooden Material</t>
        </is>
      </c>
      <c r="D110" s="3" t="inlineStr">
        <is>
          <t>HDHMR</t>
        </is>
      </c>
      <c r="E110" s="3" t="inlineStr">
        <is>
          <t>Action Tesa</t>
        </is>
      </c>
      <c r="F110" s="3" t="inlineStr">
        <is>
          <t>Both Side Laminate</t>
        </is>
      </c>
      <c r="H110" s="3" t="inlineStr">
        <is>
          <t>Application</t>
        </is>
      </c>
      <c r="I110" s="3" t="inlineStr">
        <is>
          <t>Interior</t>
        </is>
      </c>
      <c r="J110" s="3" t="inlineStr">
        <is>
          <t>Size</t>
        </is>
      </c>
      <c r="K110" s="3" t="inlineStr">
        <is>
          <t>8 ft X 4 ft</t>
        </is>
      </c>
      <c r="L110" s="3" t="inlineStr">
        <is>
          <t>Thickness</t>
        </is>
      </c>
      <c r="M110" s="3" t="inlineStr">
        <is>
          <t>16.75 mm</t>
        </is>
      </c>
      <c r="N110" s="3" t="inlineStr">
        <is>
          <t>Color</t>
        </is>
      </c>
      <c r="O110" s="3" t="inlineStr">
        <is>
          <t>Frosty White</t>
        </is>
      </c>
      <c r="Q110" s="3" t="inlineStr">
        <is>
          <t>Manufacturer's Warranty</t>
        </is>
      </c>
      <c r="S110" s="3" t="n">
        <v>1</v>
      </c>
      <c r="U110" s="3" t="n">
        <v>80000</v>
      </c>
      <c r="Y110" s="3" t="inlineStr">
        <is>
          <t>AT_HDHMR_BSL_LAM</t>
        </is>
      </c>
      <c r="Z110" s="3" t="n">
        <v>4411</v>
      </c>
      <c r="AA110" s="3" t="inlineStr">
        <is>
          <t>per sq ft</t>
        </is>
      </c>
      <c r="AB110" s="3" t="inlineStr">
        <is>
          <t>Area</t>
        </is>
      </c>
      <c r="AC110" s="3" t="n">
        <v>32</v>
      </c>
      <c r="AD110" s="3" t="n">
        <v>140.02</v>
      </c>
      <c r="AE110" s="3">
        <f>+AC110*AD110</f>
        <v/>
      </c>
      <c r="AF110" s="4" t="n">
        <v>0.39</v>
      </c>
      <c r="AG110" s="3">
        <f>ROUND(AE110-(AE110*AF110),2)</f>
        <v/>
      </c>
      <c r="AH110" s="4" t="n">
        <v>0.18</v>
      </c>
      <c r="AI110" s="3">
        <f>ROUND(AG110+(AG110*AH110),2)</f>
        <v/>
      </c>
      <c r="AJ110" s="4" t="n">
        <v>0.1</v>
      </c>
      <c r="AK110" s="3">
        <f>ROUND(AI110*AJ110,2)</f>
        <v/>
      </c>
      <c r="AL110" s="3">
        <f>AI110+AK110</f>
        <v/>
      </c>
      <c r="AM110" s="3">
        <f>AE110-AL110</f>
        <v/>
      </c>
      <c r="AN110" s="4">
        <f>AM110/AE110</f>
        <v/>
      </c>
      <c r="AO110" s="3" t="inlineStr">
        <is>
          <t>3 hrs</t>
        </is>
      </c>
      <c r="AQ110" s="3" t="inlineStr">
        <is>
          <t>Length Weight</t>
        </is>
      </c>
      <c r="AS110"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1" ht="15.75" customHeight="1">
      <c r="A111" s="3" t="inlineStr">
        <is>
          <t>PROD_0016</t>
        </is>
      </c>
      <c r="B111" s="3" t="inlineStr">
        <is>
          <t>VAR_6</t>
        </is>
      </c>
      <c r="C111" s="3" t="inlineStr">
        <is>
          <t>Wooden Material</t>
        </is>
      </c>
      <c r="D111" s="3" t="inlineStr">
        <is>
          <t>HDHMR</t>
        </is>
      </c>
      <c r="E111" s="3" t="inlineStr">
        <is>
          <t>Action Tesa</t>
        </is>
      </c>
      <c r="F111" s="3" t="inlineStr">
        <is>
          <t>Both Side Laminate</t>
        </is>
      </c>
      <c r="H111" s="3" t="inlineStr">
        <is>
          <t>Application</t>
        </is>
      </c>
      <c r="I111" s="3" t="inlineStr">
        <is>
          <t>Interior</t>
        </is>
      </c>
      <c r="J111" s="3" t="inlineStr">
        <is>
          <t>Size</t>
        </is>
      </c>
      <c r="K111" s="3" t="inlineStr">
        <is>
          <t>8 ft X 4 ft</t>
        </is>
      </c>
      <c r="L111" s="3" t="inlineStr">
        <is>
          <t>Thickness</t>
        </is>
      </c>
      <c r="M111" s="3" t="inlineStr">
        <is>
          <t>18 mm</t>
        </is>
      </c>
      <c r="N111" s="3" t="inlineStr">
        <is>
          <t>Color</t>
        </is>
      </c>
      <c r="O111" s="3" t="inlineStr">
        <is>
          <t>Frosty White</t>
        </is>
      </c>
      <c r="Q111" s="3" t="inlineStr">
        <is>
          <t>Manufacturer's Warranty</t>
        </is>
      </c>
      <c r="S111" s="3" t="n">
        <v>1</v>
      </c>
      <c r="U111" s="3" t="n">
        <v>80000</v>
      </c>
      <c r="Y111" s="3" t="inlineStr">
        <is>
          <t>AT_HDHMR_BSL_LAM</t>
        </is>
      </c>
      <c r="Z111" s="3" t="n">
        <v>4411</v>
      </c>
      <c r="AA111" s="3" t="inlineStr">
        <is>
          <t>per sq ft</t>
        </is>
      </c>
      <c r="AB111" s="3" t="inlineStr">
        <is>
          <t>Area</t>
        </is>
      </c>
      <c r="AC111" s="3" t="n">
        <v>32</v>
      </c>
      <c r="AD111" s="3" t="n">
        <v>153.68</v>
      </c>
      <c r="AE111" s="3">
        <f>+AC111*AD111</f>
        <v/>
      </c>
      <c r="AF111" s="4" t="n">
        <v>0.39</v>
      </c>
      <c r="AG111" s="3">
        <f>ROUND(AE111-(AE111*AF111),2)</f>
        <v/>
      </c>
      <c r="AH111" s="4" t="n">
        <v>0.18</v>
      </c>
      <c r="AI111" s="3">
        <f>ROUND(AG111+(AG111*AH111),2)</f>
        <v/>
      </c>
      <c r="AJ111" s="4" t="n">
        <v>0.1</v>
      </c>
      <c r="AK111" s="3">
        <f>ROUND(AI111*AJ111,2)</f>
        <v/>
      </c>
      <c r="AL111" s="3">
        <f>AI111+AK111</f>
        <v/>
      </c>
      <c r="AM111" s="3">
        <f>AE111-AL111</f>
        <v/>
      </c>
      <c r="AN111" s="4">
        <f>AM111/AE111</f>
        <v/>
      </c>
      <c r="AO111" s="3" t="inlineStr">
        <is>
          <t>3 hrs</t>
        </is>
      </c>
      <c r="AQ111" s="3" t="inlineStr">
        <is>
          <t>Length Weight</t>
        </is>
      </c>
      <c r="AS111"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2" ht="15.75" customHeight="1">
      <c r="A112" s="3" t="inlineStr">
        <is>
          <t>PROD_0017</t>
        </is>
      </c>
      <c r="B112" s="3" t="inlineStr">
        <is>
          <t>VAR_1</t>
        </is>
      </c>
      <c r="C112" s="3" t="inlineStr">
        <is>
          <t>Wooden Material</t>
        </is>
      </c>
      <c r="D112" s="3" t="inlineStr">
        <is>
          <t>HDHMR</t>
        </is>
      </c>
      <c r="E112" s="3" t="inlineStr">
        <is>
          <t>Action Tesa</t>
        </is>
      </c>
      <c r="F112" s="3" t="inlineStr">
        <is>
          <t>One Side Raw</t>
        </is>
      </c>
      <c r="H112" s="3" t="inlineStr">
        <is>
          <t>Application</t>
        </is>
      </c>
      <c r="I112" s="3" t="inlineStr">
        <is>
          <t>Interior</t>
        </is>
      </c>
      <c r="J112" s="3" t="inlineStr">
        <is>
          <t>Size</t>
        </is>
      </c>
      <c r="K112" s="3" t="inlineStr">
        <is>
          <t>8 ft X 4 ft</t>
        </is>
      </c>
      <c r="L112" s="3" t="inlineStr">
        <is>
          <t>Thickness</t>
        </is>
      </c>
      <c r="M112" s="3" t="inlineStr">
        <is>
          <t>5.50 mm</t>
        </is>
      </c>
      <c r="N112" s="3" t="inlineStr">
        <is>
          <t>Color</t>
        </is>
      </c>
      <c r="O112" s="3" t="inlineStr">
        <is>
          <t>White</t>
        </is>
      </c>
      <c r="Q112" s="3" t="inlineStr">
        <is>
          <t>Manufacturer's Warranty</t>
        </is>
      </c>
      <c r="S112" s="3" t="n">
        <v>1</v>
      </c>
      <c r="U112" s="3" t="n">
        <v>80000</v>
      </c>
      <c r="Y112" s="3" t="inlineStr">
        <is>
          <t>AT_HDHMR_OSR_LAM</t>
        </is>
      </c>
      <c r="Z112" s="3" t="n">
        <v>4411</v>
      </c>
      <c r="AA112" s="3" t="inlineStr">
        <is>
          <t>per sq ft</t>
        </is>
      </c>
      <c r="AB112" s="3" t="inlineStr">
        <is>
          <t>Area</t>
        </is>
      </c>
      <c r="AC112" s="3" t="n">
        <v>32</v>
      </c>
      <c r="AD112" s="3" t="n">
        <v>57.55</v>
      </c>
      <c r="AE112" s="3">
        <f>+AC112*AD112</f>
        <v/>
      </c>
      <c r="AF112" s="4" t="n">
        <v>0.39</v>
      </c>
      <c r="AG112" s="3">
        <f>ROUND(AE112-(AE112*AF112),2)</f>
        <v/>
      </c>
      <c r="AH112" s="4" t="n">
        <v>0.18</v>
      </c>
      <c r="AI112" s="3">
        <f>ROUND(AG112+(AG112*AH112),2)</f>
        <v/>
      </c>
      <c r="AJ112" s="4" t="n">
        <v>0.1</v>
      </c>
      <c r="AK112" s="3">
        <f>ROUND(AI112*AJ112,2)</f>
        <v/>
      </c>
      <c r="AL112" s="3">
        <f>AI112+AK112</f>
        <v/>
      </c>
      <c r="AM112" s="3">
        <f>AE112-AL112</f>
        <v/>
      </c>
      <c r="AN112" s="4">
        <f>AM112/AE112</f>
        <v/>
      </c>
      <c r="AO112" s="3" t="inlineStr">
        <is>
          <t>3 hrs</t>
        </is>
      </c>
      <c r="AQ112" s="3" t="inlineStr">
        <is>
          <t>Length Weight</t>
        </is>
      </c>
      <c r="AS112"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3" ht="15.75" customHeight="1">
      <c r="A113" s="3" t="inlineStr">
        <is>
          <t>PROD_0017</t>
        </is>
      </c>
      <c r="B113" s="3" t="inlineStr">
        <is>
          <t>VAR_2</t>
        </is>
      </c>
      <c r="C113" s="3" t="inlineStr">
        <is>
          <t>Wooden Material</t>
        </is>
      </c>
      <c r="D113" s="3" t="inlineStr">
        <is>
          <t>HDHMR</t>
        </is>
      </c>
      <c r="E113" s="3" t="inlineStr">
        <is>
          <t>Action Tesa</t>
        </is>
      </c>
      <c r="F113" s="3" t="inlineStr">
        <is>
          <t>One Side Raw</t>
        </is>
      </c>
      <c r="H113" s="3" t="inlineStr">
        <is>
          <t>Application</t>
        </is>
      </c>
      <c r="I113" s="3" t="inlineStr">
        <is>
          <t>Interior</t>
        </is>
      </c>
      <c r="J113" s="3" t="inlineStr">
        <is>
          <t>Size</t>
        </is>
      </c>
      <c r="K113" s="3" t="inlineStr">
        <is>
          <t>8 ft X 4 ft</t>
        </is>
      </c>
      <c r="L113" s="3" t="inlineStr">
        <is>
          <t>Thickness</t>
        </is>
      </c>
      <c r="M113" s="3" t="inlineStr">
        <is>
          <t>8 mm</t>
        </is>
      </c>
      <c r="N113" s="3" t="inlineStr">
        <is>
          <t>Color</t>
        </is>
      </c>
      <c r="O113" s="3" t="inlineStr">
        <is>
          <t>White</t>
        </is>
      </c>
      <c r="Q113" s="3" t="inlineStr">
        <is>
          <t>Manufacturer's Warranty</t>
        </is>
      </c>
      <c r="S113" s="3" t="n">
        <v>1</v>
      </c>
      <c r="U113" s="3" t="n">
        <v>80000</v>
      </c>
      <c r="Y113" s="3" t="inlineStr">
        <is>
          <t>AT_HDHMR_OSR_LAM</t>
        </is>
      </c>
      <c r="Z113" s="3" t="n">
        <v>4411</v>
      </c>
      <c r="AA113" s="3" t="inlineStr">
        <is>
          <t>per sq ft</t>
        </is>
      </c>
      <c r="AB113" s="3" t="inlineStr">
        <is>
          <t>Area</t>
        </is>
      </c>
      <c r="AC113" s="3" t="n">
        <v>32</v>
      </c>
      <c r="AD113" s="3" t="n">
        <v>71.95</v>
      </c>
      <c r="AE113" s="3">
        <f>+AC113*AD113</f>
        <v/>
      </c>
      <c r="AF113" s="4" t="n">
        <v>0.39</v>
      </c>
      <c r="AG113" s="3">
        <f>ROUND(AE113-(AE113*AF113),2)</f>
        <v/>
      </c>
      <c r="AH113" s="4" t="n">
        <v>0.18</v>
      </c>
      <c r="AI113" s="3">
        <f>ROUND(AG113+(AG113*AH113),2)</f>
        <v/>
      </c>
      <c r="AJ113" s="4" t="n">
        <v>0.1</v>
      </c>
      <c r="AK113" s="3">
        <f>ROUND(AI113*AJ113,2)</f>
        <v/>
      </c>
      <c r="AL113" s="3">
        <f>AI113+AK113</f>
        <v/>
      </c>
      <c r="AM113" s="3">
        <f>AE113-AL113</f>
        <v/>
      </c>
      <c r="AN113" s="4">
        <f>AM113/AE113</f>
        <v/>
      </c>
      <c r="AO113" s="3" t="inlineStr">
        <is>
          <t>3 hrs</t>
        </is>
      </c>
      <c r="AQ113" s="3" t="inlineStr">
        <is>
          <t>Length Weight</t>
        </is>
      </c>
      <c r="AS113"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4" ht="15.75" customHeight="1">
      <c r="A114" s="3" t="inlineStr">
        <is>
          <t>PROD_0017</t>
        </is>
      </c>
      <c r="B114" s="3" t="inlineStr">
        <is>
          <t>VAR_3</t>
        </is>
      </c>
      <c r="C114" s="3" t="inlineStr">
        <is>
          <t>Wooden Material</t>
        </is>
      </c>
      <c r="D114" s="3" t="inlineStr">
        <is>
          <t>HDHMR</t>
        </is>
      </c>
      <c r="E114" s="3" t="inlineStr">
        <is>
          <t>Action Tesa</t>
        </is>
      </c>
      <c r="F114" s="3" t="inlineStr">
        <is>
          <t>One Side Raw</t>
        </is>
      </c>
      <c r="H114" s="3" t="inlineStr">
        <is>
          <t>Application</t>
        </is>
      </c>
      <c r="I114" s="3" t="inlineStr">
        <is>
          <t>Interior</t>
        </is>
      </c>
      <c r="J114" s="3" t="inlineStr">
        <is>
          <t>Size</t>
        </is>
      </c>
      <c r="K114" s="3" t="inlineStr">
        <is>
          <t>8 ft X 4 ft</t>
        </is>
      </c>
      <c r="L114" s="3" t="inlineStr">
        <is>
          <t>Thickness</t>
        </is>
      </c>
      <c r="M114" s="3" t="inlineStr">
        <is>
          <t>12 mm</t>
        </is>
      </c>
      <c r="N114" s="3" t="inlineStr">
        <is>
          <t>Color</t>
        </is>
      </c>
      <c r="O114" s="3" t="inlineStr">
        <is>
          <t>White</t>
        </is>
      </c>
      <c r="Q114" s="3" t="inlineStr">
        <is>
          <t>Manufacturer's Warranty</t>
        </is>
      </c>
      <c r="S114" s="3" t="n">
        <v>1</v>
      </c>
      <c r="U114" s="3" t="n">
        <v>80000</v>
      </c>
      <c r="Y114" s="3" t="inlineStr">
        <is>
          <t>AT_HDHMR_OSR_LAM</t>
        </is>
      </c>
      <c r="Z114" s="3" t="n">
        <v>4411</v>
      </c>
      <c r="AA114" s="3" t="inlineStr">
        <is>
          <t>per sq ft</t>
        </is>
      </c>
      <c r="AB114" s="3" t="inlineStr">
        <is>
          <t>Area</t>
        </is>
      </c>
      <c r="AC114" s="3" t="n">
        <v>32</v>
      </c>
      <c r="AD114" s="3" t="n">
        <v>100.98</v>
      </c>
      <c r="AE114" s="3">
        <f>+AC114*AD114</f>
        <v/>
      </c>
      <c r="AF114" s="4" t="n">
        <v>0.39</v>
      </c>
      <c r="AG114" s="3">
        <f>ROUND(AE114-(AE114*AF114),2)</f>
        <v/>
      </c>
      <c r="AH114" s="4" t="n">
        <v>0.18</v>
      </c>
      <c r="AI114" s="3">
        <f>ROUND(AG114+(AG114*AH114),2)</f>
        <v/>
      </c>
      <c r="AJ114" s="4" t="n">
        <v>0.1</v>
      </c>
      <c r="AK114" s="3">
        <f>ROUND(AI114*AJ114,2)</f>
        <v/>
      </c>
      <c r="AL114" s="3">
        <f>AI114+AK114</f>
        <v/>
      </c>
      <c r="AM114" s="3">
        <f>AE114-AL114</f>
        <v/>
      </c>
      <c r="AN114" s="4">
        <f>AM114/AE114</f>
        <v/>
      </c>
      <c r="AO114" s="3" t="inlineStr">
        <is>
          <t>3 hrs</t>
        </is>
      </c>
      <c r="AQ114" s="3" t="inlineStr">
        <is>
          <t>Length Weight</t>
        </is>
      </c>
      <c r="AS114"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5" ht="15.75" customHeight="1">
      <c r="A115" s="3" t="inlineStr">
        <is>
          <t>PROD_0017</t>
        </is>
      </c>
      <c r="B115" s="3" t="inlineStr">
        <is>
          <t>VAR_4</t>
        </is>
      </c>
      <c r="C115" s="3" t="inlineStr">
        <is>
          <t>Wooden Material</t>
        </is>
      </c>
      <c r="D115" s="3" t="inlineStr">
        <is>
          <t>HDHMR</t>
        </is>
      </c>
      <c r="E115" s="3" t="inlineStr">
        <is>
          <t>Action Tesa</t>
        </is>
      </c>
      <c r="F115" s="3" t="inlineStr">
        <is>
          <t>One Side Raw</t>
        </is>
      </c>
      <c r="H115" s="3" t="inlineStr">
        <is>
          <t>Application</t>
        </is>
      </c>
      <c r="I115" s="3" t="inlineStr">
        <is>
          <t>Interior</t>
        </is>
      </c>
      <c r="J115" s="3" t="inlineStr">
        <is>
          <t>Size</t>
        </is>
      </c>
      <c r="K115" s="3" t="inlineStr">
        <is>
          <t>8 ft X 4 ft</t>
        </is>
      </c>
      <c r="L115" s="3" t="inlineStr">
        <is>
          <t>Thickness</t>
        </is>
      </c>
      <c r="M115" s="3" t="inlineStr">
        <is>
          <t>16 mm</t>
        </is>
      </c>
      <c r="N115" s="3" t="inlineStr">
        <is>
          <t>Color</t>
        </is>
      </c>
      <c r="O115" s="3" t="inlineStr">
        <is>
          <t>White</t>
        </is>
      </c>
      <c r="Q115" s="3" t="inlineStr">
        <is>
          <t>Manufacturer's Warranty</t>
        </is>
      </c>
      <c r="S115" s="3" t="n">
        <v>1</v>
      </c>
      <c r="U115" s="3" t="n">
        <v>80000</v>
      </c>
      <c r="Y115" s="3" t="inlineStr">
        <is>
          <t>AT_HDHMR_OSR_LAM</t>
        </is>
      </c>
      <c r="Z115" s="3" t="n">
        <v>4411</v>
      </c>
      <c r="AA115" s="3" t="inlineStr">
        <is>
          <t>per sq ft</t>
        </is>
      </c>
      <c r="AB115" s="3" t="inlineStr">
        <is>
          <t>Area</t>
        </is>
      </c>
      <c r="AC115" s="3" t="n">
        <v>32</v>
      </c>
      <c r="AD115" s="3" t="n">
        <v>123.73</v>
      </c>
      <c r="AE115" s="3">
        <f>+AC115*AD115</f>
        <v/>
      </c>
      <c r="AF115" s="4" t="n">
        <v>0.39</v>
      </c>
      <c r="AG115" s="3">
        <f>ROUND(AE115-(AE115*AF115),2)</f>
        <v/>
      </c>
      <c r="AH115" s="4" t="n">
        <v>0.18</v>
      </c>
      <c r="AI115" s="3">
        <f>ROUND(AG115+(AG115*AH115),2)</f>
        <v/>
      </c>
      <c r="AJ115" s="4" t="n">
        <v>0.1</v>
      </c>
      <c r="AK115" s="3">
        <f>ROUND(AI115*AJ115,2)</f>
        <v/>
      </c>
      <c r="AL115" s="3">
        <f>AI115+AK115</f>
        <v/>
      </c>
      <c r="AM115" s="3">
        <f>AE115-AL115</f>
        <v/>
      </c>
      <c r="AN115" s="4">
        <f>AM115/AE115</f>
        <v/>
      </c>
      <c r="AO115" s="3" t="inlineStr">
        <is>
          <t>3 hrs</t>
        </is>
      </c>
      <c r="AQ115" s="3" t="inlineStr">
        <is>
          <t>Length Weight</t>
        </is>
      </c>
      <c r="AS115"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6" ht="15.75" customHeight="1">
      <c r="A116" s="3" t="inlineStr">
        <is>
          <t>PROD_0017</t>
        </is>
      </c>
      <c r="B116" s="3" t="inlineStr">
        <is>
          <t>VAR_5</t>
        </is>
      </c>
      <c r="C116" s="3" t="inlineStr">
        <is>
          <t>Wooden Material</t>
        </is>
      </c>
      <c r="D116" s="3" t="inlineStr">
        <is>
          <t>HDHMR</t>
        </is>
      </c>
      <c r="E116" s="3" t="inlineStr">
        <is>
          <t>Action Tesa</t>
        </is>
      </c>
      <c r="F116" s="3" t="inlineStr">
        <is>
          <t>One Side Raw</t>
        </is>
      </c>
      <c r="H116" s="3" t="inlineStr">
        <is>
          <t>Application</t>
        </is>
      </c>
      <c r="I116" s="3" t="inlineStr">
        <is>
          <t>Interior</t>
        </is>
      </c>
      <c r="J116" s="3" t="inlineStr">
        <is>
          <t>Size</t>
        </is>
      </c>
      <c r="K116" s="3" t="inlineStr">
        <is>
          <t>8 ft X 4 ft</t>
        </is>
      </c>
      <c r="L116" s="3" t="inlineStr">
        <is>
          <t>Thickness</t>
        </is>
      </c>
      <c r="M116" s="3" t="inlineStr">
        <is>
          <t>16.75 mm</t>
        </is>
      </c>
      <c r="N116" s="3" t="inlineStr">
        <is>
          <t>Color</t>
        </is>
      </c>
      <c r="O116" s="3" t="inlineStr">
        <is>
          <t>White</t>
        </is>
      </c>
      <c r="Q116" s="3" t="inlineStr">
        <is>
          <t>Manufacturer's Warranty</t>
        </is>
      </c>
      <c r="S116" s="3" t="n">
        <v>1</v>
      </c>
      <c r="U116" s="3" t="n">
        <v>80000</v>
      </c>
      <c r="Y116" s="3" t="inlineStr">
        <is>
          <t>AT_HDHMR_OSR_LAM</t>
        </is>
      </c>
      <c r="Z116" s="3" t="n">
        <v>4411</v>
      </c>
      <c r="AA116" s="3" t="inlineStr">
        <is>
          <t>per sq ft</t>
        </is>
      </c>
      <c r="AB116" s="3" t="inlineStr">
        <is>
          <t>Area</t>
        </is>
      </c>
      <c r="AC116" s="3" t="n">
        <v>32</v>
      </c>
      <c r="AD116" s="3" t="n">
        <v>128.75</v>
      </c>
      <c r="AE116" s="3">
        <f>+AC116*AD116</f>
        <v/>
      </c>
      <c r="AF116" s="4" t="n">
        <v>0.39</v>
      </c>
      <c r="AG116" s="3">
        <f>ROUND(AE116-(AE116*AF116),2)</f>
        <v/>
      </c>
      <c r="AH116" s="4" t="n">
        <v>0.18</v>
      </c>
      <c r="AI116" s="3">
        <f>ROUND(AG116+(AG116*AH116),2)</f>
        <v/>
      </c>
      <c r="AJ116" s="4" t="n">
        <v>0.1</v>
      </c>
      <c r="AK116" s="3">
        <f>ROUND(AI116*AJ116,2)</f>
        <v/>
      </c>
      <c r="AL116" s="3">
        <f>AI116+AK116</f>
        <v/>
      </c>
      <c r="AM116" s="3">
        <f>AE116-AL116</f>
        <v/>
      </c>
      <c r="AN116" s="4">
        <f>AM116/AE116</f>
        <v/>
      </c>
      <c r="AO116" s="3" t="inlineStr">
        <is>
          <t>3 hrs</t>
        </is>
      </c>
      <c r="AQ116" s="3" t="inlineStr">
        <is>
          <t>Length Weight</t>
        </is>
      </c>
      <c r="AS116"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7" ht="15.75" customHeight="1">
      <c r="A117" s="3" t="inlineStr">
        <is>
          <t>PROD_0017</t>
        </is>
      </c>
      <c r="B117" s="3" t="inlineStr">
        <is>
          <t>VAR_6</t>
        </is>
      </c>
      <c r="C117" s="3" t="inlineStr">
        <is>
          <t>Wooden Material</t>
        </is>
      </c>
      <c r="D117" s="3" t="inlineStr">
        <is>
          <t>HDHMR</t>
        </is>
      </c>
      <c r="E117" s="3" t="inlineStr">
        <is>
          <t>Action Tesa</t>
        </is>
      </c>
      <c r="F117" s="3" t="inlineStr">
        <is>
          <t>One Side Raw</t>
        </is>
      </c>
      <c r="H117" s="3" t="inlineStr">
        <is>
          <t>Application</t>
        </is>
      </c>
      <c r="I117" s="3" t="inlineStr">
        <is>
          <t>Interior</t>
        </is>
      </c>
      <c r="J117" s="3" t="inlineStr">
        <is>
          <t>Size</t>
        </is>
      </c>
      <c r="K117" s="3" t="inlineStr">
        <is>
          <t>8 ft X 4 ft</t>
        </is>
      </c>
      <c r="L117" s="3" t="inlineStr">
        <is>
          <t>Thickness</t>
        </is>
      </c>
      <c r="M117" s="3" t="inlineStr">
        <is>
          <t>18 mm</t>
        </is>
      </c>
      <c r="N117" s="3" t="inlineStr">
        <is>
          <t>Color</t>
        </is>
      </c>
      <c r="O117" s="3" t="inlineStr">
        <is>
          <t>White</t>
        </is>
      </c>
      <c r="Q117" s="3" t="inlineStr">
        <is>
          <t>Manufacturer's Warranty</t>
        </is>
      </c>
      <c r="S117" s="3" t="n">
        <v>1</v>
      </c>
      <c r="U117" s="3" t="n">
        <v>80000</v>
      </c>
      <c r="Y117" s="3" t="inlineStr">
        <is>
          <t>AT_HDHMR_OSR_LAM</t>
        </is>
      </c>
      <c r="Z117" s="3" t="n">
        <v>4411</v>
      </c>
      <c r="AA117" s="3" t="inlineStr">
        <is>
          <t>per sq ft</t>
        </is>
      </c>
      <c r="AB117" s="3" t="inlineStr">
        <is>
          <t>Area</t>
        </is>
      </c>
      <c r="AC117" s="3" t="n">
        <v>32</v>
      </c>
      <c r="AD117" s="3" t="n">
        <v>142.39</v>
      </c>
      <c r="AE117" s="3">
        <f>+AC117*AD117</f>
        <v/>
      </c>
      <c r="AF117" s="4" t="n">
        <v>0.39</v>
      </c>
      <c r="AG117" s="3">
        <f>ROUND(AE117-(AE117*AF117),2)</f>
        <v/>
      </c>
      <c r="AH117" s="4" t="n">
        <v>0.18</v>
      </c>
      <c r="AI117" s="3">
        <f>ROUND(AG117+(AG117*AH117),2)</f>
        <v/>
      </c>
      <c r="AJ117" s="4" t="n">
        <v>0.1</v>
      </c>
      <c r="AK117" s="3">
        <f>ROUND(AI117*AJ117,2)</f>
        <v/>
      </c>
      <c r="AL117" s="3">
        <f>AI117+AK117</f>
        <v/>
      </c>
      <c r="AM117" s="3">
        <f>AE117-AL117</f>
        <v/>
      </c>
      <c r="AN117" s="4">
        <f>AM117/AE117</f>
        <v/>
      </c>
      <c r="AO117" s="3" t="inlineStr">
        <is>
          <t>3 hrs</t>
        </is>
      </c>
      <c r="AQ117" s="3" t="inlineStr">
        <is>
          <t>Length Weight</t>
        </is>
      </c>
      <c r="AS117"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8" ht="15.75" customHeight="1">
      <c r="A118" s="3" t="inlineStr">
        <is>
          <t>PROD_0018</t>
        </is>
      </c>
      <c r="B118" s="3" t="inlineStr">
        <is>
          <t>VAR_1</t>
        </is>
      </c>
      <c r="C118" s="3" t="inlineStr">
        <is>
          <t>Wooden Material</t>
        </is>
      </c>
      <c r="D118" s="3" t="inlineStr">
        <is>
          <t>HDHMR</t>
        </is>
      </c>
      <c r="E118" s="3" t="inlineStr">
        <is>
          <t>Action Tesa</t>
        </is>
      </c>
      <c r="F118" s="3" t="inlineStr">
        <is>
          <t>Both Side Board</t>
        </is>
      </c>
      <c r="H118" s="3" t="inlineStr">
        <is>
          <t>Application</t>
        </is>
      </c>
      <c r="I118" s="3" t="inlineStr">
        <is>
          <t>Interior</t>
        </is>
      </c>
      <c r="J118" s="3" t="inlineStr">
        <is>
          <t>Size</t>
        </is>
      </c>
      <c r="K118" s="3" t="inlineStr">
        <is>
          <t>8 ft X 4 ft</t>
        </is>
      </c>
      <c r="L118" s="3" t="inlineStr">
        <is>
          <t>Thickness</t>
        </is>
      </c>
      <c r="M118" s="3" t="inlineStr">
        <is>
          <t>5.50 mm</t>
        </is>
      </c>
      <c r="N118" s="3" t="inlineStr">
        <is>
          <t>Color</t>
        </is>
      </c>
      <c r="O118" s="3" t="inlineStr">
        <is>
          <t>White</t>
        </is>
      </c>
      <c r="Q118" s="3" t="inlineStr">
        <is>
          <t>Manufacturer's Warranty</t>
        </is>
      </c>
      <c r="S118" s="3" t="n">
        <v>1</v>
      </c>
      <c r="U118" s="3" t="n">
        <v>80000</v>
      </c>
      <c r="Y118" s="3" t="inlineStr">
        <is>
          <t>AT_HDHMR_BSB_LAM</t>
        </is>
      </c>
      <c r="Z118" s="3" t="n">
        <v>4411</v>
      </c>
      <c r="AA118" s="3" t="inlineStr">
        <is>
          <t>per sq ft</t>
        </is>
      </c>
      <c r="AB118" s="3" t="inlineStr">
        <is>
          <t>Area</t>
        </is>
      </c>
      <c r="AC118" s="3" t="n">
        <v>32</v>
      </c>
      <c r="AD118" s="5" t="n">
        <v>63.8</v>
      </c>
      <c r="AE118" s="3">
        <f>+AC118*AD118</f>
        <v/>
      </c>
      <c r="AF118" s="4" t="n">
        <v>0.39</v>
      </c>
      <c r="AG118" s="3">
        <f>ROUND(AE118-(AE118*AF118),2)</f>
        <v/>
      </c>
      <c r="AH118" s="4" t="n">
        <v>0.18</v>
      </c>
      <c r="AI118" s="3">
        <f>ROUND(AG118+(AG118*AH118),2)</f>
        <v/>
      </c>
      <c r="AJ118" s="4" t="n">
        <v>0.1</v>
      </c>
      <c r="AK118" s="3">
        <f>ROUND(AI118*AJ118,2)</f>
        <v/>
      </c>
      <c r="AL118" s="3">
        <f>AI118+AK118</f>
        <v/>
      </c>
      <c r="AM118" s="3">
        <f>AE118-AL118</f>
        <v/>
      </c>
      <c r="AN118" s="4">
        <f>AM118/AE118</f>
        <v/>
      </c>
      <c r="AO118" s="3" t="inlineStr">
        <is>
          <t>3 hrs</t>
        </is>
      </c>
      <c r="AQ118" s="3" t="inlineStr">
        <is>
          <t>Length Weight</t>
        </is>
      </c>
      <c r="AS118"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19" ht="15.75" customHeight="1">
      <c r="A119" s="3" t="inlineStr">
        <is>
          <t>PROD_0018</t>
        </is>
      </c>
      <c r="B119" s="3" t="inlineStr">
        <is>
          <t>VAR_2</t>
        </is>
      </c>
      <c r="C119" s="3" t="inlineStr">
        <is>
          <t>Wooden Material</t>
        </is>
      </c>
      <c r="D119" s="3" t="inlineStr">
        <is>
          <t>HDHMR</t>
        </is>
      </c>
      <c r="E119" s="3" t="inlineStr">
        <is>
          <t>Action Tesa</t>
        </is>
      </c>
      <c r="F119" s="3" t="inlineStr">
        <is>
          <t>Both Side Board</t>
        </is>
      </c>
      <c r="H119" s="3" t="inlineStr">
        <is>
          <t>Application</t>
        </is>
      </c>
      <c r="I119" s="3" t="inlineStr">
        <is>
          <t>Interior</t>
        </is>
      </c>
      <c r="J119" s="3" t="inlineStr">
        <is>
          <t>Size</t>
        </is>
      </c>
      <c r="K119" s="3" t="inlineStr">
        <is>
          <t>8 ft X 4 ft</t>
        </is>
      </c>
      <c r="L119" s="3" t="inlineStr">
        <is>
          <t>Thickness</t>
        </is>
      </c>
      <c r="M119" s="3" t="inlineStr">
        <is>
          <t>8 mm</t>
        </is>
      </c>
      <c r="N119" s="3" t="inlineStr">
        <is>
          <t>Color</t>
        </is>
      </c>
      <c r="O119" s="3" t="inlineStr">
        <is>
          <t>White</t>
        </is>
      </c>
      <c r="Q119" s="3" t="inlineStr">
        <is>
          <t>Manufacturer's Warranty</t>
        </is>
      </c>
      <c r="S119" s="3" t="n">
        <v>1</v>
      </c>
      <c r="U119" s="3" t="n">
        <v>80000</v>
      </c>
      <c r="Y119" s="3" t="inlineStr">
        <is>
          <t>AT_HDHMR_BSB_LAM</t>
        </is>
      </c>
      <c r="Z119" s="3" t="n">
        <v>4411</v>
      </c>
      <c r="AA119" s="3" t="inlineStr">
        <is>
          <t>per sq ft</t>
        </is>
      </c>
      <c r="AB119" s="3" t="inlineStr">
        <is>
          <t>Area</t>
        </is>
      </c>
      <c r="AC119" s="3" t="n">
        <v>32</v>
      </c>
      <c r="AD119" s="3" t="n">
        <v>78.20999999999999</v>
      </c>
      <c r="AE119" s="3">
        <f>+AC119*AD119</f>
        <v/>
      </c>
      <c r="AF119" s="4" t="n">
        <v>0.39</v>
      </c>
      <c r="AG119" s="3">
        <f>ROUND(AE119-(AE119*AF119),2)</f>
        <v/>
      </c>
      <c r="AH119" s="4" t="n">
        <v>0.18</v>
      </c>
      <c r="AI119" s="3">
        <f>ROUND(AG119+(AG119*AH119),2)</f>
        <v/>
      </c>
      <c r="AJ119" s="4" t="n">
        <v>0.1</v>
      </c>
      <c r="AK119" s="3">
        <f>ROUND(AI119*AJ119,2)</f>
        <v/>
      </c>
      <c r="AL119" s="3">
        <f>AI119+AK119</f>
        <v/>
      </c>
      <c r="AM119" s="3">
        <f>AE119-AL119</f>
        <v/>
      </c>
      <c r="AN119" s="4">
        <f>AM119/AE119</f>
        <v/>
      </c>
      <c r="AO119" s="3" t="inlineStr">
        <is>
          <t>3 hrs</t>
        </is>
      </c>
      <c r="AQ119" s="3" t="inlineStr">
        <is>
          <t>Length Weight</t>
        </is>
      </c>
      <c r="AS119"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20" ht="15.75" customHeight="1">
      <c r="A120" s="3" t="inlineStr">
        <is>
          <t>PROD_0018</t>
        </is>
      </c>
      <c r="B120" s="3" t="inlineStr">
        <is>
          <t>VAR_3</t>
        </is>
      </c>
      <c r="C120" s="3" t="inlineStr">
        <is>
          <t>Wooden Material</t>
        </is>
      </c>
      <c r="D120" s="3" t="inlineStr">
        <is>
          <t>HDHMR</t>
        </is>
      </c>
      <c r="E120" s="3" t="inlineStr">
        <is>
          <t>Action Tesa</t>
        </is>
      </c>
      <c r="F120" s="3" t="inlineStr">
        <is>
          <t>Both Side Board</t>
        </is>
      </c>
      <c r="H120" s="3" t="inlineStr">
        <is>
          <t>Application</t>
        </is>
      </c>
      <c r="I120" s="3" t="inlineStr">
        <is>
          <t>Interior</t>
        </is>
      </c>
      <c r="J120" s="3" t="inlineStr">
        <is>
          <t>Size</t>
        </is>
      </c>
      <c r="K120" s="3" t="inlineStr">
        <is>
          <t>8 ft X 4 ft</t>
        </is>
      </c>
      <c r="L120" s="3" t="inlineStr">
        <is>
          <t>Thickness</t>
        </is>
      </c>
      <c r="M120" s="3" t="inlineStr">
        <is>
          <t>12 mm</t>
        </is>
      </c>
      <c r="N120" s="3" t="inlineStr">
        <is>
          <t>Color</t>
        </is>
      </c>
      <c r="O120" s="3" t="inlineStr">
        <is>
          <t>White</t>
        </is>
      </c>
      <c r="Q120" s="3" t="inlineStr">
        <is>
          <t>Manufacturer's Warranty</t>
        </is>
      </c>
      <c r="S120" s="3" t="n">
        <v>1</v>
      </c>
      <c r="U120" s="3" t="n">
        <v>80000</v>
      </c>
      <c r="Y120" s="3" t="inlineStr">
        <is>
          <t>AT_HDHMR_BSB_LAM</t>
        </is>
      </c>
      <c r="Z120" s="3" t="n">
        <v>4411</v>
      </c>
      <c r="AA120" s="3" t="inlineStr">
        <is>
          <t>per sq ft</t>
        </is>
      </c>
      <c r="AB120" s="3" t="inlineStr">
        <is>
          <t>Area</t>
        </is>
      </c>
      <c r="AC120" s="3" t="n">
        <v>32</v>
      </c>
      <c r="AD120" s="3" t="n">
        <v>107.24</v>
      </c>
      <c r="AE120" s="3">
        <f>+AC120*AD120</f>
        <v/>
      </c>
      <c r="AF120" s="4" t="n">
        <v>0.39</v>
      </c>
      <c r="AG120" s="3">
        <f>ROUND(AE120-(AE120*AF120),2)</f>
        <v/>
      </c>
      <c r="AH120" s="4" t="n">
        <v>0.18</v>
      </c>
      <c r="AI120" s="3">
        <f>ROUND(AG120+(AG120*AH120),2)</f>
        <v/>
      </c>
      <c r="AJ120" s="4" t="n">
        <v>0.1</v>
      </c>
      <c r="AK120" s="3">
        <f>ROUND(AI120*AJ120,2)</f>
        <v/>
      </c>
      <c r="AL120" s="3">
        <f>AI120+AK120</f>
        <v/>
      </c>
      <c r="AM120" s="3">
        <f>AE120-AL120</f>
        <v/>
      </c>
      <c r="AN120" s="4">
        <f>AM120/AE120</f>
        <v/>
      </c>
      <c r="AO120" s="3" t="inlineStr">
        <is>
          <t>3 hrs</t>
        </is>
      </c>
      <c r="AQ120" s="3" t="inlineStr">
        <is>
          <t>Length Weight</t>
        </is>
      </c>
      <c r="AS120"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21" ht="15.75" customHeight="1">
      <c r="A121" s="3" t="inlineStr">
        <is>
          <t>PROD_0018</t>
        </is>
      </c>
      <c r="B121" s="3" t="inlineStr">
        <is>
          <t>VAR_4</t>
        </is>
      </c>
      <c r="C121" s="3" t="inlineStr">
        <is>
          <t>Wooden Material</t>
        </is>
      </c>
      <c r="D121" s="3" t="inlineStr">
        <is>
          <t>HDHMR</t>
        </is>
      </c>
      <c r="E121" s="3" t="inlineStr">
        <is>
          <t>Action Tesa</t>
        </is>
      </c>
      <c r="F121" s="3" t="inlineStr">
        <is>
          <t>Both Side Board</t>
        </is>
      </c>
      <c r="H121" s="3" t="inlineStr">
        <is>
          <t>Application</t>
        </is>
      </c>
      <c r="I121" s="3" t="inlineStr">
        <is>
          <t>Interior</t>
        </is>
      </c>
      <c r="J121" s="3" t="inlineStr">
        <is>
          <t>Size</t>
        </is>
      </c>
      <c r="K121" s="3" t="inlineStr">
        <is>
          <t>8 ft X 4 ft</t>
        </is>
      </c>
      <c r="L121" s="3" t="inlineStr">
        <is>
          <t>Thickness</t>
        </is>
      </c>
      <c r="M121" s="3" t="inlineStr">
        <is>
          <t>16 mm</t>
        </is>
      </c>
      <c r="N121" s="3" t="inlineStr">
        <is>
          <t>Color</t>
        </is>
      </c>
      <c r="O121" s="3" t="inlineStr">
        <is>
          <t>White</t>
        </is>
      </c>
      <c r="Q121" s="3" t="inlineStr">
        <is>
          <t>Manufacturer's Warranty</t>
        </is>
      </c>
      <c r="S121" s="3" t="n">
        <v>1</v>
      </c>
      <c r="U121" s="3" t="n">
        <v>80000</v>
      </c>
      <c r="Y121" s="3" t="inlineStr">
        <is>
          <t>AT_HDHMR_BSB_LAM</t>
        </is>
      </c>
      <c r="Z121" s="3" t="n">
        <v>4411</v>
      </c>
      <c r="AA121" s="3" t="inlineStr">
        <is>
          <t>per sq ft</t>
        </is>
      </c>
      <c r="AB121" s="3" t="inlineStr">
        <is>
          <t>Area</t>
        </is>
      </c>
      <c r="AC121" s="3" t="n">
        <v>32</v>
      </c>
      <c r="AD121" s="3" t="n">
        <v>130</v>
      </c>
      <c r="AE121" s="3">
        <f>+AC121*AD121</f>
        <v/>
      </c>
      <c r="AF121" s="4" t="n">
        <v>0.39</v>
      </c>
      <c r="AG121" s="3">
        <f>ROUND(AE121-(AE121*AF121),2)</f>
        <v/>
      </c>
      <c r="AH121" s="4" t="n">
        <v>0.18</v>
      </c>
      <c r="AI121" s="3">
        <f>ROUND(AG121+(AG121*AH121),2)</f>
        <v/>
      </c>
      <c r="AJ121" s="4" t="n">
        <v>0.1</v>
      </c>
      <c r="AK121" s="3">
        <f>ROUND(AI121*AJ121,2)</f>
        <v/>
      </c>
      <c r="AL121" s="3">
        <f>AI121+AK121</f>
        <v/>
      </c>
      <c r="AM121" s="3">
        <f>AE121-AL121</f>
        <v/>
      </c>
      <c r="AN121" s="4">
        <f>AM121/AE121</f>
        <v/>
      </c>
      <c r="AO121" s="3" t="inlineStr">
        <is>
          <t>3 hrs</t>
        </is>
      </c>
      <c r="AQ121" s="3" t="inlineStr">
        <is>
          <t>Length Weight</t>
        </is>
      </c>
      <c r="AS121"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22" ht="15.75" customHeight="1">
      <c r="A122" s="3" t="inlineStr">
        <is>
          <t>PROD_0018</t>
        </is>
      </c>
      <c r="B122" s="3" t="inlineStr">
        <is>
          <t>VAR_5</t>
        </is>
      </c>
      <c r="C122" s="3" t="inlineStr">
        <is>
          <t>Wooden Material</t>
        </is>
      </c>
      <c r="D122" s="3" t="inlineStr">
        <is>
          <t>HDHMR</t>
        </is>
      </c>
      <c r="E122" s="3" t="inlineStr">
        <is>
          <t>Action Tesa</t>
        </is>
      </c>
      <c r="F122" s="3" t="inlineStr">
        <is>
          <t>Both Side Board</t>
        </is>
      </c>
      <c r="H122" s="3" t="inlineStr">
        <is>
          <t>Application</t>
        </is>
      </c>
      <c r="I122" s="3" t="inlineStr">
        <is>
          <t>Interior</t>
        </is>
      </c>
      <c r="J122" s="3" t="inlineStr">
        <is>
          <t>Size</t>
        </is>
      </c>
      <c r="K122" s="3" t="inlineStr">
        <is>
          <t>8 ft X 4 ft</t>
        </is>
      </c>
      <c r="L122" s="3" t="inlineStr">
        <is>
          <t>Thickness</t>
        </is>
      </c>
      <c r="M122" s="3" t="inlineStr">
        <is>
          <t>16.75 mm</t>
        </is>
      </c>
      <c r="N122" s="3" t="inlineStr">
        <is>
          <t>Color</t>
        </is>
      </c>
      <c r="O122" s="3" t="inlineStr">
        <is>
          <t>White</t>
        </is>
      </c>
      <c r="Q122" s="3" t="inlineStr">
        <is>
          <t>Manufacturer's Warranty</t>
        </is>
      </c>
      <c r="S122" s="3" t="n">
        <v>1</v>
      </c>
      <c r="U122" s="3" t="n">
        <v>80000</v>
      </c>
      <c r="Y122" s="3" t="inlineStr">
        <is>
          <t>AT_HDHMR_BSB_LAM</t>
        </is>
      </c>
      <c r="Z122" s="3" t="n">
        <v>4411</v>
      </c>
      <c r="AA122" s="3" t="inlineStr">
        <is>
          <t>per sq ft</t>
        </is>
      </c>
      <c r="AB122" s="3" t="inlineStr">
        <is>
          <t>Area</t>
        </is>
      </c>
      <c r="AC122" s="3" t="n">
        <v>32</v>
      </c>
      <c r="AD122" s="5" t="n">
        <v>135.01</v>
      </c>
      <c r="AE122" s="3">
        <f>+AC122*AD122</f>
        <v/>
      </c>
      <c r="AF122" s="4" t="n">
        <v>0.39</v>
      </c>
      <c r="AG122" s="3">
        <f>ROUND(AE122-(AE122*AF122),2)</f>
        <v/>
      </c>
      <c r="AH122" s="4" t="n">
        <v>0.18</v>
      </c>
      <c r="AI122" s="3">
        <f>ROUND(AG122+(AG122*AH122),2)</f>
        <v/>
      </c>
      <c r="AJ122" s="4" t="n">
        <v>0.1</v>
      </c>
      <c r="AK122" s="3">
        <f>ROUND(AI122*AJ122,2)</f>
        <v/>
      </c>
      <c r="AL122" s="3">
        <f>AI122+AK122</f>
        <v/>
      </c>
      <c r="AM122" s="3">
        <f>AE122-AL122</f>
        <v/>
      </c>
      <c r="AN122" s="4">
        <f>AM122/AE122</f>
        <v/>
      </c>
      <c r="AO122" s="3" t="inlineStr">
        <is>
          <t>3 hrs</t>
        </is>
      </c>
      <c r="AQ122" s="3" t="inlineStr">
        <is>
          <t>Length Weight</t>
        </is>
      </c>
      <c r="AS122"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23" ht="15.75" customHeight="1">
      <c r="A123" s="3" t="inlineStr">
        <is>
          <t>PROD_0018</t>
        </is>
      </c>
      <c r="B123" s="3" t="inlineStr">
        <is>
          <t>VAR_6</t>
        </is>
      </c>
      <c r="C123" s="3" t="inlineStr">
        <is>
          <t>Wooden Material</t>
        </is>
      </c>
      <c r="D123" s="3" t="inlineStr">
        <is>
          <t>HDHMR</t>
        </is>
      </c>
      <c r="E123" s="3" t="inlineStr">
        <is>
          <t>Action Tesa</t>
        </is>
      </c>
      <c r="F123" s="3" t="inlineStr">
        <is>
          <t>Both Side Board</t>
        </is>
      </c>
      <c r="H123" s="3" t="inlineStr">
        <is>
          <t>Application</t>
        </is>
      </c>
      <c r="I123" s="3" t="inlineStr">
        <is>
          <t>Interior</t>
        </is>
      </c>
      <c r="J123" s="3" t="inlineStr">
        <is>
          <t>Size</t>
        </is>
      </c>
      <c r="K123" s="3" t="inlineStr">
        <is>
          <t>8 ft X 4 ft</t>
        </is>
      </c>
      <c r="L123" s="3" t="inlineStr">
        <is>
          <t>Thickness</t>
        </is>
      </c>
      <c r="M123" s="3" t="inlineStr">
        <is>
          <t>18 mm</t>
        </is>
      </c>
      <c r="N123" s="3" t="inlineStr">
        <is>
          <t>Color</t>
        </is>
      </c>
      <c r="O123" s="3" t="inlineStr">
        <is>
          <t>White</t>
        </is>
      </c>
      <c r="Q123" s="3" t="inlineStr">
        <is>
          <t>Manufacturer's Warranty</t>
        </is>
      </c>
      <c r="S123" s="3" t="n">
        <v>1</v>
      </c>
      <c r="U123" s="3" t="n">
        <v>80000</v>
      </c>
      <c r="Y123" s="3" t="inlineStr">
        <is>
          <t>AT_HDHMR_BSB_LAM</t>
        </is>
      </c>
      <c r="Z123" s="3" t="n">
        <v>4411</v>
      </c>
      <c r="AA123" s="3" t="inlineStr">
        <is>
          <t>per sq ft</t>
        </is>
      </c>
      <c r="AB123" s="3" t="inlineStr">
        <is>
          <t>Area</t>
        </is>
      </c>
      <c r="AC123" s="3" t="n">
        <v>32</v>
      </c>
      <c r="AD123" s="3" t="n">
        <v>148.64</v>
      </c>
      <c r="AE123" s="3">
        <f>+AC123*AD123</f>
        <v/>
      </c>
      <c r="AF123" s="4" t="n">
        <v>0.39</v>
      </c>
      <c r="AG123" s="3">
        <f>ROUND(AE123-(AE123*AF123),2)</f>
        <v/>
      </c>
      <c r="AH123" s="4" t="n">
        <v>0.18</v>
      </c>
      <c r="AI123" s="3">
        <f>ROUND(AG123+(AG123*AH123),2)</f>
        <v/>
      </c>
      <c r="AJ123" s="4" t="n">
        <v>0.1</v>
      </c>
      <c r="AK123" s="3">
        <f>ROUND(AI123*AJ123,2)</f>
        <v/>
      </c>
      <c r="AL123" s="3">
        <f>AI123+AK123</f>
        <v/>
      </c>
      <c r="AM123" s="3">
        <f>AE123-AL123</f>
        <v/>
      </c>
      <c r="AN123" s="4">
        <f>AM123/AE123</f>
        <v/>
      </c>
      <c r="AO123" s="3" t="inlineStr">
        <is>
          <t>3 hrs</t>
        </is>
      </c>
      <c r="AQ123" s="3" t="inlineStr">
        <is>
          <t>Length Weight</t>
        </is>
      </c>
      <c r="AS123" s="3" t="inlineStr">
        <is>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is>
      </c>
    </row>
    <row r="124" ht="15.75" customHeight="1">
      <c r="A124" s="3" t="inlineStr">
        <is>
          <t>PROD_0019</t>
        </is>
      </c>
      <c r="B124" s="3" t="inlineStr">
        <is>
          <t>VAR_1</t>
        </is>
      </c>
      <c r="C124" s="3" t="inlineStr">
        <is>
          <t>Wooden Material</t>
        </is>
      </c>
      <c r="D124" s="3" t="inlineStr">
        <is>
          <t>PVC Board</t>
        </is>
      </c>
      <c r="E124" s="3" t="inlineStr">
        <is>
          <t>Century</t>
        </is>
      </c>
      <c r="H124" s="3" t="inlineStr">
        <is>
          <t>Application</t>
        </is>
      </c>
      <c r="I124" s="3" t="inlineStr">
        <is>
          <t>Universal</t>
        </is>
      </c>
      <c r="J124" s="3" t="inlineStr">
        <is>
          <t>Size</t>
        </is>
      </c>
      <c r="K124" s="3" t="inlineStr">
        <is>
          <t>8 ft X 4 ft</t>
        </is>
      </c>
      <c r="L124" s="3" t="inlineStr">
        <is>
          <t>Thickness</t>
        </is>
      </c>
      <c r="M124" s="3" t="inlineStr">
        <is>
          <t>6 mm</t>
        </is>
      </c>
      <c r="N124" s="3" t="inlineStr">
        <is>
          <t>Color</t>
        </is>
      </c>
      <c r="O124" s="3" t="inlineStr">
        <is>
          <t>White</t>
        </is>
      </c>
      <c r="Q124" s="3" t="inlineStr">
        <is>
          <t>Manufacturer's Warranty</t>
        </is>
      </c>
      <c r="Y124" s="3" t="inlineStr">
        <is>
          <t>CENT_PVC_BOARD</t>
        </is>
      </c>
      <c r="Z124" s="3" t="n">
        <v>3921</v>
      </c>
      <c r="AA124" s="3" t="inlineStr">
        <is>
          <t>per sq ft</t>
        </is>
      </c>
      <c r="AB124" s="3" t="inlineStr">
        <is>
          <t>Area</t>
        </is>
      </c>
      <c r="AC124" s="3" t="n">
        <v>32</v>
      </c>
      <c r="AD124" s="3" t="n">
        <v>46.72</v>
      </c>
      <c r="AE124" s="3">
        <f>+AC124*AD124</f>
        <v/>
      </c>
      <c r="AF124" s="4" t="n">
        <v>0.43</v>
      </c>
      <c r="AG124" s="3">
        <f>ROUND(AE124-(AE124*AF124),2)</f>
        <v/>
      </c>
      <c r="AH124" s="4" t="n">
        <v>0.18</v>
      </c>
      <c r="AI124" s="3">
        <f>ROUND(AG124+(AG124*AH124),2)</f>
        <v/>
      </c>
      <c r="AJ124" s="4" t="n">
        <v>0.15</v>
      </c>
      <c r="AK124" s="3">
        <f>ROUND(AI124*AJ124,2)</f>
        <v/>
      </c>
      <c r="AL124" s="3">
        <f>AI124+AK124</f>
        <v/>
      </c>
      <c r="AM124" s="3">
        <f>AE124-AL124</f>
        <v/>
      </c>
      <c r="AN124" s="4">
        <f>AM124/AE124</f>
        <v/>
      </c>
      <c r="AO124" s="3" t="inlineStr">
        <is>
          <t>3 hrs</t>
        </is>
      </c>
      <c r="AQ124" s="3" t="inlineStr">
        <is>
          <t>Length Weight</t>
        </is>
      </c>
      <c r="AR124" s="3" t="inlineStr">
        <is>
          <t>To Check</t>
        </is>
      </c>
      <c r="AS124" s="3" t="inlineStr">
        <is>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is>
      </c>
    </row>
    <row r="125" ht="15.75" customHeight="1">
      <c r="A125" s="3" t="inlineStr">
        <is>
          <t>PROD_0019</t>
        </is>
      </c>
      <c r="B125" s="3" t="inlineStr">
        <is>
          <t>VAR_2</t>
        </is>
      </c>
      <c r="C125" s="3" t="inlineStr">
        <is>
          <t>Wooden Material</t>
        </is>
      </c>
      <c r="D125" s="3" t="inlineStr">
        <is>
          <t>PVC Board</t>
        </is>
      </c>
      <c r="E125" s="3" t="inlineStr">
        <is>
          <t>Century</t>
        </is>
      </c>
      <c r="H125" s="3" t="inlineStr">
        <is>
          <t>Application</t>
        </is>
      </c>
      <c r="I125" s="3" t="inlineStr">
        <is>
          <t>Universal</t>
        </is>
      </c>
      <c r="J125" s="3" t="inlineStr">
        <is>
          <t>Size</t>
        </is>
      </c>
      <c r="K125" s="3" t="inlineStr">
        <is>
          <t>8 ft X 4 ft</t>
        </is>
      </c>
      <c r="L125" s="3" t="inlineStr">
        <is>
          <t>Thickness</t>
        </is>
      </c>
      <c r="M125" s="3" t="inlineStr">
        <is>
          <t>12 mm</t>
        </is>
      </c>
      <c r="N125" s="3" t="inlineStr">
        <is>
          <t>Color</t>
        </is>
      </c>
      <c r="O125" s="3" t="inlineStr">
        <is>
          <t>White</t>
        </is>
      </c>
      <c r="Q125" s="3" t="inlineStr">
        <is>
          <t>Manufacturer's Warranty</t>
        </is>
      </c>
      <c r="Y125" s="3" t="inlineStr">
        <is>
          <t>CENT_PVC_BOARD</t>
        </is>
      </c>
      <c r="Z125" s="3" t="n">
        <v>3921</v>
      </c>
      <c r="AA125" s="3" t="inlineStr">
        <is>
          <t>per sq ft</t>
        </is>
      </c>
      <c r="AB125" s="3" t="inlineStr">
        <is>
          <t>Area</t>
        </is>
      </c>
      <c r="AC125" s="3" t="n">
        <v>32</v>
      </c>
      <c r="AD125" s="3" t="n">
        <v>98.64</v>
      </c>
      <c r="AE125" s="3">
        <f>+AC125*AD125</f>
        <v/>
      </c>
      <c r="AF125" s="4" t="n">
        <v>0.43</v>
      </c>
      <c r="AG125" s="3">
        <f>ROUND(AE125-(AE125*AF125),2)</f>
        <v/>
      </c>
      <c r="AH125" s="4" t="n">
        <v>0.18</v>
      </c>
      <c r="AI125" s="3">
        <f>ROUND(AG125+(AG125*AH125),2)</f>
        <v/>
      </c>
      <c r="AJ125" s="4" t="n">
        <v>0.15</v>
      </c>
      <c r="AK125" s="3">
        <f>ROUND(AI125*AJ125,2)</f>
        <v/>
      </c>
      <c r="AL125" s="3">
        <f>AI125+AK125</f>
        <v/>
      </c>
      <c r="AM125" s="3">
        <f>AE125-AL125</f>
        <v/>
      </c>
      <c r="AN125" s="4">
        <f>AM125/AE125</f>
        <v/>
      </c>
      <c r="AO125" s="3" t="inlineStr">
        <is>
          <t>3 hrs</t>
        </is>
      </c>
      <c r="AQ125" s="3" t="inlineStr">
        <is>
          <t>Length Weight</t>
        </is>
      </c>
      <c r="AS125" s="3" t="inlineStr">
        <is>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is>
      </c>
    </row>
    <row r="126" ht="15.75" customHeight="1">
      <c r="A126" s="3" t="inlineStr">
        <is>
          <t>PROD_0019</t>
        </is>
      </c>
      <c r="B126" s="3" t="inlineStr">
        <is>
          <t>VAR_3</t>
        </is>
      </c>
      <c r="C126" s="3" t="inlineStr">
        <is>
          <t>Wooden Material</t>
        </is>
      </c>
      <c r="D126" s="3" t="inlineStr">
        <is>
          <t>PVC Board</t>
        </is>
      </c>
      <c r="E126" s="3" t="inlineStr">
        <is>
          <t>Century</t>
        </is>
      </c>
      <c r="H126" s="3" t="inlineStr">
        <is>
          <t>Application</t>
        </is>
      </c>
      <c r="I126" s="3" t="inlineStr">
        <is>
          <t>Universal</t>
        </is>
      </c>
      <c r="J126" s="3" t="inlineStr">
        <is>
          <t>Size</t>
        </is>
      </c>
      <c r="K126" s="3" t="inlineStr">
        <is>
          <t>8 ft X 4 ft</t>
        </is>
      </c>
      <c r="L126" s="3" t="inlineStr">
        <is>
          <t>Thickness</t>
        </is>
      </c>
      <c r="M126" s="3" t="inlineStr">
        <is>
          <t>17 mm</t>
        </is>
      </c>
      <c r="N126" s="3" t="inlineStr">
        <is>
          <t>Color</t>
        </is>
      </c>
      <c r="O126" s="3" t="inlineStr">
        <is>
          <t>White</t>
        </is>
      </c>
      <c r="Q126" s="3" t="inlineStr">
        <is>
          <t>Manufacturer's Warranty</t>
        </is>
      </c>
      <c r="Y126" s="3" t="inlineStr">
        <is>
          <t>CENT_PVC_BOARD</t>
        </is>
      </c>
      <c r="Z126" s="3" t="n">
        <v>3921</v>
      </c>
      <c r="AA126" s="3" t="inlineStr">
        <is>
          <t>per sq ft</t>
        </is>
      </c>
      <c r="AB126" s="3" t="inlineStr">
        <is>
          <t>Area</t>
        </is>
      </c>
      <c r="AC126" s="3" t="n">
        <v>32</v>
      </c>
      <c r="AD126" s="3" t="n">
        <v>103.84</v>
      </c>
      <c r="AE126" s="3">
        <f>+AC126*AD126</f>
        <v/>
      </c>
      <c r="AF126" s="4" t="n">
        <v>0.43</v>
      </c>
      <c r="AG126" s="3">
        <f>ROUND(AE126-(AE126*AF126),2)</f>
        <v/>
      </c>
      <c r="AH126" s="4" t="n">
        <v>0.18</v>
      </c>
      <c r="AI126" s="3">
        <f>ROUND(AG126+(AG126*AH126),2)</f>
        <v/>
      </c>
      <c r="AJ126" s="4" t="n">
        <v>0.15</v>
      </c>
      <c r="AK126" s="3">
        <f>ROUND(AI126*AJ126,2)</f>
        <v/>
      </c>
      <c r="AL126" s="3">
        <f>AI126+AK126</f>
        <v/>
      </c>
      <c r="AM126" s="3">
        <f>AE126-AL126</f>
        <v/>
      </c>
      <c r="AN126" s="4">
        <f>AM126/AE126</f>
        <v/>
      </c>
      <c r="AO126" s="3" t="inlineStr">
        <is>
          <t>3 hrs</t>
        </is>
      </c>
      <c r="AQ126" s="3" t="inlineStr">
        <is>
          <t>Length Weight</t>
        </is>
      </c>
      <c r="AS126" s="3" t="inlineStr">
        <is>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is>
      </c>
    </row>
    <row r="127" ht="15.75" customHeight="1">
      <c r="A127" s="3" t="inlineStr">
        <is>
          <t>PROD_0020</t>
        </is>
      </c>
      <c r="B127" s="3" t="inlineStr">
        <is>
          <t>VAR_1</t>
        </is>
      </c>
      <c r="C127" s="3" t="inlineStr">
        <is>
          <t>Wooden Material</t>
        </is>
      </c>
      <c r="D127" s="3" t="inlineStr">
        <is>
          <t>PVC Board</t>
        </is>
      </c>
      <c r="E127" s="3" t="inlineStr">
        <is>
          <t>Imported</t>
        </is>
      </c>
      <c r="H127" s="3" t="inlineStr">
        <is>
          <t>Application</t>
        </is>
      </c>
      <c r="I127" s="3" t="inlineStr">
        <is>
          <t>Universal</t>
        </is>
      </c>
      <c r="J127" s="3" t="inlineStr">
        <is>
          <t>Size</t>
        </is>
      </c>
      <c r="K127" s="3" t="inlineStr">
        <is>
          <t>8 ft X 4 ft</t>
        </is>
      </c>
      <c r="L127" s="3" t="inlineStr">
        <is>
          <t>Thickness</t>
        </is>
      </c>
      <c r="M127" s="3" t="inlineStr">
        <is>
          <t>6 mm</t>
        </is>
      </c>
      <c r="N127" s="3" t="inlineStr">
        <is>
          <t>Color</t>
        </is>
      </c>
      <c r="O127" s="3" t="inlineStr">
        <is>
          <t>White</t>
        </is>
      </c>
      <c r="Q127" s="3" t="inlineStr">
        <is>
          <t>Manufacturer's Warranty</t>
        </is>
      </c>
      <c r="Y127" s="3" t="inlineStr">
        <is>
          <t>GEN_PVC_BOARD</t>
        </is>
      </c>
      <c r="Z127" s="3" t="n">
        <v>3921</v>
      </c>
      <c r="AA127" s="3" t="inlineStr">
        <is>
          <t>per sq ft</t>
        </is>
      </c>
      <c r="AB127" s="3" t="inlineStr">
        <is>
          <t>Area</t>
        </is>
      </c>
      <c r="AC127" s="3" t="n">
        <v>32</v>
      </c>
      <c r="AD127" s="3" t="n">
        <v>77.25</v>
      </c>
      <c r="AE127" s="3">
        <f>+AC127*AD127</f>
        <v/>
      </c>
      <c r="AF127" s="4" t="n">
        <v>0.37</v>
      </c>
      <c r="AG127" s="3">
        <f>ROUND(AE127-(AE127*AF127),2)</f>
        <v/>
      </c>
      <c r="AH127" s="4" t="n">
        <v>0.18</v>
      </c>
      <c r="AI127" s="3">
        <f>ROUND(AG127+(AG127*AH127),2)</f>
        <v/>
      </c>
      <c r="AJ127" s="4" t="n">
        <v>0.15</v>
      </c>
      <c r="AK127" s="3">
        <f>ROUND(AI127*AJ127,2)</f>
        <v/>
      </c>
      <c r="AL127" s="3">
        <f>AI127+AK127</f>
        <v/>
      </c>
      <c r="AM127" s="3">
        <f>AE127-AL127</f>
        <v/>
      </c>
      <c r="AN127" s="4">
        <f>AM127/AE127</f>
        <v/>
      </c>
      <c r="AO127" s="3" t="inlineStr">
        <is>
          <t>3 hrs</t>
        </is>
      </c>
      <c r="AQ127" s="3" t="inlineStr">
        <is>
          <t>Length Weight</t>
        </is>
      </c>
      <c r="AS127" s="3" t="inlineStr">
        <is>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is>
      </c>
    </row>
    <row r="128" ht="15.75" customHeight="1">
      <c r="A128" s="3" t="inlineStr">
        <is>
          <t>PROD_0020</t>
        </is>
      </c>
      <c r="B128" s="3" t="inlineStr">
        <is>
          <t>VAR_2</t>
        </is>
      </c>
      <c r="C128" s="3" t="inlineStr">
        <is>
          <t>Wooden Material</t>
        </is>
      </c>
      <c r="D128" s="3" t="inlineStr">
        <is>
          <t>PVC Board</t>
        </is>
      </c>
      <c r="E128" s="3" t="inlineStr">
        <is>
          <t>Imported</t>
        </is>
      </c>
      <c r="H128" s="3" t="inlineStr">
        <is>
          <t>Application</t>
        </is>
      </c>
      <c r="I128" s="3" t="inlineStr">
        <is>
          <t>Universal</t>
        </is>
      </c>
      <c r="J128" s="3" t="inlineStr">
        <is>
          <t>Size</t>
        </is>
      </c>
      <c r="K128" s="3" t="inlineStr">
        <is>
          <t>8 ft X 4 ft</t>
        </is>
      </c>
      <c r="L128" s="3" t="inlineStr">
        <is>
          <t>Thickness</t>
        </is>
      </c>
      <c r="M128" s="3" t="inlineStr">
        <is>
          <t>12 mm</t>
        </is>
      </c>
      <c r="N128" s="3" t="inlineStr">
        <is>
          <t>Color</t>
        </is>
      </c>
      <c r="O128" s="3" t="inlineStr">
        <is>
          <t>White</t>
        </is>
      </c>
      <c r="Q128" s="3" t="inlineStr">
        <is>
          <t>Manufacturer's Warranty</t>
        </is>
      </c>
      <c r="Y128" s="3" t="inlineStr">
        <is>
          <t>GEN_PVC_BOARD</t>
        </is>
      </c>
      <c r="Z128" s="3" t="n">
        <v>3921</v>
      </c>
      <c r="AA128" s="3" t="inlineStr">
        <is>
          <t>per sq ft</t>
        </is>
      </c>
      <c r="AB128" s="3" t="inlineStr">
        <is>
          <t>Area</t>
        </is>
      </c>
      <c r="AC128" s="3" t="n">
        <v>32</v>
      </c>
      <c r="AD128" s="3" t="n">
        <v>90</v>
      </c>
      <c r="AE128" s="3">
        <f>+AC128*AD128</f>
        <v/>
      </c>
      <c r="AF128" s="4" t="n">
        <v>0.59</v>
      </c>
      <c r="AG128" s="3">
        <f>ROUND(AE128-(AE128*AF128),2)</f>
        <v/>
      </c>
      <c r="AH128" s="4" t="n">
        <v>0.18</v>
      </c>
      <c r="AI128" s="3">
        <f>ROUND(AG128+(AG128*AH128),2)</f>
        <v/>
      </c>
      <c r="AJ128" s="4" t="n">
        <v>0.15</v>
      </c>
      <c r="AK128" s="3">
        <f>ROUND(AI128*AJ128,2)</f>
        <v/>
      </c>
      <c r="AL128" s="3">
        <f>AI128+AK128</f>
        <v/>
      </c>
      <c r="AM128" s="3">
        <f>AE128-AL128</f>
        <v/>
      </c>
      <c r="AN128" s="4">
        <f>AM128/AE128</f>
        <v/>
      </c>
      <c r="AO128" s="3" t="inlineStr">
        <is>
          <t>3 hrs</t>
        </is>
      </c>
      <c r="AQ128" s="3" t="inlineStr">
        <is>
          <t>Length Weight</t>
        </is>
      </c>
      <c r="AS128" s="3" t="inlineStr">
        <is>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is>
      </c>
    </row>
    <row r="129" ht="15.75" customHeight="1">
      <c r="A129" s="3" t="inlineStr">
        <is>
          <t>PROD_0020</t>
        </is>
      </c>
      <c r="B129" s="3" t="inlineStr">
        <is>
          <t>VAR_3</t>
        </is>
      </c>
      <c r="C129" s="3" t="inlineStr">
        <is>
          <t>Wooden Material</t>
        </is>
      </c>
      <c r="D129" s="3" t="inlineStr">
        <is>
          <t>PVC Board</t>
        </is>
      </c>
      <c r="E129" s="3" t="inlineStr">
        <is>
          <t>Imported</t>
        </is>
      </c>
      <c r="H129" s="3" t="inlineStr">
        <is>
          <t>Application</t>
        </is>
      </c>
      <c r="I129" s="3" t="inlineStr">
        <is>
          <t>Universal</t>
        </is>
      </c>
      <c r="J129" s="3" t="inlineStr">
        <is>
          <t>Size</t>
        </is>
      </c>
      <c r="K129" s="3" t="inlineStr">
        <is>
          <t>8 ft X 4 ft</t>
        </is>
      </c>
      <c r="L129" s="3" t="inlineStr">
        <is>
          <t>Thickness</t>
        </is>
      </c>
      <c r="M129" s="3" t="inlineStr">
        <is>
          <t>18 mm</t>
        </is>
      </c>
      <c r="N129" s="3" t="inlineStr">
        <is>
          <t>Color</t>
        </is>
      </c>
      <c r="O129" s="3" t="inlineStr">
        <is>
          <t>White</t>
        </is>
      </c>
      <c r="Q129" s="3" t="inlineStr">
        <is>
          <t>Manufacturer's Warranty</t>
        </is>
      </c>
      <c r="Y129" s="3" t="inlineStr">
        <is>
          <t>GEN_PVC_BOARD</t>
        </is>
      </c>
      <c r="Z129" s="3" t="n">
        <v>3921</v>
      </c>
      <c r="AA129" s="3" t="inlineStr">
        <is>
          <t>per sq ft</t>
        </is>
      </c>
      <c r="AB129" s="3" t="inlineStr">
        <is>
          <t>Area</t>
        </is>
      </c>
      <c r="AC129" s="3" t="n">
        <v>32</v>
      </c>
      <c r="AD129" s="3" t="n">
        <v>105</v>
      </c>
      <c r="AE129" s="3">
        <f>+AC129*AD129</f>
        <v/>
      </c>
      <c r="AF129" s="4" t="n">
        <v>0.59</v>
      </c>
      <c r="AG129" s="3">
        <f>ROUND(AE129-(AE129*AF129),2)</f>
        <v/>
      </c>
      <c r="AH129" s="4" t="n">
        <v>0.18</v>
      </c>
      <c r="AI129" s="3">
        <f>ROUND(AG129+(AG129*AH129),2)</f>
        <v/>
      </c>
      <c r="AJ129" s="4" t="n">
        <v>0.15</v>
      </c>
      <c r="AK129" s="3">
        <f>ROUND(AI129*AJ129,2)</f>
        <v/>
      </c>
      <c r="AL129" s="3">
        <f>AI129+AK129</f>
        <v/>
      </c>
      <c r="AM129" s="3">
        <f>AE129-AL129</f>
        <v/>
      </c>
      <c r="AN129" s="4">
        <f>AM129/AE129</f>
        <v/>
      </c>
      <c r="AO129" s="3" t="inlineStr">
        <is>
          <t>3 hrs</t>
        </is>
      </c>
      <c r="AQ129" s="3" t="inlineStr">
        <is>
          <t>Length Weight</t>
        </is>
      </c>
      <c r="AS129" s="3" t="inlineStr">
        <is>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is>
      </c>
    </row>
    <row r="130" ht="15.75" customHeight="1">
      <c r="A130" s="3" t="inlineStr">
        <is>
          <t>PROD_0021</t>
        </is>
      </c>
      <c r="B130" s="3" t="inlineStr">
        <is>
          <t>VAR_1</t>
        </is>
      </c>
      <c r="C130" s="3" t="inlineStr">
        <is>
          <t>Wooden Material</t>
        </is>
      </c>
      <c r="D130" s="3" t="inlineStr">
        <is>
          <t>Edgeband</t>
        </is>
      </c>
      <c r="E130" s="3" t="inlineStr">
        <is>
          <t>E3</t>
        </is>
      </c>
      <c r="F130" s="3" t="inlineStr">
        <is>
          <t>PVC Edge Tape | 22 mm</t>
        </is>
      </c>
      <c r="H130" s="3" t="inlineStr">
        <is>
          <t>Thickness</t>
        </is>
      </c>
      <c r="I130" s="3" t="inlineStr">
        <is>
          <t>0.8 mm</t>
        </is>
      </c>
      <c r="J130" s="3" t="inlineStr">
        <is>
          <t>Finish</t>
        </is>
      </c>
      <c r="K130" s="3" t="inlineStr">
        <is>
          <t>Matt</t>
        </is>
      </c>
      <c r="L130" s="3" t="inlineStr">
        <is>
          <t>Color</t>
        </is>
      </c>
      <c r="M130" s="3" t="inlineStr">
        <is>
          <t>Super White</t>
        </is>
      </c>
      <c r="Q130" s="3" t="inlineStr">
        <is>
          <t>Manufacturer's Warranty</t>
        </is>
      </c>
      <c r="R130" s="3" t="n">
        <v>1001</v>
      </c>
      <c r="Y130" s="3" t="inlineStr">
        <is>
          <t>WM_EDB_E3_1001</t>
        </is>
      </c>
      <c r="Z130" s="3" t="n">
        <v>3926</v>
      </c>
      <c r="AA130" s="3" t="inlineStr">
        <is>
          <t>Mtr</t>
        </is>
      </c>
      <c r="AB130" s="3" t="inlineStr">
        <is>
          <t>Runing</t>
        </is>
      </c>
      <c r="AC130" s="3" t="n">
        <v>50</v>
      </c>
      <c r="AD130" s="3" t="n">
        <v>22.31</v>
      </c>
      <c r="AE130" s="3" t="n">
        <v>1037.5</v>
      </c>
      <c r="AF130" s="4" t="n">
        <v>0.6</v>
      </c>
      <c r="AG130" s="3">
        <f>ROUND(AE130-(AE130*AF130),2)</f>
        <v/>
      </c>
      <c r="AH130" s="4" t="n">
        <v>0.18</v>
      </c>
      <c r="AI130" s="3">
        <f>ROUND(AG130+(AG130*AH130),2)</f>
        <v/>
      </c>
      <c r="AJ130" s="4" t="n">
        <v>0.2</v>
      </c>
      <c r="AK130" s="3">
        <f>ROUND(AI130*AJ130,2)</f>
        <v/>
      </c>
      <c r="AL130" s="3">
        <f>AI130+AK130</f>
        <v/>
      </c>
      <c r="AM130" s="3">
        <f>AE130-AL130</f>
        <v/>
      </c>
      <c r="AN130" s="4">
        <f>AM130/AE130</f>
        <v/>
      </c>
    </row>
    <row r="131" ht="15.75" customHeight="1">
      <c r="A131" s="3" t="inlineStr">
        <is>
          <t>PROD_0021</t>
        </is>
      </c>
      <c r="B131" s="3" t="inlineStr">
        <is>
          <t>VAR_2</t>
        </is>
      </c>
      <c r="C131" s="3" t="inlineStr">
        <is>
          <t>Wooden Material</t>
        </is>
      </c>
      <c r="D131" s="3" t="inlineStr">
        <is>
          <t>Edgeband</t>
        </is>
      </c>
      <c r="E131" s="3" t="inlineStr">
        <is>
          <t>E3</t>
        </is>
      </c>
      <c r="F131" s="3" t="inlineStr">
        <is>
          <t>PVC Edge Tape | 22 mm</t>
        </is>
      </c>
      <c r="H131" s="3" t="inlineStr">
        <is>
          <t>Thickness</t>
        </is>
      </c>
      <c r="I131" s="3" t="inlineStr">
        <is>
          <t>0.8 mm</t>
        </is>
      </c>
      <c r="J131" s="3" t="inlineStr">
        <is>
          <t>Finish</t>
        </is>
      </c>
      <c r="K131" s="3" t="inlineStr">
        <is>
          <t>Matt</t>
        </is>
      </c>
      <c r="L131" s="3" t="inlineStr">
        <is>
          <t>Color</t>
        </is>
      </c>
      <c r="M131" s="3" t="inlineStr">
        <is>
          <t>White Lily</t>
        </is>
      </c>
      <c r="Q131" s="3" t="inlineStr">
        <is>
          <t>Manufacturer's Warranty</t>
        </is>
      </c>
      <c r="R131" s="3" t="n">
        <v>1101</v>
      </c>
      <c r="Y131" s="3" t="inlineStr">
        <is>
          <t>WM_EDB_E3_1101</t>
        </is>
      </c>
      <c r="Z131" s="3" t="n">
        <v>3926</v>
      </c>
      <c r="AA131" s="3" t="inlineStr">
        <is>
          <t>Mtr</t>
        </is>
      </c>
      <c r="AB131" s="3" t="inlineStr">
        <is>
          <t>Runing</t>
        </is>
      </c>
      <c r="AC131" s="3" t="n">
        <v>50</v>
      </c>
      <c r="AD131" s="3" t="n">
        <v>22.31</v>
      </c>
      <c r="AE131" s="3" t="n">
        <v>1037.5</v>
      </c>
      <c r="AF131" s="4" t="n">
        <v>0.6</v>
      </c>
      <c r="AG131" s="3">
        <f>ROUND(AE131-(AE131*AF131),2)</f>
        <v/>
      </c>
      <c r="AH131" s="4" t="n">
        <v>0.18</v>
      </c>
      <c r="AI131" s="3">
        <f>ROUND(AG131+(AG131*AH131),2)</f>
        <v/>
      </c>
      <c r="AJ131" s="4" t="n">
        <v>0.2</v>
      </c>
      <c r="AK131" s="3">
        <f>ROUND(AI131*AJ131,2)</f>
        <v/>
      </c>
      <c r="AL131" s="3">
        <f>AI131+AK131</f>
        <v/>
      </c>
      <c r="AM131" s="3">
        <f>AE131-AL131</f>
        <v/>
      </c>
      <c r="AN131" s="4">
        <f>AM131/AE131</f>
        <v/>
      </c>
    </row>
    <row r="132" ht="15.75" customHeight="1">
      <c r="A132" s="3" t="inlineStr">
        <is>
          <t>PROD_0021</t>
        </is>
      </c>
      <c r="B132" s="3" t="inlineStr">
        <is>
          <t>VAR_3</t>
        </is>
      </c>
      <c r="C132" s="3" t="inlineStr">
        <is>
          <t>Wooden Material</t>
        </is>
      </c>
      <c r="D132" s="3" t="inlineStr">
        <is>
          <t>Edgeband</t>
        </is>
      </c>
      <c r="E132" s="3" t="inlineStr">
        <is>
          <t>E3</t>
        </is>
      </c>
      <c r="F132" s="3" t="inlineStr">
        <is>
          <t>PVC Edge Tape | 22 mm</t>
        </is>
      </c>
      <c r="H132" s="3" t="inlineStr">
        <is>
          <t>Thickness</t>
        </is>
      </c>
      <c r="I132" s="3" t="inlineStr">
        <is>
          <t>0.8 mm</t>
        </is>
      </c>
      <c r="J132" s="3" t="inlineStr">
        <is>
          <t>Finish</t>
        </is>
      </c>
      <c r="K132" s="3" t="inlineStr">
        <is>
          <t>Matt</t>
        </is>
      </c>
      <c r="L132" s="3" t="inlineStr">
        <is>
          <t>Color</t>
        </is>
      </c>
      <c r="M132" s="3" t="inlineStr">
        <is>
          <t>Frosty White</t>
        </is>
      </c>
      <c r="Q132" s="3" t="inlineStr">
        <is>
          <t>Manufacturer's Warranty</t>
        </is>
      </c>
      <c r="R132" s="3" t="n">
        <v>1002</v>
      </c>
      <c r="Y132" s="3" t="inlineStr">
        <is>
          <t>WM_EDB_E3_1002</t>
        </is>
      </c>
      <c r="Z132" s="3" t="n">
        <v>3926</v>
      </c>
      <c r="AA132" s="3" t="inlineStr">
        <is>
          <t>Mtr</t>
        </is>
      </c>
      <c r="AB132" s="3" t="inlineStr">
        <is>
          <t>Runing</t>
        </is>
      </c>
      <c r="AC132" s="3" t="n">
        <v>50</v>
      </c>
      <c r="AD132" s="3" t="n">
        <v>22.31</v>
      </c>
      <c r="AE132" s="3" t="n">
        <v>1037.5</v>
      </c>
      <c r="AF132" s="4" t="n">
        <v>0.6</v>
      </c>
      <c r="AG132" s="3">
        <f>ROUND(AE132-(AE132*AF132),2)</f>
        <v/>
      </c>
      <c r="AH132" s="4" t="n">
        <v>0.18</v>
      </c>
      <c r="AI132" s="3">
        <f>ROUND(AG132+(AG132*AH132),2)</f>
        <v/>
      </c>
      <c r="AJ132" s="4" t="n">
        <v>0.2</v>
      </c>
      <c r="AK132" s="3">
        <f>ROUND(AI132*AJ132,2)</f>
        <v/>
      </c>
      <c r="AL132" s="3">
        <f>AI132+AK132</f>
        <v/>
      </c>
      <c r="AM132" s="3">
        <f>AE132-AL132</f>
        <v/>
      </c>
      <c r="AN132" s="4">
        <f>AM132/AE132</f>
        <v/>
      </c>
    </row>
    <row r="133" ht="15.75" customHeight="1">
      <c r="A133" s="3" t="inlineStr">
        <is>
          <t>PROD_0021</t>
        </is>
      </c>
      <c r="B133" s="3" t="inlineStr">
        <is>
          <t>VAR_4</t>
        </is>
      </c>
      <c r="C133" s="3" t="inlineStr">
        <is>
          <t>Wooden Material</t>
        </is>
      </c>
      <c r="D133" s="3" t="inlineStr">
        <is>
          <t>Edgeband</t>
        </is>
      </c>
      <c r="E133" s="3" t="inlineStr">
        <is>
          <t>E3</t>
        </is>
      </c>
      <c r="F133" s="3" t="inlineStr">
        <is>
          <t>PVC Edge Tape | 22 mm</t>
        </is>
      </c>
      <c r="H133" s="3" t="inlineStr">
        <is>
          <t>Thickness</t>
        </is>
      </c>
      <c r="I133" s="3" t="inlineStr">
        <is>
          <t>0.8 mm</t>
        </is>
      </c>
      <c r="J133" s="3" t="inlineStr">
        <is>
          <t>Finish</t>
        </is>
      </c>
      <c r="K133" s="3" t="inlineStr">
        <is>
          <t>Matt</t>
        </is>
      </c>
      <c r="L133" s="3" t="inlineStr">
        <is>
          <t>Color</t>
        </is>
      </c>
      <c r="M133" s="3" t="inlineStr">
        <is>
          <t>L.White</t>
        </is>
      </c>
      <c r="Q133" s="3" t="inlineStr">
        <is>
          <t>Manufacturer's Warranty</t>
        </is>
      </c>
      <c r="R133" s="3" t="n">
        <v>1102</v>
      </c>
      <c r="Y133" s="3" t="inlineStr">
        <is>
          <t>WM_EDB_E3_1102</t>
        </is>
      </c>
      <c r="Z133" s="3" t="n">
        <v>3926</v>
      </c>
      <c r="AA133" s="3" t="inlineStr">
        <is>
          <t>Mtr</t>
        </is>
      </c>
      <c r="AB133" s="3" t="inlineStr">
        <is>
          <t>Runing</t>
        </is>
      </c>
      <c r="AC133" s="3" t="n">
        <v>50</v>
      </c>
      <c r="AD133" s="3" t="n">
        <v>22.31</v>
      </c>
      <c r="AE133" s="3" t="n">
        <v>1037.5</v>
      </c>
      <c r="AF133" s="4" t="n">
        <v>0.6</v>
      </c>
      <c r="AG133" s="3">
        <f>ROUND(AE133-(AE133*AF133),2)</f>
        <v/>
      </c>
      <c r="AH133" s="4" t="n">
        <v>0.18</v>
      </c>
      <c r="AI133" s="3">
        <f>ROUND(AG133+(AG133*AH133),2)</f>
        <v/>
      </c>
      <c r="AJ133" s="4" t="n">
        <v>0.2</v>
      </c>
      <c r="AK133" s="3">
        <f>ROUND(AI133*AJ133,2)</f>
        <v/>
      </c>
      <c r="AL133" s="3">
        <f>AI133+AK133</f>
        <v/>
      </c>
      <c r="AM133" s="3">
        <f>AE133-AL133</f>
        <v/>
      </c>
      <c r="AN133" s="4">
        <f>AM133/AE133</f>
        <v/>
      </c>
    </row>
    <row r="134" ht="15.75" customHeight="1">
      <c r="A134" s="3" t="inlineStr">
        <is>
          <t>PROD_0021</t>
        </is>
      </c>
      <c r="B134" s="3" t="inlineStr">
        <is>
          <t>VAR_5</t>
        </is>
      </c>
      <c r="C134" s="3" t="inlineStr">
        <is>
          <t>Wooden Material</t>
        </is>
      </c>
      <c r="D134" s="3" t="inlineStr">
        <is>
          <t>Edgeband</t>
        </is>
      </c>
      <c r="E134" s="3" t="inlineStr">
        <is>
          <t>E3</t>
        </is>
      </c>
      <c r="F134" s="3" t="inlineStr">
        <is>
          <t>PVC Edge Tape | 22 mm</t>
        </is>
      </c>
      <c r="H134" s="3" t="inlineStr">
        <is>
          <t>Thickness</t>
        </is>
      </c>
      <c r="I134" s="3" t="inlineStr">
        <is>
          <t>0.8 mm</t>
        </is>
      </c>
      <c r="J134" s="3" t="inlineStr">
        <is>
          <t>Finish</t>
        </is>
      </c>
      <c r="K134" s="3" t="inlineStr">
        <is>
          <t>Matt</t>
        </is>
      </c>
      <c r="L134" s="3" t="inlineStr">
        <is>
          <t>Color</t>
        </is>
      </c>
      <c r="M134" s="3" t="inlineStr">
        <is>
          <t>Ivory</t>
        </is>
      </c>
      <c r="Q134" s="3" t="inlineStr">
        <is>
          <t>Manufacturer's Warranty</t>
        </is>
      </c>
      <c r="R134" s="3" t="n">
        <v>1003</v>
      </c>
      <c r="Y134" s="3" t="inlineStr">
        <is>
          <t>WM_EDB_E3_1003</t>
        </is>
      </c>
      <c r="Z134" s="3" t="n">
        <v>3926</v>
      </c>
      <c r="AA134" s="3" t="inlineStr">
        <is>
          <t>Mtr</t>
        </is>
      </c>
      <c r="AB134" s="3" t="inlineStr">
        <is>
          <t>Runing</t>
        </is>
      </c>
      <c r="AC134" s="3" t="n">
        <v>50</v>
      </c>
      <c r="AD134" s="3" t="n">
        <v>22.31</v>
      </c>
      <c r="AE134" s="3" t="n">
        <v>1037.5</v>
      </c>
      <c r="AF134" s="4" t="n">
        <v>0.6</v>
      </c>
      <c r="AG134" s="3">
        <f>ROUND(AE134-(AE134*AF134),2)</f>
        <v/>
      </c>
      <c r="AH134" s="4" t="n">
        <v>0.18</v>
      </c>
      <c r="AI134" s="3">
        <f>ROUND(AG134+(AG134*AH134),2)</f>
        <v/>
      </c>
      <c r="AJ134" s="4" t="n">
        <v>0.2</v>
      </c>
      <c r="AK134" s="3">
        <f>ROUND(AI134*AJ134,2)</f>
        <v/>
      </c>
      <c r="AL134" s="3">
        <f>AI134+AK134</f>
        <v/>
      </c>
      <c r="AM134" s="3">
        <f>AE134-AL134</f>
        <v/>
      </c>
      <c r="AN134" s="4">
        <f>AM134/AE134</f>
        <v/>
      </c>
    </row>
    <row r="135" ht="15.75" customHeight="1">
      <c r="A135" s="3" t="inlineStr">
        <is>
          <t>PROD_0021</t>
        </is>
      </c>
      <c r="B135" s="3" t="inlineStr">
        <is>
          <t>VAR_6</t>
        </is>
      </c>
      <c r="C135" s="3" t="inlineStr">
        <is>
          <t>Wooden Material</t>
        </is>
      </c>
      <c r="D135" s="3" t="inlineStr">
        <is>
          <t>Edgeband</t>
        </is>
      </c>
      <c r="E135" s="3" t="inlineStr">
        <is>
          <t>E3</t>
        </is>
      </c>
      <c r="F135" s="3" t="inlineStr">
        <is>
          <t>PVC Edge Tape | 22 mm</t>
        </is>
      </c>
      <c r="H135" s="3" t="inlineStr">
        <is>
          <t>Thickness</t>
        </is>
      </c>
      <c r="I135" s="3" t="inlineStr">
        <is>
          <t>0.8 mm</t>
        </is>
      </c>
      <c r="J135" s="3" t="inlineStr">
        <is>
          <t>Finish</t>
        </is>
      </c>
      <c r="K135" s="3" t="inlineStr">
        <is>
          <t>Matt</t>
        </is>
      </c>
      <c r="L135" s="3" t="inlineStr">
        <is>
          <t>Color</t>
        </is>
      </c>
      <c r="M135" s="3" t="inlineStr">
        <is>
          <t>Solar White</t>
        </is>
      </c>
      <c r="Q135" s="3" t="inlineStr">
        <is>
          <t>Manufacturer's Warranty</t>
        </is>
      </c>
      <c r="R135" s="3" t="n">
        <v>1103</v>
      </c>
      <c r="Y135" s="3" t="inlineStr">
        <is>
          <t>WM_EDB_E3_1103</t>
        </is>
      </c>
      <c r="Z135" s="3" t="n">
        <v>3926</v>
      </c>
      <c r="AA135" s="3" t="inlineStr">
        <is>
          <t>Mtr</t>
        </is>
      </c>
      <c r="AB135" s="3" t="inlineStr">
        <is>
          <t>Runing</t>
        </is>
      </c>
      <c r="AC135" s="3" t="n">
        <v>50</v>
      </c>
      <c r="AD135" s="3" t="n">
        <v>22.31</v>
      </c>
      <c r="AE135" s="3" t="n">
        <v>1037.5</v>
      </c>
      <c r="AF135" s="4" t="n">
        <v>0.6</v>
      </c>
      <c r="AG135" s="3">
        <f>ROUND(AE135-(AE135*AF135),2)</f>
        <v/>
      </c>
      <c r="AH135" s="4" t="n">
        <v>0.18</v>
      </c>
      <c r="AI135" s="3">
        <f>ROUND(AG135+(AG135*AH135),2)</f>
        <v/>
      </c>
      <c r="AJ135" s="4" t="n">
        <v>0.2</v>
      </c>
      <c r="AK135" s="3">
        <f>ROUND(AI135*AJ135,2)</f>
        <v/>
      </c>
      <c r="AL135" s="3">
        <f>AI135+AK135</f>
        <v/>
      </c>
      <c r="AM135" s="3">
        <f>AE135-AL135</f>
        <v/>
      </c>
      <c r="AN135" s="4">
        <f>AM135/AE135</f>
        <v/>
      </c>
    </row>
    <row r="136" ht="15.75" customHeight="1">
      <c r="A136" s="3" t="inlineStr">
        <is>
          <t>PROD_0021</t>
        </is>
      </c>
      <c r="B136" s="3" t="inlineStr">
        <is>
          <t>VAR_7</t>
        </is>
      </c>
      <c r="C136" s="3" t="inlineStr">
        <is>
          <t>Wooden Material</t>
        </is>
      </c>
      <c r="D136" s="3" t="inlineStr">
        <is>
          <t>Edgeband</t>
        </is>
      </c>
      <c r="E136" s="3" t="inlineStr">
        <is>
          <t>E3</t>
        </is>
      </c>
      <c r="F136" s="3" t="inlineStr">
        <is>
          <t>PVC Edge Tape | 22 mm</t>
        </is>
      </c>
      <c r="H136" s="3" t="inlineStr">
        <is>
          <t>Thickness</t>
        </is>
      </c>
      <c r="I136" s="3" t="inlineStr">
        <is>
          <t>2 mm</t>
        </is>
      </c>
      <c r="J136" s="3" t="inlineStr">
        <is>
          <t>Finish</t>
        </is>
      </c>
      <c r="K136" s="3" t="inlineStr">
        <is>
          <t>Matt</t>
        </is>
      </c>
      <c r="L136" s="3" t="inlineStr">
        <is>
          <t>Color</t>
        </is>
      </c>
      <c r="M136" s="3" t="inlineStr">
        <is>
          <t>Super White</t>
        </is>
      </c>
      <c r="Q136" s="3" t="inlineStr">
        <is>
          <t>Manufacturer's Warranty</t>
        </is>
      </c>
      <c r="R136" s="3" t="n">
        <v>1001</v>
      </c>
      <c r="Y136" s="3" t="inlineStr">
        <is>
          <t>WM_EDB_E3_1001</t>
        </is>
      </c>
      <c r="Z136" s="3" t="n">
        <v>3926</v>
      </c>
      <c r="AA136" s="3" t="inlineStr">
        <is>
          <t>Mtr</t>
        </is>
      </c>
      <c r="AB136" s="3" t="inlineStr">
        <is>
          <t>Runing</t>
        </is>
      </c>
      <c r="AC136" s="3" t="n">
        <v>50</v>
      </c>
      <c r="AD136" s="5" t="n">
        <v>50.7</v>
      </c>
      <c r="AE136" s="3" t="n">
        <v>2452.5</v>
      </c>
      <c r="AF136" s="4" t="n">
        <v>0.6</v>
      </c>
      <c r="AG136" s="3">
        <f>ROUND(AE136-(AE136*AF136),2)</f>
        <v/>
      </c>
      <c r="AH136" s="4" t="n">
        <v>0.18</v>
      </c>
      <c r="AI136" s="3">
        <f>ROUND(AG136+(AG136*AH136),2)</f>
        <v/>
      </c>
      <c r="AJ136" s="4" t="n">
        <v>0.2</v>
      </c>
      <c r="AK136" s="3">
        <f>ROUND(AI136*AJ136,2)</f>
        <v/>
      </c>
      <c r="AL136" s="3">
        <f>AI136+AK136</f>
        <v/>
      </c>
      <c r="AM136" s="3">
        <f>AE136-AL136</f>
        <v/>
      </c>
      <c r="AN136" s="4">
        <f>AM136/AE136</f>
        <v/>
      </c>
    </row>
    <row r="137" ht="15.75" customHeight="1">
      <c r="A137" s="3" t="inlineStr">
        <is>
          <t>PROD_0021</t>
        </is>
      </c>
      <c r="B137" s="3" t="inlineStr">
        <is>
          <t>VAR_8</t>
        </is>
      </c>
      <c r="C137" s="3" t="inlineStr">
        <is>
          <t>Wooden Material</t>
        </is>
      </c>
      <c r="D137" s="3" t="inlineStr">
        <is>
          <t>Edgeband</t>
        </is>
      </c>
      <c r="E137" s="3" t="inlineStr">
        <is>
          <t>E3</t>
        </is>
      </c>
      <c r="F137" s="3" t="inlineStr">
        <is>
          <t>PVC Edge Tape | 22 mm</t>
        </is>
      </c>
      <c r="H137" s="3" t="inlineStr">
        <is>
          <t>Thickness</t>
        </is>
      </c>
      <c r="I137" s="3" t="inlineStr">
        <is>
          <t>2 mm</t>
        </is>
      </c>
      <c r="J137" s="3" t="inlineStr">
        <is>
          <t>Finish</t>
        </is>
      </c>
      <c r="K137" s="3" t="inlineStr">
        <is>
          <t>Matt</t>
        </is>
      </c>
      <c r="L137" s="3" t="inlineStr">
        <is>
          <t>Color</t>
        </is>
      </c>
      <c r="M137" s="3" t="inlineStr">
        <is>
          <t>White Lily</t>
        </is>
      </c>
      <c r="Q137" s="3" t="inlineStr">
        <is>
          <t>Manufacturer's Warranty</t>
        </is>
      </c>
      <c r="R137" s="3" t="n">
        <v>1101</v>
      </c>
      <c r="Y137" s="3" t="inlineStr">
        <is>
          <t>WM_EDB_E3_1101</t>
        </is>
      </c>
      <c r="Z137" s="3" t="n">
        <v>3926</v>
      </c>
      <c r="AA137" s="3" t="inlineStr">
        <is>
          <t>Mtr</t>
        </is>
      </c>
      <c r="AB137" s="3" t="inlineStr">
        <is>
          <t>Runing</t>
        </is>
      </c>
      <c r="AC137" s="3" t="n">
        <v>50</v>
      </c>
      <c r="AD137" s="5" t="n">
        <v>50.7</v>
      </c>
      <c r="AE137" s="3" t="n">
        <v>2452.5</v>
      </c>
      <c r="AF137" s="4" t="n">
        <v>0.6</v>
      </c>
      <c r="AG137" s="3">
        <f>ROUND(AE137-(AE137*AF137),2)</f>
        <v/>
      </c>
      <c r="AH137" s="4" t="n">
        <v>0.18</v>
      </c>
      <c r="AI137" s="3">
        <f>ROUND(AG137+(AG137*AH137),2)</f>
        <v/>
      </c>
      <c r="AJ137" s="4" t="n">
        <v>0.2</v>
      </c>
      <c r="AK137" s="3">
        <f>ROUND(AI137*AJ137,2)</f>
        <v/>
      </c>
      <c r="AL137" s="3">
        <f>AI137+AK137</f>
        <v/>
      </c>
      <c r="AM137" s="3">
        <f>AE137-AL137</f>
        <v/>
      </c>
      <c r="AN137" s="4">
        <f>AM137/AE137</f>
        <v/>
      </c>
    </row>
    <row r="138" ht="15.75" customHeight="1">
      <c r="A138" s="3" t="inlineStr">
        <is>
          <t>PROD_0021</t>
        </is>
      </c>
      <c r="B138" s="3" t="inlineStr">
        <is>
          <t>VAR_9</t>
        </is>
      </c>
      <c r="C138" s="3" t="inlineStr">
        <is>
          <t>Wooden Material</t>
        </is>
      </c>
      <c r="D138" s="3" t="inlineStr">
        <is>
          <t>Edgeband</t>
        </is>
      </c>
      <c r="E138" s="3" t="inlineStr">
        <is>
          <t>E3</t>
        </is>
      </c>
      <c r="F138" s="3" t="inlineStr">
        <is>
          <t>PVC Edge Tape | 22 mm</t>
        </is>
      </c>
      <c r="H138" s="3" t="inlineStr">
        <is>
          <t>Thickness</t>
        </is>
      </c>
      <c r="I138" s="3" t="inlineStr">
        <is>
          <t>2 mm</t>
        </is>
      </c>
      <c r="J138" s="3" t="inlineStr">
        <is>
          <t>Finish</t>
        </is>
      </c>
      <c r="K138" s="3" t="inlineStr">
        <is>
          <t>Matt</t>
        </is>
      </c>
      <c r="L138" s="3" t="inlineStr">
        <is>
          <t>Color</t>
        </is>
      </c>
      <c r="M138" s="3" t="inlineStr">
        <is>
          <t>Frosty White</t>
        </is>
      </c>
      <c r="Q138" s="3" t="inlineStr">
        <is>
          <t>Manufacturer's Warranty</t>
        </is>
      </c>
      <c r="R138" s="3" t="n">
        <v>1002</v>
      </c>
      <c r="Y138" s="3" t="inlineStr">
        <is>
          <t>WM_EDB_E3_1002</t>
        </is>
      </c>
      <c r="Z138" s="3" t="n">
        <v>3926</v>
      </c>
      <c r="AA138" s="3" t="inlineStr">
        <is>
          <t>Mtr</t>
        </is>
      </c>
      <c r="AB138" s="3" t="inlineStr">
        <is>
          <t>Runing</t>
        </is>
      </c>
      <c r="AC138" s="3" t="n">
        <v>50</v>
      </c>
      <c r="AD138" s="5" t="n">
        <v>50.7</v>
      </c>
      <c r="AE138" s="3" t="n">
        <v>2452.5</v>
      </c>
      <c r="AF138" s="4" t="n">
        <v>0.6</v>
      </c>
      <c r="AG138" s="3">
        <f>ROUND(AE138-(AE138*AF138),2)</f>
        <v/>
      </c>
      <c r="AH138" s="4" t="n">
        <v>0.18</v>
      </c>
      <c r="AI138" s="3">
        <f>ROUND(AG138+(AG138*AH138),2)</f>
        <v/>
      </c>
      <c r="AJ138" s="4" t="n">
        <v>0.2</v>
      </c>
      <c r="AK138" s="3">
        <f>ROUND(AI138*AJ138,2)</f>
        <v/>
      </c>
      <c r="AL138" s="3">
        <f>AI138+AK138</f>
        <v/>
      </c>
      <c r="AM138" s="3">
        <f>AE138-AL138</f>
        <v/>
      </c>
      <c r="AN138" s="4">
        <f>AM138/AE138</f>
        <v/>
      </c>
    </row>
    <row r="139" ht="15.75" customHeight="1">
      <c r="A139" s="3" t="inlineStr">
        <is>
          <t>PROD_0021</t>
        </is>
      </c>
      <c r="B139" s="3" t="inlineStr">
        <is>
          <t>VAR_10</t>
        </is>
      </c>
      <c r="C139" s="3" t="inlineStr">
        <is>
          <t>Wooden Material</t>
        </is>
      </c>
      <c r="D139" s="3" t="inlineStr">
        <is>
          <t>Edgeband</t>
        </is>
      </c>
      <c r="E139" s="3" t="inlineStr">
        <is>
          <t>E3</t>
        </is>
      </c>
      <c r="F139" s="3" t="inlineStr">
        <is>
          <t>PVC Edge Tape | 22 mm</t>
        </is>
      </c>
      <c r="H139" s="3" t="inlineStr">
        <is>
          <t>Thickness</t>
        </is>
      </c>
      <c r="I139" s="3" t="inlineStr">
        <is>
          <t>2 mm</t>
        </is>
      </c>
      <c r="J139" s="3" t="inlineStr">
        <is>
          <t>Finish</t>
        </is>
      </c>
      <c r="K139" s="3" t="inlineStr">
        <is>
          <t>Matt</t>
        </is>
      </c>
      <c r="L139" s="3" t="inlineStr">
        <is>
          <t>Color</t>
        </is>
      </c>
      <c r="M139" s="3" t="inlineStr">
        <is>
          <t>L.White</t>
        </is>
      </c>
      <c r="Q139" s="3" t="inlineStr">
        <is>
          <t>Manufacturer's Warranty</t>
        </is>
      </c>
      <c r="R139" s="3" t="n">
        <v>1102</v>
      </c>
      <c r="Y139" s="3" t="inlineStr">
        <is>
          <t>WM_EDB_E3_1102</t>
        </is>
      </c>
      <c r="Z139" s="3" t="n">
        <v>3926</v>
      </c>
      <c r="AA139" s="3" t="inlineStr">
        <is>
          <t>Mtr</t>
        </is>
      </c>
      <c r="AB139" s="3" t="inlineStr">
        <is>
          <t>Runing</t>
        </is>
      </c>
      <c r="AC139" s="3" t="n">
        <v>50</v>
      </c>
      <c r="AD139" s="5" t="n">
        <v>50.7</v>
      </c>
      <c r="AE139" s="3" t="n">
        <v>2452.5</v>
      </c>
      <c r="AF139" s="4" t="n">
        <v>0.6</v>
      </c>
      <c r="AG139" s="3">
        <f>ROUND(AE139-(AE139*AF139),2)</f>
        <v/>
      </c>
      <c r="AH139" s="4" t="n">
        <v>0.18</v>
      </c>
      <c r="AI139" s="3">
        <f>ROUND(AG139+(AG139*AH139),2)</f>
        <v/>
      </c>
      <c r="AJ139" s="4" t="n">
        <v>0.2</v>
      </c>
      <c r="AK139" s="3">
        <f>ROUND(AI139*AJ139,2)</f>
        <v/>
      </c>
      <c r="AL139" s="3">
        <f>AI139+AK139</f>
        <v/>
      </c>
      <c r="AM139" s="3">
        <f>AE139-AL139</f>
        <v/>
      </c>
      <c r="AN139" s="4">
        <f>AM139/AE139</f>
        <v/>
      </c>
    </row>
    <row r="140" ht="15.75" customHeight="1">
      <c r="A140" s="3" t="inlineStr">
        <is>
          <t>PROD_0021</t>
        </is>
      </c>
      <c r="B140" s="3" t="inlineStr">
        <is>
          <t>VAR_11</t>
        </is>
      </c>
      <c r="C140" s="3" t="inlineStr">
        <is>
          <t>Wooden Material</t>
        </is>
      </c>
      <c r="D140" s="3" t="inlineStr">
        <is>
          <t>Edgeband</t>
        </is>
      </c>
      <c r="E140" s="3" t="inlineStr">
        <is>
          <t>E3</t>
        </is>
      </c>
      <c r="F140" s="3" t="inlineStr">
        <is>
          <t>PVC Edge Tape | 22 mm</t>
        </is>
      </c>
      <c r="H140" s="3" t="inlineStr">
        <is>
          <t>Thickness</t>
        </is>
      </c>
      <c r="I140" s="3" t="inlineStr">
        <is>
          <t>2 mm</t>
        </is>
      </c>
      <c r="J140" s="3" t="inlineStr">
        <is>
          <t>Finish</t>
        </is>
      </c>
      <c r="K140" s="3" t="inlineStr">
        <is>
          <t>Matt</t>
        </is>
      </c>
      <c r="L140" s="3" t="inlineStr">
        <is>
          <t>Color</t>
        </is>
      </c>
      <c r="M140" s="3" t="inlineStr">
        <is>
          <t>Ivory</t>
        </is>
      </c>
      <c r="Q140" s="3" t="inlineStr">
        <is>
          <t>Manufacturer's Warranty</t>
        </is>
      </c>
      <c r="R140" s="3" t="n">
        <v>1003</v>
      </c>
      <c r="Y140" s="3" t="inlineStr">
        <is>
          <t>WM_EDB_E3_1003</t>
        </is>
      </c>
      <c r="Z140" s="3" t="n">
        <v>3926</v>
      </c>
      <c r="AA140" s="3" t="inlineStr">
        <is>
          <t>Mtr</t>
        </is>
      </c>
      <c r="AB140" s="3" t="inlineStr">
        <is>
          <t>Runing</t>
        </is>
      </c>
      <c r="AC140" s="3" t="n">
        <v>50</v>
      </c>
      <c r="AD140" s="5" t="n">
        <v>50.7</v>
      </c>
      <c r="AE140" s="3" t="n">
        <v>2452.5</v>
      </c>
      <c r="AF140" s="4" t="n">
        <v>0.6</v>
      </c>
      <c r="AG140" s="3">
        <f>ROUND(AE140-(AE140*AF140),2)</f>
        <v/>
      </c>
      <c r="AH140" s="4" t="n">
        <v>0.18</v>
      </c>
      <c r="AI140" s="3">
        <f>ROUND(AG140+(AG140*AH140),2)</f>
        <v/>
      </c>
      <c r="AJ140" s="4" t="n">
        <v>0.2</v>
      </c>
      <c r="AK140" s="3">
        <f>ROUND(AI140*AJ140,2)</f>
        <v/>
      </c>
      <c r="AL140" s="3">
        <f>AI140+AK140</f>
        <v/>
      </c>
      <c r="AM140" s="3">
        <f>AE140-AL140</f>
        <v/>
      </c>
      <c r="AN140" s="4">
        <f>AM140/AE140</f>
        <v/>
      </c>
    </row>
    <row r="141" ht="15.75" customHeight="1">
      <c r="A141" s="3" t="inlineStr">
        <is>
          <t>PROD_0021</t>
        </is>
      </c>
      <c r="B141" s="3" t="inlineStr">
        <is>
          <t>VAR_12</t>
        </is>
      </c>
      <c r="C141" s="3" t="inlineStr">
        <is>
          <t>Wooden Material</t>
        </is>
      </c>
      <c r="D141" s="3" t="inlineStr">
        <is>
          <t>Edgeband</t>
        </is>
      </c>
      <c r="E141" s="3" t="inlineStr">
        <is>
          <t>E3</t>
        </is>
      </c>
      <c r="F141" s="3" t="inlineStr">
        <is>
          <t>PVC Edge Tape | 22 mm</t>
        </is>
      </c>
      <c r="H141" s="3" t="inlineStr">
        <is>
          <t>Thickness</t>
        </is>
      </c>
      <c r="I141" s="3" t="inlineStr">
        <is>
          <t>2 mm</t>
        </is>
      </c>
      <c r="J141" s="3" t="inlineStr">
        <is>
          <t>Finish</t>
        </is>
      </c>
      <c r="K141" s="3" t="inlineStr">
        <is>
          <t>Matt</t>
        </is>
      </c>
      <c r="L141" s="3" t="inlineStr">
        <is>
          <t>Color</t>
        </is>
      </c>
      <c r="M141" s="3" t="inlineStr">
        <is>
          <t>Solar White</t>
        </is>
      </c>
      <c r="Q141" s="3" t="inlineStr">
        <is>
          <t>Manufacturer's Warranty</t>
        </is>
      </c>
      <c r="R141" s="3" t="n">
        <v>1103</v>
      </c>
      <c r="Y141" s="3" t="inlineStr">
        <is>
          <t>WM_EDB_E3_1103</t>
        </is>
      </c>
      <c r="Z141" s="3" t="n">
        <v>3926</v>
      </c>
      <c r="AA141" s="3" t="inlineStr">
        <is>
          <t>Mtr</t>
        </is>
      </c>
      <c r="AB141" s="3" t="inlineStr">
        <is>
          <t>Runing</t>
        </is>
      </c>
      <c r="AC141" s="3" t="n">
        <v>50</v>
      </c>
      <c r="AD141" s="5" t="n">
        <v>50.7</v>
      </c>
      <c r="AE141" s="3" t="n">
        <v>2452.5</v>
      </c>
      <c r="AF141" s="4" t="n">
        <v>0.6</v>
      </c>
      <c r="AG141" s="3">
        <f>ROUND(AE141-(AE141*AF141),2)</f>
        <v/>
      </c>
      <c r="AH141" s="4" t="n">
        <v>0.18</v>
      </c>
      <c r="AI141" s="3">
        <f>ROUND(AG141+(AG141*AH141),2)</f>
        <v/>
      </c>
      <c r="AJ141" s="4" t="n">
        <v>0.2</v>
      </c>
      <c r="AK141" s="3">
        <f>ROUND(AI141*AJ141,2)</f>
        <v/>
      </c>
      <c r="AL141" s="3">
        <f>AI141+AK141</f>
        <v/>
      </c>
      <c r="AM141" s="3">
        <f>AE141-AL141</f>
        <v/>
      </c>
      <c r="AN141" s="4">
        <f>AM141/AE141</f>
        <v/>
      </c>
    </row>
    <row r="142" ht="15.75" customHeight="1">
      <c r="A142" s="3" t="inlineStr">
        <is>
          <t>PROD_0021</t>
        </is>
      </c>
      <c r="B142" s="3" t="inlineStr">
        <is>
          <t>VAR_13</t>
        </is>
      </c>
      <c r="C142" s="3" t="inlineStr">
        <is>
          <t>Wooden Material</t>
        </is>
      </c>
      <c r="D142" s="3" t="inlineStr">
        <is>
          <t>Edgeband</t>
        </is>
      </c>
      <c r="E142" s="3" t="inlineStr">
        <is>
          <t>E3</t>
        </is>
      </c>
      <c r="F142" s="3" t="inlineStr">
        <is>
          <t>PVC Edge Tape | 22 mm</t>
        </is>
      </c>
      <c r="H142" s="3" t="inlineStr">
        <is>
          <t>Thickness</t>
        </is>
      </c>
      <c r="I142" s="3" t="inlineStr">
        <is>
          <t>0.8 mm</t>
        </is>
      </c>
      <c r="J142" s="3" t="inlineStr">
        <is>
          <t>Finish</t>
        </is>
      </c>
      <c r="K142" s="3" t="inlineStr">
        <is>
          <t>Matt</t>
        </is>
      </c>
      <c r="L142" s="3" t="inlineStr">
        <is>
          <t>Color</t>
        </is>
      </c>
      <c r="M142" s="3" t="inlineStr">
        <is>
          <t>Super White</t>
        </is>
      </c>
      <c r="Q142" s="3" t="inlineStr">
        <is>
          <t>Manufacturer's Warranty</t>
        </is>
      </c>
      <c r="R142" s="3" t="n">
        <v>1001</v>
      </c>
      <c r="Y142" s="3" t="inlineStr">
        <is>
          <t>WM_EDB_E3_1001</t>
        </is>
      </c>
      <c r="Z142" s="3" t="n">
        <v>3926</v>
      </c>
      <c r="AA142" s="3" t="inlineStr">
        <is>
          <t>Mtr</t>
        </is>
      </c>
      <c r="AB142" s="3" t="inlineStr">
        <is>
          <t>Runing</t>
        </is>
      </c>
      <c r="AC142" s="3" t="n">
        <v>50</v>
      </c>
      <c r="AD142" s="3" t="n">
        <v>22.31</v>
      </c>
      <c r="AE142" s="3" t="n">
        <v>1037.5</v>
      </c>
      <c r="AF142" s="4" t="n">
        <v>0.6</v>
      </c>
      <c r="AG142" s="3">
        <f>ROUND(AE142-(AE142*AF142),2)</f>
        <v/>
      </c>
      <c r="AH142" s="4" t="n">
        <v>0.18</v>
      </c>
      <c r="AI142" s="3">
        <f>ROUND(AG142+(AG142*AH142),2)</f>
        <v/>
      </c>
      <c r="AJ142" s="4" t="n">
        <v>0.2</v>
      </c>
      <c r="AK142" s="3">
        <f>ROUND(AI142*AJ142,2)</f>
        <v/>
      </c>
      <c r="AL142" s="3">
        <f>AI142+AK142</f>
        <v/>
      </c>
      <c r="AM142" s="3">
        <f>AE142-AL142</f>
        <v/>
      </c>
      <c r="AN142" s="4">
        <f>AM142/AE142</f>
        <v/>
      </c>
    </row>
    <row r="143" ht="15.75" customHeight="1">
      <c r="A143" s="3" t="inlineStr">
        <is>
          <t>PROD_0021</t>
        </is>
      </c>
      <c r="B143" s="3" t="inlineStr">
        <is>
          <t>VAR_14</t>
        </is>
      </c>
      <c r="C143" s="3" t="inlineStr">
        <is>
          <t>Wooden Material</t>
        </is>
      </c>
      <c r="D143" s="3" t="inlineStr">
        <is>
          <t>Edgeband</t>
        </is>
      </c>
      <c r="E143" s="3" t="inlineStr">
        <is>
          <t>E3</t>
        </is>
      </c>
      <c r="F143" s="3" t="inlineStr">
        <is>
          <t>PVC Edge Tape | 22 mm</t>
        </is>
      </c>
      <c r="H143" s="3" t="inlineStr">
        <is>
          <t>Thickness</t>
        </is>
      </c>
      <c r="I143" s="3" t="inlineStr">
        <is>
          <t>0.8 mm</t>
        </is>
      </c>
      <c r="J143" s="3" t="inlineStr">
        <is>
          <t>Finish</t>
        </is>
      </c>
      <c r="K143" s="3" t="inlineStr">
        <is>
          <t>Matt</t>
        </is>
      </c>
      <c r="L143" s="3" t="inlineStr">
        <is>
          <t>Color</t>
        </is>
      </c>
      <c r="M143" s="3" t="inlineStr">
        <is>
          <t>White Lily</t>
        </is>
      </c>
      <c r="Q143" s="3" t="inlineStr">
        <is>
          <t>Manufacturer's Warranty</t>
        </is>
      </c>
      <c r="R143" s="3" t="n">
        <v>1101</v>
      </c>
      <c r="Y143" s="3" t="inlineStr">
        <is>
          <t>WM_EDB_E3_1101</t>
        </is>
      </c>
      <c r="Z143" s="3" t="n">
        <v>3926</v>
      </c>
      <c r="AA143" s="3" t="inlineStr">
        <is>
          <t>Mtr</t>
        </is>
      </c>
      <c r="AB143" s="3" t="inlineStr">
        <is>
          <t>Runing</t>
        </is>
      </c>
      <c r="AC143" s="3" t="n">
        <v>50</v>
      </c>
      <c r="AD143" s="3" t="n">
        <v>22.31</v>
      </c>
      <c r="AE143" s="3" t="n">
        <v>1037.5</v>
      </c>
      <c r="AF143" s="4" t="n">
        <v>0.6</v>
      </c>
      <c r="AG143" s="3">
        <f>ROUND(AE143-(AE143*AF143),2)</f>
        <v/>
      </c>
      <c r="AH143" s="4" t="n">
        <v>0.18</v>
      </c>
      <c r="AI143" s="3">
        <f>ROUND(AG143+(AG143*AH143),2)</f>
        <v/>
      </c>
      <c r="AJ143" s="4" t="n">
        <v>0.2</v>
      </c>
      <c r="AK143" s="3">
        <f>ROUND(AI143*AJ143,2)</f>
        <v/>
      </c>
      <c r="AL143" s="3">
        <f>AI143+AK143</f>
        <v/>
      </c>
      <c r="AM143" s="3">
        <f>AE143-AL143</f>
        <v/>
      </c>
      <c r="AN143" s="4">
        <f>AM143/AE143</f>
        <v/>
      </c>
    </row>
    <row r="144" ht="15.75" customHeight="1">
      <c r="A144" s="3" t="inlineStr">
        <is>
          <t>PROD_0021</t>
        </is>
      </c>
      <c r="B144" s="3" t="inlineStr">
        <is>
          <t>VAR_15</t>
        </is>
      </c>
      <c r="C144" s="3" t="inlineStr">
        <is>
          <t>Wooden Material</t>
        </is>
      </c>
      <c r="D144" s="3" t="inlineStr">
        <is>
          <t>Edgeband</t>
        </is>
      </c>
      <c r="E144" s="3" t="inlineStr">
        <is>
          <t>E3</t>
        </is>
      </c>
      <c r="F144" s="3" t="inlineStr">
        <is>
          <t>PVC Edge Tape | 22 mm</t>
        </is>
      </c>
      <c r="H144" s="3" t="inlineStr">
        <is>
          <t>Thickness</t>
        </is>
      </c>
      <c r="I144" s="3" t="inlineStr">
        <is>
          <t>0.8 mm</t>
        </is>
      </c>
      <c r="J144" s="3" t="inlineStr">
        <is>
          <t>Finish</t>
        </is>
      </c>
      <c r="K144" s="3" t="inlineStr">
        <is>
          <t>Matt</t>
        </is>
      </c>
      <c r="L144" s="3" t="inlineStr">
        <is>
          <t>Color</t>
        </is>
      </c>
      <c r="M144" s="3" t="inlineStr">
        <is>
          <t>Frosty White</t>
        </is>
      </c>
      <c r="Q144" s="3" t="inlineStr">
        <is>
          <t>Manufacturer's Warranty</t>
        </is>
      </c>
      <c r="R144" s="3" t="n">
        <v>1002</v>
      </c>
      <c r="Y144" s="3" t="inlineStr">
        <is>
          <t>WM_EDB_E3_1002</t>
        </is>
      </c>
      <c r="Z144" s="3" t="n">
        <v>3926</v>
      </c>
      <c r="AA144" s="3" t="inlineStr">
        <is>
          <t>Mtr</t>
        </is>
      </c>
      <c r="AB144" s="3" t="inlineStr">
        <is>
          <t>Runing</t>
        </is>
      </c>
      <c r="AC144" s="3" t="n">
        <v>50</v>
      </c>
      <c r="AD144" s="3" t="n">
        <v>22.31</v>
      </c>
      <c r="AE144" s="3" t="n">
        <v>1037.5</v>
      </c>
      <c r="AF144" s="4" t="n">
        <v>0.6</v>
      </c>
      <c r="AG144" s="3">
        <f>ROUND(AE144-(AE144*AF144),2)</f>
        <v/>
      </c>
      <c r="AH144" s="4" t="n">
        <v>0.18</v>
      </c>
      <c r="AI144" s="3">
        <f>ROUND(AG144+(AG144*AH144),2)</f>
        <v/>
      </c>
      <c r="AJ144" s="4" t="n">
        <v>0.2</v>
      </c>
      <c r="AK144" s="3">
        <f>ROUND(AI144*AJ144,2)</f>
        <v/>
      </c>
      <c r="AL144" s="3">
        <f>AI144+AK144</f>
        <v/>
      </c>
      <c r="AM144" s="3">
        <f>AE144-AL144</f>
        <v/>
      </c>
      <c r="AN144" s="4">
        <f>AM144/AE144</f>
        <v/>
      </c>
    </row>
    <row r="145" ht="15.75" customHeight="1">
      <c r="A145" s="3" t="inlineStr">
        <is>
          <t>PROD_0021</t>
        </is>
      </c>
      <c r="B145" s="3" t="inlineStr">
        <is>
          <t>VAR_16</t>
        </is>
      </c>
      <c r="C145" s="3" t="inlineStr">
        <is>
          <t>Wooden Material</t>
        </is>
      </c>
      <c r="D145" s="3" t="inlineStr">
        <is>
          <t>Edgeband</t>
        </is>
      </c>
      <c r="E145" s="3" t="inlineStr">
        <is>
          <t>E3</t>
        </is>
      </c>
      <c r="F145" s="3" t="inlineStr">
        <is>
          <t>PVC Edge Tape | 22 mm</t>
        </is>
      </c>
      <c r="H145" s="3" t="inlineStr">
        <is>
          <t>Thickness</t>
        </is>
      </c>
      <c r="I145" s="3" t="inlineStr">
        <is>
          <t>0.8 mm</t>
        </is>
      </c>
      <c r="J145" s="3" t="inlineStr">
        <is>
          <t>Finish</t>
        </is>
      </c>
      <c r="K145" s="3" t="inlineStr">
        <is>
          <t>Matt</t>
        </is>
      </c>
      <c r="L145" s="3" t="inlineStr">
        <is>
          <t>Color</t>
        </is>
      </c>
      <c r="M145" s="3" t="inlineStr">
        <is>
          <t>L.White</t>
        </is>
      </c>
      <c r="Q145" s="3" t="inlineStr">
        <is>
          <t>Manufacturer's Warranty</t>
        </is>
      </c>
      <c r="R145" s="3" t="n">
        <v>1102</v>
      </c>
      <c r="Y145" s="3" t="inlineStr">
        <is>
          <t>WM_EDB_E3_1102</t>
        </is>
      </c>
      <c r="Z145" s="3" t="n">
        <v>3926</v>
      </c>
      <c r="AA145" s="3" t="inlineStr">
        <is>
          <t>Mtr</t>
        </is>
      </c>
      <c r="AB145" s="3" t="inlineStr">
        <is>
          <t>Runing</t>
        </is>
      </c>
      <c r="AC145" s="3" t="n">
        <v>50</v>
      </c>
      <c r="AD145" s="3" t="n">
        <v>22.31</v>
      </c>
      <c r="AE145" s="3" t="n">
        <v>1037.5</v>
      </c>
      <c r="AF145" s="4" t="n">
        <v>0.6</v>
      </c>
      <c r="AG145" s="3">
        <f>ROUND(AE145-(AE145*AF145),2)</f>
        <v/>
      </c>
      <c r="AH145" s="4" t="n">
        <v>0.18</v>
      </c>
      <c r="AI145" s="3">
        <f>ROUND(AG145+(AG145*AH145),2)</f>
        <v/>
      </c>
      <c r="AJ145" s="4" t="n">
        <v>0.2</v>
      </c>
      <c r="AK145" s="3">
        <f>ROUND(AI145*AJ145,2)</f>
        <v/>
      </c>
      <c r="AL145" s="3">
        <f>AI145+AK145</f>
        <v/>
      </c>
      <c r="AM145" s="3">
        <f>AE145-AL145</f>
        <v/>
      </c>
      <c r="AN145" s="4">
        <f>AM145/AE145</f>
        <v/>
      </c>
    </row>
    <row r="146" ht="15.75" customHeight="1">
      <c r="A146" s="3" t="inlineStr">
        <is>
          <t>PROD_0021</t>
        </is>
      </c>
      <c r="B146" s="3" t="inlineStr">
        <is>
          <t>VAR_17</t>
        </is>
      </c>
      <c r="C146" s="3" t="inlineStr">
        <is>
          <t>Wooden Material</t>
        </is>
      </c>
      <c r="D146" s="3" t="inlineStr">
        <is>
          <t>Edgeband</t>
        </is>
      </c>
      <c r="E146" s="3" t="inlineStr">
        <is>
          <t>E3</t>
        </is>
      </c>
      <c r="F146" s="3" t="inlineStr">
        <is>
          <t>PVC Edge Tape | 22 mm</t>
        </is>
      </c>
      <c r="H146" s="3" t="inlineStr">
        <is>
          <t>Thickness</t>
        </is>
      </c>
      <c r="I146" s="3" t="inlineStr">
        <is>
          <t>0.8 mm</t>
        </is>
      </c>
      <c r="J146" s="3" t="inlineStr">
        <is>
          <t>Finish</t>
        </is>
      </c>
      <c r="K146" s="3" t="inlineStr">
        <is>
          <t>Matt</t>
        </is>
      </c>
      <c r="L146" s="3" t="inlineStr">
        <is>
          <t>Color</t>
        </is>
      </c>
      <c r="M146" s="3" t="inlineStr">
        <is>
          <t>Ivory</t>
        </is>
      </c>
      <c r="Q146" s="3" t="inlineStr">
        <is>
          <t>Manufacturer's Warranty</t>
        </is>
      </c>
      <c r="R146" s="3" t="n">
        <v>1003</v>
      </c>
      <c r="Y146" s="3" t="inlineStr">
        <is>
          <t>WM_EDB_E3_1003</t>
        </is>
      </c>
      <c r="Z146" s="3" t="n">
        <v>3926</v>
      </c>
      <c r="AA146" s="3" t="inlineStr">
        <is>
          <t>Mtr</t>
        </is>
      </c>
      <c r="AB146" s="3" t="inlineStr">
        <is>
          <t>Runing</t>
        </is>
      </c>
      <c r="AC146" s="3" t="n">
        <v>50</v>
      </c>
      <c r="AD146" s="3" t="n">
        <v>22.31</v>
      </c>
      <c r="AE146" s="3" t="n">
        <v>1037.5</v>
      </c>
      <c r="AF146" s="4" t="n">
        <v>0.6</v>
      </c>
      <c r="AG146" s="3">
        <f>ROUND(AE146-(AE146*AF146),2)</f>
        <v/>
      </c>
      <c r="AH146" s="4" t="n">
        <v>0.18</v>
      </c>
      <c r="AI146" s="3">
        <f>ROUND(AG146+(AG146*AH146),2)</f>
        <v/>
      </c>
      <c r="AJ146" s="4" t="n">
        <v>0.2</v>
      </c>
      <c r="AK146" s="3">
        <f>ROUND(AI146*AJ146,2)</f>
        <v/>
      </c>
      <c r="AL146" s="3">
        <f>AI146+AK146</f>
        <v/>
      </c>
      <c r="AM146" s="3">
        <f>AE146-AL146</f>
        <v/>
      </c>
      <c r="AN146" s="4">
        <f>AM146/AE146</f>
        <v/>
      </c>
    </row>
    <row r="147" ht="15.75" customHeight="1">
      <c r="A147" s="3" t="inlineStr">
        <is>
          <t>PROD_0021</t>
        </is>
      </c>
      <c r="B147" s="3" t="inlineStr">
        <is>
          <t>VAR_18</t>
        </is>
      </c>
      <c r="C147" s="3" t="inlineStr">
        <is>
          <t>Wooden Material</t>
        </is>
      </c>
      <c r="D147" s="3" t="inlineStr">
        <is>
          <t>Edgeband</t>
        </is>
      </c>
      <c r="E147" s="3" t="inlineStr">
        <is>
          <t>E3</t>
        </is>
      </c>
      <c r="F147" s="3" t="inlineStr">
        <is>
          <t>PVC Edge Tape | 22 mm</t>
        </is>
      </c>
      <c r="H147" s="3" t="inlineStr">
        <is>
          <t>Thickness</t>
        </is>
      </c>
      <c r="I147" s="3" t="inlineStr">
        <is>
          <t>0.8 mm</t>
        </is>
      </c>
      <c r="J147" s="3" t="inlineStr">
        <is>
          <t>Finish</t>
        </is>
      </c>
      <c r="K147" s="3" t="inlineStr">
        <is>
          <t>Matt</t>
        </is>
      </c>
      <c r="L147" s="3" t="inlineStr">
        <is>
          <t>Color</t>
        </is>
      </c>
      <c r="M147" s="3" t="inlineStr">
        <is>
          <t>Solar White</t>
        </is>
      </c>
      <c r="Q147" s="3" t="inlineStr">
        <is>
          <t>Manufacturer's Warranty</t>
        </is>
      </c>
      <c r="R147" s="3" t="n">
        <v>1103</v>
      </c>
      <c r="Y147" s="3" t="inlineStr">
        <is>
          <t>WM_EDB_E3_1103</t>
        </is>
      </c>
      <c r="Z147" s="3" t="n">
        <v>3926</v>
      </c>
      <c r="AA147" s="3" t="inlineStr">
        <is>
          <t>Mtr</t>
        </is>
      </c>
      <c r="AB147" s="3" t="inlineStr">
        <is>
          <t>Runing</t>
        </is>
      </c>
      <c r="AC147" s="3" t="n">
        <v>50</v>
      </c>
      <c r="AD147" s="3" t="n">
        <v>22.31</v>
      </c>
      <c r="AE147" s="3" t="n">
        <v>1037.5</v>
      </c>
      <c r="AF147" s="4" t="n">
        <v>0.6</v>
      </c>
      <c r="AG147" s="3">
        <f>ROUND(AE147-(AE147*AF147),2)</f>
        <v/>
      </c>
      <c r="AH147" s="4" t="n">
        <v>0.18</v>
      </c>
      <c r="AI147" s="3">
        <f>ROUND(AG147+(AG147*AH147),2)</f>
        <v/>
      </c>
      <c r="AJ147" s="4" t="n">
        <v>0.2</v>
      </c>
      <c r="AK147" s="3">
        <f>ROUND(AI147*AJ147,2)</f>
        <v/>
      </c>
      <c r="AL147" s="3">
        <f>AI147+AK147</f>
        <v/>
      </c>
      <c r="AM147" s="3">
        <f>AE147-AL147</f>
        <v/>
      </c>
      <c r="AN147" s="4">
        <f>AM147/AE147</f>
        <v/>
      </c>
    </row>
    <row r="148" ht="15.75" customHeight="1">
      <c r="A148" s="3" t="inlineStr">
        <is>
          <t>PROD_0021</t>
        </is>
      </c>
      <c r="B148" s="3" t="inlineStr">
        <is>
          <t>VAR_19</t>
        </is>
      </c>
      <c r="C148" s="3" t="inlineStr">
        <is>
          <t>Wooden Material</t>
        </is>
      </c>
      <c r="D148" s="3" t="inlineStr">
        <is>
          <t>Edgeband</t>
        </is>
      </c>
      <c r="E148" s="3" t="inlineStr">
        <is>
          <t>E3</t>
        </is>
      </c>
      <c r="F148" s="3" t="inlineStr">
        <is>
          <t>PVC Edge Tape | 22 mm</t>
        </is>
      </c>
      <c r="H148" s="3" t="inlineStr">
        <is>
          <t>Thickness</t>
        </is>
      </c>
      <c r="I148" s="3" t="inlineStr">
        <is>
          <t>2 mm</t>
        </is>
      </c>
      <c r="J148" s="3" t="inlineStr">
        <is>
          <t>Finish</t>
        </is>
      </c>
      <c r="K148" s="3" t="inlineStr">
        <is>
          <t>Matt</t>
        </is>
      </c>
      <c r="L148" s="3" t="inlineStr">
        <is>
          <t>Color</t>
        </is>
      </c>
      <c r="M148" s="3" t="inlineStr">
        <is>
          <t>Super White</t>
        </is>
      </c>
      <c r="Q148" s="3" t="inlineStr">
        <is>
          <t>Manufacturer's Warranty</t>
        </is>
      </c>
      <c r="R148" s="3" t="n">
        <v>1001</v>
      </c>
      <c r="Y148" s="3" t="inlineStr">
        <is>
          <t>WM_EDB_E3_1001</t>
        </is>
      </c>
      <c r="Z148" s="3" t="n">
        <v>3926</v>
      </c>
      <c r="AA148" s="3" t="inlineStr">
        <is>
          <t>Mtr</t>
        </is>
      </c>
      <c r="AB148" s="3" t="inlineStr">
        <is>
          <t>Runing</t>
        </is>
      </c>
      <c r="AC148" s="3" t="n">
        <v>50</v>
      </c>
      <c r="AD148" s="5" t="n">
        <v>50.7</v>
      </c>
      <c r="AE148" s="3" t="n">
        <v>2452.5</v>
      </c>
      <c r="AF148" s="4" t="n">
        <v>0.6</v>
      </c>
      <c r="AG148" s="3">
        <f>ROUND(AE148-(AE148*AF148),2)</f>
        <v/>
      </c>
      <c r="AH148" s="4" t="n">
        <v>0.18</v>
      </c>
      <c r="AI148" s="3">
        <f>ROUND(AG148+(AG148*AH148),2)</f>
        <v/>
      </c>
      <c r="AJ148" s="4" t="n">
        <v>0.2</v>
      </c>
      <c r="AK148" s="3">
        <f>ROUND(AI148*AJ148,2)</f>
        <v/>
      </c>
      <c r="AL148" s="3">
        <f>AI148+AK148</f>
        <v/>
      </c>
      <c r="AM148" s="3">
        <f>AE148-AL148</f>
        <v/>
      </c>
      <c r="AN148" s="4">
        <f>AM148/AE148</f>
        <v/>
      </c>
    </row>
    <row r="149" ht="15.75" customHeight="1">
      <c r="A149" s="3" t="inlineStr">
        <is>
          <t>PROD_0021</t>
        </is>
      </c>
      <c r="B149" s="3" t="inlineStr">
        <is>
          <t>VAR_20</t>
        </is>
      </c>
      <c r="C149" s="3" t="inlineStr">
        <is>
          <t>Wooden Material</t>
        </is>
      </c>
      <c r="D149" s="3" t="inlineStr">
        <is>
          <t>Edgeband</t>
        </is>
      </c>
      <c r="E149" s="3" t="inlineStr">
        <is>
          <t>E3</t>
        </is>
      </c>
      <c r="F149" s="3" t="inlineStr">
        <is>
          <t>PVC Edge Tape | 22 mm</t>
        </is>
      </c>
      <c r="H149" s="3" t="inlineStr">
        <is>
          <t>Thickness</t>
        </is>
      </c>
      <c r="I149" s="3" t="inlineStr">
        <is>
          <t>2 mm</t>
        </is>
      </c>
      <c r="J149" s="3" t="inlineStr">
        <is>
          <t>Finish</t>
        </is>
      </c>
      <c r="K149" s="3" t="inlineStr">
        <is>
          <t>Matt</t>
        </is>
      </c>
      <c r="L149" s="3" t="inlineStr">
        <is>
          <t>Color</t>
        </is>
      </c>
      <c r="M149" s="3" t="inlineStr">
        <is>
          <t>White Lily</t>
        </is>
      </c>
      <c r="Q149" s="3" t="inlineStr">
        <is>
          <t>Manufacturer's Warranty</t>
        </is>
      </c>
      <c r="R149" s="3" t="n">
        <v>1101</v>
      </c>
      <c r="Y149" s="3" t="inlineStr">
        <is>
          <t>WM_EDB_E3_1101</t>
        </is>
      </c>
      <c r="Z149" s="3" t="n">
        <v>3926</v>
      </c>
      <c r="AA149" s="3" t="inlineStr">
        <is>
          <t>Mtr</t>
        </is>
      </c>
      <c r="AB149" s="3" t="inlineStr">
        <is>
          <t>Runing</t>
        </is>
      </c>
      <c r="AC149" s="3" t="n">
        <v>50</v>
      </c>
      <c r="AD149" s="5" t="n">
        <v>50.7</v>
      </c>
      <c r="AE149" s="3" t="n">
        <v>2452.5</v>
      </c>
      <c r="AF149" s="4" t="n">
        <v>0.6</v>
      </c>
      <c r="AG149" s="3">
        <f>ROUND(AE149-(AE149*AF149),2)</f>
        <v/>
      </c>
      <c r="AH149" s="4" t="n">
        <v>0.18</v>
      </c>
      <c r="AI149" s="3">
        <f>ROUND(AG149+(AG149*AH149),2)</f>
        <v/>
      </c>
      <c r="AJ149" s="4" t="n">
        <v>0.2</v>
      </c>
      <c r="AK149" s="3">
        <f>ROUND(AI149*AJ149,2)</f>
        <v/>
      </c>
      <c r="AL149" s="3">
        <f>AI149+AK149</f>
        <v/>
      </c>
      <c r="AM149" s="3">
        <f>AE149-AL149</f>
        <v/>
      </c>
      <c r="AN149" s="4">
        <f>AM149/AE149</f>
        <v/>
      </c>
    </row>
    <row r="150" ht="15.75" customHeight="1">
      <c r="A150" s="3" t="inlineStr">
        <is>
          <t>PROD_0021</t>
        </is>
      </c>
      <c r="B150" s="3" t="inlineStr">
        <is>
          <t>VAR_21</t>
        </is>
      </c>
      <c r="C150" s="3" t="inlineStr">
        <is>
          <t>Wooden Material</t>
        </is>
      </c>
      <c r="D150" s="3" t="inlineStr">
        <is>
          <t>Edgeband</t>
        </is>
      </c>
      <c r="E150" s="3" t="inlineStr">
        <is>
          <t>E3</t>
        </is>
      </c>
      <c r="F150" s="3" t="inlineStr">
        <is>
          <t>PVC Edge Tape | 22 mm</t>
        </is>
      </c>
      <c r="H150" s="3" t="inlineStr">
        <is>
          <t>Thickness</t>
        </is>
      </c>
      <c r="I150" s="3" t="inlineStr">
        <is>
          <t>2 mm</t>
        </is>
      </c>
      <c r="J150" s="3" t="inlineStr">
        <is>
          <t>Finish</t>
        </is>
      </c>
      <c r="K150" s="3" t="inlineStr">
        <is>
          <t>Matt</t>
        </is>
      </c>
      <c r="L150" s="3" t="inlineStr">
        <is>
          <t>Color</t>
        </is>
      </c>
      <c r="M150" s="3" t="inlineStr">
        <is>
          <t>Frosty White</t>
        </is>
      </c>
      <c r="Q150" s="3" t="inlineStr">
        <is>
          <t>Manufacturer's Warranty</t>
        </is>
      </c>
      <c r="R150" s="3" t="n">
        <v>1002</v>
      </c>
      <c r="Y150" s="3" t="inlineStr">
        <is>
          <t>WM_EDB_E3_1002</t>
        </is>
      </c>
      <c r="Z150" s="3" t="n">
        <v>3926</v>
      </c>
      <c r="AA150" s="3" t="inlineStr">
        <is>
          <t>Mtr</t>
        </is>
      </c>
      <c r="AB150" s="3" t="inlineStr">
        <is>
          <t>Runing</t>
        </is>
      </c>
      <c r="AC150" s="3" t="n">
        <v>50</v>
      </c>
      <c r="AD150" s="5" t="n">
        <v>50.7</v>
      </c>
      <c r="AE150" s="3" t="n">
        <v>2452.5</v>
      </c>
      <c r="AF150" s="4" t="n">
        <v>0.6</v>
      </c>
      <c r="AG150" s="3">
        <f>ROUND(AE150-(AE150*AF150),2)</f>
        <v/>
      </c>
      <c r="AH150" s="4" t="n">
        <v>0.18</v>
      </c>
      <c r="AI150" s="3">
        <f>ROUND(AG150+(AG150*AH150),2)</f>
        <v/>
      </c>
      <c r="AJ150" s="4" t="n">
        <v>0.2</v>
      </c>
      <c r="AK150" s="3">
        <f>ROUND(AI150*AJ150,2)</f>
        <v/>
      </c>
      <c r="AL150" s="3">
        <f>AI150+AK150</f>
        <v/>
      </c>
      <c r="AM150" s="3">
        <f>AE150-AL150</f>
        <v/>
      </c>
      <c r="AN150" s="4">
        <f>AM150/AE150</f>
        <v/>
      </c>
    </row>
    <row r="151" ht="15.75" customHeight="1">
      <c r="A151" s="3" t="inlineStr">
        <is>
          <t>PROD_0021</t>
        </is>
      </c>
      <c r="B151" s="3" t="inlineStr">
        <is>
          <t>VAR_22</t>
        </is>
      </c>
      <c r="C151" s="3" t="inlineStr">
        <is>
          <t>Wooden Material</t>
        </is>
      </c>
      <c r="D151" s="3" t="inlineStr">
        <is>
          <t>Edgeband</t>
        </is>
      </c>
      <c r="E151" s="3" t="inlineStr">
        <is>
          <t>E3</t>
        </is>
      </c>
      <c r="F151" s="3" t="inlineStr">
        <is>
          <t>PVC Edge Tape | 22 mm</t>
        </is>
      </c>
      <c r="H151" s="3" t="inlineStr">
        <is>
          <t>Thickness</t>
        </is>
      </c>
      <c r="I151" s="3" t="inlineStr">
        <is>
          <t>2 mm</t>
        </is>
      </c>
      <c r="J151" s="3" t="inlineStr">
        <is>
          <t>Finish</t>
        </is>
      </c>
      <c r="K151" s="3" t="inlineStr">
        <is>
          <t>Matt</t>
        </is>
      </c>
      <c r="L151" s="3" t="inlineStr">
        <is>
          <t>Color</t>
        </is>
      </c>
      <c r="M151" s="3" t="inlineStr">
        <is>
          <t>L.White</t>
        </is>
      </c>
      <c r="Q151" s="3" t="inlineStr">
        <is>
          <t>Manufacturer's Warranty</t>
        </is>
      </c>
      <c r="R151" s="3" t="n">
        <v>1102</v>
      </c>
      <c r="Y151" s="3" t="inlineStr">
        <is>
          <t>WM_EDB_E3_1102</t>
        </is>
      </c>
      <c r="Z151" s="3" t="n">
        <v>3926</v>
      </c>
      <c r="AA151" s="3" t="inlineStr">
        <is>
          <t>Mtr</t>
        </is>
      </c>
      <c r="AB151" s="3" t="inlineStr">
        <is>
          <t>Runing</t>
        </is>
      </c>
      <c r="AC151" s="3" t="n">
        <v>50</v>
      </c>
      <c r="AD151" s="5" t="n">
        <v>50.7</v>
      </c>
      <c r="AE151" s="3" t="n">
        <v>2452.5</v>
      </c>
      <c r="AF151" s="4" t="n">
        <v>0.6</v>
      </c>
      <c r="AG151" s="3">
        <f>ROUND(AE151-(AE151*AF151),2)</f>
        <v/>
      </c>
      <c r="AH151" s="4" t="n">
        <v>0.18</v>
      </c>
      <c r="AI151" s="3">
        <f>ROUND(AG151+(AG151*AH151),2)</f>
        <v/>
      </c>
      <c r="AJ151" s="4" t="n">
        <v>0.2</v>
      </c>
      <c r="AK151" s="3">
        <f>ROUND(AI151*AJ151,2)</f>
        <v/>
      </c>
      <c r="AL151" s="3">
        <f>AI151+AK151</f>
        <v/>
      </c>
      <c r="AM151" s="3">
        <f>AE151-AL151</f>
        <v/>
      </c>
      <c r="AN151" s="4">
        <f>AM151/AE151</f>
        <v/>
      </c>
    </row>
    <row r="152" ht="15.75" customHeight="1">
      <c r="A152" s="3" t="inlineStr">
        <is>
          <t>PROD_0021</t>
        </is>
      </c>
      <c r="B152" s="3" t="inlineStr">
        <is>
          <t>VAR_23</t>
        </is>
      </c>
      <c r="C152" s="3" t="inlineStr">
        <is>
          <t>Wooden Material</t>
        </is>
      </c>
      <c r="D152" s="3" t="inlineStr">
        <is>
          <t>Edgeband</t>
        </is>
      </c>
      <c r="E152" s="3" t="inlineStr">
        <is>
          <t>E3</t>
        </is>
      </c>
      <c r="F152" s="3" t="inlineStr">
        <is>
          <t>PVC Edge Tape | 22 mm</t>
        </is>
      </c>
      <c r="H152" s="3" t="inlineStr">
        <is>
          <t>Thickness</t>
        </is>
      </c>
      <c r="I152" s="3" t="inlineStr">
        <is>
          <t>2 mm</t>
        </is>
      </c>
      <c r="J152" s="3" t="inlineStr">
        <is>
          <t>Finish</t>
        </is>
      </c>
      <c r="K152" s="3" t="inlineStr">
        <is>
          <t>Matt</t>
        </is>
      </c>
      <c r="L152" s="3" t="inlineStr">
        <is>
          <t>Color</t>
        </is>
      </c>
      <c r="M152" s="3" t="inlineStr">
        <is>
          <t>Ivory</t>
        </is>
      </c>
      <c r="Q152" s="3" t="inlineStr">
        <is>
          <t>Manufacturer's Warranty</t>
        </is>
      </c>
      <c r="R152" s="3" t="n">
        <v>1003</v>
      </c>
      <c r="Y152" s="3" t="inlineStr">
        <is>
          <t>WM_EDB_E3_1003</t>
        </is>
      </c>
      <c r="Z152" s="3" t="n">
        <v>3926</v>
      </c>
      <c r="AA152" s="3" t="inlineStr">
        <is>
          <t>Mtr</t>
        </is>
      </c>
      <c r="AB152" s="3" t="inlineStr">
        <is>
          <t>Runing</t>
        </is>
      </c>
      <c r="AC152" s="3" t="n">
        <v>50</v>
      </c>
      <c r="AD152" s="5" t="n">
        <v>50.7</v>
      </c>
      <c r="AE152" s="3" t="n">
        <v>2452.5</v>
      </c>
      <c r="AF152" s="4" t="n">
        <v>0.6</v>
      </c>
      <c r="AG152" s="3">
        <f>ROUND(AE152-(AE152*AF152),2)</f>
        <v/>
      </c>
      <c r="AH152" s="4" t="n">
        <v>0.18</v>
      </c>
      <c r="AI152" s="3">
        <f>ROUND(AG152+(AG152*AH152),2)</f>
        <v/>
      </c>
      <c r="AJ152" s="4" t="n">
        <v>0.2</v>
      </c>
      <c r="AK152" s="3">
        <f>ROUND(AI152*AJ152,2)</f>
        <v/>
      </c>
      <c r="AL152" s="3">
        <f>AI152+AK152</f>
        <v/>
      </c>
      <c r="AM152" s="3">
        <f>AE152-AL152</f>
        <v/>
      </c>
      <c r="AN152" s="4">
        <f>AM152/AE152</f>
        <v/>
      </c>
    </row>
    <row r="153" ht="15.75" customHeight="1">
      <c r="A153" s="3" t="inlineStr">
        <is>
          <t>PROD_0021</t>
        </is>
      </c>
      <c r="B153" s="3" t="inlineStr">
        <is>
          <t>VAR_24</t>
        </is>
      </c>
      <c r="C153" s="3" t="inlineStr">
        <is>
          <t>Wooden Material</t>
        </is>
      </c>
      <c r="D153" s="3" t="inlineStr">
        <is>
          <t>Edgeband</t>
        </is>
      </c>
      <c r="E153" s="3" t="inlineStr">
        <is>
          <t>E3</t>
        </is>
      </c>
      <c r="F153" s="3" t="inlineStr">
        <is>
          <t>PVC Edge Tape | 22 mm</t>
        </is>
      </c>
      <c r="H153" s="3" t="inlineStr">
        <is>
          <t>Thickness</t>
        </is>
      </c>
      <c r="I153" s="3" t="inlineStr">
        <is>
          <t>2 mm</t>
        </is>
      </c>
      <c r="J153" s="3" t="inlineStr">
        <is>
          <t>Finish</t>
        </is>
      </c>
      <c r="K153" s="3" t="inlineStr">
        <is>
          <t>Matt</t>
        </is>
      </c>
      <c r="L153" s="3" t="inlineStr">
        <is>
          <t>Color</t>
        </is>
      </c>
      <c r="M153" s="3" t="inlineStr">
        <is>
          <t>Solar White</t>
        </is>
      </c>
      <c r="Q153" s="3" t="inlineStr">
        <is>
          <t>Manufacturer's Warranty</t>
        </is>
      </c>
      <c r="R153" s="3" t="n">
        <v>1103</v>
      </c>
      <c r="Y153" s="3" t="inlineStr">
        <is>
          <t>WM_EDB_E3_1103</t>
        </is>
      </c>
      <c r="Z153" s="3" t="n">
        <v>3926</v>
      </c>
      <c r="AA153" s="3" t="inlineStr">
        <is>
          <t>Mtr</t>
        </is>
      </c>
      <c r="AB153" s="3" t="inlineStr">
        <is>
          <t>Runing</t>
        </is>
      </c>
      <c r="AC153" s="3" t="n">
        <v>50</v>
      </c>
      <c r="AD153" s="5" t="n">
        <v>50.7</v>
      </c>
      <c r="AE153" s="3" t="n">
        <v>2452.5</v>
      </c>
      <c r="AF153" s="4" t="n">
        <v>0.6</v>
      </c>
      <c r="AG153" s="3">
        <f>ROUND(AE153-(AE153*AF153),2)</f>
        <v/>
      </c>
      <c r="AH153" s="4" t="n">
        <v>0.18</v>
      </c>
      <c r="AI153" s="3">
        <f>ROUND(AG153+(AG153*AH153),2)</f>
        <v/>
      </c>
      <c r="AJ153" s="4" t="n">
        <v>0.2</v>
      </c>
      <c r="AK153" s="3">
        <f>ROUND(AI153*AJ153,2)</f>
        <v/>
      </c>
      <c r="AL153" s="3">
        <f>AI153+AK153</f>
        <v/>
      </c>
      <c r="AM153" s="3">
        <f>AE153-AL153</f>
        <v/>
      </c>
      <c r="AN153" s="4">
        <f>AM153/AE153</f>
        <v/>
      </c>
    </row>
    <row r="154" ht="15.75" customHeight="1">
      <c r="A154" s="6" t="inlineStr">
        <is>
          <t>PROD_0022</t>
        </is>
      </c>
      <c r="B154" s="6" t="inlineStr">
        <is>
          <t>VAR_1</t>
        </is>
      </c>
      <c r="C154" s="6" t="inlineStr">
        <is>
          <t>Wooden Material</t>
        </is>
      </c>
      <c r="D154" s="6" t="inlineStr">
        <is>
          <t>Adhesive</t>
        </is>
      </c>
      <c r="E154" s="6" t="inlineStr">
        <is>
          <t>Fevicol</t>
        </is>
      </c>
      <c r="F154" s="6" t="inlineStr">
        <is>
          <t>Nail Free Ultra</t>
        </is>
      </c>
      <c r="G154" s="6" t="n"/>
      <c r="H154" s="6" t="inlineStr">
        <is>
          <t>Weight</t>
        </is>
      </c>
      <c r="I154" s="6" t="inlineStr">
        <is>
          <t>435 gm</t>
        </is>
      </c>
      <c r="J154" s="6" t="n"/>
      <c r="K154" s="6" t="n"/>
      <c r="L154" s="6" t="n"/>
      <c r="M154" s="6" t="n"/>
      <c r="N154" s="6" t="n"/>
      <c r="O154" s="6" t="n"/>
      <c r="P154" s="6" t="n"/>
      <c r="Q154" s="6" t="inlineStr">
        <is>
          <t>Manufacturer's Warranty</t>
        </is>
      </c>
      <c r="R154" s="6" t="n"/>
      <c r="S154" s="6" t="n"/>
      <c r="T154" s="6" t="n"/>
      <c r="U154" s="6" t="n"/>
      <c r="V154" s="6" t="n"/>
      <c r="W154" s="6" t="inlineStr">
        <is>
          <t>Applicaton</t>
        </is>
      </c>
      <c r="X154" s="6" t="inlineStr">
        <is>
          <t>Furniture</t>
        </is>
      </c>
      <c r="Y154" s="6" t="inlineStr">
        <is>
          <t>FC_NAIL_FREE_ULTRA</t>
        </is>
      </c>
      <c r="Z154" s="6" t="n">
        <v>32141000</v>
      </c>
      <c r="AA154" s="6" t="n"/>
      <c r="AB154" s="6" t="n"/>
      <c r="AC154" s="6" t="n"/>
      <c r="AD154" s="6" t="n"/>
      <c r="AE154" s="6" t="n">
        <v>700</v>
      </c>
      <c r="AF154" s="7" t="n">
        <v>0.45</v>
      </c>
      <c r="AG154" s="6">
        <f>ROUND(AE154-(AE154*AF154),2)</f>
        <v/>
      </c>
      <c r="AH154" s="7" t="n">
        <v>0.18</v>
      </c>
      <c r="AI154" s="6">
        <f>ROUND(AG154+(AG154*AH154),2)</f>
        <v/>
      </c>
      <c r="AJ154" s="7" t="n">
        <v>0.2</v>
      </c>
      <c r="AK154" s="6">
        <f>ROUND(AI154*AJ154,2)</f>
        <v/>
      </c>
      <c r="AL154" s="6">
        <f>AI154+AK154</f>
        <v/>
      </c>
      <c r="AM154" s="6">
        <f>AE154-AL154</f>
        <v/>
      </c>
      <c r="AN154" s="7">
        <f>AM154/AE154</f>
        <v/>
      </c>
      <c r="AO154" s="6" t="inlineStr">
        <is>
          <t>60 mins</t>
        </is>
      </c>
      <c r="AP154" s="6" t="n"/>
      <c r="AQ154" s="6" t="inlineStr">
        <is>
          <t>Weight</t>
        </is>
      </c>
      <c r="AR154" s="6" t="n"/>
      <c r="AS154" s="6" t="inlineStr">
        <is>
          <t>Fevicol Nail Free Silicone sealant is formulated to provide strong and reliable adhesion to a wide variety of surfaces, including glass, ceramics, metals, wood, concrete, and plastics. It ensures a long-lasting bond, reducing the need for frequent repairs or reapplications.</t>
        </is>
      </c>
    </row>
    <row r="155" ht="15.75" customHeight="1">
      <c r="A155" s="3" t="inlineStr">
        <is>
          <t>PROD_0023</t>
        </is>
      </c>
      <c r="B155" s="3" t="inlineStr">
        <is>
          <t>VAR_1</t>
        </is>
      </c>
      <c r="C155" s="3" t="inlineStr">
        <is>
          <t>Wooden Material</t>
        </is>
      </c>
      <c r="D155" s="3" t="inlineStr">
        <is>
          <t>Adhesive</t>
        </is>
      </c>
      <c r="E155" s="3" t="inlineStr">
        <is>
          <t>Fevicol</t>
        </is>
      </c>
      <c r="F155" s="3" t="inlineStr">
        <is>
          <t>All Rounder SH</t>
        </is>
      </c>
      <c r="H155" s="3" t="inlineStr">
        <is>
          <t>Weight</t>
        </is>
      </c>
      <c r="I155" s="3" t="inlineStr">
        <is>
          <t>125 gm</t>
        </is>
      </c>
      <c r="Q155" s="3" t="inlineStr">
        <is>
          <t>Manufacturer's Warranty</t>
        </is>
      </c>
      <c r="W155" s="3" t="inlineStr">
        <is>
          <t>Application</t>
        </is>
      </c>
      <c r="X155" s="3" t="inlineStr">
        <is>
          <t>Furniture</t>
        </is>
      </c>
      <c r="Y155" s="3" t="inlineStr">
        <is>
          <t>FC_All_Rounder_SH_125 gm</t>
        </is>
      </c>
      <c r="Z155" s="3" t="n">
        <v>35069999</v>
      </c>
      <c r="AE155" s="3" t="n">
        <v>0</v>
      </c>
      <c r="AF155" s="4" t="n">
        <v>0</v>
      </c>
      <c r="AG155" s="3" t="n">
        <v>34.16</v>
      </c>
      <c r="AH155" s="4" t="n">
        <v>0.18</v>
      </c>
      <c r="AI155" s="3">
        <f>ROUND(AG155+(AG155*AH155),2)</f>
        <v/>
      </c>
      <c r="AJ155" s="4" t="n">
        <v>0.2</v>
      </c>
      <c r="AK155" s="3">
        <f>ROUND(AI155*AJ155,2)</f>
        <v/>
      </c>
      <c r="AL155" s="3">
        <f>AI155+AK155</f>
        <v/>
      </c>
      <c r="AM155" s="3">
        <f>AE155-AL155</f>
        <v/>
      </c>
      <c r="AN155" s="4">
        <f>AM155/AE155</f>
        <v/>
      </c>
      <c r="AO155" s="3" t="inlineStr">
        <is>
          <t>60 mins</t>
        </is>
      </c>
      <c r="AQ155" s="3" t="inlineStr">
        <is>
          <t>Weight</t>
        </is>
      </c>
      <c r="AS155" s="3" t="inlineStr">
        <is>
          <t>Fevicol SH is a premium grade synthetic resin-based adhesive suitable for woodworking as well as handicraft based on wood and paper products and other similar joinery applications.</t>
        </is>
      </c>
    </row>
    <row r="156" ht="15.75" customHeight="1">
      <c r="A156" s="3" t="inlineStr">
        <is>
          <t>PROD_0023</t>
        </is>
      </c>
      <c r="B156" s="3" t="inlineStr">
        <is>
          <t>VAR_2</t>
        </is>
      </c>
      <c r="C156" s="3" t="inlineStr">
        <is>
          <t>Wooden Material</t>
        </is>
      </c>
      <c r="D156" s="3" t="inlineStr">
        <is>
          <t>Adhesive</t>
        </is>
      </c>
      <c r="E156" s="3" t="inlineStr">
        <is>
          <t>Fevicol</t>
        </is>
      </c>
      <c r="F156" s="3" t="inlineStr">
        <is>
          <t>All Rounder SH</t>
        </is>
      </c>
      <c r="H156" s="3" t="inlineStr">
        <is>
          <t>Weight</t>
        </is>
      </c>
      <c r="I156" s="3" t="inlineStr">
        <is>
          <t>250 gm</t>
        </is>
      </c>
      <c r="Q156" s="3" t="inlineStr">
        <is>
          <t>Manufacturer's Warranty</t>
        </is>
      </c>
      <c r="X156" s="3" t="inlineStr">
        <is>
          <t>Doors</t>
        </is>
      </c>
      <c r="Y156" s="3" t="inlineStr">
        <is>
          <t>FC_All_Rounder_SH_250gm</t>
        </is>
      </c>
      <c r="Z156" s="3" t="n">
        <v>35069999</v>
      </c>
      <c r="AE156" s="3" t="n">
        <v>0</v>
      </c>
      <c r="AF156" s="4" t="n">
        <v>0</v>
      </c>
      <c r="AG156" s="3" t="n">
        <v>64.27</v>
      </c>
      <c r="AH156" s="4" t="n">
        <v>0.18</v>
      </c>
      <c r="AI156" s="3">
        <f>ROUND(AG156+(AG156*AH156),2)</f>
        <v/>
      </c>
      <c r="AJ156" s="4" t="n">
        <v>0.2</v>
      </c>
      <c r="AK156" s="3">
        <f>ROUND(AI156*AJ156,2)</f>
        <v/>
      </c>
      <c r="AL156" s="3">
        <f>AI156+AK156</f>
        <v/>
      </c>
      <c r="AM156" s="3">
        <f>AE156-AL156</f>
        <v/>
      </c>
      <c r="AN156" s="4">
        <f>AM156/AE156</f>
        <v/>
      </c>
      <c r="AO156" s="3" t="inlineStr">
        <is>
          <t>60 mins</t>
        </is>
      </c>
      <c r="AQ156" s="3" t="inlineStr">
        <is>
          <t>Weight</t>
        </is>
      </c>
      <c r="AS156" s="3" t="inlineStr">
        <is>
          <t>Fevicol SH is a premium grade synthetic resin-based adhesive suitable for woodworking as well as handicraft based on wood and paper products and other similar joinery applications.</t>
        </is>
      </c>
    </row>
    <row r="157" ht="15.75" customHeight="1">
      <c r="A157" s="3" t="inlineStr">
        <is>
          <t>PROD_0023</t>
        </is>
      </c>
      <c r="B157" s="3" t="inlineStr">
        <is>
          <t>VAR_3</t>
        </is>
      </c>
      <c r="C157" s="3" t="inlineStr">
        <is>
          <t>Wooden Material</t>
        </is>
      </c>
      <c r="D157" s="3" t="inlineStr">
        <is>
          <t>Adhesive</t>
        </is>
      </c>
      <c r="E157" s="3" t="inlineStr">
        <is>
          <t>Fevicol</t>
        </is>
      </c>
      <c r="F157" s="3" t="inlineStr">
        <is>
          <t>All Rounder SH</t>
        </is>
      </c>
      <c r="H157" s="3" t="inlineStr">
        <is>
          <t>Weight</t>
        </is>
      </c>
      <c r="I157" s="3" t="inlineStr">
        <is>
          <t>500 gm</t>
        </is>
      </c>
      <c r="Q157" s="3" t="inlineStr">
        <is>
          <t>Manufacturer's Warranty</t>
        </is>
      </c>
      <c r="X157" s="3" t="inlineStr">
        <is>
          <t>Cabinets</t>
        </is>
      </c>
      <c r="Y157" s="3" t="inlineStr">
        <is>
          <t>FC_All_Rounder_SH_500gm</t>
        </is>
      </c>
      <c r="Z157" s="3" t="n">
        <v>35069999</v>
      </c>
      <c r="AE157" s="3" t="n">
        <v>0</v>
      </c>
      <c r="AF157" s="4" t="n">
        <v>0</v>
      </c>
      <c r="AG157" s="3" t="n">
        <v>113.9</v>
      </c>
      <c r="AH157" s="4" t="n">
        <v>0.18</v>
      </c>
      <c r="AI157" s="3">
        <f>ROUND(AG157+(AG157*AH157),2)</f>
        <v/>
      </c>
      <c r="AJ157" s="4" t="n">
        <v>0.2</v>
      </c>
      <c r="AK157" s="3">
        <f>ROUND(AI157*AJ157,2)</f>
        <v/>
      </c>
      <c r="AL157" s="3">
        <f>AI157+AK157</f>
        <v/>
      </c>
      <c r="AM157" s="3">
        <f>AE157-AL157</f>
        <v/>
      </c>
      <c r="AN157" s="4">
        <f>AM157/AE157</f>
        <v/>
      </c>
      <c r="AO157" s="3" t="inlineStr">
        <is>
          <t>60 mins</t>
        </is>
      </c>
      <c r="AQ157" s="3" t="inlineStr">
        <is>
          <t>Weight</t>
        </is>
      </c>
      <c r="AS157" s="3" t="inlineStr">
        <is>
          <t>Fevicol SH is a premium grade synthetic resin-based adhesive suitable for woodworking as well as handicraft based on wood and paper products and other similar joinery applications.</t>
        </is>
      </c>
    </row>
    <row r="158" ht="15.75" customHeight="1">
      <c r="A158" s="3" t="inlineStr">
        <is>
          <t>PROD_0023</t>
        </is>
      </c>
      <c r="B158" s="3" t="inlineStr">
        <is>
          <t>VAR_4</t>
        </is>
      </c>
      <c r="C158" s="3" t="inlineStr">
        <is>
          <t>Wooden Material</t>
        </is>
      </c>
      <c r="D158" s="3" t="inlineStr">
        <is>
          <t>Adhesive</t>
        </is>
      </c>
      <c r="E158" s="3" t="inlineStr">
        <is>
          <t>Fevicol</t>
        </is>
      </c>
      <c r="F158" s="3" t="inlineStr">
        <is>
          <t>All Rounder SH</t>
        </is>
      </c>
      <c r="H158" s="3" t="inlineStr">
        <is>
          <t>Weight</t>
        </is>
      </c>
      <c r="I158" s="3" t="inlineStr">
        <is>
          <t>1kg</t>
        </is>
      </c>
      <c r="Q158" s="3" t="inlineStr">
        <is>
          <t>Manufacturer's Warranty</t>
        </is>
      </c>
      <c r="Y158" s="3" t="inlineStr">
        <is>
          <t xml:space="preserve">FC_All_Rounder_SH_1KG </t>
        </is>
      </c>
      <c r="Z158" s="3" t="n">
        <v>35069999</v>
      </c>
      <c r="AE158" s="3" t="n">
        <v>0</v>
      </c>
      <c r="AF158" s="4" t="n">
        <v>0</v>
      </c>
      <c r="AG158" s="3" t="n">
        <v>210.71</v>
      </c>
      <c r="AH158" s="4" t="n">
        <v>0.18</v>
      </c>
      <c r="AI158" s="3">
        <f>ROUND(AG158+(AG158*AH158),2)</f>
        <v/>
      </c>
      <c r="AJ158" s="4" t="n">
        <v>0.2</v>
      </c>
      <c r="AK158" s="3">
        <f>ROUND(AI158*AJ158,2)</f>
        <v/>
      </c>
      <c r="AL158" s="3">
        <f>AI158+AK158</f>
        <v/>
      </c>
      <c r="AM158" s="3">
        <f>AE158-AL158</f>
        <v/>
      </c>
      <c r="AN158" s="4">
        <f>AM158/AE158</f>
        <v/>
      </c>
      <c r="AO158" s="3" t="inlineStr">
        <is>
          <t>60 mins</t>
        </is>
      </c>
      <c r="AQ158" s="3" t="inlineStr">
        <is>
          <t>Weight</t>
        </is>
      </c>
      <c r="AS158" s="3" t="inlineStr">
        <is>
          <t>Fevicol SH is a premium grade synthetic resin-based adhesive suitable for woodworking as well as handicraft based on wood and paper products and other similar joinery applications.</t>
        </is>
      </c>
    </row>
    <row r="159" ht="15.75" customHeight="1">
      <c r="A159" s="3" t="inlineStr">
        <is>
          <t>PROD_0023</t>
        </is>
      </c>
      <c r="B159" s="3" t="inlineStr">
        <is>
          <t>VAR_5</t>
        </is>
      </c>
      <c r="C159" s="3" t="inlineStr">
        <is>
          <t>Wooden Material</t>
        </is>
      </c>
      <c r="D159" s="3" t="inlineStr">
        <is>
          <t>Adhesive</t>
        </is>
      </c>
      <c r="E159" s="3" t="inlineStr">
        <is>
          <t>Fevicol</t>
        </is>
      </c>
      <c r="F159" s="3" t="inlineStr">
        <is>
          <t>All Rounder SH</t>
        </is>
      </c>
      <c r="H159" s="3" t="inlineStr">
        <is>
          <t>Weight</t>
        </is>
      </c>
      <c r="I159" s="3" t="inlineStr">
        <is>
          <t>2kg</t>
        </is>
      </c>
      <c r="Q159" s="3" t="inlineStr">
        <is>
          <t>Manufacturer's Warranty</t>
        </is>
      </c>
      <c r="Y159" s="3" t="inlineStr">
        <is>
          <t>FC_All_Rounder_SH_2KG</t>
        </is>
      </c>
      <c r="Z159" s="3" t="n">
        <v>35069999</v>
      </c>
      <c r="AE159" s="3" t="n">
        <v>0</v>
      </c>
      <c r="AF159" s="4" t="n">
        <v>0</v>
      </c>
      <c r="AG159" s="3" t="n">
        <v>400.27</v>
      </c>
      <c r="AH159" s="4" t="n">
        <v>0.18</v>
      </c>
      <c r="AI159" s="3">
        <f>ROUND(AG159+(AG159*AH159),2)</f>
        <v/>
      </c>
      <c r="AJ159" s="4" t="n">
        <v>0.2</v>
      </c>
      <c r="AK159" s="3">
        <f>ROUND(AI159*AJ159,2)</f>
        <v/>
      </c>
      <c r="AL159" s="3">
        <f>AI159+AK159</f>
        <v/>
      </c>
      <c r="AM159" s="3">
        <f>AE159-AL159</f>
        <v/>
      </c>
      <c r="AN159" s="4">
        <f>AM159/AE159</f>
        <v/>
      </c>
      <c r="AO159" s="3" t="inlineStr">
        <is>
          <t>60 mins</t>
        </is>
      </c>
      <c r="AQ159" s="3" t="inlineStr">
        <is>
          <t>Weight</t>
        </is>
      </c>
      <c r="AS159" s="3" t="inlineStr">
        <is>
          <t>Fevicol SH is a premium grade synthetic resin-based adhesive suitable for woodworking as well as handicraft based on wood and paper products and other similar joinery applications.</t>
        </is>
      </c>
    </row>
    <row r="160" ht="15.75" customHeight="1">
      <c r="A160" s="3" t="inlineStr">
        <is>
          <t>PROD_0023</t>
        </is>
      </c>
      <c r="B160" s="3" t="inlineStr">
        <is>
          <t>VAR_6</t>
        </is>
      </c>
      <c r="C160" s="3" t="inlineStr">
        <is>
          <t>Wooden Material</t>
        </is>
      </c>
      <c r="D160" s="3" t="inlineStr">
        <is>
          <t>Adhesive</t>
        </is>
      </c>
      <c r="E160" s="3" t="inlineStr">
        <is>
          <t>Fevicol</t>
        </is>
      </c>
      <c r="F160" s="3" t="inlineStr">
        <is>
          <t>All Rounder SH</t>
        </is>
      </c>
      <c r="H160" s="3" t="inlineStr">
        <is>
          <t>Weight</t>
        </is>
      </c>
      <c r="I160" s="3" t="inlineStr">
        <is>
          <t>5 kg</t>
        </is>
      </c>
      <c r="Q160" s="3" t="inlineStr">
        <is>
          <t>Manufacturer's Warranty</t>
        </is>
      </c>
      <c r="Y160" s="3" t="inlineStr">
        <is>
          <t>FC_All_Rounder_SH_5KG</t>
        </is>
      </c>
      <c r="Z160" s="3" t="n">
        <v>35069999</v>
      </c>
      <c r="AE160" s="3" t="n">
        <v>0</v>
      </c>
      <c r="AF160" s="4" t="n">
        <v>0</v>
      </c>
      <c r="AG160" s="3" t="n">
        <v>956.75</v>
      </c>
      <c r="AH160" s="4" t="n">
        <v>0.18</v>
      </c>
      <c r="AI160" s="3">
        <f>ROUND(AG160+(AG160*AH160),2)</f>
        <v/>
      </c>
      <c r="AJ160" s="4" t="n">
        <v>0.2</v>
      </c>
      <c r="AK160" s="3">
        <f>ROUND(AI160*AJ160,2)</f>
        <v/>
      </c>
      <c r="AL160" s="3">
        <f>AI160+AK160</f>
        <v/>
      </c>
      <c r="AM160" s="3">
        <f>AE160-AL160</f>
        <v/>
      </c>
      <c r="AN160" s="4">
        <f>AM160/AE160</f>
        <v/>
      </c>
      <c r="AO160" s="3" t="inlineStr">
        <is>
          <t>60 mins</t>
        </is>
      </c>
      <c r="AQ160" s="3" t="inlineStr">
        <is>
          <t>Weight</t>
        </is>
      </c>
      <c r="AS160" s="3" t="inlineStr">
        <is>
          <t>Fevicol SH is a premium grade synthetic resin-based adhesive suitable for woodworking as well as handicraft based on wood and paper products and other similar joinery applications.</t>
        </is>
      </c>
    </row>
    <row r="161" ht="15.75" customHeight="1">
      <c r="A161" s="3" t="inlineStr">
        <is>
          <t>PROD_0023</t>
        </is>
      </c>
      <c r="B161" s="3" t="inlineStr">
        <is>
          <t>VAR_7</t>
        </is>
      </c>
      <c r="C161" s="3" t="inlineStr">
        <is>
          <t>Wooden Material</t>
        </is>
      </c>
      <c r="D161" s="3" t="inlineStr">
        <is>
          <t>Adhesive</t>
        </is>
      </c>
      <c r="E161" s="3" t="inlineStr">
        <is>
          <t>Fevicol</t>
        </is>
      </c>
      <c r="F161" s="3" t="inlineStr">
        <is>
          <t>All Rounder SH</t>
        </is>
      </c>
      <c r="H161" s="3" t="inlineStr">
        <is>
          <t>Weight</t>
        </is>
      </c>
      <c r="I161" s="3" t="inlineStr">
        <is>
          <t>10 kg</t>
        </is>
      </c>
      <c r="Q161" s="3" t="inlineStr">
        <is>
          <t>Manufacturer's Warranty</t>
        </is>
      </c>
      <c r="Y161" s="3" t="inlineStr">
        <is>
          <t>FC_All_Rounder_SH_10KG</t>
        </is>
      </c>
      <c r="Z161" s="3" t="n">
        <v>35069999</v>
      </c>
      <c r="AE161" s="3" t="n">
        <v>0</v>
      </c>
      <c r="AF161" s="4" t="n">
        <v>0</v>
      </c>
      <c r="AG161" s="3" t="n">
        <v>1828.88</v>
      </c>
      <c r="AH161" s="4" t="n">
        <v>0.18</v>
      </c>
      <c r="AI161" s="3">
        <f>ROUND(AG161+(AG161*AH161),2)</f>
        <v/>
      </c>
      <c r="AJ161" s="4" t="n">
        <v>0.2</v>
      </c>
      <c r="AK161" s="3">
        <f>ROUND(AI161*AJ161,2)</f>
        <v/>
      </c>
      <c r="AL161" s="3">
        <f>AI161+AK161</f>
        <v/>
      </c>
      <c r="AM161" s="3">
        <f>AE161-AL161</f>
        <v/>
      </c>
      <c r="AN161" s="4">
        <f>AM161/AE161</f>
        <v/>
      </c>
      <c r="AO161" s="3" t="inlineStr">
        <is>
          <t>60 mins</t>
        </is>
      </c>
      <c r="AQ161" s="3" t="inlineStr">
        <is>
          <t>Weight</t>
        </is>
      </c>
      <c r="AS161" s="3" t="inlineStr">
        <is>
          <t>Fevicol SH is a premium grade synthetic resin-based adhesive suitable for woodworking as well as handicraft based on wood and paper products and other similar joinery applications.</t>
        </is>
      </c>
    </row>
    <row r="162" ht="15.75" customHeight="1">
      <c r="A162" s="3" t="inlineStr">
        <is>
          <t>PROD_0023</t>
        </is>
      </c>
      <c r="B162" s="3" t="inlineStr">
        <is>
          <t>VAR_8</t>
        </is>
      </c>
      <c r="C162" s="3" t="inlineStr">
        <is>
          <t>Wooden Material</t>
        </is>
      </c>
      <c r="D162" s="3" t="inlineStr">
        <is>
          <t>Adhesive</t>
        </is>
      </c>
      <c r="E162" s="3" t="inlineStr">
        <is>
          <t>Fevicol</t>
        </is>
      </c>
      <c r="F162" s="3" t="inlineStr">
        <is>
          <t>All Rounder SH</t>
        </is>
      </c>
      <c r="H162" s="3" t="inlineStr">
        <is>
          <t>Weight</t>
        </is>
      </c>
      <c r="I162" s="3" t="inlineStr">
        <is>
          <t>20 kg</t>
        </is>
      </c>
      <c r="Q162" s="3" t="inlineStr">
        <is>
          <t>Manufacturer's Warranty</t>
        </is>
      </c>
      <c r="Y162" s="3" t="inlineStr">
        <is>
          <t>FC_All_Rounder_SH_20KG</t>
        </is>
      </c>
      <c r="Z162" s="3" t="n">
        <v>35069999</v>
      </c>
      <c r="AE162" s="3" t="n">
        <v>0</v>
      </c>
      <c r="AF162" s="4" t="n">
        <v>0</v>
      </c>
      <c r="AG162" s="3" t="n">
        <v>3453.56</v>
      </c>
      <c r="AH162" s="4" t="n">
        <v>0.18</v>
      </c>
      <c r="AI162" s="3">
        <f>ROUND(AG162+(AG162*AH162),2)</f>
        <v/>
      </c>
      <c r="AJ162" s="4" t="n">
        <v>0.2</v>
      </c>
      <c r="AK162" s="3">
        <f>ROUND(AI162*AJ162,2)</f>
        <v/>
      </c>
      <c r="AL162" s="3">
        <f>AI162+AK162</f>
        <v/>
      </c>
      <c r="AM162" s="3">
        <f>AE162-AL162</f>
        <v/>
      </c>
      <c r="AN162" s="4">
        <f>AM162/AE162</f>
        <v/>
      </c>
      <c r="AO162" s="3" t="inlineStr">
        <is>
          <t>60 mins</t>
        </is>
      </c>
      <c r="AQ162" s="3" t="inlineStr">
        <is>
          <t>Weight</t>
        </is>
      </c>
      <c r="AS162" s="3" t="inlineStr">
        <is>
          <t>Fevicol SH is a premium grade synthetic resin-based adhesive suitable for woodworking as well as handicraft based on wood and paper products and other similar joinery applications.</t>
        </is>
      </c>
    </row>
    <row r="163" ht="15.75" customHeight="1">
      <c r="A163" s="3" t="inlineStr">
        <is>
          <t>PROD_0023</t>
        </is>
      </c>
      <c r="B163" s="3" t="inlineStr">
        <is>
          <t>VAR_9</t>
        </is>
      </c>
      <c r="C163" s="3" t="inlineStr">
        <is>
          <t>Wooden Material</t>
        </is>
      </c>
      <c r="D163" s="3" t="inlineStr">
        <is>
          <t>Adhesive</t>
        </is>
      </c>
      <c r="E163" s="3" t="inlineStr">
        <is>
          <t>Fevicol</t>
        </is>
      </c>
      <c r="F163" s="3" t="inlineStr">
        <is>
          <t>All Rounder SH</t>
        </is>
      </c>
      <c r="H163" s="3" t="inlineStr">
        <is>
          <t>Weight</t>
        </is>
      </c>
      <c r="I163" s="3" t="inlineStr">
        <is>
          <t>30 kg</t>
        </is>
      </c>
      <c r="Q163" s="3" t="inlineStr">
        <is>
          <t>Manufacturer's Warranty</t>
        </is>
      </c>
      <c r="Y163" s="3" t="inlineStr">
        <is>
          <t>FC_All_Rounder_SH_30KG</t>
        </is>
      </c>
      <c r="Z163" s="3" t="n">
        <v>35069999</v>
      </c>
      <c r="AE163" s="3" t="n">
        <v>0</v>
      </c>
      <c r="AF163" s="4" t="n">
        <v>0</v>
      </c>
      <c r="AG163" s="3" t="n">
        <v>4993.63</v>
      </c>
      <c r="AH163" s="4" t="n">
        <v>0.18</v>
      </c>
      <c r="AI163" s="3">
        <f>ROUND(AG163+(AG163*AH163),2)</f>
        <v/>
      </c>
      <c r="AJ163" s="4" t="n">
        <v>0.2</v>
      </c>
      <c r="AK163" s="3">
        <f>ROUND(AI163*AJ163,2)</f>
        <v/>
      </c>
      <c r="AL163" s="3">
        <f>AI163+AK163</f>
        <v/>
      </c>
      <c r="AM163" s="3">
        <f>AE163-AL163</f>
        <v/>
      </c>
      <c r="AN163" s="4">
        <f>AM163/AE163</f>
        <v/>
      </c>
      <c r="AO163" s="3" t="inlineStr">
        <is>
          <t>60 mins</t>
        </is>
      </c>
      <c r="AQ163" s="3" t="inlineStr">
        <is>
          <t>Weight</t>
        </is>
      </c>
      <c r="AS163" s="3" t="inlineStr">
        <is>
          <t>Fevicol SH is a premium grade synthetic resin-based adhesive suitable for woodworking as well as handicraft based on wood and paper products and other similar joinery applications.</t>
        </is>
      </c>
    </row>
    <row r="164" ht="15.75" customHeight="1">
      <c r="A164" s="3" t="inlineStr">
        <is>
          <t>PROD_0023</t>
        </is>
      </c>
      <c r="B164" s="3" t="inlineStr">
        <is>
          <t>VAR_10</t>
        </is>
      </c>
      <c r="C164" s="3" t="inlineStr">
        <is>
          <t>Wooden Material</t>
        </is>
      </c>
      <c r="D164" s="3" t="inlineStr">
        <is>
          <t>Adhesive</t>
        </is>
      </c>
      <c r="E164" s="3" t="inlineStr">
        <is>
          <t>Fevicol</t>
        </is>
      </c>
      <c r="F164" s="3" t="inlineStr">
        <is>
          <t>All Rounder SH</t>
        </is>
      </c>
      <c r="H164" s="3" t="inlineStr">
        <is>
          <t>Weight</t>
        </is>
      </c>
      <c r="I164" s="3" t="inlineStr">
        <is>
          <t>50 kg</t>
        </is>
      </c>
      <c r="Q164" s="3" t="inlineStr">
        <is>
          <t>Manufacturer's Warranty</t>
        </is>
      </c>
      <c r="Y164" s="3" t="inlineStr">
        <is>
          <t>FC_All_Rounder_SH_50KG</t>
        </is>
      </c>
      <c r="Z164" s="3" t="n">
        <v>35069999</v>
      </c>
      <c r="AE164" s="3" t="n">
        <v>0</v>
      </c>
      <c r="AF164" s="4" t="n">
        <v>0</v>
      </c>
      <c r="AG164" s="3" t="n">
        <v>8096.54</v>
      </c>
      <c r="AH164" s="4" t="n">
        <v>0.18</v>
      </c>
      <c r="AI164" s="3">
        <f>ROUND(AG164+(AG164*AH164),2)</f>
        <v/>
      </c>
      <c r="AJ164" s="4" t="n">
        <v>0.2</v>
      </c>
      <c r="AK164" s="3">
        <f>ROUND(AI164*AJ164,2)</f>
        <v/>
      </c>
      <c r="AL164" s="3">
        <f>AI164+AK164</f>
        <v/>
      </c>
      <c r="AM164" s="3">
        <f>AE164-AL164</f>
        <v/>
      </c>
      <c r="AN164" s="4">
        <f>AM164/AE164</f>
        <v/>
      </c>
      <c r="AO164" s="3" t="inlineStr">
        <is>
          <t>60 mins</t>
        </is>
      </c>
      <c r="AQ164" s="3" t="inlineStr">
        <is>
          <t>Weight</t>
        </is>
      </c>
      <c r="AS164" s="3" t="inlineStr">
        <is>
          <t>Fevicol SH is a premium grade synthetic resin-based adhesive suitable for woodworking as well as handicraft based on wood and paper products and other similar joinery applications.</t>
        </is>
      </c>
    </row>
    <row r="165" ht="15.75" customHeight="1">
      <c r="A165" s="3" t="inlineStr">
        <is>
          <t>PROD_0023</t>
        </is>
      </c>
      <c r="B165" s="3" t="inlineStr">
        <is>
          <t>VAR_11</t>
        </is>
      </c>
      <c r="C165" s="3" t="inlineStr">
        <is>
          <t>Wooden Material</t>
        </is>
      </c>
      <c r="D165" s="3" t="inlineStr">
        <is>
          <t>Adhesive</t>
        </is>
      </c>
      <c r="E165" s="3" t="inlineStr">
        <is>
          <t>Fevicol</t>
        </is>
      </c>
      <c r="F165" s="3" t="inlineStr">
        <is>
          <t>All Rounder SH</t>
        </is>
      </c>
      <c r="H165" s="3" t="inlineStr">
        <is>
          <t>Weight</t>
        </is>
      </c>
      <c r="I165" s="3" t="inlineStr">
        <is>
          <t>60 kg</t>
        </is>
      </c>
      <c r="Q165" s="3" t="inlineStr">
        <is>
          <t>Manufacturer's Warranty</t>
        </is>
      </c>
      <c r="Y165" s="3" t="inlineStr">
        <is>
          <t>FC_All_Rounder_SH_60KG</t>
        </is>
      </c>
      <c r="Z165" s="3" t="n">
        <v>35069999</v>
      </c>
      <c r="AE165" s="3" t="n">
        <v>0</v>
      </c>
      <c r="AF165" s="4" t="n">
        <v>0</v>
      </c>
      <c r="AG165" s="3" t="n">
        <v>9320.950000000001</v>
      </c>
      <c r="AH165" s="4" t="n">
        <v>0.18</v>
      </c>
      <c r="AI165" s="3">
        <f>ROUND(AG165+(AG165*AH165),2)</f>
        <v/>
      </c>
      <c r="AJ165" s="4" t="n">
        <v>0.2</v>
      </c>
      <c r="AK165" s="3">
        <f>ROUND(AI165*AJ165,2)</f>
        <v/>
      </c>
      <c r="AL165" s="3">
        <f>AI165+AK165</f>
        <v/>
      </c>
      <c r="AM165" s="3">
        <f>AE165-AL165</f>
        <v/>
      </c>
      <c r="AN165" s="4">
        <f>AM165/AE165</f>
        <v/>
      </c>
      <c r="AO165" s="3" t="inlineStr">
        <is>
          <t>60 mins</t>
        </is>
      </c>
      <c r="AQ165" s="3" t="inlineStr">
        <is>
          <t>Weight</t>
        </is>
      </c>
      <c r="AS165" s="3" t="inlineStr">
        <is>
          <t>Fevicol SH is a premium grade synthetic resin-based adhesive suitable for woodworking as well as handicraft based on wood and paper products and other similar joinery applications.</t>
        </is>
      </c>
    </row>
    <row r="166" ht="15.75" customHeight="1">
      <c r="A166" s="3" t="inlineStr">
        <is>
          <t>PROD_0024</t>
        </is>
      </c>
      <c r="B166" s="3" t="inlineStr">
        <is>
          <t>VAR_1</t>
        </is>
      </c>
      <c r="C166" s="3" t="inlineStr">
        <is>
          <t>Wooden Material</t>
        </is>
      </c>
      <c r="D166" s="3" t="inlineStr">
        <is>
          <t>Adhesive</t>
        </is>
      </c>
      <c r="E166" s="3" t="inlineStr">
        <is>
          <t>Fevicol</t>
        </is>
      </c>
      <c r="F166" s="3" t="inlineStr">
        <is>
          <t>Marine</t>
        </is>
      </c>
      <c r="H166" s="3" t="inlineStr">
        <is>
          <t>Weight</t>
        </is>
      </c>
      <c r="I166" s="3" t="inlineStr">
        <is>
          <t>1kg</t>
        </is>
      </c>
      <c r="Q166" s="3" t="inlineStr">
        <is>
          <t>Manufacturer's Warranty</t>
        </is>
      </c>
      <c r="Y166" s="3" t="inlineStr">
        <is>
          <t>FC_Marine_1KG</t>
        </is>
      </c>
      <c r="Z166" s="3" t="n">
        <v>35069190</v>
      </c>
      <c r="AE166" s="3" t="n">
        <v>0</v>
      </c>
      <c r="AF166" s="4" t="n">
        <v>0</v>
      </c>
      <c r="AG166" s="3" t="n">
        <v>263.59</v>
      </c>
      <c r="AH166" s="4" t="n">
        <v>0.18</v>
      </c>
      <c r="AI166" s="3">
        <f>ROUND(AG166+(AG166*AH166),2)</f>
        <v/>
      </c>
      <c r="AJ166" s="4" t="n">
        <v>0.2</v>
      </c>
      <c r="AK166" s="3">
        <f>ROUND(AI166*AJ166,2)</f>
        <v/>
      </c>
      <c r="AL166" s="3">
        <f>AI166+AK166</f>
        <v/>
      </c>
      <c r="AM166" s="3">
        <f>AE166-AL166</f>
        <v/>
      </c>
      <c r="AN166" s="4">
        <f>AM166/AE166</f>
        <v/>
      </c>
      <c r="AO166" s="3" t="inlineStr">
        <is>
          <t>60 mins</t>
        </is>
      </c>
      <c r="AQ166" s="3" t="inlineStr">
        <is>
          <t>Weight</t>
        </is>
      </c>
      <c r="AS166"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67" ht="15.75" customHeight="1">
      <c r="A167" s="3" t="inlineStr">
        <is>
          <t>PROD_0024</t>
        </is>
      </c>
      <c r="B167" s="3" t="inlineStr">
        <is>
          <t>VAR_2</t>
        </is>
      </c>
      <c r="C167" s="3" t="inlineStr">
        <is>
          <t>Wooden Material</t>
        </is>
      </c>
      <c r="D167" s="3" t="inlineStr">
        <is>
          <t>Adhesive</t>
        </is>
      </c>
      <c r="E167" s="3" t="inlineStr">
        <is>
          <t>Fevicol</t>
        </is>
      </c>
      <c r="F167" s="3" t="inlineStr">
        <is>
          <t>Marine</t>
        </is>
      </c>
      <c r="H167" s="3" t="inlineStr">
        <is>
          <t>Weight</t>
        </is>
      </c>
      <c r="I167" s="3" t="inlineStr">
        <is>
          <t>2kg</t>
        </is>
      </c>
      <c r="Q167" s="3" t="inlineStr">
        <is>
          <t>Manufacturer's Warranty</t>
        </is>
      </c>
      <c r="Y167" s="3" t="inlineStr">
        <is>
          <t>FC_Marine_2KG</t>
        </is>
      </c>
      <c r="Z167" s="3" t="n">
        <v>35069190</v>
      </c>
      <c r="AE167" s="3" t="n">
        <v>0</v>
      </c>
      <c r="AF167" s="4" t="n">
        <v>0</v>
      </c>
      <c r="AG167" s="3" t="n">
        <v>504.41</v>
      </c>
      <c r="AH167" s="4" t="n">
        <v>0.18</v>
      </c>
      <c r="AI167" s="3">
        <f>ROUND(AG167+(AG167*AH167),2)</f>
        <v/>
      </c>
      <c r="AJ167" s="4" t="n">
        <v>0.2</v>
      </c>
      <c r="AK167" s="3">
        <f>ROUND(AI167*AJ167,2)</f>
        <v/>
      </c>
      <c r="AL167" s="3">
        <f>AI167+AK167</f>
        <v/>
      </c>
      <c r="AM167" s="3">
        <f>AE167-AL167</f>
        <v/>
      </c>
      <c r="AN167" s="4">
        <f>AM167/AE167</f>
        <v/>
      </c>
      <c r="AO167" s="3" t="inlineStr">
        <is>
          <t>60 mins</t>
        </is>
      </c>
      <c r="AQ167" s="3" t="inlineStr">
        <is>
          <t>Weight</t>
        </is>
      </c>
      <c r="AS167"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68" ht="15.75" customHeight="1">
      <c r="A168" s="3" t="inlineStr">
        <is>
          <t>PROD_0024</t>
        </is>
      </c>
      <c r="B168" s="3" t="inlineStr">
        <is>
          <t>VAR_3</t>
        </is>
      </c>
      <c r="C168" s="3" t="inlineStr">
        <is>
          <t>Wooden Material</t>
        </is>
      </c>
      <c r="D168" s="3" t="inlineStr">
        <is>
          <t>Adhesive</t>
        </is>
      </c>
      <c r="E168" s="3" t="inlineStr">
        <is>
          <t>Fevicol</t>
        </is>
      </c>
      <c r="F168" s="3" t="inlineStr">
        <is>
          <t>Marine</t>
        </is>
      </c>
      <c r="H168" s="3" t="inlineStr">
        <is>
          <t>Weight</t>
        </is>
      </c>
      <c r="I168" s="3" t="inlineStr">
        <is>
          <t>5 kg</t>
        </is>
      </c>
      <c r="Q168" s="3" t="inlineStr">
        <is>
          <t>Manufacturer's Warranty</t>
        </is>
      </c>
      <c r="Y168" s="3" t="inlineStr">
        <is>
          <t>FC_Marine_5KG</t>
        </is>
      </c>
      <c r="Z168" s="3" t="n">
        <v>35069190</v>
      </c>
      <c r="AE168" s="3" t="n">
        <v>0</v>
      </c>
      <c r="AF168" s="4" t="n">
        <v>0</v>
      </c>
      <c r="AG168" s="3" t="n">
        <v>1198.37</v>
      </c>
      <c r="AH168" s="4" t="n">
        <v>0.18</v>
      </c>
      <c r="AI168" s="3">
        <f>ROUND(AG168+(AG168*AH168),2)</f>
        <v/>
      </c>
      <c r="AJ168" s="4" t="n">
        <v>0.2</v>
      </c>
      <c r="AK168" s="3">
        <f>ROUND(AI168*AJ168,2)</f>
        <v/>
      </c>
      <c r="AL168" s="3">
        <f>AI168+AK168</f>
        <v/>
      </c>
      <c r="AM168" s="3">
        <f>AE168-AL168</f>
        <v/>
      </c>
      <c r="AN168" s="4">
        <f>AM168/AE168</f>
        <v/>
      </c>
      <c r="AO168" s="3" t="inlineStr">
        <is>
          <t>60 mins</t>
        </is>
      </c>
      <c r="AQ168" s="3" t="inlineStr">
        <is>
          <t>Weight</t>
        </is>
      </c>
      <c r="AS168"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69" ht="15.75" customHeight="1">
      <c r="A169" s="3" t="inlineStr">
        <is>
          <t>PROD_0024</t>
        </is>
      </c>
      <c r="B169" s="3" t="inlineStr">
        <is>
          <t>VAR_4</t>
        </is>
      </c>
      <c r="C169" s="3" t="inlineStr">
        <is>
          <t>Wooden Material</t>
        </is>
      </c>
      <c r="D169" s="3" t="inlineStr">
        <is>
          <t>Adhesive</t>
        </is>
      </c>
      <c r="E169" s="3" t="inlineStr">
        <is>
          <t>Fevicol</t>
        </is>
      </c>
      <c r="F169" s="3" t="inlineStr">
        <is>
          <t>Marine</t>
        </is>
      </c>
      <c r="H169" s="3" t="inlineStr">
        <is>
          <t>Weight</t>
        </is>
      </c>
      <c r="I169" s="3" t="inlineStr">
        <is>
          <t>10 kg</t>
        </is>
      </c>
      <c r="Q169" s="3" t="inlineStr">
        <is>
          <t>Manufacturer's Warranty</t>
        </is>
      </c>
      <c r="Y169" s="3" t="inlineStr">
        <is>
          <t>FC_Marine_10KG</t>
        </is>
      </c>
      <c r="Z169" s="3" t="n">
        <v>35069190</v>
      </c>
      <c r="AE169" s="3" t="n">
        <v>0</v>
      </c>
      <c r="AF169" s="4" t="n">
        <v>0</v>
      </c>
      <c r="AG169" s="3" t="n">
        <v>2310.51</v>
      </c>
      <c r="AH169" s="4" t="n">
        <v>0.18</v>
      </c>
      <c r="AI169" s="3">
        <f>ROUND(AG169+(AG169*AH169),2)</f>
        <v/>
      </c>
      <c r="AJ169" s="4" t="n">
        <v>0.2</v>
      </c>
      <c r="AK169" s="3">
        <f>ROUND(AI169*AJ169,2)</f>
        <v/>
      </c>
      <c r="AL169" s="3">
        <f>AI169+AK169</f>
        <v/>
      </c>
      <c r="AM169" s="3">
        <f>AE169-AL169</f>
        <v/>
      </c>
      <c r="AN169" s="4">
        <f>AM169/AE169</f>
        <v/>
      </c>
      <c r="AO169" s="3" t="inlineStr">
        <is>
          <t>60 mins</t>
        </is>
      </c>
      <c r="AQ169" s="3" t="inlineStr">
        <is>
          <t>Weight</t>
        </is>
      </c>
      <c r="AS169"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70" ht="15.75" customHeight="1">
      <c r="A170" s="3" t="inlineStr">
        <is>
          <t>PROD_0024</t>
        </is>
      </c>
      <c r="B170" s="3" t="inlineStr">
        <is>
          <t>VAR_5</t>
        </is>
      </c>
      <c r="C170" s="3" t="inlineStr">
        <is>
          <t>Wooden Material</t>
        </is>
      </c>
      <c r="D170" s="3" t="inlineStr">
        <is>
          <t>Adhesive</t>
        </is>
      </c>
      <c r="E170" s="3" t="inlineStr">
        <is>
          <t>Fevicol</t>
        </is>
      </c>
      <c r="F170" s="3" t="inlineStr">
        <is>
          <t>Marine</t>
        </is>
      </c>
      <c r="H170" s="3" t="inlineStr">
        <is>
          <t>Weight</t>
        </is>
      </c>
      <c r="I170" s="3" t="inlineStr">
        <is>
          <t>20 kg</t>
        </is>
      </c>
      <c r="Q170" s="3" t="inlineStr">
        <is>
          <t>Manufacturer's Warranty</t>
        </is>
      </c>
      <c r="Y170" s="3" t="inlineStr">
        <is>
          <t>FC_Marine_20KG</t>
        </is>
      </c>
      <c r="Z170" s="3" t="n">
        <v>35069190</v>
      </c>
      <c r="AE170" s="3" t="n">
        <v>0</v>
      </c>
      <c r="AF170" s="4" t="n">
        <v>0</v>
      </c>
      <c r="AG170" s="3" t="n">
        <v>4424.14</v>
      </c>
      <c r="AH170" s="4" t="n">
        <v>0.18</v>
      </c>
      <c r="AI170" s="3">
        <f>ROUND(AG170+(AG170*AH170),2)</f>
        <v/>
      </c>
      <c r="AJ170" s="4" t="n">
        <v>0.2</v>
      </c>
      <c r="AK170" s="3">
        <f>ROUND(AI170*AJ170,2)</f>
        <v/>
      </c>
      <c r="AL170" s="3">
        <f>AI170+AK170</f>
        <v/>
      </c>
      <c r="AM170" s="3">
        <f>AE170-AL170</f>
        <v/>
      </c>
      <c r="AN170" s="4">
        <f>AM170/AE170</f>
        <v/>
      </c>
      <c r="AO170" s="3" t="inlineStr">
        <is>
          <t>60 mins</t>
        </is>
      </c>
      <c r="AQ170" s="3" t="inlineStr">
        <is>
          <t>Weight</t>
        </is>
      </c>
      <c r="AS170"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71" ht="15.75" customHeight="1">
      <c r="A171" s="3" t="inlineStr">
        <is>
          <t>PROD_0024</t>
        </is>
      </c>
      <c r="B171" s="3" t="inlineStr">
        <is>
          <t>VAR_6</t>
        </is>
      </c>
      <c r="C171" s="3" t="inlineStr">
        <is>
          <t>Wooden Material</t>
        </is>
      </c>
      <c r="D171" s="3" t="inlineStr">
        <is>
          <t>Adhesive</t>
        </is>
      </c>
      <c r="E171" s="3" t="inlineStr">
        <is>
          <t>Fevicol</t>
        </is>
      </c>
      <c r="F171" s="3" t="inlineStr">
        <is>
          <t>Marine</t>
        </is>
      </c>
      <c r="H171" s="3" t="inlineStr">
        <is>
          <t>Weight</t>
        </is>
      </c>
      <c r="I171" s="3" t="inlineStr">
        <is>
          <t>30 kg</t>
        </is>
      </c>
      <c r="Q171" s="3" t="inlineStr">
        <is>
          <t>Manufacturer's Warranty</t>
        </is>
      </c>
      <c r="Y171" s="3" t="inlineStr">
        <is>
          <t>FC_Marine_30KG</t>
        </is>
      </c>
      <c r="Z171" s="3" t="n">
        <v>35069190</v>
      </c>
      <c r="AE171" s="3" t="n">
        <v>0</v>
      </c>
      <c r="AF171" s="4" t="n">
        <v>0</v>
      </c>
      <c r="AG171" s="3" t="n">
        <v>6507.66</v>
      </c>
      <c r="AH171" s="4" t="n">
        <v>0.18</v>
      </c>
      <c r="AI171" s="3">
        <f>ROUND(AG171+(AG171*AH171),2)</f>
        <v/>
      </c>
      <c r="AJ171" s="4" t="n">
        <v>0.2</v>
      </c>
      <c r="AK171" s="3">
        <f>ROUND(AI171*AJ171,2)</f>
        <v/>
      </c>
      <c r="AL171" s="3">
        <f>AI171+AK171</f>
        <v/>
      </c>
      <c r="AM171" s="3">
        <f>AE171-AL171</f>
        <v/>
      </c>
      <c r="AN171" s="4">
        <f>AM171/AE171</f>
        <v/>
      </c>
      <c r="AO171" s="3" t="inlineStr">
        <is>
          <t>60 mins</t>
        </is>
      </c>
      <c r="AQ171" s="3" t="inlineStr">
        <is>
          <t>Weight</t>
        </is>
      </c>
      <c r="AS171"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72" ht="15.75" customHeight="1">
      <c r="A172" s="3" t="inlineStr">
        <is>
          <t>PROD_0024</t>
        </is>
      </c>
      <c r="B172" s="3" t="inlineStr">
        <is>
          <t>VAR_7</t>
        </is>
      </c>
      <c r="C172" s="3" t="inlineStr">
        <is>
          <t>Wooden Material</t>
        </is>
      </c>
      <c r="D172" s="3" t="inlineStr">
        <is>
          <t>Adhesive</t>
        </is>
      </c>
      <c r="E172" s="3" t="inlineStr">
        <is>
          <t>Fevicol</t>
        </is>
      </c>
      <c r="F172" s="3" t="inlineStr">
        <is>
          <t>Marine</t>
        </is>
      </c>
      <c r="H172" s="3" t="inlineStr">
        <is>
          <t>Weight</t>
        </is>
      </c>
      <c r="I172" s="3" t="inlineStr">
        <is>
          <t>50 kg</t>
        </is>
      </c>
      <c r="Q172" s="3" t="inlineStr">
        <is>
          <t>Manufacturer's Warranty</t>
        </is>
      </c>
      <c r="Y172" s="3" t="inlineStr">
        <is>
          <t>FC_Marine_50KG</t>
        </is>
      </c>
      <c r="Z172" s="3" t="n">
        <v>35069190</v>
      </c>
      <c r="AE172" s="3" t="n">
        <v>0</v>
      </c>
      <c r="AF172" s="4" t="n">
        <v>0</v>
      </c>
      <c r="AG172" s="3" t="n">
        <v>10587.66</v>
      </c>
      <c r="AH172" s="4" t="n">
        <v>0.18</v>
      </c>
      <c r="AI172" s="3">
        <f>ROUND(AG172+(AG172*AH172),2)</f>
        <v/>
      </c>
      <c r="AJ172" s="4" t="n">
        <v>0.2</v>
      </c>
      <c r="AK172" s="3">
        <f>ROUND(AI172*AJ172,2)</f>
        <v/>
      </c>
      <c r="AL172" s="3">
        <f>AI172+AK172</f>
        <v/>
      </c>
      <c r="AM172" s="3">
        <f>AE172-AL172</f>
        <v/>
      </c>
      <c r="AN172" s="4">
        <f>AM172/AE172</f>
        <v/>
      </c>
      <c r="AO172" s="3" t="inlineStr">
        <is>
          <t>60 mins</t>
        </is>
      </c>
      <c r="AQ172" s="3" t="inlineStr">
        <is>
          <t>Weight</t>
        </is>
      </c>
      <c r="AS172"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73" ht="15.75" customHeight="1">
      <c r="A173" s="3" t="inlineStr">
        <is>
          <t>PROD_0024</t>
        </is>
      </c>
      <c r="B173" s="3" t="inlineStr">
        <is>
          <t>VAR_8</t>
        </is>
      </c>
      <c r="C173" s="3" t="inlineStr">
        <is>
          <t>Wooden Material</t>
        </is>
      </c>
      <c r="D173" s="3" t="inlineStr">
        <is>
          <t>Adhesive</t>
        </is>
      </c>
      <c r="E173" s="3" t="inlineStr">
        <is>
          <t>Fevicol</t>
        </is>
      </c>
      <c r="F173" s="3" t="inlineStr">
        <is>
          <t>Marine</t>
        </is>
      </c>
      <c r="H173" s="3" t="inlineStr">
        <is>
          <t>Weight</t>
        </is>
      </c>
      <c r="I173" s="3" t="inlineStr">
        <is>
          <t>60 kg</t>
        </is>
      </c>
      <c r="Q173" s="3" t="inlineStr">
        <is>
          <t>Manufacturer's Warranty</t>
        </is>
      </c>
      <c r="Y173" s="3" t="inlineStr">
        <is>
          <t>FC_Marine_60KG</t>
        </is>
      </c>
      <c r="Z173" s="3" t="n">
        <v>35069190</v>
      </c>
      <c r="AE173" s="3" t="n">
        <v>0</v>
      </c>
      <c r="AF173" s="4" t="n">
        <v>0</v>
      </c>
      <c r="AG173" s="3" t="n">
        <v>12534.51</v>
      </c>
      <c r="AH173" s="4" t="n">
        <v>0.18</v>
      </c>
      <c r="AI173" s="3">
        <f>ROUND(AG173+(AG173*AH173),2)</f>
        <v/>
      </c>
      <c r="AJ173" s="4" t="n">
        <v>0.2</v>
      </c>
      <c r="AK173" s="3">
        <f>ROUND(AI173*AJ173,2)</f>
        <v/>
      </c>
      <c r="AL173" s="3">
        <f>AI173+AK173</f>
        <v/>
      </c>
      <c r="AM173" s="3">
        <f>AE173-AL173</f>
        <v/>
      </c>
      <c r="AN173" s="4">
        <f>AM173/AE173</f>
        <v/>
      </c>
      <c r="AO173" s="3" t="inlineStr">
        <is>
          <t>60 mins</t>
        </is>
      </c>
      <c r="AQ173" s="3" t="inlineStr">
        <is>
          <t>Weight</t>
        </is>
      </c>
      <c r="AS173" s="3" t="inlineStr">
        <is>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is>
      </c>
    </row>
    <row r="174" ht="15.75" customHeight="1">
      <c r="A174" s="3" t="inlineStr">
        <is>
          <t>PROD_0025</t>
        </is>
      </c>
      <c r="B174" s="3" t="inlineStr">
        <is>
          <t>VAR_1</t>
        </is>
      </c>
      <c r="C174" s="3" t="inlineStr">
        <is>
          <t>Wooden Material</t>
        </is>
      </c>
      <c r="D174" s="3" t="inlineStr">
        <is>
          <t>Adhesive</t>
        </is>
      </c>
      <c r="E174" s="3" t="inlineStr">
        <is>
          <t>Fevicol</t>
        </is>
      </c>
      <c r="F174" s="3" t="inlineStr">
        <is>
          <t>Hi-Per</t>
        </is>
      </c>
      <c r="H174" s="3" t="inlineStr">
        <is>
          <t>Weight</t>
        </is>
      </c>
      <c r="I174" s="3" t="inlineStr">
        <is>
          <t>1kg</t>
        </is>
      </c>
      <c r="Q174" s="3" t="inlineStr">
        <is>
          <t>Manufacturer's Warranty</t>
        </is>
      </c>
      <c r="Y174" s="3" t="inlineStr">
        <is>
          <t>FC_HI_PER_1KG</t>
        </is>
      </c>
      <c r="Z174" s="3" t="n">
        <v>35069110</v>
      </c>
      <c r="AE174" s="3" t="n">
        <v>0</v>
      </c>
      <c r="AF174" s="4" t="n">
        <v>0</v>
      </c>
      <c r="AG174" s="3" t="n">
        <v>302.64</v>
      </c>
      <c r="AH174" s="4" t="n">
        <v>0.18</v>
      </c>
      <c r="AI174" s="3">
        <f>ROUND(AG174+(AG174*AH174),2)</f>
        <v/>
      </c>
      <c r="AJ174" s="4" t="n">
        <v>0.2</v>
      </c>
      <c r="AK174" s="3">
        <f>ROUND(AI174*AJ174,2)</f>
        <v/>
      </c>
      <c r="AL174" s="3">
        <f>AI174+AK174</f>
        <v/>
      </c>
      <c r="AM174" s="3">
        <f>AE174-AL174</f>
        <v/>
      </c>
      <c r="AN174" s="4">
        <f>AM174/AE174</f>
        <v/>
      </c>
      <c r="AO174" s="3" t="inlineStr">
        <is>
          <t>60 mins</t>
        </is>
      </c>
      <c r="AQ174" s="3" t="inlineStr">
        <is>
          <t>Weight</t>
        </is>
      </c>
      <c r="AS174" s="3" t="inlineStr">
        <is>
          <t>Fevicol Hi per is specially designed for bonding in furnitures Sports goods paper carpet mfg also recommended for bonding any two material where at least one of them is porous eg Paper card board particle board etc</t>
        </is>
      </c>
    </row>
    <row r="175" ht="15.75" customHeight="1">
      <c r="A175" s="3" t="inlineStr">
        <is>
          <t>PROD_0025</t>
        </is>
      </c>
      <c r="B175" s="3" t="inlineStr">
        <is>
          <t>VAR_2</t>
        </is>
      </c>
      <c r="C175" s="3" t="inlineStr">
        <is>
          <t>Wooden Material</t>
        </is>
      </c>
      <c r="D175" s="3" t="inlineStr">
        <is>
          <t>Adhesive</t>
        </is>
      </c>
      <c r="E175" s="3" t="inlineStr">
        <is>
          <t>Fevicol</t>
        </is>
      </c>
      <c r="F175" s="3" t="inlineStr">
        <is>
          <t>Hi-Per</t>
        </is>
      </c>
      <c r="H175" s="3" t="inlineStr">
        <is>
          <t>Weight</t>
        </is>
      </c>
      <c r="I175" s="3" t="inlineStr">
        <is>
          <t>2kg</t>
        </is>
      </c>
      <c r="Q175" s="3" t="inlineStr">
        <is>
          <t>Manufacturer's Warranty</t>
        </is>
      </c>
      <c r="Y175" s="3" t="inlineStr">
        <is>
          <t>FC_HI_PER_2KG</t>
        </is>
      </c>
      <c r="Z175" s="3" t="n">
        <v>35069110</v>
      </c>
      <c r="AE175" s="3" t="n">
        <v>0</v>
      </c>
      <c r="AF175" s="4" t="n">
        <v>0</v>
      </c>
      <c r="AG175" s="3" t="n">
        <v>580.0700000000001</v>
      </c>
      <c r="AH175" s="4" t="n">
        <v>0.18</v>
      </c>
      <c r="AI175" s="3">
        <f>ROUND(AG175+(AG175*AH175),2)</f>
        <v/>
      </c>
      <c r="AJ175" s="4" t="n">
        <v>0.2</v>
      </c>
      <c r="AK175" s="3">
        <f>ROUND(AI175*AJ175,2)</f>
        <v/>
      </c>
      <c r="AL175" s="3">
        <f>AI175+AK175</f>
        <v/>
      </c>
      <c r="AM175" s="3">
        <f>AE175-AL175</f>
        <v/>
      </c>
      <c r="AN175" s="4">
        <f>AM175/AE175</f>
        <v/>
      </c>
      <c r="AO175" s="3" t="inlineStr">
        <is>
          <t>60 mins</t>
        </is>
      </c>
      <c r="AQ175" s="3" t="inlineStr">
        <is>
          <t>Weight</t>
        </is>
      </c>
      <c r="AS175" s="3" t="inlineStr">
        <is>
          <t>Fevicol Hi per is specially designed for bonding in furnitures Sports goods paper carpet mfg also recommended for bonding any two material where at least one of them is porous eg Paper card board particle board etc</t>
        </is>
      </c>
    </row>
    <row r="176" ht="15.75" customHeight="1">
      <c r="A176" s="3" t="inlineStr">
        <is>
          <t>PROD_0025</t>
        </is>
      </c>
      <c r="B176" s="3" t="inlineStr">
        <is>
          <t>VAR_3</t>
        </is>
      </c>
      <c r="C176" s="3" t="inlineStr">
        <is>
          <t>Wooden Material</t>
        </is>
      </c>
      <c r="D176" s="3" t="inlineStr">
        <is>
          <t>Adhesive</t>
        </is>
      </c>
      <c r="E176" s="3" t="inlineStr">
        <is>
          <t>Fevicol</t>
        </is>
      </c>
      <c r="F176" s="3" t="inlineStr">
        <is>
          <t>Hi-Per</t>
        </is>
      </c>
      <c r="H176" s="3" t="inlineStr">
        <is>
          <t>Weight</t>
        </is>
      </c>
      <c r="I176" s="3" t="inlineStr">
        <is>
          <t>5 kg</t>
        </is>
      </c>
      <c r="Q176" s="3" t="inlineStr">
        <is>
          <t>Manufacturer's Warranty</t>
        </is>
      </c>
      <c r="Y176" s="3" t="inlineStr">
        <is>
          <t>FC_HI_PER_5KG</t>
        </is>
      </c>
      <c r="Z176" s="3" t="n">
        <v>35069110</v>
      </c>
      <c r="AE176" s="3" t="n">
        <v>0</v>
      </c>
      <c r="AF176" s="4" t="n">
        <v>0</v>
      </c>
      <c r="AG176" s="3" t="n">
        <v>1392</v>
      </c>
      <c r="AH176" s="4" t="n">
        <v>0.18</v>
      </c>
      <c r="AI176" s="3">
        <f>ROUND(AG176+(AG176*AH176),2)</f>
        <v/>
      </c>
      <c r="AJ176" s="4" t="n">
        <v>0.2</v>
      </c>
      <c r="AK176" s="3">
        <f>ROUND(AI176*AJ176,2)</f>
        <v/>
      </c>
      <c r="AL176" s="3">
        <f>AI176+AK176</f>
        <v/>
      </c>
      <c r="AM176" s="3">
        <f>AE176-AL176</f>
        <v/>
      </c>
      <c r="AN176" s="4">
        <f>AM176/AE176</f>
        <v/>
      </c>
      <c r="AO176" s="3" t="inlineStr">
        <is>
          <t>60 mins</t>
        </is>
      </c>
      <c r="AQ176" s="3" t="inlineStr">
        <is>
          <t>Weight</t>
        </is>
      </c>
      <c r="AS176" s="3" t="inlineStr">
        <is>
          <t>Fevicol Hi per is specially designed for bonding in furnitures Sports goods paper carpet mfg also recommended for bonding any two material where at least one of them is porous eg Paper card board particle board etc</t>
        </is>
      </c>
    </row>
    <row r="177" ht="15.75" customHeight="1">
      <c r="A177" s="3" t="inlineStr">
        <is>
          <t>PROD_0025</t>
        </is>
      </c>
      <c r="B177" s="3" t="inlineStr">
        <is>
          <t>VAR_4</t>
        </is>
      </c>
      <c r="C177" s="3" t="inlineStr">
        <is>
          <t>Wooden Material</t>
        </is>
      </c>
      <c r="D177" s="3" t="inlineStr">
        <is>
          <t>Adhesive</t>
        </is>
      </c>
      <c r="E177" s="3" t="inlineStr">
        <is>
          <t>Fevicol</t>
        </is>
      </c>
      <c r="F177" s="3" t="inlineStr">
        <is>
          <t>Hi-Per</t>
        </is>
      </c>
      <c r="H177" s="3" t="inlineStr">
        <is>
          <t>Weight</t>
        </is>
      </c>
      <c r="I177" s="3" t="inlineStr">
        <is>
          <t>10 kg</t>
        </is>
      </c>
      <c r="Q177" s="3" t="inlineStr">
        <is>
          <t>Manufacturer's Warranty</t>
        </is>
      </c>
      <c r="Y177" s="3" t="inlineStr">
        <is>
          <t>FC_HI_PER_10KG</t>
        </is>
      </c>
      <c r="Z177" s="3" t="n">
        <v>35069110</v>
      </c>
      <c r="AE177" s="3" t="n">
        <v>0</v>
      </c>
      <c r="AF177" s="4" t="n">
        <v>0</v>
      </c>
      <c r="AG177" s="3" t="n">
        <v>2666.03</v>
      </c>
      <c r="AH177" s="4" t="n">
        <v>0.18</v>
      </c>
      <c r="AI177" s="3">
        <f>ROUND(AG177+(AG177*AH177),2)</f>
        <v/>
      </c>
      <c r="AJ177" s="4" t="n">
        <v>0.2</v>
      </c>
      <c r="AK177" s="3">
        <f>ROUND(AI177*AJ177,2)</f>
        <v/>
      </c>
      <c r="AL177" s="3">
        <f>AI177+AK177</f>
        <v/>
      </c>
      <c r="AM177" s="3">
        <f>AE177-AL177</f>
        <v/>
      </c>
      <c r="AN177" s="4">
        <f>AM177/AE177</f>
        <v/>
      </c>
      <c r="AO177" s="3" t="inlineStr">
        <is>
          <t>60 mins</t>
        </is>
      </c>
      <c r="AQ177" s="3" t="inlineStr">
        <is>
          <t>Weight</t>
        </is>
      </c>
      <c r="AS177" s="3" t="inlineStr">
        <is>
          <t>Fevicol Hi per is specially designed for bonding in furnitures Sports goods paper carpet mfg also recommended for bonding any two material where at least one of them is porous eg Paper card board particle board etc</t>
        </is>
      </c>
    </row>
    <row r="178" ht="15.75" customHeight="1">
      <c r="A178" s="3" t="inlineStr">
        <is>
          <t>PROD_0025</t>
        </is>
      </c>
      <c r="B178" s="3" t="inlineStr">
        <is>
          <t>VAR_5</t>
        </is>
      </c>
      <c r="C178" s="3" t="inlineStr">
        <is>
          <t>Wooden Material</t>
        </is>
      </c>
      <c r="D178" s="3" t="inlineStr">
        <is>
          <t>Adhesive</t>
        </is>
      </c>
      <c r="E178" s="3" t="inlineStr">
        <is>
          <t>Fevicol</t>
        </is>
      </c>
      <c r="F178" s="3" t="inlineStr">
        <is>
          <t>Hi-Per</t>
        </is>
      </c>
      <c r="H178" s="3" t="inlineStr">
        <is>
          <t>Weight</t>
        </is>
      </c>
      <c r="I178" s="3" t="inlineStr">
        <is>
          <t>20 kg</t>
        </is>
      </c>
      <c r="Q178" s="3" t="inlineStr">
        <is>
          <t>Manufacturer's Warranty</t>
        </is>
      </c>
      <c r="Y178" s="3" t="inlineStr">
        <is>
          <t>FC_HI_PER_20KG</t>
        </is>
      </c>
      <c r="Z178" s="3" t="n">
        <v>35069110</v>
      </c>
      <c r="AE178" s="3" t="n">
        <v>0</v>
      </c>
      <c r="AF178" s="4" t="n">
        <v>0</v>
      </c>
      <c r="AG178" s="3" t="n">
        <v>5144.14</v>
      </c>
      <c r="AH178" s="4" t="n">
        <v>0.18</v>
      </c>
      <c r="AI178" s="3">
        <f>ROUND(AG178+(AG178*AH178),2)</f>
        <v/>
      </c>
      <c r="AJ178" s="4" t="n">
        <v>0.2</v>
      </c>
      <c r="AK178" s="3">
        <f>ROUND(AI178*AJ178,2)</f>
        <v/>
      </c>
      <c r="AL178" s="3">
        <f>AI178+AK178</f>
        <v/>
      </c>
      <c r="AM178" s="3">
        <f>AE178-AL178</f>
        <v/>
      </c>
      <c r="AN178" s="4">
        <f>AM178/AE178</f>
        <v/>
      </c>
      <c r="AO178" s="3" t="inlineStr">
        <is>
          <t>60 mins</t>
        </is>
      </c>
      <c r="AQ178" s="3" t="inlineStr">
        <is>
          <t>Weight</t>
        </is>
      </c>
      <c r="AS178" s="3" t="inlineStr">
        <is>
          <t>Fevicol Hi per is specially designed for bonding in furnitures Sports goods paper carpet mfg also recommended for bonding any two material where at least one of them is porous eg Paper card board particle board etc</t>
        </is>
      </c>
    </row>
    <row r="179" ht="15.75" customHeight="1">
      <c r="A179" s="3" t="inlineStr">
        <is>
          <t>PROD_0025</t>
        </is>
      </c>
      <c r="B179" s="3" t="inlineStr">
        <is>
          <t>VAR_6</t>
        </is>
      </c>
      <c r="C179" s="3" t="inlineStr">
        <is>
          <t>Wooden Material</t>
        </is>
      </c>
      <c r="D179" s="3" t="inlineStr">
        <is>
          <t>Adhesive</t>
        </is>
      </c>
      <c r="E179" s="3" t="inlineStr">
        <is>
          <t>Fevicol</t>
        </is>
      </c>
      <c r="F179" s="3" t="inlineStr">
        <is>
          <t>Hi-Per</t>
        </is>
      </c>
      <c r="H179" s="3" t="inlineStr">
        <is>
          <t>Weight</t>
        </is>
      </c>
      <c r="I179" s="3" t="inlineStr">
        <is>
          <t>30 kg</t>
        </is>
      </c>
      <c r="Q179" s="3" t="inlineStr">
        <is>
          <t>Manufacturer's Warranty</t>
        </is>
      </c>
      <c r="Y179" s="3" t="inlineStr">
        <is>
          <t>FC_HI_PER_30KG</t>
        </is>
      </c>
      <c r="Z179" s="3" t="n">
        <v>35069110</v>
      </c>
      <c r="AE179" s="3" t="n">
        <v>0</v>
      </c>
      <c r="AF179" s="4" t="n">
        <v>0</v>
      </c>
      <c r="AG179" s="3" t="n">
        <v>7561.22</v>
      </c>
      <c r="AH179" s="4" t="n">
        <v>0.18</v>
      </c>
      <c r="AI179" s="3">
        <f>ROUND(AG179+(AG179*AH179),2)</f>
        <v/>
      </c>
      <c r="AJ179" s="4" t="n">
        <v>0.2</v>
      </c>
      <c r="AK179" s="3">
        <f>ROUND(AI179*AJ179,2)</f>
        <v/>
      </c>
      <c r="AL179" s="3">
        <f>AI179+AK179</f>
        <v/>
      </c>
      <c r="AM179" s="3">
        <f>AE179-AL179</f>
        <v/>
      </c>
      <c r="AN179" s="4">
        <f>AM179/AE179</f>
        <v/>
      </c>
      <c r="AO179" s="3" t="inlineStr">
        <is>
          <t>60 mins</t>
        </is>
      </c>
      <c r="AQ179" s="3" t="inlineStr">
        <is>
          <t>Weight</t>
        </is>
      </c>
      <c r="AS179" s="3" t="inlineStr">
        <is>
          <t>Fevicol Hi per is specially designed for bonding in furnitures Sports goods paper carpet mfg also recommended for bonding any two material where at least one of them is porous eg Paper card board particle board etc</t>
        </is>
      </c>
    </row>
    <row r="180" ht="15.75" customHeight="1">
      <c r="A180" s="3" t="inlineStr">
        <is>
          <t>PROD_0025</t>
        </is>
      </c>
      <c r="B180" s="3" t="inlineStr">
        <is>
          <t>VAR_7</t>
        </is>
      </c>
      <c r="C180" s="3" t="inlineStr">
        <is>
          <t>Wooden Material</t>
        </is>
      </c>
      <c r="D180" s="3" t="inlineStr">
        <is>
          <t>Adhesive</t>
        </is>
      </c>
      <c r="E180" s="3" t="inlineStr">
        <is>
          <t>Fevicol</t>
        </is>
      </c>
      <c r="F180" s="3" t="inlineStr">
        <is>
          <t>Hi-Per</t>
        </is>
      </c>
      <c r="H180" s="3" t="inlineStr">
        <is>
          <t>Weight</t>
        </is>
      </c>
      <c r="I180" s="3" t="inlineStr">
        <is>
          <t>50 kg</t>
        </is>
      </c>
      <c r="Q180" s="3" t="inlineStr">
        <is>
          <t>Manufacturer's Warranty</t>
        </is>
      </c>
      <c r="Y180" s="3" t="inlineStr">
        <is>
          <t>FC_HI_PER_50KG</t>
        </is>
      </c>
      <c r="Z180" s="3" t="n">
        <v>35069110</v>
      </c>
      <c r="AE180" s="3" t="n">
        <v>0</v>
      </c>
      <c r="AF180" s="4" t="n">
        <v>0</v>
      </c>
      <c r="AG180" s="3" t="n">
        <v>12461.29</v>
      </c>
      <c r="AH180" s="4" t="n">
        <v>0.18</v>
      </c>
      <c r="AI180" s="3">
        <f>ROUND(AG180+(AG180*AH180),2)</f>
        <v/>
      </c>
      <c r="AJ180" s="4" t="n">
        <v>0.2</v>
      </c>
      <c r="AK180" s="3">
        <f>ROUND(AI180*AJ180,2)</f>
        <v/>
      </c>
      <c r="AL180" s="3">
        <f>AI180+AK180</f>
        <v/>
      </c>
      <c r="AM180" s="3">
        <f>AE180-AL180</f>
        <v/>
      </c>
      <c r="AN180" s="4">
        <f>AM180/AE180</f>
        <v/>
      </c>
      <c r="AO180" s="3" t="inlineStr">
        <is>
          <t>60 mins</t>
        </is>
      </c>
      <c r="AQ180" s="3" t="inlineStr">
        <is>
          <t>Weight</t>
        </is>
      </c>
      <c r="AS180" s="3" t="inlineStr">
        <is>
          <t>Fevicol Hi per is specially designed for bonding in furnitures Sports goods paper carpet mfg also recommended for bonding any two material where at least one of them is porous eg Paper card board particle board etc</t>
        </is>
      </c>
    </row>
    <row r="181" ht="15.75" customHeight="1">
      <c r="A181" s="3" t="inlineStr">
        <is>
          <t>PROD_0025</t>
        </is>
      </c>
      <c r="B181" s="3" t="inlineStr">
        <is>
          <t>VAR_8</t>
        </is>
      </c>
      <c r="C181" s="3" t="inlineStr">
        <is>
          <t>Wooden Material</t>
        </is>
      </c>
      <c r="D181" s="3" t="inlineStr">
        <is>
          <t>Adhesive</t>
        </is>
      </c>
      <c r="E181" s="3" t="inlineStr">
        <is>
          <t>Fevicol</t>
        </is>
      </c>
      <c r="F181" s="3" t="inlineStr">
        <is>
          <t>Hi-Per</t>
        </is>
      </c>
      <c r="H181" s="3" t="inlineStr">
        <is>
          <t>Weight</t>
        </is>
      </c>
      <c r="I181" s="3" t="inlineStr">
        <is>
          <t>60 kg</t>
        </is>
      </c>
      <c r="Q181" s="3" t="inlineStr">
        <is>
          <t>Manufacturer's Warranty</t>
        </is>
      </c>
      <c r="Y181" s="3" t="inlineStr">
        <is>
          <t>FC_HI_PER_60KG</t>
        </is>
      </c>
      <c r="Z181" s="3" t="n">
        <v>35069110</v>
      </c>
      <c r="AE181" s="3" t="n">
        <v>0</v>
      </c>
      <c r="AF181" s="4" t="n">
        <v>0</v>
      </c>
      <c r="AG181" s="3" t="n">
        <v>14953.22</v>
      </c>
      <c r="AH181" s="4" t="n">
        <v>0.18</v>
      </c>
      <c r="AI181" s="3">
        <f>ROUND(AG181+(AG181*AH181),2)</f>
        <v/>
      </c>
      <c r="AJ181" s="4" t="n">
        <v>0.2</v>
      </c>
      <c r="AK181" s="3">
        <f>ROUND(AI181*AJ181,2)</f>
        <v/>
      </c>
      <c r="AL181" s="3">
        <f>AI181+AK181</f>
        <v/>
      </c>
      <c r="AM181" s="3">
        <f>AE181-AL181</f>
        <v/>
      </c>
      <c r="AN181" s="4">
        <f>AM181/AE181</f>
        <v/>
      </c>
      <c r="AO181" s="3" t="inlineStr">
        <is>
          <t>60 mins</t>
        </is>
      </c>
      <c r="AQ181" s="3" t="inlineStr">
        <is>
          <t>Weight</t>
        </is>
      </c>
      <c r="AS181" s="3" t="inlineStr">
        <is>
          <t>Fevicol Hi per is specially designed for bonding in furnitures Sports goods paper carpet mfg also recommended for bonding any two material where at least one of them is porous eg Paper card board particle board etc</t>
        </is>
      </c>
    </row>
    <row r="182" ht="15.75" customHeight="1">
      <c r="A182" s="8" t="inlineStr">
        <is>
          <t>PROD_0026</t>
        </is>
      </c>
      <c r="B182" s="8" t="inlineStr">
        <is>
          <t>VAR_1</t>
        </is>
      </c>
      <c r="C182" s="8" t="inlineStr">
        <is>
          <t>Wooden Material</t>
        </is>
      </c>
      <c r="D182" s="8" t="inlineStr">
        <is>
          <t>Adhesive</t>
        </is>
      </c>
      <c r="E182" s="8" t="inlineStr">
        <is>
          <t>Fevicol</t>
        </is>
      </c>
      <c r="F182" s="8" t="inlineStr">
        <is>
          <t>D3</t>
        </is>
      </c>
      <c r="G182" s="8" t="n"/>
      <c r="H182" s="8" t="inlineStr">
        <is>
          <t>Weight</t>
        </is>
      </c>
      <c r="I182" s="8" t="inlineStr">
        <is>
          <t>1kg</t>
        </is>
      </c>
      <c r="J182" s="8" t="n"/>
      <c r="K182" s="8" t="n"/>
      <c r="L182" s="8" t="n"/>
      <c r="M182" s="8" t="n"/>
      <c r="N182" s="8" t="n"/>
      <c r="O182" s="8" t="n"/>
      <c r="P182" s="8" t="n"/>
      <c r="Q182" s="8" t="inlineStr">
        <is>
          <t>Manufacturer's Warranty</t>
        </is>
      </c>
      <c r="R182" s="8" t="n"/>
      <c r="S182" s="8" t="n"/>
      <c r="T182" s="8" t="n"/>
      <c r="U182" s="8" t="n"/>
      <c r="V182" s="8" t="n"/>
      <c r="W182" s="8" t="n"/>
      <c r="X182" s="8" t="n"/>
      <c r="Y182" s="8" t="inlineStr">
        <is>
          <t>WM_ADH_FVCL_D3</t>
        </is>
      </c>
      <c r="Z182" s="8" t="n">
        <v>35069999</v>
      </c>
      <c r="AA182" s="8" t="n"/>
      <c r="AB182" s="8" t="n"/>
      <c r="AC182" s="8" t="n"/>
      <c r="AD182" s="8" t="n"/>
      <c r="AE182" s="8" t="n">
        <v>0</v>
      </c>
      <c r="AF182" s="9" t="n">
        <v>0</v>
      </c>
      <c r="AG182" s="8">
        <f>ROUND(AE182-(AE182*AF182),2)</f>
        <v/>
      </c>
      <c r="AH182" s="9" t="n">
        <v>0.18</v>
      </c>
      <c r="AI182" s="8">
        <f>ROUND(AG182+(AG182*AH182),2)</f>
        <v/>
      </c>
      <c r="AJ182" s="9" t="n">
        <v>0.2</v>
      </c>
      <c r="AK182" s="8">
        <f>ROUND(AI182*AJ182,2)</f>
        <v/>
      </c>
      <c r="AL182" s="8">
        <f>AI182+AK182</f>
        <v/>
      </c>
      <c r="AM182" s="8">
        <f>AE182-AL182</f>
        <v/>
      </c>
      <c r="AN182" s="9">
        <f>AM182/AE182</f>
        <v/>
      </c>
      <c r="AO182" s="8" t="inlineStr">
        <is>
          <t>60 mins</t>
        </is>
      </c>
      <c r="AP182" s="8" t="n"/>
      <c r="AQ182" s="8" t="inlineStr">
        <is>
          <t>Weight</t>
        </is>
      </c>
      <c r="AR182" s="8" t="n"/>
      <c r="AS182" s="8" t="inlineStr">
        <is>
          <t>D3 adhesive adhering to DIN EN 204 standards
Gives excellent bond in all types of wood
Offers handling strength in 2 hours
Convertible to D4 grade with addition of 5% hardener</t>
        </is>
      </c>
    </row>
    <row r="183" ht="15.75" customHeight="1">
      <c r="A183" s="8" t="inlineStr">
        <is>
          <t>PROD_0026</t>
        </is>
      </c>
      <c r="B183" s="8" t="inlineStr">
        <is>
          <t>VAR_2</t>
        </is>
      </c>
      <c r="C183" s="8" t="inlineStr">
        <is>
          <t>Wooden Material</t>
        </is>
      </c>
      <c r="D183" s="8" t="inlineStr">
        <is>
          <t>Adhesive</t>
        </is>
      </c>
      <c r="E183" s="8" t="inlineStr">
        <is>
          <t>Fevicol</t>
        </is>
      </c>
      <c r="F183" s="8" t="inlineStr">
        <is>
          <t>D3</t>
        </is>
      </c>
      <c r="G183" s="8" t="n"/>
      <c r="H183" s="8" t="inlineStr">
        <is>
          <t>Weight</t>
        </is>
      </c>
      <c r="I183" s="8" t="inlineStr">
        <is>
          <t>2kg</t>
        </is>
      </c>
      <c r="J183" s="8" t="n"/>
      <c r="K183" s="8" t="n"/>
      <c r="L183" s="8" t="n"/>
      <c r="M183" s="8" t="n"/>
      <c r="N183" s="8" t="n"/>
      <c r="O183" s="8" t="n"/>
      <c r="P183" s="8" t="n"/>
      <c r="Q183" s="8" t="inlineStr">
        <is>
          <t>Manufacturer's Warranty</t>
        </is>
      </c>
      <c r="R183" s="8" t="n"/>
      <c r="S183" s="8" t="n"/>
      <c r="T183" s="8" t="n"/>
      <c r="U183" s="8" t="n"/>
      <c r="V183" s="8" t="n"/>
      <c r="W183" s="8" t="n"/>
      <c r="X183" s="8" t="n"/>
      <c r="Y183" s="8" t="inlineStr">
        <is>
          <t>WM_ADH_FVCL_D3</t>
        </is>
      </c>
      <c r="Z183" s="8" t="n">
        <v>35069999</v>
      </c>
      <c r="AA183" s="8" t="n"/>
      <c r="AB183" s="8" t="n"/>
      <c r="AC183" s="8" t="n"/>
      <c r="AD183" s="8" t="n"/>
      <c r="AE183" s="8" t="n">
        <v>0</v>
      </c>
      <c r="AF183" s="9" t="n">
        <v>0</v>
      </c>
      <c r="AG183" s="8">
        <f>ROUND(AE183-(AE183*AF183),2)</f>
        <v/>
      </c>
      <c r="AH183" s="9" t="n">
        <v>0.18</v>
      </c>
      <c r="AI183" s="8">
        <f>ROUND(AG183+(AG183*AH183),2)</f>
        <v/>
      </c>
      <c r="AJ183" s="9" t="n">
        <v>0.2</v>
      </c>
      <c r="AK183" s="8">
        <f>ROUND(AI183*AJ183,2)</f>
        <v/>
      </c>
      <c r="AL183" s="8">
        <f>AI183+AK183</f>
        <v/>
      </c>
      <c r="AM183" s="8">
        <f>AE183-AL183</f>
        <v/>
      </c>
      <c r="AN183" s="9">
        <f>AM183/AE183</f>
        <v/>
      </c>
      <c r="AO183" s="8" t="inlineStr">
        <is>
          <t>60 mins</t>
        </is>
      </c>
      <c r="AP183" s="8" t="n"/>
      <c r="AQ183" s="8" t="inlineStr">
        <is>
          <t>Weight</t>
        </is>
      </c>
      <c r="AR183" s="8" t="n"/>
      <c r="AS183" s="8" t="inlineStr">
        <is>
          <t>D3 adhesive adhering to DIN EN 204 standards
Gives excellent bond in all types of wood
Offers handling strength in 2 hours
Convertible to D4 grade with addition of 5% hardener</t>
        </is>
      </c>
    </row>
    <row r="184" ht="15.75" customHeight="1">
      <c r="A184" s="8" t="inlineStr">
        <is>
          <t>PROD_0026</t>
        </is>
      </c>
      <c r="B184" s="8" t="inlineStr">
        <is>
          <t>VAR_3</t>
        </is>
      </c>
      <c r="C184" s="8" t="inlineStr">
        <is>
          <t>Wooden Material</t>
        </is>
      </c>
      <c r="D184" s="8" t="inlineStr">
        <is>
          <t>Adhesive</t>
        </is>
      </c>
      <c r="E184" s="8" t="inlineStr">
        <is>
          <t>Fevicol</t>
        </is>
      </c>
      <c r="F184" s="8" t="inlineStr">
        <is>
          <t>D3</t>
        </is>
      </c>
      <c r="G184" s="8" t="n"/>
      <c r="H184" s="8" t="inlineStr">
        <is>
          <t>Weight</t>
        </is>
      </c>
      <c r="I184" s="8" t="inlineStr">
        <is>
          <t>5 kg</t>
        </is>
      </c>
      <c r="J184" s="8" t="n"/>
      <c r="K184" s="8" t="n"/>
      <c r="L184" s="8" t="n"/>
      <c r="M184" s="8" t="n"/>
      <c r="N184" s="8" t="n"/>
      <c r="O184" s="8" t="n"/>
      <c r="P184" s="8" t="n"/>
      <c r="Q184" s="8" t="inlineStr">
        <is>
          <t>Manufacturer's Warranty</t>
        </is>
      </c>
      <c r="R184" s="8" t="n"/>
      <c r="S184" s="8" t="n"/>
      <c r="T184" s="8" t="n"/>
      <c r="U184" s="8" t="n"/>
      <c r="V184" s="8" t="n"/>
      <c r="W184" s="8" t="n"/>
      <c r="X184" s="8" t="n"/>
      <c r="Y184" s="8" t="inlineStr">
        <is>
          <t>WM_ADH_FVCL_D3</t>
        </is>
      </c>
      <c r="Z184" s="8" t="n">
        <v>35069999</v>
      </c>
      <c r="AA184" s="8" t="n"/>
      <c r="AB184" s="8" t="n"/>
      <c r="AC184" s="8" t="n"/>
      <c r="AD184" s="8" t="n"/>
      <c r="AE184" s="8" t="n">
        <v>0</v>
      </c>
      <c r="AF184" s="9" t="n">
        <v>0</v>
      </c>
      <c r="AG184" s="8">
        <f>ROUND(AE184-(AE184*AF184),2)</f>
        <v/>
      </c>
      <c r="AH184" s="9" t="n">
        <v>0.18</v>
      </c>
      <c r="AI184" s="8">
        <f>ROUND(AG184+(AG184*AH184),2)</f>
        <v/>
      </c>
      <c r="AJ184" s="9" t="n">
        <v>0.2</v>
      </c>
      <c r="AK184" s="8">
        <f>ROUND(AI184*AJ184,2)</f>
        <v/>
      </c>
      <c r="AL184" s="8">
        <f>AI184+AK184</f>
        <v/>
      </c>
      <c r="AM184" s="8">
        <f>AE184-AL184</f>
        <v/>
      </c>
      <c r="AN184" s="9">
        <f>AM184/AE184</f>
        <v/>
      </c>
      <c r="AO184" s="8" t="inlineStr">
        <is>
          <t>60 mins</t>
        </is>
      </c>
      <c r="AP184" s="8" t="n"/>
      <c r="AQ184" s="8" t="inlineStr">
        <is>
          <t>Weight</t>
        </is>
      </c>
      <c r="AR184" s="8" t="n"/>
      <c r="AS184" s="8" t="inlineStr">
        <is>
          <t>D3 adhesive adhering to DIN EN 204 standards
Gives excellent bond in all types of wood
Offers handling strength in 2 hours
Convertible to D4 grade with addition of 5% hardener</t>
        </is>
      </c>
    </row>
    <row r="185" ht="15.75" customHeight="1">
      <c r="A185" s="8" t="inlineStr">
        <is>
          <t>PROD_0026</t>
        </is>
      </c>
      <c r="B185" s="8" t="inlineStr">
        <is>
          <t>VAR_4</t>
        </is>
      </c>
      <c r="C185" s="8" t="inlineStr">
        <is>
          <t>Wooden Material</t>
        </is>
      </c>
      <c r="D185" s="8" t="inlineStr">
        <is>
          <t>Adhesive</t>
        </is>
      </c>
      <c r="E185" s="8" t="inlineStr">
        <is>
          <t>Fevicol</t>
        </is>
      </c>
      <c r="F185" s="8" t="inlineStr">
        <is>
          <t>D3</t>
        </is>
      </c>
      <c r="G185" s="8" t="n"/>
      <c r="H185" s="8" t="inlineStr">
        <is>
          <t>Weight</t>
        </is>
      </c>
      <c r="I185" s="8" t="inlineStr">
        <is>
          <t>10 kg</t>
        </is>
      </c>
      <c r="J185" s="8" t="n"/>
      <c r="K185" s="8" t="n"/>
      <c r="L185" s="8" t="n"/>
      <c r="M185" s="8" t="n"/>
      <c r="N185" s="8" t="n"/>
      <c r="O185" s="8" t="n"/>
      <c r="P185" s="8" t="n"/>
      <c r="Q185" s="8" t="inlineStr">
        <is>
          <t>Manufacturer's Warranty</t>
        </is>
      </c>
      <c r="R185" s="8" t="n"/>
      <c r="S185" s="8" t="n"/>
      <c r="T185" s="8" t="n"/>
      <c r="U185" s="8" t="n"/>
      <c r="V185" s="8" t="n"/>
      <c r="W185" s="8" t="n"/>
      <c r="X185" s="8" t="n"/>
      <c r="Y185" s="8" t="inlineStr">
        <is>
          <t>WM_ADH_FVCL_D3</t>
        </is>
      </c>
      <c r="Z185" s="8" t="n">
        <v>35069999</v>
      </c>
      <c r="AA185" s="8" t="n"/>
      <c r="AB185" s="8" t="n"/>
      <c r="AC185" s="8" t="n"/>
      <c r="AD185" s="8" t="n"/>
      <c r="AE185" s="8" t="n">
        <v>0</v>
      </c>
      <c r="AF185" s="9" t="n">
        <v>0</v>
      </c>
      <c r="AG185" s="8">
        <f>ROUND(AE185-(AE185*AF185),2)</f>
        <v/>
      </c>
      <c r="AH185" s="9" t="n">
        <v>0.18</v>
      </c>
      <c r="AI185" s="8">
        <f>ROUND(AG185+(AG185*AH185),2)</f>
        <v/>
      </c>
      <c r="AJ185" s="9" t="n">
        <v>0.2</v>
      </c>
      <c r="AK185" s="8">
        <f>ROUND(AI185*AJ185,2)</f>
        <v/>
      </c>
      <c r="AL185" s="8">
        <f>AI185+AK185</f>
        <v/>
      </c>
      <c r="AM185" s="8">
        <f>AE185-AL185</f>
        <v/>
      </c>
      <c r="AN185" s="9">
        <f>AM185/AE185</f>
        <v/>
      </c>
      <c r="AO185" s="8" t="inlineStr">
        <is>
          <t>60 mins</t>
        </is>
      </c>
      <c r="AP185" s="8" t="n"/>
      <c r="AQ185" s="8" t="inlineStr">
        <is>
          <t>Weight</t>
        </is>
      </c>
      <c r="AR185" s="8" t="n"/>
      <c r="AS185" s="8" t="inlineStr">
        <is>
          <t>D3 adhesive adhering to DIN EN 204 standards
Gives excellent bond in all types of wood
Offers handling strength in 2 hours
Convertible to D4 grade with addition of 5% hardener</t>
        </is>
      </c>
    </row>
    <row r="186" ht="15.75" customHeight="1">
      <c r="A186" s="8" t="inlineStr">
        <is>
          <t>PROD_0026</t>
        </is>
      </c>
      <c r="B186" s="8" t="inlineStr">
        <is>
          <t>VAR_5</t>
        </is>
      </c>
      <c r="C186" s="8" t="inlineStr">
        <is>
          <t>Wooden Material</t>
        </is>
      </c>
      <c r="D186" s="8" t="inlineStr">
        <is>
          <t>Adhesive</t>
        </is>
      </c>
      <c r="E186" s="8" t="inlineStr">
        <is>
          <t>Fevicol</t>
        </is>
      </c>
      <c r="F186" s="8" t="inlineStr">
        <is>
          <t>D3</t>
        </is>
      </c>
      <c r="G186" s="8" t="n"/>
      <c r="H186" s="8" t="inlineStr">
        <is>
          <t>Weight</t>
        </is>
      </c>
      <c r="I186" s="8" t="inlineStr">
        <is>
          <t>20 kg</t>
        </is>
      </c>
      <c r="J186" s="8" t="n"/>
      <c r="K186" s="8" t="n"/>
      <c r="L186" s="8" t="n"/>
      <c r="M186" s="8" t="n"/>
      <c r="N186" s="8" t="n"/>
      <c r="O186" s="8" t="n"/>
      <c r="P186" s="8" t="n"/>
      <c r="Q186" s="8" t="inlineStr">
        <is>
          <t>Manufacturer's Warranty</t>
        </is>
      </c>
      <c r="R186" s="8" t="n"/>
      <c r="S186" s="8" t="n"/>
      <c r="T186" s="8" t="n"/>
      <c r="U186" s="8" t="n"/>
      <c r="V186" s="8" t="n"/>
      <c r="W186" s="8" t="n"/>
      <c r="X186" s="8" t="n"/>
      <c r="Y186" s="8" t="inlineStr">
        <is>
          <t>WM_ADH_FVCL_D3</t>
        </is>
      </c>
      <c r="Z186" s="8" t="n">
        <v>35069999</v>
      </c>
      <c r="AA186" s="8" t="n"/>
      <c r="AB186" s="8" t="n"/>
      <c r="AC186" s="8" t="n"/>
      <c r="AD186" s="8" t="n"/>
      <c r="AE186" s="8" t="n">
        <v>0</v>
      </c>
      <c r="AF186" s="9" t="n">
        <v>0</v>
      </c>
      <c r="AG186" s="8">
        <f>ROUND(AE186-(AE186*AF186),2)</f>
        <v/>
      </c>
      <c r="AH186" s="9" t="n">
        <v>0.18</v>
      </c>
      <c r="AI186" s="8">
        <f>ROUND(AG186+(AG186*AH186),2)</f>
        <v/>
      </c>
      <c r="AJ186" s="9" t="n">
        <v>0.2</v>
      </c>
      <c r="AK186" s="8">
        <f>ROUND(AI186*AJ186,2)</f>
        <v/>
      </c>
      <c r="AL186" s="8">
        <f>AI186+AK186</f>
        <v/>
      </c>
      <c r="AM186" s="8">
        <f>AE186-AL186</f>
        <v/>
      </c>
      <c r="AN186" s="9">
        <f>AM186/AE186</f>
        <v/>
      </c>
      <c r="AO186" s="8" t="inlineStr">
        <is>
          <t>60 mins</t>
        </is>
      </c>
      <c r="AP186" s="8" t="n"/>
      <c r="AQ186" s="8" t="inlineStr">
        <is>
          <t>Weight</t>
        </is>
      </c>
      <c r="AR186" s="8" t="n"/>
      <c r="AS186" s="8" t="inlineStr">
        <is>
          <t>D3 adhesive adhering to DIN EN 204 standards
Gives excellent bond in all types of wood
Offers handling strength in 2 hours
Convertible to D4 grade with addition of 5% hardener</t>
        </is>
      </c>
    </row>
    <row r="187" ht="15.75" customHeight="1">
      <c r="A187" s="8" t="inlineStr">
        <is>
          <t>PROD_0026</t>
        </is>
      </c>
      <c r="B187" s="8" t="inlineStr">
        <is>
          <t>VAR_6</t>
        </is>
      </c>
      <c r="C187" s="8" t="inlineStr">
        <is>
          <t>Wooden Material</t>
        </is>
      </c>
      <c r="D187" s="8" t="inlineStr">
        <is>
          <t>Adhesive</t>
        </is>
      </c>
      <c r="E187" s="8" t="inlineStr">
        <is>
          <t>Fevicol</t>
        </is>
      </c>
      <c r="F187" s="8" t="inlineStr">
        <is>
          <t>D3</t>
        </is>
      </c>
      <c r="G187" s="8" t="n"/>
      <c r="H187" s="8" t="inlineStr">
        <is>
          <t>Weight</t>
        </is>
      </c>
      <c r="I187" s="8" t="inlineStr">
        <is>
          <t>50 kg</t>
        </is>
      </c>
      <c r="J187" s="8" t="n"/>
      <c r="K187" s="8" t="n"/>
      <c r="L187" s="8" t="n"/>
      <c r="M187" s="8" t="n"/>
      <c r="N187" s="8" t="n"/>
      <c r="O187" s="8" t="n"/>
      <c r="P187" s="8" t="n"/>
      <c r="Q187" s="8" t="inlineStr">
        <is>
          <t>Manufacturer's Warranty</t>
        </is>
      </c>
      <c r="R187" s="8" t="n"/>
      <c r="S187" s="8" t="n"/>
      <c r="T187" s="8" t="n"/>
      <c r="U187" s="8" t="n"/>
      <c r="V187" s="8" t="n"/>
      <c r="W187" s="8" t="n"/>
      <c r="X187" s="8" t="n"/>
      <c r="Y187" s="8" t="inlineStr">
        <is>
          <t>WM_ADH_FVCL_D3</t>
        </is>
      </c>
      <c r="Z187" s="8" t="n">
        <v>35069999</v>
      </c>
      <c r="AA187" s="8" t="n"/>
      <c r="AB187" s="8" t="n"/>
      <c r="AC187" s="8" t="n"/>
      <c r="AD187" s="8" t="n"/>
      <c r="AE187" s="8" t="n">
        <v>0</v>
      </c>
      <c r="AF187" s="9" t="n">
        <v>0</v>
      </c>
      <c r="AG187" s="8">
        <f>ROUND(AE187-(AE187*AF187),2)</f>
        <v/>
      </c>
      <c r="AH187" s="9" t="n">
        <v>0.18</v>
      </c>
      <c r="AI187" s="8">
        <f>ROUND(AG187+(AG187*AH187),2)</f>
        <v/>
      </c>
      <c r="AJ187" s="9" t="n">
        <v>0.2</v>
      </c>
      <c r="AK187" s="8">
        <f>ROUND(AI187*AJ187,2)</f>
        <v/>
      </c>
      <c r="AL187" s="8">
        <f>AI187+AK187</f>
        <v/>
      </c>
      <c r="AM187" s="8">
        <f>AE187-AL187</f>
        <v/>
      </c>
      <c r="AN187" s="9">
        <f>AM187/AE187</f>
        <v/>
      </c>
      <c r="AO187" s="8" t="inlineStr">
        <is>
          <t>60 mins</t>
        </is>
      </c>
      <c r="AP187" s="8" t="n"/>
      <c r="AQ187" s="8" t="inlineStr">
        <is>
          <t>Weight</t>
        </is>
      </c>
      <c r="AR187" s="8" t="n"/>
      <c r="AS187" s="8" t="inlineStr">
        <is>
          <t>D3 adhesive adhering to DIN EN 204 standards
Gives excellent bond in all types of wood
Offers handling strength in 2 hours
Convertible to D4 grade with addition of 5% hardener</t>
        </is>
      </c>
    </row>
    <row r="188" ht="15.75" customHeight="1">
      <c r="A188" s="8" t="inlineStr">
        <is>
          <t>PROD_0026</t>
        </is>
      </c>
      <c r="B188" s="8" t="inlineStr">
        <is>
          <t>VAR_7</t>
        </is>
      </c>
      <c r="C188" s="8" t="inlineStr">
        <is>
          <t>Wooden Material</t>
        </is>
      </c>
      <c r="D188" s="8" t="inlineStr">
        <is>
          <t>Adhesive</t>
        </is>
      </c>
      <c r="E188" s="8" t="inlineStr">
        <is>
          <t>Fevicol</t>
        </is>
      </c>
      <c r="F188" s="8" t="inlineStr">
        <is>
          <t>D3</t>
        </is>
      </c>
      <c r="G188" s="8" t="n"/>
      <c r="H188" s="8" t="inlineStr">
        <is>
          <t>Weight</t>
        </is>
      </c>
      <c r="I188" s="8" t="inlineStr">
        <is>
          <t>60 kg</t>
        </is>
      </c>
      <c r="J188" s="8" t="n"/>
      <c r="K188" s="8" t="n"/>
      <c r="L188" s="8" t="n"/>
      <c r="M188" s="8" t="n"/>
      <c r="N188" s="8" t="n"/>
      <c r="O188" s="8" t="n"/>
      <c r="P188" s="8" t="n"/>
      <c r="Q188" s="8" t="inlineStr">
        <is>
          <t>Manufacturer's Warranty</t>
        </is>
      </c>
      <c r="R188" s="8" t="n"/>
      <c r="S188" s="8" t="n"/>
      <c r="T188" s="8" t="n"/>
      <c r="U188" s="8" t="n"/>
      <c r="V188" s="8" t="n"/>
      <c r="W188" s="8" t="n"/>
      <c r="X188" s="8" t="n"/>
      <c r="Y188" s="8" t="inlineStr">
        <is>
          <t>WM_ADH_FVCL_D3</t>
        </is>
      </c>
      <c r="Z188" s="8" t="n">
        <v>35069999</v>
      </c>
      <c r="AA188" s="8" t="n"/>
      <c r="AB188" s="8" t="n"/>
      <c r="AC188" s="8" t="n"/>
      <c r="AD188" s="8" t="n"/>
      <c r="AE188" s="8" t="n">
        <v>0</v>
      </c>
      <c r="AF188" s="9" t="n">
        <v>0</v>
      </c>
      <c r="AG188" s="8">
        <f>ROUND(AE188-(AE188*AF188),2)</f>
        <v/>
      </c>
      <c r="AH188" s="9" t="n">
        <v>0.18</v>
      </c>
      <c r="AI188" s="8">
        <f>ROUND(AG188+(AG188*AH188),2)</f>
        <v/>
      </c>
      <c r="AJ188" s="9" t="n">
        <v>0.2</v>
      </c>
      <c r="AK188" s="8">
        <f>ROUND(AI188*AJ188,2)</f>
        <v/>
      </c>
      <c r="AL188" s="8">
        <f>AI188+AK188</f>
        <v/>
      </c>
      <c r="AM188" s="8">
        <f>AE188-AL188</f>
        <v/>
      </c>
      <c r="AN188" s="9">
        <f>AM188/AE188</f>
        <v/>
      </c>
      <c r="AO188" s="8" t="inlineStr">
        <is>
          <t>60 mins</t>
        </is>
      </c>
      <c r="AP188" s="8" t="n"/>
      <c r="AQ188" s="8" t="inlineStr">
        <is>
          <t>Weight</t>
        </is>
      </c>
      <c r="AR188" s="8" t="n"/>
      <c r="AS188" s="8" t="inlineStr">
        <is>
          <t>D3 adhesive adhering to DIN EN 204 standards
Gives excellent bond in all types of wood
Offers handling strength in 2 hours
Convertible to D4 grade with addition of 5% hardener</t>
        </is>
      </c>
    </row>
    <row r="189" ht="15.75" customHeight="1">
      <c r="A189" s="3" t="inlineStr">
        <is>
          <t>PROD_0027</t>
        </is>
      </c>
      <c r="B189" s="3" t="inlineStr">
        <is>
          <t>VAR_1</t>
        </is>
      </c>
      <c r="C189" s="3" t="inlineStr">
        <is>
          <t>Wooden Material</t>
        </is>
      </c>
      <c r="D189" s="3" t="inlineStr">
        <is>
          <t>Adhesive</t>
        </is>
      </c>
      <c r="E189" s="3" t="inlineStr">
        <is>
          <t>Fevicol</t>
        </is>
      </c>
      <c r="F189" s="3" t="inlineStr">
        <is>
          <t>Master Lok</t>
        </is>
      </c>
      <c r="H189" s="3" t="inlineStr">
        <is>
          <t>Weight</t>
        </is>
      </c>
      <c r="I189" s="3" t="inlineStr">
        <is>
          <t>125 gm</t>
        </is>
      </c>
      <c r="Q189" s="3" t="inlineStr">
        <is>
          <t>Manufacturer's Warranty</t>
        </is>
      </c>
      <c r="Y189" s="3" t="inlineStr">
        <is>
          <t>FC_MASTER_LOK_125GM</t>
        </is>
      </c>
      <c r="Z189" s="3" t="n">
        <v>3506</v>
      </c>
      <c r="AE189" s="3" t="n">
        <v>0</v>
      </c>
      <c r="AF189" s="4" t="n">
        <v>0</v>
      </c>
      <c r="AG189" s="3" t="n">
        <v>16.27</v>
      </c>
      <c r="AH189" s="4" t="n">
        <v>0.18</v>
      </c>
      <c r="AI189" s="3">
        <f>ROUND(AG189+(AG189*AH189),2)</f>
        <v/>
      </c>
      <c r="AJ189" s="4" t="n">
        <v>0.2</v>
      </c>
      <c r="AK189" s="3">
        <f>ROUND(AI189*AJ189,2)</f>
        <v/>
      </c>
      <c r="AL189" s="3">
        <f>AI189+AK189</f>
        <v/>
      </c>
      <c r="AM189" s="3">
        <f>AE189-AL189</f>
        <v/>
      </c>
      <c r="AN189" s="4">
        <f>AM189/AE189</f>
        <v/>
      </c>
      <c r="AO189" s="3" t="inlineStr">
        <is>
          <t>60 mins</t>
        </is>
      </c>
      <c r="AQ189" s="3" t="inlineStr">
        <is>
          <t>Weight</t>
        </is>
      </c>
      <c r="AS189"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0" ht="15.75" customHeight="1">
      <c r="A190" s="3" t="inlineStr">
        <is>
          <t>PROD_0027</t>
        </is>
      </c>
      <c r="B190" s="3" t="inlineStr">
        <is>
          <t>VAR_2</t>
        </is>
      </c>
      <c r="C190" s="3" t="inlineStr">
        <is>
          <t>Wooden Material</t>
        </is>
      </c>
      <c r="D190" s="3" t="inlineStr">
        <is>
          <t>Adhesive</t>
        </is>
      </c>
      <c r="E190" s="3" t="inlineStr">
        <is>
          <t>Fevicol</t>
        </is>
      </c>
      <c r="F190" s="3" t="inlineStr">
        <is>
          <t>Master Lok</t>
        </is>
      </c>
      <c r="H190" s="3" t="inlineStr">
        <is>
          <t>Weight</t>
        </is>
      </c>
      <c r="I190" s="3" t="inlineStr">
        <is>
          <t>250 gm</t>
        </is>
      </c>
      <c r="Q190" s="3" t="inlineStr">
        <is>
          <t>Manufacturer's Warranty</t>
        </is>
      </c>
      <c r="Y190" s="3" t="inlineStr">
        <is>
          <t xml:space="preserve">FC_MASTER_LOK_250GM </t>
        </is>
      </c>
      <c r="Z190" s="3" t="n">
        <v>3506</v>
      </c>
      <c r="AE190" s="3" t="n">
        <v>0</v>
      </c>
      <c r="AF190" s="4" t="n">
        <v>0</v>
      </c>
      <c r="AG190" s="3" t="n">
        <v>30.1</v>
      </c>
      <c r="AH190" s="4" t="n">
        <v>0.18</v>
      </c>
      <c r="AI190" s="3">
        <f>ROUND(AG190+(AG190*AH190),2)</f>
        <v/>
      </c>
      <c r="AJ190" s="4" t="n">
        <v>0.2</v>
      </c>
      <c r="AK190" s="3">
        <f>ROUND(AI190*AJ190,2)</f>
        <v/>
      </c>
      <c r="AL190" s="3">
        <f>AI190+AK190</f>
        <v/>
      </c>
      <c r="AM190" s="3">
        <f>AE190-AL190</f>
        <v/>
      </c>
      <c r="AN190" s="4">
        <f>AM190/AE190</f>
        <v/>
      </c>
      <c r="AO190" s="3" t="inlineStr">
        <is>
          <t>60 mins</t>
        </is>
      </c>
      <c r="AQ190" s="3" t="inlineStr">
        <is>
          <t>Weight</t>
        </is>
      </c>
      <c r="AS190"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1" ht="15.75" customHeight="1">
      <c r="A191" s="3" t="inlineStr">
        <is>
          <t>PROD_0027</t>
        </is>
      </c>
      <c r="B191" s="3" t="inlineStr">
        <is>
          <t>VAR_3</t>
        </is>
      </c>
      <c r="C191" s="3" t="inlineStr">
        <is>
          <t>Wooden Material</t>
        </is>
      </c>
      <c r="D191" s="3" t="inlineStr">
        <is>
          <t>Adhesive</t>
        </is>
      </c>
      <c r="E191" s="3" t="inlineStr">
        <is>
          <t>Fevicol</t>
        </is>
      </c>
      <c r="F191" s="3" t="inlineStr">
        <is>
          <t>Master Lok</t>
        </is>
      </c>
      <c r="H191" s="3" t="inlineStr">
        <is>
          <t>Weight</t>
        </is>
      </c>
      <c r="I191" s="3" t="inlineStr">
        <is>
          <t>500 gm</t>
        </is>
      </c>
      <c r="Q191" s="3" t="inlineStr">
        <is>
          <t>Manufacturer's Warranty</t>
        </is>
      </c>
      <c r="Y191" s="3" t="inlineStr">
        <is>
          <t>FC_MASTER_LOK_500GM</t>
        </is>
      </c>
      <c r="Z191" s="3" t="n">
        <v>3506</v>
      </c>
      <c r="AE191" s="3" t="n">
        <v>0</v>
      </c>
      <c r="AF191" s="4" t="n">
        <v>0</v>
      </c>
      <c r="AG191" s="3" t="n">
        <v>53.69</v>
      </c>
      <c r="AH191" s="4" t="n">
        <v>0.18</v>
      </c>
      <c r="AI191" s="3">
        <f>ROUND(AG191+(AG191*AH191),2)</f>
        <v/>
      </c>
      <c r="AJ191" s="4" t="n">
        <v>0.2</v>
      </c>
      <c r="AK191" s="3">
        <f>ROUND(AI191*AJ191,2)</f>
        <v/>
      </c>
      <c r="AL191" s="3">
        <f>AI191+AK191</f>
        <v/>
      </c>
      <c r="AM191" s="3">
        <f>AE191-AL191</f>
        <v/>
      </c>
      <c r="AN191" s="4">
        <f>AM191/AE191</f>
        <v/>
      </c>
      <c r="AO191" s="3" t="inlineStr">
        <is>
          <t>60 mins</t>
        </is>
      </c>
      <c r="AQ191" s="3" t="inlineStr">
        <is>
          <t>Weight</t>
        </is>
      </c>
      <c r="AS191"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2" ht="15.75" customHeight="1">
      <c r="A192" s="3" t="inlineStr">
        <is>
          <t>PROD_0027</t>
        </is>
      </c>
      <c r="B192" s="3" t="inlineStr">
        <is>
          <t>VAR_4</t>
        </is>
      </c>
      <c r="C192" s="3" t="inlineStr">
        <is>
          <t>Wooden Material</t>
        </is>
      </c>
      <c r="D192" s="3" t="inlineStr">
        <is>
          <t>Adhesive</t>
        </is>
      </c>
      <c r="E192" s="3" t="inlineStr">
        <is>
          <t>Fevicol</t>
        </is>
      </c>
      <c r="F192" s="3" t="inlineStr">
        <is>
          <t>Master Lok</t>
        </is>
      </c>
      <c r="H192" s="3" t="inlineStr">
        <is>
          <t>Weight</t>
        </is>
      </c>
      <c r="I192" s="3" t="inlineStr">
        <is>
          <t>1kg</t>
        </is>
      </c>
      <c r="Q192" s="3" t="inlineStr">
        <is>
          <t>Manufacturer's Warranty</t>
        </is>
      </c>
      <c r="Y192" s="3" t="inlineStr">
        <is>
          <t>FC_MASTER_LOK_1KG</t>
        </is>
      </c>
      <c r="Z192" s="3" t="n">
        <v>3506</v>
      </c>
      <c r="AE192" s="3" t="n">
        <v>0</v>
      </c>
      <c r="AF192" s="4" t="n">
        <v>0</v>
      </c>
      <c r="AG192" s="3" t="n">
        <v>89.48999999999999</v>
      </c>
      <c r="AH192" s="4" t="n">
        <v>0.18</v>
      </c>
      <c r="AI192" s="3">
        <f>ROUND(AG192+(AG192*AH192),2)</f>
        <v/>
      </c>
      <c r="AJ192" s="4" t="n">
        <v>0.2</v>
      </c>
      <c r="AK192" s="3">
        <f>ROUND(AI192*AJ192,2)</f>
        <v/>
      </c>
      <c r="AL192" s="3">
        <f>AI192+AK192</f>
        <v/>
      </c>
      <c r="AM192" s="3">
        <f>AE192-AL192</f>
        <v/>
      </c>
      <c r="AN192" s="4">
        <f>AM192/AE192</f>
        <v/>
      </c>
      <c r="AO192" s="3" t="inlineStr">
        <is>
          <t>60 mins</t>
        </is>
      </c>
      <c r="AQ192" s="3" t="inlineStr">
        <is>
          <t>Weight</t>
        </is>
      </c>
      <c r="AS192"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3" ht="15.75" customHeight="1">
      <c r="A193" s="3" t="inlineStr">
        <is>
          <t>PROD_0027</t>
        </is>
      </c>
      <c r="B193" s="3" t="inlineStr">
        <is>
          <t>VAR_5</t>
        </is>
      </c>
      <c r="C193" s="3" t="inlineStr">
        <is>
          <t>Wooden Material</t>
        </is>
      </c>
      <c r="D193" s="3" t="inlineStr">
        <is>
          <t>Adhesive</t>
        </is>
      </c>
      <c r="E193" s="3" t="inlineStr">
        <is>
          <t>Fevicol</t>
        </is>
      </c>
      <c r="F193" s="3" t="inlineStr">
        <is>
          <t>Master Lok</t>
        </is>
      </c>
      <c r="H193" s="3" t="inlineStr">
        <is>
          <t>Weight</t>
        </is>
      </c>
      <c r="I193" s="3" t="inlineStr">
        <is>
          <t>2kg</t>
        </is>
      </c>
      <c r="Q193" s="3" t="inlineStr">
        <is>
          <t>Manufacturer's Warranty</t>
        </is>
      </c>
      <c r="Y193" s="3" t="inlineStr">
        <is>
          <t>FC_MASTER_LOK_2KG</t>
        </is>
      </c>
      <c r="Z193" s="3" t="n">
        <v>3506</v>
      </c>
      <c r="AE193" s="3" t="n">
        <v>0</v>
      </c>
      <c r="AF193" s="4" t="n">
        <v>0</v>
      </c>
      <c r="AG193" s="3" t="n">
        <v>98.44</v>
      </c>
      <c r="AH193" s="4" t="n">
        <v>0.18</v>
      </c>
      <c r="AI193" s="3">
        <f>ROUND(AG193+(AG193*AH193),2)</f>
        <v/>
      </c>
      <c r="AJ193" s="4" t="n">
        <v>0.2</v>
      </c>
      <c r="AK193" s="3">
        <f>ROUND(AI193*AJ193,2)</f>
        <v/>
      </c>
      <c r="AL193" s="3">
        <f>AI193+AK193</f>
        <v/>
      </c>
      <c r="AM193" s="3">
        <f>AE193-AL193</f>
        <v/>
      </c>
      <c r="AN193" s="4">
        <f>AM193/AE193</f>
        <v/>
      </c>
      <c r="AO193" s="3" t="inlineStr">
        <is>
          <t>60 mins</t>
        </is>
      </c>
      <c r="AQ193" s="3" t="inlineStr">
        <is>
          <t>Weight</t>
        </is>
      </c>
      <c r="AS193"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4" ht="15.75" customHeight="1">
      <c r="A194" s="3" t="inlineStr">
        <is>
          <t>PROD_0027</t>
        </is>
      </c>
      <c r="B194" s="3" t="inlineStr">
        <is>
          <t>VAR_6</t>
        </is>
      </c>
      <c r="C194" s="3" t="inlineStr">
        <is>
          <t>Wooden Material</t>
        </is>
      </c>
      <c r="D194" s="3" t="inlineStr">
        <is>
          <t>Adhesive</t>
        </is>
      </c>
      <c r="E194" s="3" t="inlineStr">
        <is>
          <t>Fevicol</t>
        </is>
      </c>
      <c r="F194" s="3" t="inlineStr">
        <is>
          <t>Master Lok</t>
        </is>
      </c>
      <c r="H194" s="3" t="inlineStr">
        <is>
          <t>Weight</t>
        </is>
      </c>
      <c r="I194" s="3" t="inlineStr">
        <is>
          <t>5 kg</t>
        </is>
      </c>
      <c r="Q194" s="3" t="inlineStr">
        <is>
          <t>Manufacturer's Warranty</t>
        </is>
      </c>
      <c r="Y194" s="3" t="inlineStr">
        <is>
          <t>FC_MASTER_LOK_5KG</t>
        </is>
      </c>
      <c r="Z194" s="3" t="n">
        <v>3506</v>
      </c>
      <c r="AE194" s="3" t="n">
        <v>0</v>
      </c>
      <c r="AF194" s="4" t="n">
        <v>0</v>
      </c>
      <c r="AG194" s="3" t="n">
        <v>193.63</v>
      </c>
      <c r="AH194" s="4" t="n">
        <v>0.18</v>
      </c>
      <c r="AI194" s="3">
        <f>ROUND(AG194+(AG194*AH194),2)</f>
        <v/>
      </c>
      <c r="AJ194" s="4" t="n">
        <v>0.2</v>
      </c>
      <c r="AK194" s="3">
        <f>ROUND(AI194*AJ194,2)</f>
        <v/>
      </c>
      <c r="AL194" s="3">
        <f>AI194+AK194</f>
        <v/>
      </c>
      <c r="AM194" s="3">
        <f>AE194-AL194</f>
        <v/>
      </c>
      <c r="AN194" s="4">
        <f>AM194/AE194</f>
        <v/>
      </c>
      <c r="AO194" s="3" t="inlineStr">
        <is>
          <t>60 mins</t>
        </is>
      </c>
      <c r="AQ194" s="3" t="inlineStr">
        <is>
          <t>Weight</t>
        </is>
      </c>
      <c r="AS194"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5" ht="15.75" customHeight="1">
      <c r="A195" s="3" t="inlineStr">
        <is>
          <t>PROD_0027</t>
        </is>
      </c>
      <c r="B195" s="3" t="inlineStr">
        <is>
          <t>VAR_7</t>
        </is>
      </c>
      <c r="C195" s="3" t="inlineStr">
        <is>
          <t>Wooden Material</t>
        </is>
      </c>
      <c r="D195" s="3" t="inlineStr">
        <is>
          <t>Adhesive</t>
        </is>
      </c>
      <c r="E195" s="3" t="inlineStr">
        <is>
          <t>Fevicol</t>
        </is>
      </c>
      <c r="F195" s="3" t="inlineStr">
        <is>
          <t>Master Lok</t>
        </is>
      </c>
      <c r="H195" s="3" t="inlineStr">
        <is>
          <t>Weight</t>
        </is>
      </c>
      <c r="I195" s="3" t="inlineStr">
        <is>
          <t>10 kg</t>
        </is>
      </c>
      <c r="Q195" s="3" t="inlineStr">
        <is>
          <t>Manufacturer's Warranty</t>
        </is>
      </c>
      <c r="Y195" s="3" t="inlineStr">
        <is>
          <t>FC_MASTER_LOK_10KG</t>
        </is>
      </c>
      <c r="Z195" s="3" t="n">
        <v>3506</v>
      </c>
      <c r="AE195" s="3" t="n">
        <v>0</v>
      </c>
      <c r="AF195" s="4" t="n">
        <v>0</v>
      </c>
      <c r="AG195" s="3" t="n">
        <v>475.12</v>
      </c>
      <c r="AH195" s="4" t="n">
        <v>0.18</v>
      </c>
      <c r="AI195" s="3">
        <f>ROUND(AG195+(AG195*AH195),2)</f>
        <v/>
      </c>
      <c r="AJ195" s="4" t="n">
        <v>0.2</v>
      </c>
      <c r="AK195" s="3">
        <f>ROUND(AI195*AJ195,2)</f>
        <v/>
      </c>
      <c r="AL195" s="3">
        <f>AI195+AK195</f>
        <v/>
      </c>
      <c r="AM195" s="3">
        <f>AE195-AL195</f>
        <v/>
      </c>
      <c r="AN195" s="4">
        <f>AM195/AE195</f>
        <v/>
      </c>
      <c r="AO195" s="3" t="inlineStr">
        <is>
          <t>60 mins</t>
        </is>
      </c>
      <c r="AQ195" s="3" t="inlineStr">
        <is>
          <t>Weight</t>
        </is>
      </c>
      <c r="AS195"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6" ht="15.75" customHeight="1">
      <c r="A196" s="3" t="inlineStr">
        <is>
          <t>PROD_0027</t>
        </is>
      </c>
      <c r="B196" s="3" t="inlineStr">
        <is>
          <t>VAR_8</t>
        </is>
      </c>
      <c r="C196" s="3" t="inlineStr">
        <is>
          <t>Wooden Material</t>
        </is>
      </c>
      <c r="D196" s="3" t="inlineStr">
        <is>
          <t>Adhesive</t>
        </is>
      </c>
      <c r="E196" s="3" t="inlineStr">
        <is>
          <t>Fevicol</t>
        </is>
      </c>
      <c r="F196" s="3" t="inlineStr">
        <is>
          <t>Master Lok</t>
        </is>
      </c>
      <c r="H196" s="3" t="inlineStr">
        <is>
          <t>Weight</t>
        </is>
      </c>
      <c r="I196" s="3" t="inlineStr">
        <is>
          <t>20 kg</t>
        </is>
      </c>
      <c r="Q196" s="3" t="inlineStr">
        <is>
          <t>Manufacturer's Warranty</t>
        </is>
      </c>
      <c r="Y196" s="3" t="inlineStr">
        <is>
          <t>FC_MASTER_LOK_20KG</t>
        </is>
      </c>
      <c r="Z196" s="3" t="n">
        <v>3506</v>
      </c>
      <c r="AE196" s="3" t="n">
        <v>0</v>
      </c>
      <c r="AF196" s="4" t="n">
        <v>0</v>
      </c>
      <c r="AG196" s="3" t="n">
        <v>1824.81</v>
      </c>
      <c r="AH196" s="4" t="n">
        <v>0.18</v>
      </c>
      <c r="AI196" s="3">
        <f>ROUND(AG196+(AG196*AH196),2)</f>
        <v/>
      </c>
      <c r="AJ196" s="4" t="n">
        <v>0.2</v>
      </c>
      <c r="AK196" s="3">
        <f>ROUND(AI196*AJ196,2)</f>
        <v/>
      </c>
      <c r="AL196" s="3">
        <f>AI196+AK196</f>
        <v/>
      </c>
      <c r="AM196" s="3">
        <f>AE196-AL196</f>
        <v/>
      </c>
      <c r="AN196" s="4">
        <f>AM196/AE196</f>
        <v/>
      </c>
      <c r="AO196" s="3" t="inlineStr">
        <is>
          <t>60 mins</t>
        </is>
      </c>
      <c r="AQ196" s="3" t="inlineStr">
        <is>
          <t>Weight</t>
        </is>
      </c>
      <c r="AS196"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7" ht="15.75" customHeight="1">
      <c r="A197" s="3" t="inlineStr">
        <is>
          <t>PROD_0027</t>
        </is>
      </c>
      <c r="B197" s="3" t="inlineStr">
        <is>
          <t>VAR_9</t>
        </is>
      </c>
      <c r="C197" s="3" t="inlineStr">
        <is>
          <t>Wooden Material</t>
        </is>
      </c>
      <c r="D197" s="3" t="inlineStr">
        <is>
          <t>Adhesive</t>
        </is>
      </c>
      <c r="E197" s="3" t="inlineStr">
        <is>
          <t>Fevicol</t>
        </is>
      </c>
      <c r="F197" s="3" t="inlineStr">
        <is>
          <t>Master Lok</t>
        </is>
      </c>
      <c r="H197" s="3" t="inlineStr">
        <is>
          <t>Weight</t>
        </is>
      </c>
      <c r="I197" s="3" t="inlineStr">
        <is>
          <t>50 kg</t>
        </is>
      </c>
      <c r="Q197" s="3" t="inlineStr">
        <is>
          <t>Manufacturer's Warranty</t>
        </is>
      </c>
      <c r="Y197" s="3" t="inlineStr">
        <is>
          <t>FC_MASTER_LOK_50KG</t>
        </is>
      </c>
      <c r="Z197" s="3" t="n">
        <v>3506</v>
      </c>
      <c r="AE197" s="3" t="n">
        <v>0</v>
      </c>
      <c r="AF197" s="4" t="n">
        <v>0</v>
      </c>
      <c r="AG197" s="3" t="n">
        <v>4421.69</v>
      </c>
      <c r="AH197" s="4" t="n">
        <v>0.18</v>
      </c>
      <c r="AI197" s="3">
        <f>ROUND(AG197+(AG197*AH197),2)</f>
        <v/>
      </c>
      <c r="AJ197" s="4" t="n">
        <v>0.2</v>
      </c>
      <c r="AK197" s="3">
        <f>ROUND(AI197*AJ197,2)</f>
        <v/>
      </c>
      <c r="AL197" s="3">
        <f>AI197+AK197</f>
        <v/>
      </c>
      <c r="AM197" s="3">
        <f>AE197-AL197</f>
        <v/>
      </c>
      <c r="AN197" s="4">
        <f>AM197/AE197</f>
        <v/>
      </c>
      <c r="AO197" s="3" t="inlineStr">
        <is>
          <t>60 mins</t>
        </is>
      </c>
      <c r="AQ197" s="3" t="inlineStr">
        <is>
          <t>Weight</t>
        </is>
      </c>
      <c r="AS197" s="3" t="inlineStr">
        <is>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is>
      </c>
    </row>
    <row r="198" ht="15.75" customHeight="1">
      <c r="A198" s="8" t="inlineStr">
        <is>
          <t>PROD_0028</t>
        </is>
      </c>
      <c r="B198" s="8" t="inlineStr">
        <is>
          <t>VAR_1</t>
        </is>
      </c>
      <c r="C198" s="8" t="inlineStr">
        <is>
          <t>Wooden Material</t>
        </is>
      </c>
      <c r="D198" s="8" t="inlineStr">
        <is>
          <t>Adhesive</t>
        </is>
      </c>
      <c r="E198" s="8" t="inlineStr">
        <is>
          <t>Fevicol</t>
        </is>
      </c>
      <c r="F198" s="8" t="inlineStr">
        <is>
          <t>Water Shield Marine</t>
        </is>
      </c>
      <c r="G198" s="8" t="n"/>
      <c r="H198" s="8" t="inlineStr">
        <is>
          <t>Weight</t>
        </is>
      </c>
      <c r="I198" s="8" t="inlineStr">
        <is>
          <t>1kg</t>
        </is>
      </c>
      <c r="J198" s="8" t="n"/>
      <c r="K198" s="8" t="n"/>
      <c r="L198" s="8" t="n"/>
      <c r="M198" s="8" t="n"/>
      <c r="N198" s="8" t="n"/>
      <c r="O198" s="8" t="n"/>
      <c r="P198" s="8" t="n"/>
      <c r="Q198" s="8" t="inlineStr">
        <is>
          <t>Manufacturer's Warranty</t>
        </is>
      </c>
      <c r="R198" s="8" t="n"/>
      <c r="S198" s="8" t="n"/>
      <c r="T198" s="8" t="n"/>
      <c r="U198" s="8" t="n"/>
      <c r="V198" s="8" t="n"/>
      <c r="W198" s="8" t="n"/>
      <c r="X198" s="8" t="n"/>
      <c r="Y198" s="8" t="inlineStr">
        <is>
          <t>FC_Water_Shield_Marine_1KG</t>
        </is>
      </c>
      <c r="Z198" s="8" t="n">
        <v>35069190</v>
      </c>
      <c r="AA198" s="8" t="n"/>
      <c r="AB198" s="8" t="n"/>
      <c r="AC198" s="8" t="n"/>
      <c r="AD198" s="8" t="n"/>
      <c r="AE198" s="8" t="n">
        <v>0</v>
      </c>
      <c r="AF198" s="9" t="n">
        <v>0</v>
      </c>
      <c r="AG198" s="8">
        <f>ROUND(AE198-(AE198*AF198),2)</f>
        <v/>
      </c>
      <c r="AH198" s="9" t="n">
        <v>0.18</v>
      </c>
      <c r="AI198" s="8">
        <f>ROUND(AG198+(AG198*AH198),2)</f>
        <v/>
      </c>
      <c r="AJ198" s="9" t="n">
        <v>0.2</v>
      </c>
      <c r="AK198" s="8">
        <f>ROUND(AI198*AJ198,2)</f>
        <v/>
      </c>
      <c r="AL198" s="8">
        <f>AI198+AK198</f>
        <v/>
      </c>
      <c r="AM198" s="8">
        <f>AE198-AL198</f>
        <v/>
      </c>
      <c r="AN198" s="9">
        <f>AM198/AE198</f>
        <v/>
      </c>
      <c r="AO198" s="8" t="inlineStr">
        <is>
          <t>60 mins</t>
        </is>
      </c>
      <c r="AP198" s="8" t="n"/>
      <c r="AQ198" s="8" t="inlineStr">
        <is>
          <t>Weight</t>
        </is>
      </c>
      <c r="AR198" s="8" t="n"/>
      <c r="AS198"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199" ht="15.75" customHeight="1">
      <c r="A199" s="8" t="inlineStr">
        <is>
          <t>PROD_0028</t>
        </is>
      </c>
      <c r="B199" s="8" t="inlineStr">
        <is>
          <t>VAR_2</t>
        </is>
      </c>
      <c r="C199" s="8" t="inlineStr">
        <is>
          <t>Wooden Material</t>
        </is>
      </c>
      <c r="D199" s="8" t="inlineStr">
        <is>
          <t>Adhesive</t>
        </is>
      </c>
      <c r="E199" s="8" t="inlineStr">
        <is>
          <t>Fevicol</t>
        </is>
      </c>
      <c r="F199" s="8" t="inlineStr">
        <is>
          <t>Water Shield Marine</t>
        </is>
      </c>
      <c r="G199" s="8" t="n"/>
      <c r="H199" s="8" t="inlineStr">
        <is>
          <t>Weight</t>
        </is>
      </c>
      <c r="I199" s="8" t="inlineStr">
        <is>
          <t>2kg</t>
        </is>
      </c>
      <c r="J199" s="8" t="n"/>
      <c r="K199" s="8" t="n"/>
      <c r="L199" s="8" t="n"/>
      <c r="M199" s="8" t="n"/>
      <c r="N199" s="8" t="n"/>
      <c r="O199" s="8" t="n"/>
      <c r="P199" s="8" t="n"/>
      <c r="Q199" s="8" t="inlineStr">
        <is>
          <t>Manufacturer's Warranty</t>
        </is>
      </c>
      <c r="R199" s="8" t="n"/>
      <c r="S199" s="8" t="n"/>
      <c r="T199" s="8" t="n"/>
      <c r="U199" s="8" t="n"/>
      <c r="V199" s="8" t="n"/>
      <c r="W199" s="8" t="n"/>
      <c r="X199" s="8" t="n"/>
      <c r="Y199" s="8" t="inlineStr">
        <is>
          <t>FC_Water_Shield_Marine_2KG</t>
        </is>
      </c>
      <c r="Z199" s="8" t="n">
        <v>35069190</v>
      </c>
      <c r="AA199" s="8" t="n"/>
      <c r="AB199" s="8" t="n"/>
      <c r="AC199" s="8" t="n"/>
      <c r="AD199" s="8" t="n"/>
      <c r="AE199" s="8" t="n">
        <v>0</v>
      </c>
      <c r="AF199" s="9" t="n">
        <v>0</v>
      </c>
      <c r="AG199" s="8">
        <f>ROUND(AE199-(AE199*AF199),2)</f>
        <v/>
      </c>
      <c r="AH199" s="9" t="n">
        <v>0.18</v>
      </c>
      <c r="AI199" s="8">
        <f>ROUND(AG199+(AG199*AH199),2)</f>
        <v/>
      </c>
      <c r="AJ199" s="9" t="n">
        <v>0.2</v>
      </c>
      <c r="AK199" s="8">
        <f>ROUND(AI199*AJ199,2)</f>
        <v/>
      </c>
      <c r="AL199" s="8">
        <f>AI199+AK199</f>
        <v/>
      </c>
      <c r="AM199" s="8">
        <f>AE199-AL199</f>
        <v/>
      </c>
      <c r="AN199" s="9">
        <f>AM199/AE199</f>
        <v/>
      </c>
      <c r="AO199" s="8" t="inlineStr">
        <is>
          <t>60 mins</t>
        </is>
      </c>
      <c r="AP199" s="8" t="n"/>
      <c r="AQ199" s="8" t="inlineStr">
        <is>
          <t>Weight</t>
        </is>
      </c>
      <c r="AR199" s="8" t="n"/>
      <c r="AS199"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200" ht="15.75" customHeight="1">
      <c r="A200" s="8" t="inlineStr">
        <is>
          <t>PROD_0028</t>
        </is>
      </c>
      <c r="B200" s="8" t="inlineStr">
        <is>
          <t>VAR_3</t>
        </is>
      </c>
      <c r="C200" s="8" t="inlineStr">
        <is>
          <t>Wooden Material</t>
        </is>
      </c>
      <c r="D200" s="8" t="inlineStr">
        <is>
          <t>Adhesive</t>
        </is>
      </c>
      <c r="E200" s="8" t="inlineStr">
        <is>
          <t>Fevicol</t>
        </is>
      </c>
      <c r="F200" s="8" t="inlineStr">
        <is>
          <t>Water Shield Marine</t>
        </is>
      </c>
      <c r="G200" s="8" t="n"/>
      <c r="H200" s="8" t="inlineStr">
        <is>
          <t>Weight</t>
        </is>
      </c>
      <c r="I200" s="8" t="inlineStr">
        <is>
          <t>5 kg</t>
        </is>
      </c>
      <c r="J200" s="8" t="n"/>
      <c r="K200" s="8" t="n"/>
      <c r="L200" s="8" t="n"/>
      <c r="M200" s="8" t="n"/>
      <c r="N200" s="8" t="n"/>
      <c r="O200" s="8" t="n"/>
      <c r="P200" s="8" t="n"/>
      <c r="Q200" s="8" t="inlineStr">
        <is>
          <t>Manufacturer's Warranty</t>
        </is>
      </c>
      <c r="R200" s="8" t="n"/>
      <c r="S200" s="8" t="n"/>
      <c r="T200" s="8" t="n"/>
      <c r="U200" s="8" t="n"/>
      <c r="V200" s="8" t="n"/>
      <c r="W200" s="8" t="n"/>
      <c r="X200" s="8" t="n"/>
      <c r="Y200" s="8" t="inlineStr">
        <is>
          <t>FC_Water_Shield_Marine_5KG</t>
        </is>
      </c>
      <c r="Z200" s="8" t="n">
        <v>35069190</v>
      </c>
      <c r="AA200" s="8" t="n"/>
      <c r="AB200" s="8" t="n"/>
      <c r="AC200" s="8" t="n"/>
      <c r="AD200" s="8" t="n"/>
      <c r="AE200" s="8" t="n">
        <v>0</v>
      </c>
      <c r="AF200" s="9" t="n">
        <v>0</v>
      </c>
      <c r="AG200" s="8">
        <f>ROUND(AE200-(AE200*AF200),2)</f>
        <v/>
      </c>
      <c r="AH200" s="9" t="n">
        <v>0.18</v>
      </c>
      <c r="AI200" s="8">
        <f>ROUND(AG200+(AG200*AH200),2)</f>
        <v/>
      </c>
      <c r="AJ200" s="9" t="n">
        <v>0.2</v>
      </c>
      <c r="AK200" s="8">
        <f>ROUND(AI200*AJ200,2)</f>
        <v/>
      </c>
      <c r="AL200" s="8">
        <f>AI200+AK200</f>
        <v/>
      </c>
      <c r="AM200" s="8">
        <f>AE200-AL200</f>
        <v/>
      </c>
      <c r="AN200" s="9">
        <f>AM200/AE200</f>
        <v/>
      </c>
      <c r="AO200" s="8" t="inlineStr">
        <is>
          <t>60 mins</t>
        </is>
      </c>
      <c r="AP200" s="8" t="n"/>
      <c r="AQ200" s="8" t="inlineStr">
        <is>
          <t>Weight</t>
        </is>
      </c>
      <c r="AR200" s="8" t="n"/>
      <c r="AS200"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201" ht="15.75" customHeight="1">
      <c r="A201" s="8" t="inlineStr">
        <is>
          <t>PROD_0028</t>
        </is>
      </c>
      <c r="B201" s="8" t="inlineStr">
        <is>
          <t>VAR_4</t>
        </is>
      </c>
      <c r="C201" s="8" t="inlineStr">
        <is>
          <t>Wooden Material</t>
        </is>
      </c>
      <c r="D201" s="8" t="inlineStr">
        <is>
          <t>Adhesive</t>
        </is>
      </c>
      <c r="E201" s="8" t="inlineStr">
        <is>
          <t>Fevicol</t>
        </is>
      </c>
      <c r="F201" s="8" t="inlineStr">
        <is>
          <t>Water Shield Marine</t>
        </is>
      </c>
      <c r="G201" s="8" t="n"/>
      <c r="H201" s="8" t="inlineStr">
        <is>
          <t>Weight</t>
        </is>
      </c>
      <c r="I201" s="8" t="inlineStr">
        <is>
          <t>10 kg</t>
        </is>
      </c>
      <c r="J201" s="8" t="n"/>
      <c r="K201" s="8" t="n"/>
      <c r="L201" s="8" t="n"/>
      <c r="M201" s="8" t="n"/>
      <c r="N201" s="8" t="n"/>
      <c r="O201" s="8" t="n"/>
      <c r="P201" s="8" t="n"/>
      <c r="Q201" s="8" t="inlineStr">
        <is>
          <t>Manufacturer's Warranty</t>
        </is>
      </c>
      <c r="R201" s="8" t="n"/>
      <c r="S201" s="8" t="n"/>
      <c r="T201" s="8" t="n"/>
      <c r="U201" s="8" t="n"/>
      <c r="V201" s="8" t="n"/>
      <c r="W201" s="8" t="n"/>
      <c r="X201" s="8" t="n"/>
      <c r="Y201" s="8" t="inlineStr">
        <is>
          <t>FC_Water_Shield_Marine_10KG</t>
        </is>
      </c>
      <c r="Z201" s="8" t="n">
        <v>35069190</v>
      </c>
      <c r="AA201" s="8" t="n"/>
      <c r="AB201" s="8" t="n"/>
      <c r="AC201" s="8" t="n"/>
      <c r="AD201" s="8" t="n"/>
      <c r="AE201" s="8" t="n">
        <v>0</v>
      </c>
      <c r="AF201" s="9" t="n">
        <v>0</v>
      </c>
      <c r="AG201" s="8">
        <f>ROUND(AE201-(AE201*AF201),2)</f>
        <v/>
      </c>
      <c r="AH201" s="9" t="n">
        <v>0.18</v>
      </c>
      <c r="AI201" s="8">
        <f>ROUND(AG201+(AG201*AH201),2)</f>
        <v/>
      </c>
      <c r="AJ201" s="9" t="n">
        <v>0.2</v>
      </c>
      <c r="AK201" s="8">
        <f>ROUND(AI201*AJ201,2)</f>
        <v/>
      </c>
      <c r="AL201" s="8">
        <f>AI201+AK201</f>
        <v/>
      </c>
      <c r="AM201" s="8">
        <f>AE201-AL201</f>
        <v/>
      </c>
      <c r="AN201" s="9">
        <f>AM201/AE201</f>
        <v/>
      </c>
      <c r="AO201" s="8" t="inlineStr">
        <is>
          <t>60 mins</t>
        </is>
      </c>
      <c r="AP201" s="8" t="n"/>
      <c r="AQ201" s="8" t="inlineStr">
        <is>
          <t>Weight</t>
        </is>
      </c>
      <c r="AR201" s="8" t="n"/>
      <c r="AS201"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202" ht="15.75" customHeight="1">
      <c r="A202" s="8" t="inlineStr">
        <is>
          <t>PROD_0028</t>
        </is>
      </c>
      <c r="B202" s="8" t="inlineStr">
        <is>
          <t>VAR_5</t>
        </is>
      </c>
      <c r="C202" s="8" t="inlineStr">
        <is>
          <t>Wooden Material</t>
        </is>
      </c>
      <c r="D202" s="8" t="inlineStr">
        <is>
          <t>Adhesive</t>
        </is>
      </c>
      <c r="E202" s="8" t="inlineStr">
        <is>
          <t>Fevicol</t>
        </is>
      </c>
      <c r="F202" s="8" t="inlineStr">
        <is>
          <t>Water Shield Marine</t>
        </is>
      </c>
      <c r="G202" s="8" t="n"/>
      <c r="H202" s="8" t="inlineStr">
        <is>
          <t>Weight</t>
        </is>
      </c>
      <c r="I202" s="8" t="inlineStr">
        <is>
          <t>20 kg</t>
        </is>
      </c>
      <c r="J202" s="8" t="n"/>
      <c r="K202" s="8" t="n"/>
      <c r="L202" s="8" t="n"/>
      <c r="M202" s="8" t="n"/>
      <c r="N202" s="8" t="n"/>
      <c r="O202" s="8" t="n"/>
      <c r="P202" s="8" t="n"/>
      <c r="Q202" s="8" t="inlineStr">
        <is>
          <t>Manufacturer's Warranty</t>
        </is>
      </c>
      <c r="R202" s="8" t="n"/>
      <c r="S202" s="8" t="n"/>
      <c r="T202" s="8" t="n"/>
      <c r="U202" s="8" t="n"/>
      <c r="V202" s="8" t="n"/>
      <c r="W202" s="8" t="n"/>
      <c r="X202" s="8" t="n"/>
      <c r="Y202" s="8" t="inlineStr">
        <is>
          <t>FC_Water_Shield_Marine_20KG</t>
        </is>
      </c>
      <c r="Z202" s="8" t="n">
        <v>35069190</v>
      </c>
      <c r="AA202" s="8" t="n"/>
      <c r="AB202" s="8" t="n"/>
      <c r="AC202" s="8" t="n"/>
      <c r="AD202" s="8" t="n"/>
      <c r="AE202" s="8" t="n">
        <v>0</v>
      </c>
      <c r="AF202" s="9" t="n">
        <v>0</v>
      </c>
      <c r="AG202" s="8">
        <f>ROUND(AE202-(AE202*AF202),2)</f>
        <v/>
      </c>
      <c r="AH202" s="9" t="n">
        <v>0.18</v>
      </c>
      <c r="AI202" s="8">
        <f>ROUND(AG202+(AG202*AH202),2)</f>
        <v/>
      </c>
      <c r="AJ202" s="9" t="n">
        <v>0.2</v>
      </c>
      <c r="AK202" s="8">
        <f>ROUND(AI202*AJ202,2)</f>
        <v/>
      </c>
      <c r="AL202" s="8">
        <f>AI202+AK202</f>
        <v/>
      </c>
      <c r="AM202" s="8">
        <f>AE202-AL202</f>
        <v/>
      </c>
      <c r="AN202" s="9">
        <f>AM202/AE202</f>
        <v/>
      </c>
      <c r="AO202" s="8" t="inlineStr">
        <is>
          <t>60 mins</t>
        </is>
      </c>
      <c r="AP202" s="8" t="n"/>
      <c r="AQ202" s="8" t="inlineStr">
        <is>
          <t>Weight</t>
        </is>
      </c>
      <c r="AR202" s="8" t="n"/>
      <c r="AS202"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203" ht="15.75" customHeight="1">
      <c r="A203" s="8" t="inlineStr">
        <is>
          <t>PROD_0028</t>
        </is>
      </c>
      <c r="B203" s="8" t="inlineStr">
        <is>
          <t>VAR_6</t>
        </is>
      </c>
      <c r="C203" s="8" t="inlineStr">
        <is>
          <t>Wooden Material</t>
        </is>
      </c>
      <c r="D203" s="8" t="inlineStr">
        <is>
          <t>Adhesive</t>
        </is>
      </c>
      <c r="E203" s="8" t="inlineStr">
        <is>
          <t>Fevicol</t>
        </is>
      </c>
      <c r="F203" s="8" t="inlineStr">
        <is>
          <t>Water Shield Marine</t>
        </is>
      </c>
      <c r="G203" s="8" t="n"/>
      <c r="H203" s="8" t="inlineStr">
        <is>
          <t>Weight</t>
        </is>
      </c>
      <c r="I203" s="8" t="inlineStr">
        <is>
          <t>50 kg</t>
        </is>
      </c>
      <c r="J203" s="8" t="n"/>
      <c r="K203" s="8" t="n"/>
      <c r="L203" s="8" t="n"/>
      <c r="M203" s="8" t="n"/>
      <c r="N203" s="8" t="n"/>
      <c r="O203" s="8" t="n"/>
      <c r="P203" s="8" t="n"/>
      <c r="Q203" s="8" t="inlineStr">
        <is>
          <t>Manufacturer's Warranty</t>
        </is>
      </c>
      <c r="R203" s="8" t="n"/>
      <c r="S203" s="8" t="n"/>
      <c r="T203" s="8" t="n"/>
      <c r="U203" s="8" t="n"/>
      <c r="V203" s="8" t="n"/>
      <c r="W203" s="8" t="n"/>
      <c r="X203" s="8" t="n"/>
      <c r="Y203" s="8" t="inlineStr">
        <is>
          <t>FC_Water_Shield_Marine_50KG</t>
        </is>
      </c>
      <c r="Z203" s="8" t="n">
        <v>35069190</v>
      </c>
      <c r="AA203" s="8" t="n"/>
      <c r="AB203" s="8" t="n"/>
      <c r="AC203" s="8" t="n"/>
      <c r="AD203" s="8" t="n"/>
      <c r="AE203" s="8" t="n">
        <v>0</v>
      </c>
      <c r="AF203" s="9" t="n">
        <v>0</v>
      </c>
      <c r="AG203" s="8">
        <f>ROUND(AE203-(AE203*AF203),2)</f>
        <v/>
      </c>
      <c r="AH203" s="9" t="n">
        <v>0.18</v>
      </c>
      <c r="AI203" s="8">
        <f>ROUND(AG203+(AG203*AH203),2)</f>
        <v/>
      </c>
      <c r="AJ203" s="9" t="n">
        <v>0.2</v>
      </c>
      <c r="AK203" s="8">
        <f>ROUND(AI203*AJ203,2)</f>
        <v/>
      </c>
      <c r="AL203" s="8">
        <f>AI203+AK203</f>
        <v/>
      </c>
      <c r="AM203" s="8">
        <f>AE203-AL203</f>
        <v/>
      </c>
      <c r="AN203" s="9">
        <f>AM203/AE203</f>
        <v/>
      </c>
      <c r="AO203" s="8" t="inlineStr">
        <is>
          <t>60 mins</t>
        </is>
      </c>
      <c r="AP203" s="8" t="n"/>
      <c r="AQ203" s="8" t="inlineStr">
        <is>
          <t>Weight</t>
        </is>
      </c>
      <c r="AR203" s="8" t="n"/>
      <c r="AS203"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204" ht="15.75" customHeight="1">
      <c r="A204" s="8" t="inlineStr">
        <is>
          <t>PROD_0028</t>
        </is>
      </c>
      <c r="B204" s="8" t="inlineStr">
        <is>
          <t>VAR_7</t>
        </is>
      </c>
      <c r="C204" s="8" t="inlineStr">
        <is>
          <t>Wooden Material</t>
        </is>
      </c>
      <c r="D204" s="8" t="inlineStr">
        <is>
          <t>Adhesive</t>
        </is>
      </c>
      <c r="E204" s="8" t="inlineStr">
        <is>
          <t>Fevicol</t>
        </is>
      </c>
      <c r="F204" s="8" t="inlineStr">
        <is>
          <t>Water Shield Marine</t>
        </is>
      </c>
      <c r="G204" s="8" t="n"/>
      <c r="H204" s="8" t="inlineStr">
        <is>
          <t>Weight</t>
        </is>
      </c>
      <c r="I204" s="8" t="inlineStr">
        <is>
          <t>60 kg</t>
        </is>
      </c>
      <c r="J204" s="8" t="n"/>
      <c r="K204" s="8" t="n"/>
      <c r="L204" s="8" t="n"/>
      <c r="M204" s="8" t="n"/>
      <c r="N204" s="8" t="n"/>
      <c r="O204" s="8" t="n"/>
      <c r="P204" s="8" t="n"/>
      <c r="Q204" s="8" t="inlineStr">
        <is>
          <t>Manufacturer's Warranty</t>
        </is>
      </c>
      <c r="R204" s="8" t="n"/>
      <c r="S204" s="8" t="n"/>
      <c r="T204" s="8" t="n"/>
      <c r="U204" s="8" t="n"/>
      <c r="V204" s="8" t="n"/>
      <c r="W204" s="8" t="n"/>
      <c r="X204" s="8" t="n"/>
      <c r="Y204" s="8" t="inlineStr">
        <is>
          <t>FC_Water_Shield_Marine_60KG</t>
        </is>
      </c>
      <c r="Z204" s="8" t="n">
        <v>35069190</v>
      </c>
      <c r="AA204" s="8" t="n"/>
      <c r="AB204" s="8" t="n"/>
      <c r="AC204" s="8" t="n"/>
      <c r="AD204" s="8" t="n"/>
      <c r="AE204" s="8" t="n">
        <v>0</v>
      </c>
      <c r="AF204" s="9" t="n">
        <v>0</v>
      </c>
      <c r="AG204" s="8">
        <f>ROUND(AE204-(AE204*AF204),2)</f>
        <v/>
      </c>
      <c r="AH204" s="9" t="n">
        <v>0.18</v>
      </c>
      <c r="AI204" s="8">
        <f>ROUND(AG204+(AG204*AH204),2)</f>
        <v/>
      </c>
      <c r="AJ204" s="9" t="n">
        <v>0.2</v>
      </c>
      <c r="AK204" s="8">
        <f>ROUND(AI204*AJ204,2)</f>
        <v/>
      </c>
      <c r="AL204" s="8">
        <f>AI204+AK204</f>
        <v/>
      </c>
      <c r="AM204" s="8">
        <f>AE204-AL204</f>
        <v/>
      </c>
      <c r="AN204" s="9">
        <f>AM204/AE204</f>
        <v/>
      </c>
      <c r="AO204" s="8" t="inlineStr">
        <is>
          <t>60 mins</t>
        </is>
      </c>
      <c r="AP204" s="8" t="n"/>
      <c r="AQ204" s="8" t="inlineStr">
        <is>
          <t>Weight</t>
        </is>
      </c>
      <c r="AR204" s="8" t="n"/>
      <c r="AS204" s="8" t="inlineStr">
        <is>
          <t>Fevicol Marine is technologically advanced waterproof adhesive
It is ideal adhesive for marine plywood along with advanced waterproofing properties it has a superior coverage also
7 Hours Boiling Waterproof, 7 Days Normal Waterproof, 4 hrs setting time</t>
        </is>
      </c>
    </row>
    <row r="205" ht="15.75" customHeight="1">
      <c r="A205" s="3" t="inlineStr">
        <is>
          <t>PROD_0029</t>
        </is>
      </c>
      <c r="B205" s="3" t="inlineStr">
        <is>
          <t>VAR_1</t>
        </is>
      </c>
      <c r="C205" s="3" t="inlineStr">
        <is>
          <t>Wooden Material</t>
        </is>
      </c>
      <c r="D205" s="3" t="inlineStr">
        <is>
          <t>Adhesive</t>
        </is>
      </c>
      <c r="E205" s="3" t="inlineStr">
        <is>
          <t>Fevicol</t>
        </is>
      </c>
      <c r="F205" s="3" t="inlineStr">
        <is>
          <t>Heatex</t>
        </is>
      </c>
      <c r="H205" s="3" t="inlineStr">
        <is>
          <t>Weight</t>
        </is>
      </c>
      <c r="I205" s="3" t="inlineStr">
        <is>
          <t>100 gm</t>
        </is>
      </c>
      <c r="Q205" s="3" t="inlineStr">
        <is>
          <t>Manufacturer's Warranty</t>
        </is>
      </c>
      <c r="Y205" s="3" t="inlineStr">
        <is>
          <t>FC_Heatex_100GM</t>
        </is>
      </c>
      <c r="Z205" s="3" t="n">
        <v>35069190</v>
      </c>
      <c r="AE205" s="3" t="n">
        <v>0</v>
      </c>
      <c r="AF205" s="4" t="n">
        <v>0</v>
      </c>
      <c r="AG205" s="3" t="n">
        <v>52.88</v>
      </c>
      <c r="AH205" s="4" t="n">
        <v>0.18</v>
      </c>
      <c r="AI205" s="3">
        <f>ROUND(AG205+(AG205*AH205),2)</f>
        <v/>
      </c>
      <c r="AJ205" s="4" t="n">
        <v>0.2</v>
      </c>
      <c r="AK205" s="3">
        <f>ROUND(AI205*AJ205,2)</f>
        <v/>
      </c>
      <c r="AL205" s="3">
        <f>AI205+AK205</f>
        <v/>
      </c>
      <c r="AM205" s="3">
        <f>AE205-AL205</f>
        <v/>
      </c>
      <c r="AN205" s="4">
        <f>AM205/AE205</f>
        <v/>
      </c>
      <c r="AO205" s="3" t="inlineStr">
        <is>
          <t>60 mins</t>
        </is>
      </c>
      <c r="AQ205" s="3" t="inlineStr">
        <is>
          <t>Weight</t>
        </is>
      </c>
      <c r="AS205" s="3" t="inlineStr">
        <is>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is>
      </c>
    </row>
    <row r="206" ht="15.75" customHeight="1">
      <c r="A206" s="3" t="inlineStr">
        <is>
          <t>PROD_0029</t>
        </is>
      </c>
      <c r="B206" s="3" t="inlineStr">
        <is>
          <t>VAR_2</t>
        </is>
      </c>
      <c r="C206" s="3" t="inlineStr">
        <is>
          <t>Wooden Material</t>
        </is>
      </c>
      <c r="D206" s="3" t="inlineStr">
        <is>
          <t>Adhesive</t>
        </is>
      </c>
      <c r="E206" s="3" t="inlineStr">
        <is>
          <t>Fevicol</t>
        </is>
      </c>
      <c r="F206" s="3" t="inlineStr">
        <is>
          <t>Heatex</t>
        </is>
      </c>
      <c r="H206" s="3" t="inlineStr">
        <is>
          <t>Weight</t>
        </is>
      </c>
      <c r="I206" s="3" t="inlineStr">
        <is>
          <t>200 gm</t>
        </is>
      </c>
      <c r="Q206" s="3" t="inlineStr">
        <is>
          <t>Manufacturer's Warranty</t>
        </is>
      </c>
      <c r="Y206" s="3" t="inlineStr">
        <is>
          <t>FC_Heatex_200GM</t>
        </is>
      </c>
      <c r="Z206" s="3" t="n">
        <v>35069190</v>
      </c>
      <c r="AE206" s="3" t="n">
        <v>0</v>
      </c>
      <c r="AF206" s="4" t="n">
        <v>0</v>
      </c>
      <c r="AG206" s="3" t="n">
        <v>96</v>
      </c>
      <c r="AH206" s="4" t="n">
        <v>0.18</v>
      </c>
      <c r="AI206" s="3">
        <f>ROUND(AG206+(AG206*AH206),2)</f>
        <v/>
      </c>
      <c r="AJ206" s="4" t="n">
        <v>0.2</v>
      </c>
      <c r="AK206" s="3">
        <f>ROUND(AI206*AJ206,2)</f>
        <v/>
      </c>
      <c r="AL206" s="3">
        <f>AI206+AK206</f>
        <v/>
      </c>
      <c r="AM206" s="3">
        <f>AE206-AL206</f>
        <v/>
      </c>
      <c r="AN206" s="4">
        <f>AM206/AE206</f>
        <v/>
      </c>
      <c r="AO206" s="3" t="inlineStr">
        <is>
          <t>60 mins</t>
        </is>
      </c>
      <c r="AQ206" s="3" t="inlineStr">
        <is>
          <t>Weight</t>
        </is>
      </c>
      <c r="AS206" s="3" t="inlineStr">
        <is>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is>
      </c>
    </row>
    <row r="207" ht="15.75" customHeight="1">
      <c r="A207" s="3" t="inlineStr">
        <is>
          <t>PROD_0029</t>
        </is>
      </c>
      <c r="B207" s="3" t="inlineStr">
        <is>
          <t>VAR_3</t>
        </is>
      </c>
      <c r="C207" s="3" t="inlineStr">
        <is>
          <t>Wooden Material</t>
        </is>
      </c>
      <c r="D207" s="3" t="inlineStr">
        <is>
          <t>Adhesive</t>
        </is>
      </c>
      <c r="E207" s="3" t="inlineStr">
        <is>
          <t>Fevicol</t>
        </is>
      </c>
      <c r="F207" s="3" t="inlineStr">
        <is>
          <t>Heatex</t>
        </is>
      </c>
      <c r="H207" s="3" t="inlineStr">
        <is>
          <t>Weight</t>
        </is>
      </c>
      <c r="I207" s="3" t="inlineStr">
        <is>
          <t>500 gm</t>
        </is>
      </c>
      <c r="Q207" s="3" t="inlineStr">
        <is>
          <t>Manufacturer's Warranty</t>
        </is>
      </c>
      <c r="Y207" s="3" t="inlineStr">
        <is>
          <t>FC_Heatex_500GM</t>
        </is>
      </c>
      <c r="Z207" s="3" t="n">
        <v>35069190</v>
      </c>
      <c r="AE207" s="3" t="n">
        <v>0</v>
      </c>
      <c r="AF207" s="4" t="n">
        <v>0</v>
      </c>
      <c r="AG207" s="3" t="n">
        <v>204.2</v>
      </c>
      <c r="AH207" s="4" t="n">
        <v>0.18</v>
      </c>
      <c r="AI207" s="3">
        <f>ROUND(AG207+(AG207*AH207),2)</f>
        <v/>
      </c>
      <c r="AJ207" s="4" t="n">
        <v>0.2</v>
      </c>
      <c r="AK207" s="3">
        <f>ROUND(AI207*AJ207,2)</f>
        <v/>
      </c>
      <c r="AL207" s="3">
        <f>AI207+AK207</f>
        <v/>
      </c>
      <c r="AM207" s="3">
        <f>AE207-AL207</f>
        <v/>
      </c>
      <c r="AN207" s="4">
        <f>AM207/AE207</f>
        <v/>
      </c>
      <c r="AO207" s="3" t="inlineStr">
        <is>
          <t>60 mins</t>
        </is>
      </c>
      <c r="AQ207" s="3" t="inlineStr">
        <is>
          <t>Weight</t>
        </is>
      </c>
      <c r="AS207" s="3" t="inlineStr">
        <is>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is>
      </c>
    </row>
    <row r="208" ht="15.75" customHeight="1">
      <c r="A208" s="3" t="inlineStr">
        <is>
          <t>PROD_0029</t>
        </is>
      </c>
      <c r="B208" s="3" t="inlineStr">
        <is>
          <t>VAR_4</t>
        </is>
      </c>
      <c r="C208" s="3" t="inlineStr">
        <is>
          <t>Wooden Material</t>
        </is>
      </c>
      <c r="D208" s="3" t="inlineStr">
        <is>
          <t>Adhesive</t>
        </is>
      </c>
      <c r="E208" s="3" t="inlineStr">
        <is>
          <t>Fevicol</t>
        </is>
      </c>
      <c r="F208" s="3" t="inlineStr">
        <is>
          <t>Heatex</t>
        </is>
      </c>
      <c r="H208" s="3" t="inlineStr">
        <is>
          <t>Weight</t>
        </is>
      </c>
      <c r="I208" s="3" t="inlineStr">
        <is>
          <t>1kg</t>
        </is>
      </c>
      <c r="Q208" s="3" t="inlineStr">
        <is>
          <t>Manufacturer's Warranty</t>
        </is>
      </c>
      <c r="Y208" s="3" t="inlineStr">
        <is>
          <t>FC_Heatex_1KG</t>
        </is>
      </c>
      <c r="Z208" s="3" t="n">
        <v>35069190</v>
      </c>
      <c r="AE208" s="3" t="n">
        <v>0</v>
      </c>
      <c r="AF208" s="4" t="n">
        <v>0</v>
      </c>
      <c r="AG208" s="3" t="n">
        <v>397.02</v>
      </c>
      <c r="AH208" s="4" t="n">
        <v>0.18</v>
      </c>
      <c r="AI208" s="3">
        <f>ROUND(AG208+(AG208*AH208),2)</f>
        <v/>
      </c>
      <c r="AJ208" s="4" t="n">
        <v>0.2</v>
      </c>
      <c r="AK208" s="3">
        <f>ROUND(AI208*AJ208,2)</f>
        <v/>
      </c>
      <c r="AL208" s="3">
        <f>AI208+AK208</f>
        <v/>
      </c>
      <c r="AM208" s="3">
        <f>AE208-AL208</f>
        <v/>
      </c>
      <c r="AN208" s="4">
        <f>AM208/AE208</f>
        <v/>
      </c>
      <c r="AO208" s="3" t="inlineStr">
        <is>
          <t>60 mins</t>
        </is>
      </c>
      <c r="AQ208" s="3" t="inlineStr">
        <is>
          <t>Weight</t>
        </is>
      </c>
      <c r="AS208" s="3" t="inlineStr">
        <is>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is>
      </c>
    </row>
    <row r="209" ht="15.75" customHeight="1">
      <c r="A209" s="3" t="inlineStr">
        <is>
          <t>PROD_0029</t>
        </is>
      </c>
      <c r="B209" s="3" t="inlineStr">
        <is>
          <t>VAR_5</t>
        </is>
      </c>
      <c r="C209" s="3" t="inlineStr">
        <is>
          <t>Wooden Material</t>
        </is>
      </c>
      <c r="D209" s="3" t="inlineStr">
        <is>
          <t>Adhesive</t>
        </is>
      </c>
      <c r="E209" s="3" t="inlineStr">
        <is>
          <t>Fevicol</t>
        </is>
      </c>
      <c r="F209" s="3" t="inlineStr">
        <is>
          <t>Heatex</t>
        </is>
      </c>
      <c r="H209" s="3" t="inlineStr">
        <is>
          <t>Weight</t>
        </is>
      </c>
      <c r="I209" s="3" t="inlineStr">
        <is>
          <t>2kg</t>
        </is>
      </c>
      <c r="Q209" s="3" t="inlineStr">
        <is>
          <t>Manufacturer's Warranty</t>
        </is>
      </c>
      <c r="Y209" s="3" t="inlineStr">
        <is>
          <t>FC_Heatex_2KG</t>
        </is>
      </c>
      <c r="Z209" s="3" t="n">
        <v>35069190</v>
      </c>
      <c r="AE209" s="3" t="n">
        <v>0</v>
      </c>
      <c r="AF209" s="4" t="n">
        <v>0</v>
      </c>
      <c r="AG209" s="3" t="n">
        <v>768</v>
      </c>
      <c r="AH209" s="4" t="n">
        <v>0.18</v>
      </c>
      <c r="AI209" s="3">
        <f>ROUND(AG209+(AG209*AH209),2)</f>
        <v/>
      </c>
      <c r="AJ209" s="4" t="n">
        <v>0.2</v>
      </c>
      <c r="AK209" s="3">
        <f>ROUND(AI209*AJ209,2)</f>
        <v/>
      </c>
      <c r="AL209" s="3">
        <f>AI209+AK209</f>
        <v/>
      </c>
      <c r="AM209" s="3">
        <f>AE209-AL209</f>
        <v/>
      </c>
      <c r="AN209" s="4">
        <f>AM209/AE209</f>
        <v/>
      </c>
      <c r="AO209" s="3" t="inlineStr">
        <is>
          <t>60 mins</t>
        </is>
      </c>
      <c r="AQ209" s="3" t="inlineStr">
        <is>
          <t>Weight</t>
        </is>
      </c>
      <c r="AS209" s="3" t="inlineStr">
        <is>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is>
      </c>
    </row>
    <row r="210" ht="15.75" customHeight="1">
      <c r="A210" s="3" t="inlineStr">
        <is>
          <t>PROD_0029</t>
        </is>
      </c>
      <c r="B210" s="3" t="inlineStr">
        <is>
          <t>VAR_6</t>
        </is>
      </c>
      <c r="C210" s="3" t="inlineStr">
        <is>
          <t>Wooden Material</t>
        </is>
      </c>
      <c r="D210" s="3" t="inlineStr">
        <is>
          <t>Adhesive</t>
        </is>
      </c>
      <c r="E210" s="3" t="inlineStr">
        <is>
          <t>Fevicol</t>
        </is>
      </c>
      <c r="F210" s="3" t="inlineStr">
        <is>
          <t>Heatex</t>
        </is>
      </c>
      <c r="H210" s="3" t="inlineStr">
        <is>
          <t>Weight</t>
        </is>
      </c>
      <c r="I210" s="3" t="inlineStr">
        <is>
          <t>5 kg</t>
        </is>
      </c>
      <c r="Q210" s="3" t="inlineStr">
        <is>
          <t>Manufacturer's Warranty</t>
        </is>
      </c>
      <c r="Y210" s="3" t="inlineStr">
        <is>
          <t>FC_Heatex_5KG</t>
        </is>
      </c>
      <c r="Z210" s="3" t="n">
        <v>35069190</v>
      </c>
      <c r="AE210" s="3" t="n">
        <v>0</v>
      </c>
      <c r="AF210" s="4" t="n">
        <v>0</v>
      </c>
      <c r="AG210" s="3" t="n">
        <v>1854.1</v>
      </c>
      <c r="AH210" s="4" t="n">
        <v>0.18</v>
      </c>
      <c r="AI210" s="3">
        <f>ROUND(AG210+(AG210*AH210),2)</f>
        <v/>
      </c>
      <c r="AJ210" s="4" t="n">
        <v>0.2</v>
      </c>
      <c r="AK210" s="3">
        <f>ROUND(AI210*AJ210,2)</f>
        <v/>
      </c>
      <c r="AL210" s="3">
        <f>AI210+AK210</f>
        <v/>
      </c>
      <c r="AM210" s="3">
        <f>AE210-AL210</f>
        <v/>
      </c>
      <c r="AN210" s="4">
        <f>AM210/AE210</f>
        <v/>
      </c>
      <c r="AO210" s="3" t="inlineStr">
        <is>
          <t>60 mins</t>
        </is>
      </c>
      <c r="AQ210" s="3" t="inlineStr">
        <is>
          <t>Weight</t>
        </is>
      </c>
      <c r="AS210" s="3" t="inlineStr">
        <is>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is>
      </c>
    </row>
    <row r="211" ht="15.75" customHeight="1">
      <c r="A211" s="3" t="inlineStr">
        <is>
          <t>PROD_0030</t>
        </is>
      </c>
      <c r="B211" s="3" t="inlineStr">
        <is>
          <t>VAR_1</t>
        </is>
      </c>
      <c r="C211" s="3" t="inlineStr">
        <is>
          <t>Wooden Material</t>
        </is>
      </c>
      <c r="D211" s="3" t="inlineStr">
        <is>
          <t>Adhesive</t>
        </is>
      </c>
      <c r="E211" s="3" t="inlineStr">
        <is>
          <t>Fevicol</t>
        </is>
      </c>
      <c r="F211" s="3" t="inlineStr">
        <is>
          <t>Probond</t>
        </is>
      </c>
      <c r="H211" s="3" t="inlineStr">
        <is>
          <t>Weight</t>
        </is>
      </c>
      <c r="I211" s="3" t="inlineStr">
        <is>
          <t>500 gm</t>
        </is>
      </c>
      <c r="Q211" s="3" t="inlineStr">
        <is>
          <t>Manufacturer's Warranty</t>
        </is>
      </c>
      <c r="Y211" s="3" t="inlineStr">
        <is>
          <t>FC_Probond_500GM</t>
        </is>
      </c>
      <c r="Z211" s="3" t="n">
        <v>35069110</v>
      </c>
      <c r="AE211" s="3" t="n">
        <v>0</v>
      </c>
      <c r="AF211" s="4" t="n">
        <v>0</v>
      </c>
      <c r="AG211" s="3" t="n">
        <v>169.22</v>
      </c>
      <c r="AH211" s="4" t="n">
        <v>0.18</v>
      </c>
      <c r="AI211" s="3">
        <f>ROUND(AG211+(AG211*AH211),2)</f>
        <v/>
      </c>
      <c r="AJ211" s="4" t="n">
        <v>0.2</v>
      </c>
      <c r="AK211" s="3">
        <f>ROUND(AI211*AJ211,2)</f>
        <v/>
      </c>
      <c r="AL211" s="3">
        <f>AI211+AK211</f>
        <v/>
      </c>
      <c r="AM211" s="3">
        <f>AE211-AL211</f>
        <v/>
      </c>
      <c r="AN211" s="4">
        <f>AM211/AE211</f>
        <v/>
      </c>
      <c r="AO211" s="3" t="inlineStr">
        <is>
          <t>60 mins</t>
        </is>
      </c>
      <c r="AQ211" s="3" t="inlineStr">
        <is>
          <t>Weight</t>
        </is>
      </c>
      <c r="AS211" s="3" t="inlineStr">
        <is>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is>
      </c>
    </row>
    <row r="212" ht="15.75" customHeight="1">
      <c r="A212" s="3" t="inlineStr">
        <is>
          <t>PROD_0030</t>
        </is>
      </c>
      <c r="B212" s="3" t="inlineStr">
        <is>
          <t>VAR_2</t>
        </is>
      </c>
      <c r="C212" s="3" t="inlineStr">
        <is>
          <t>Wooden Material</t>
        </is>
      </c>
      <c r="D212" s="3" t="inlineStr">
        <is>
          <t>Adhesive</t>
        </is>
      </c>
      <c r="E212" s="3" t="inlineStr">
        <is>
          <t>Fevicol</t>
        </is>
      </c>
      <c r="F212" s="3" t="inlineStr">
        <is>
          <t>Probond</t>
        </is>
      </c>
      <c r="H212" s="3" t="inlineStr">
        <is>
          <t>Weight</t>
        </is>
      </c>
      <c r="I212" s="3" t="inlineStr">
        <is>
          <t>1kg</t>
        </is>
      </c>
      <c r="Q212" s="3" t="inlineStr">
        <is>
          <t>Manufacturer's Warranty</t>
        </is>
      </c>
      <c r="Y212" s="3" t="inlineStr">
        <is>
          <t>FC_Probond_1KG</t>
        </is>
      </c>
      <c r="Z212" s="3" t="n">
        <v>35069110</v>
      </c>
      <c r="AE212" s="3" t="n">
        <v>0</v>
      </c>
      <c r="AF212" s="4" t="n">
        <v>0</v>
      </c>
      <c r="AG212" s="3" t="n">
        <v>300.2</v>
      </c>
      <c r="AH212" s="4" t="n">
        <v>0.18</v>
      </c>
      <c r="AI212" s="3">
        <f>ROUND(AG212+(AG212*AH212),2)</f>
        <v/>
      </c>
      <c r="AJ212" s="4" t="n">
        <v>0.2</v>
      </c>
      <c r="AK212" s="3">
        <f>ROUND(AI212*AJ212,2)</f>
        <v/>
      </c>
      <c r="AL212" s="3">
        <f>AI212+AK212</f>
        <v/>
      </c>
      <c r="AM212" s="3">
        <f>AE212-AL212</f>
        <v/>
      </c>
      <c r="AN212" s="4">
        <f>AM212/AE212</f>
        <v/>
      </c>
      <c r="AO212" s="3" t="inlineStr">
        <is>
          <t>60 mins</t>
        </is>
      </c>
      <c r="AQ212" s="3" t="inlineStr">
        <is>
          <t>Weight</t>
        </is>
      </c>
      <c r="AS212" s="3" t="inlineStr">
        <is>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is>
      </c>
    </row>
    <row r="213" ht="15.75" customHeight="1">
      <c r="A213" s="3" t="inlineStr">
        <is>
          <t>PROD_0030</t>
        </is>
      </c>
      <c r="B213" s="3" t="inlineStr">
        <is>
          <t>VAR_3</t>
        </is>
      </c>
      <c r="C213" s="3" t="inlineStr">
        <is>
          <t>Wooden Material</t>
        </is>
      </c>
      <c r="D213" s="3" t="inlineStr">
        <is>
          <t>Adhesive</t>
        </is>
      </c>
      <c r="E213" s="3" t="inlineStr">
        <is>
          <t>Fevicol</t>
        </is>
      </c>
      <c r="F213" s="3" t="inlineStr">
        <is>
          <t>Probond</t>
        </is>
      </c>
      <c r="H213" s="3" t="inlineStr">
        <is>
          <t>Weight</t>
        </is>
      </c>
      <c r="I213" s="3" t="inlineStr">
        <is>
          <t>5 kg</t>
        </is>
      </c>
      <c r="Q213" s="3" t="inlineStr">
        <is>
          <t>Manufacturer's Warranty</t>
        </is>
      </c>
      <c r="Y213" s="3" t="inlineStr">
        <is>
          <t>FC_Probond_5KG</t>
        </is>
      </c>
      <c r="Z213" s="3" t="n">
        <v>35069110</v>
      </c>
      <c r="AE213" s="3" t="n">
        <v>0</v>
      </c>
      <c r="AF213" s="4" t="n">
        <v>0</v>
      </c>
      <c r="AG213" s="3" t="n">
        <v>1439.19</v>
      </c>
      <c r="AH213" s="4" t="n">
        <v>0.18</v>
      </c>
      <c r="AI213" s="3">
        <f>ROUND(AG213+(AG213*AH213),2)</f>
        <v/>
      </c>
      <c r="AJ213" s="4" t="n">
        <v>0.2</v>
      </c>
      <c r="AK213" s="3">
        <f>ROUND(AI213*AJ213,2)</f>
        <v/>
      </c>
      <c r="AL213" s="3">
        <f>AI213+AK213</f>
        <v/>
      </c>
      <c r="AM213" s="3">
        <f>AE213-AL213</f>
        <v/>
      </c>
      <c r="AN213" s="4">
        <f>AM213/AE213</f>
        <v/>
      </c>
      <c r="AO213" s="3" t="inlineStr">
        <is>
          <t>60 mins</t>
        </is>
      </c>
      <c r="AQ213" s="3" t="inlineStr">
        <is>
          <t>Weight</t>
        </is>
      </c>
      <c r="AS213" s="3" t="inlineStr">
        <is>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is>
      </c>
    </row>
    <row r="214" ht="15.75" customHeight="1">
      <c r="A214" s="3" t="inlineStr">
        <is>
          <t>PROD_0030</t>
        </is>
      </c>
      <c r="B214" s="3" t="inlineStr">
        <is>
          <t>VAR_4</t>
        </is>
      </c>
      <c r="C214" s="3" t="inlineStr">
        <is>
          <t>Wooden Material</t>
        </is>
      </c>
      <c r="D214" s="3" t="inlineStr">
        <is>
          <t>Adhesive</t>
        </is>
      </c>
      <c r="E214" s="3" t="inlineStr">
        <is>
          <t>Fevicol</t>
        </is>
      </c>
      <c r="F214" s="3" t="inlineStr">
        <is>
          <t>Probond</t>
        </is>
      </c>
      <c r="H214" s="3" t="inlineStr">
        <is>
          <t>Weight</t>
        </is>
      </c>
      <c r="I214" s="3" t="inlineStr">
        <is>
          <t>10 kg</t>
        </is>
      </c>
      <c r="Q214" s="3" t="inlineStr">
        <is>
          <t>Manufacturer's Warranty</t>
        </is>
      </c>
      <c r="Y214" s="3" t="inlineStr">
        <is>
          <t>FC_Probond_10KG</t>
        </is>
      </c>
      <c r="Z214" s="3" t="n">
        <v>35069110</v>
      </c>
      <c r="AE214" s="3" t="n">
        <v>0</v>
      </c>
      <c r="AF214" s="4" t="n">
        <v>0</v>
      </c>
      <c r="AG214" s="3" t="n">
        <v>2748.2</v>
      </c>
      <c r="AH214" s="4" t="n">
        <v>0.18</v>
      </c>
      <c r="AI214" s="3">
        <f>ROUND(AG214+(AG214*AH214),2)</f>
        <v/>
      </c>
      <c r="AJ214" s="4" t="n">
        <v>0.2</v>
      </c>
      <c r="AK214" s="3">
        <f>ROUND(AI214*AJ214,2)</f>
        <v/>
      </c>
      <c r="AL214" s="3">
        <f>AI214+AK214</f>
        <v/>
      </c>
      <c r="AM214" s="3">
        <f>AE214-AL214</f>
        <v/>
      </c>
      <c r="AN214" s="4">
        <f>AM214/AE214</f>
        <v/>
      </c>
      <c r="AO214" s="3" t="inlineStr">
        <is>
          <t>60 mins</t>
        </is>
      </c>
      <c r="AQ214" s="3" t="inlineStr">
        <is>
          <t>Weight</t>
        </is>
      </c>
      <c r="AS214" s="3" t="inlineStr">
        <is>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is>
      </c>
    </row>
    <row r="215" ht="15.75" customHeight="1">
      <c r="A215" s="3" t="inlineStr">
        <is>
          <t>PROD_0030</t>
        </is>
      </c>
      <c r="B215" s="3" t="inlineStr">
        <is>
          <t>VAR_5</t>
        </is>
      </c>
      <c r="C215" s="3" t="inlineStr">
        <is>
          <t>Wooden Material</t>
        </is>
      </c>
      <c r="D215" s="3" t="inlineStr">
        <is>
          <t>Adhesive</t>
        </is>
      </c>
      <c r="E215" s="3" t="inlineStr">
        <is>
          <t>Fevicol</t>
        </is>
      </c>
      <c r="F215" s="3" t="inlineStr">
        <is>
          <t>Probond</t>
        </is>
      </c>
      <c r="H215" s="3" t="inlineStr">
        <is>
          <t>Weight</t>
        </is>
      </c>
      <c r="I215" s="3" t="inlineStr">
        <is>
          <t>20 kg</t>
        </is>
      </c>
      <c r="Q215" s="3" t="inlineStr">
        <is>
          <t>Manufacturer's Warranty</t>
        </is>
      </c>
      <c r="Y215" s="3" t="inlineStr">
        <is>
          <t>FC_Probond_20KG</t>
        </is>
      </c>
      <c r="Z215" s="3" t="n">
        <v>35069110</v>
      </c>
      <c r="AE215" s="3" t="n">
        <v>0</v>
      </c>
      <c r="AF215" s="4" t="n">
        <v>0</v>
      </c>
      <c r="AG215" s="3" t="n">
        <v>5447.59</v>
      </c>
      <c r="AH215" s="4" t="n">
        <v>0.18</v>
      </c>
      <c r="AI215" s="3">
        <f>ROUND(AG215+(AG215*AH215),2)</f>
        <v/>
      </c>
      <c r="AJ215" s="4" t="n">
        <v>0.2</v>
      </c>
      <c r="AK215" s="3">
        <f>ROUND(AI215*AJ215,2)</f>
        <v/>
      </c>
      <c r="AL215" s="3">
        <f>AI215+AK215</f>
        <v/>
      </c>
      <c r="AM215" s="3">
        <f>AE215-AL215</f>
        <v/>
      </c>
      <c r="AN215" s="4">
        <f>AM215/AE215</f>
        <v/>
      </c>
      <c r="AO215" s="3" t="inlineStr">
        <is>
          <t>60 mins</t>
        </is>
      </c>
      <c r="AQ215" s="3" t="inlineStr">
        <is>
          <t>Weight</t>
        </is>
      </c>
      <c r="AS215" s="3" t="inlineStr">
        <is>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is>
      </c>
    </row>
    <row r="216" ht="15.75" customHeight="1">
      <c r="A216" s="3" t="inlineStr">
        <is>
          <t>PROD_0031</t>
        </is>
      </c>
      <c r="B216" s="3" t="inlineStr">
        <is>
          <t>VAR_1</t>
        </is>
      </c>
      <c r="C216" s="3" t="inlineStr">
        <is>
          <t>Wooden Material</t>
        </is>
      </c>
      <c r="D216" s="3" t="inlineStr">
        <is>
          <t>Adhesive</t>
        </is>
      </c>
      <c r="E216" s="3" t="inlineStr">
        <is>
          <t>Fevicol</t>
        </is>
      </c>
      <c r="F216" s="3" t="inlineStr">
        <is>
          <t>Ezee Spray</t>
        </is>
      </c>
      <c r="H216" s="3" t="inlineStr">
        <is>
          <t>Volume</t>
        </is>
      </c>
      <c r="I216" s="3" t="inlineStr">
        <is>
          <t>500 ml</t>
        </is>
      </c>
      <c r="Q216" s="3" t="inlineStr">
        <is>
          <t>Manufacturer's Warranty</t>
        </is>
      </c>
      <c r="Y216" s="3" t="inlineStr">
        <is>
          <t>FC_Ezee Spray_500ML</t>
        </is>
      </c>
      <c r="Z216" s="3" t="n">
        <v>35061000</v>
      </c>
      <c r="AE216" s="3" t="n">
        <v>0</v>
      </c>
      <c r="AF216" s="4" t="n">
        <v>0</v>
      </c>
      <c r="AG216" s="3" t="n">
        <v>411.66</v>
      </c>
      <c r="AH216" s="4" t="n">
        <v>0.18</v>
      </c>
      <c r="AI216" s="3">
        <f>ROUND(AG216+(AG216*AH216),2)</f>
        <v/>
      </c>
      <c r="AJ216" s="4" t="n">
        <v>0.2</v>
      </c>
      <c r="AK216" s="3">
        <f>ROUND(AI216*AJ216,2)</f>
        <v/>
      </c>
      <c r="AL216" s="3">
        <f>AI216+AK216</f>
        <v/>
      </c>
      <c r="AM216" s="3">
        <f>AE216-AL216</f>
        <v/>
      </c>
      <c r="AN216" s="4">
        <f>AM216/AE216</f>
        <v/>
      </c>
      <c r="AO216" s="3" t="inlineStr">
        <is>
          <t>60 mins</t>
        </is>
      </c>
      <c r="AQ216" s="3" t="inlineStr">
        <is>
          <t>Weight</t>
        </is>
      </c>
      <c r="AS216" s="3" t="inlineStr">
        <is>
          <t>Fevicol ezee spray is the best way to get your soundproofing products attached to any surface
It's an instant spray with rapid bonding so there is no curing time. Simply hold the panels in place for 10 seconds and you are done
Use this to attach polyurethane foam basotect panels rockwool mineral fiber panels polyester fiber panels wood - wool panels
Fast grab and rapid bonding very good for patch/ repair works or last minute finishing jobs
Suggested Area of Application: Ezee Spray can be used in ceiling lamination, vertical lamination, soundproofing, small area veneer pasting without nail, Acoustic foam penelling, DIY household projects</t>
        </is>
      </c>
    </row>
    <row r="217" ht="15.75" customHeight="1">
      <c r="A217" s="3" t="inlineStr">
        <is>
          <t>PROD_0032</t>
        </is>
      </c>
      <c r="B217" s="3" t="inlineStr">
        <is>
          <t>VAR_1</t>
        </is>
      </c>
      <c r="C217" s="3" t="inlineStr">
        <is>
          <t>Wooden Material</t>
        </is>
      </c>
      <c r="D217" s="3" t="inlineStr">
        <is>
          <t>Adhesive</t>
        </is>
      </c>
      <c r="E217" s="3" t="inlineStr">
        <is>
          <t>Fevicol</t>
        </is>
      </c>
      <c r="F217" s="3" t="inlineStr">
        <is>
          <t>Marine Koat</t>
        </is>
      </c>
      <c r="H217" s="3" t="inlineStr">
        <is>
          <t>Volume</t>
        </is>
      </c>
      <c r="I217" s="3" t="inlineStr">
        <is>
          <t>500 ml</t>
        </is>
      </c>
      <c r="Q217" s="3" t="inlineStr">
        <is>
          <t>Manufacturer's Warranty</t>
        </is>
      </c>
      <c r="Y217" s="3" t="inlineStr">
        <is>
          <t>FC_Marine_Koat_500ML</t>
        </is>
      </c>
      <c r="Z217" s="3" t="n">
        <v>35061000</v>
      </c>
      <c r="AE217" s="3" t="n">
        <v>0</v>
      </c>
      <c r="AF217" s="4" t="n">
        <v>0</v>
      </c>
      <c r="AG217" s="3" t="n">
        <v>280.68</v>
      </c>
      <c r="AH217" s="4" t="n">
        <v>0.18</v>
      </c>
      <c r="AI217" s="3">
        <f>ROUND(AG217+(AG217*AH217),2)</f>
        <v/>
      </c>
      <c r="AJ217" s="4" t="n">
        <v>0.2</v>
      </c>
      <c r="AK217" s="3">
        <f>ROUND(AI217*AJ217,2)</f>
        <v/>
      </c>
      <c r="AL217" s="3">
        <f>AI217+AK217</f>
        <v/>
      </c>
      <c r="AM217" s="3">
        <f>AE217-AL217</f>
        <v/>
      </c>
      <c r="AN217" s="4">
        <f>AM217/AE217</f>
        <v/>
      </c>
      <c r="AO217" s="3" t="inlineStr">
        <is>
          <t>60 mins</t>
        </is>
      </c>
      <c r="AQ217" s="3" t="inlineStr">
        <is>
          <t>Weight</t>
        </is>
      </c>
      <c r="AS217" s="3" t="inlineStr">
        <is>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is>
      </c>
    </row>
    <row r="218" ht="15.75" customHeight="1">
      <c r="A218" s="3" t="inlineStr">
        <is>
          <t>PROD_0032</t>
        </is>
      </c>
      <c r="B218" s="3" t="inlineStr">
        <is>
          <t>VAR_2</t>
        </is>
      </c>
      <c r="C218" s="3" t="inlineStr">
        <is>
          <t>Wooden Material</t>
        </is>
      </c>
      <c r="D218" s="3" t="inlineStr">
        <is>
          <t>Adhesive</t>
        </is>
      </c>
      <c r="E218" s="3" t="inlineStr">
        <is>
          <t>Fevicol</t>
        </is>
      </c>
      <c r="F218" s="3" t="inlineStr">
        <is>
          <t>Marine Koat</t>
        </is>
      </c>
      <c r="H218" s="3" t="inlineStr">
        <is>
          <t>Volume</t>
        </is>
      </c>
      <c r="I218" s="3" t="inlineStr">
        <is>
          <t>1 Ltr</t>
        </is>
      </c>
      <c r="Q218" s="3" t="inlineStr">
        <is>
          <t>Manufacturer's Warranty</t>
        </is>
      </c>
      <c r="Y218" s="3" t="inlineStr">
        <is>
          <t>FC_Marine_Koat_1LTR</t>
        </is>
      </c>
      <c r="Z218" s="3" t="n">
        <v>35061000</v>
      </c>
      <c r="AE218" s="3" t="n">
        <v>0</v>
      </c>
      <c r="AF218" s="4" t="n">
        <v>0</v>
      </c>
      <c r="AG218" s="3" t="n">
        <v>527.1900000000001</v>
      </c>
      <c r="AH218" s="4" t="n">
        <v>0.18</v>
      </c>
      <c r="AI218" s="3">
        <f>ROUND(AG218+(AG218*AH218),2)</f>
        <v/>
      </c>
      <c r="AJ218" s="4" t="n">
        <v>0.2</v>
      </c>
      <c r="AK218" s="3">
        <f>ROUND(AI218*AJ218,2)</f>
        <v/>
      </c>
      <c r="AL218" s="3">
        <f>AI218+AK218</f>
        <v/>
      </c>
      <c r="AM218" s="3">
        <f>AE218-AL218</f>
        <v/>
      </c>
      <c r="AN218" s="4">
        <f>AM218/AE218</f>
        <v/>
      </c>
      <c r="AO218" s="3" t="inlineStr">
        <is>
          <t>60 mins</t>
        </is>
      </c>
      <c r="AQ218" s="3" t="inlineStr">
        <is>
          <t>Weight</t>
        </is>
      </c>
      <c r="AS218" s="3" t="inlineStr">
        <is>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is>
      </c>
    </row>
    <row r="219" ht="15.75" customHeight="1">
      <c r="A219" s="3" t="inlineStr">
        <is>
          <t>PROD_0032</t>
        </is>
      </c>
      <c r="B219" s="3" t="inlineStr">
        <is>
          <t>VAR_3</t>
        </is>
      </c>
      <c r="C219" s="3" t="inlineStr">
        <is>
          <t>Wooden Material</t>
        </is>
      </c>
      <c r="D219" s="3" t="inlineStr">
        <is>
          <t>Adhesive</t>
        </is>
      </c>
      <c r="E219" s="3" t="inlineStr">
        <is>
          <t>Fevicol</t>
        </is>
      </c>
      <c r="F219" s="3" t="inlineStr">
        <is>
          <t>Marine Koat</t>
        </is>
      </c>
      <c r="H219" s="3" t="inlineStr">
        <is>
          <t>Volume</t>
        </is>
      </c>
      <c r="I219" s="3" t="inlineStr">
        <is>
          <t>5 Ltr</t>
        </is>
      </c>
      <c r="Q219" s="3" t="inlineStr">
        <is>
          <t>Manufacturer's Warranty</t>
        </is>
      </c>
      <c r="Y219" s="3" t="inlineStr">
        <is>
          <t>FC_Marine_Koat_5LTR</t>
        </is>
      </c>
      <c r="Z219" s="3" t="n">
        <v>35061000</v>
      </c>
      <c r="AE219" s="3" t="n">
        <v>0</v>
      </c>
      <c r="AF219" s="4" t="n">
        <v>0</v>
      </c>
      <c r="AG219" s="3" t="n">
        <v>2562.71</v>
      </c>
      <c r="AH219" s="4" t="n">
        <v>0.18</v>
      </c>
      <c r="AI219" s="3">
        <f>ROUND(AG219+(AG219*AH219),2)</f>
        <v/>
      </c>
      <c r="AJ219" s="4" t="n">
        <v>0.2</v>
      </c>
      <c r="AK219" s="3">
        <f>ROUND(AI219*AJ219,2)</f>
        <v/>
      </c>
      <c r="AL219" s="3">
        <f>AI219+AK219</f>
        <v/>
      </c>
      <c r="AM219" s="3">
        <f>AE219-AL219</f>
        <v/>
      </c>
      <c r="AN219" s="4">
        <f>AM219/AE219</f>
        <v/>
      </c>
      <c r="AO219" s="3" t="inlineStr">
        <is>
          <t>60 mins</t>
        </is>
      </c>
      <c r="AQ219" s="3" t="inlineStr">
        <is>
          <t>Weight</t>
        </is>
      </c>
      <c r="AS219" s="3" t="inlineStr">
        <is>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is>
      </c>
    </row>
    <row r="220" ht="15.75" customHeight="1">
      <c r="A220" s="3" t="inlineStr">
        <is>
          <t>PROD_0033</t>
        </is>
      </c>
      <c r="B220" s="3" t="inlineStr">
        <is>
          <t>VAR_1</t>
        </is>
      </c>
      <c r="C220" s="3" t="inlineStr">
        <is>
          <t>Wooden Material</t>
        </is>
      </c>
      <c r="D220" s="3" t="inlineStr">
        <is>
          <t>Adhesive</t>
        </is>
      </c>
      <c r="E220" s="3" t="inlineStr">
        <is>
          <t>Fevicol</t>
        </is>
      </c>
      <c r="F220" s="3" t="inlineStr">
        <is>
          <t>Terminator Wood Preservative</t>
        </is>
      </c>
      <c r="H220" s="3" t="inlineStr">
        <is>
          <t>Weight</t>
        </is>
      </c>
      <c r="I220" s="3" t="inlineStr">
        <is>
          <t>500 gm</t>
        </is>
      </c>
      <c r="Q220" s="3" t="inlineStr">
        <is>
          <t>Manufacturer's Warranty</t>
        </is>
      </c>
      <c r="Y220" s="3" t="inlineStr">
        <is>
          <t>FC_Terminator_Wood_Preservative_500ML</t>
        </is>
      </c>
      <c r="Z220" s="3" t="n">
        <v>38089990</v>
      </c>
      <c r="AE220" s="3" t="n">
        <v>0</v>
      </c>
      <c r="AF220" s="4" t="n">
        <v>0</v>
      </c>
      <c r="AG220" s="3" t="n">
        <v>115.85</v>
      </c>
      <c r="AH220" s="4" t="n">
        <v>0.18</v>
      </c>
      <c r="AI220" s="3">
        <f>ROUND(AG220+(AG220*AH220),2)</f>
        <v/>
      </c>
      <c r="AJ220" s="4" t="n">
        <v>0.2</v>
      </c>
      <c r="AK220" s="3">
        <f>ROUND(AI220*AJ220,2)</f>
        <v/>
      </c>
      <c r="AL220" s="3">
        <f>AI220+AK220</f>
        <v/>
      </c>
      <c r="AM220" s="3">
        <f>AE220-AL220</f>
        <v/>
      </c>
      <c r="AN220" s="4">
        <f>AM220/AE220</f>
        <v/>
      </c>
      <c r="AO220" s="3" t="inlineStr">
        <is>
          <t>60 mins</t>
        </is>
      </c>
      <c r="AQ220" s="3" t="inlineStr">
        <is>
          <t>Weight</t>
        </is>
      </c>
      <c r="AS220" s="3" t="inlineStr">
        <is>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is>
      </c>
    </row>
    <row r="221" ht="15.75" customHeight="1">
      <c r="A221" s="3" t="inlineStr">
        <is>
          <t>PROD_0033</t>
        </is>
      </c>
      <c r="B221" s="3" t="inlineStr">
        <is>
          <t>VAR_2</t>
        </is>
      </c>
      <c r="C221" s="3" t="inlineStr">
        <is>
          <t>Wooden Material</t>
        </is>
      </c>
      <c r="D221" s="3" t="inlineStr">
        <is>
          <t>Adhesive</t>
        </is>
      </c>
      <c r="E221" s="3" t="inlineStr">
        <is>
          <t>Fevicol</t>
        </is>
      </c>
      <c r="F221" s="3" t="inlineStr">
        <is>
          <t>Terminator Wood Preservative</t>
        </is>
      </c>
      <c r="H221" s="3" t="inlineStr">
        <is>
          <t>Weight</t>
        </is>
      </c>
      <c r="I221" s="3" t="inlineStr">
        <is>
          <t>1 Ltr</t>
        </is>
      </c>
      <c r="Q221" s="3" t="inlineStr">
        <is>
          <t>Manufacturer's Warranty</t>
        </is>
      </c>
      <c r="Y221" s="3" t="inlineStr">
        <is>
          <t>FC_Terminator_Wood_Preservative_1LTR</t>
        </is>
      </c>
      <c r="Z221" s="3" t="n">
        <v>38089990</v>
      </c>
      <c r="AE221" s="3" t="n">
        <v>0</v>
      </c>
      <c r="AF221" s="4" t="n">
        <v>0</v>
      </c>
      <c r="AG221" s="3" t="n">
        <v>207.7</v>
      </c>
      <c r="AH221" s="4" t="n">
        <v>0.18</v>
      </c>
      <c r="AI221" s="3">
        <f>ROUND(AG221+(AG221*AH221),2)</f>
        <v/>
      </c>
      <c r="AJ221" s="4" t="n">
        <v>0.2</v>
      </c>
      <c r="AK221" s="3">
        <f>ROUND(AI221*AJ221,2)</f>
        <v/>
      </c>
      <c r="AL221" s="3">
        <f>AI221+AK221</f>
        <v/>
      </c>
      <c r="AM221" s="3">
        <f>AE221-AL221</f>
        <v/>
      </c>
      <c r="AN221" s="4">
        <f>AM221/AE221</f>
        <v/>
      </c>
      <c r="AO221" s="3" t="inlineStr">
        <is>
          <t>60 mins</t>
        </is>
      </c>
      <c r="AQ221" s="3" t="inlineStr">
        <is>
          <t>Weight</t>
        </is>
      </c>
      <c r="AS221" s="3" t="inlineStr">
        <is>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is>
      </c>
    </row>
    <row r="222" ht="15.75" customHeight="1">
      <c r="A222" s="3" t="inlineStr">
        <is>
          <t>PROD_0033</t>
        </is>
      </c>
      <c r="B222" s="3" t="inlineStr">
        <is>
          <t>VAR_3</t>
        </is>
      </c>
      <c r="C222" s="3" t="inlineStr">
        <is>
          <t>Wooden Material</t>
        </is>
      </c>
      <c r="D222" s="3" t="inlineStr">
        <is>
          <t>Adhesive</t>
        </is>
      </c>
      <c r="E222" s="3" t="inlineStr">
        <is>
          <t>Fevicol</t>
        </is>
      </c>
      <c r="F222" s="3" t="inlineStr">
        <is>
          <t>Terminator Wood Preservative</t>
        </is>
      </c>
      <c r="H222" s="3" t="inlineStr">
        <is>
          <t>Weight</t>
        </is>
      </c>
      <c r="I222" s="3" t="inlineStr">
        <is>
          <t>3 Ltr</t>
        </is>
      </c>
      <c r="Q222" s="3" t="inlineStr">
        <is>
          <t>Manufacturer's Warranty</t>
        </is>
      </c>
      <c r="Y222" s="3" t="inlineStr">
        <is>
          <t>FC_Terminator_Wood_Preservative_3LTR</t>
        </is>
      </c>
      <c r="Z222" s="3" t="n">
        <v>38089990</v>
      </c>
      <c r="AE222" s="3" t="n">
        <v>0</v>
      </c>
      <c r="AF222" s="4" t="n">
        <v>0</v>
      </c>
      <c r="AG222" s="3" t="n">
        <v>617.9</v>
      </c>
      <c r="AH222" s="4" t="n">
        <v>0.18</v>
      </c>
      <c r="AI222" s="3">
        <f>ROUND(AG222+(AG222*AH222),2)</f>
        <v/>
      </c>
      <c r="AJ222" s="4" t="n">
        <v>0.2</v>
      </c>
      <c r="AK222" s="3">
        <f>ROUND(AI222*AJ222,2)</f>
        <v/>
      </c>
      <c r="AL222" s="3">
        <f>AI222+AK222</f>
        <v/>
      </c>
      <c r="AM222" s="3">
        <f>AE222-AL222</f>
        <v/>
      </c>
      <c r="AN222" s="4">
        <f>AM222/AE222</f>
        <v/>
      </c>
      <c r="AO222" s="3" t="inlineStr">
        <is>
          <t>60 mins</t>
        </is>
      </c>
      <c r="AQ222" s="3" t="inlineStr">
        <is>
          <t>Weight</t>
        </is>
      </c>
      <c r="AS222" s="3" t="inlineStr">
        <is>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is>
      </c>
    </row>
    <row r="223" ht="15.75" customHeight="1">
      <c r="A223" s="3" t="inlineStr">
        <is>
          <t>PROD_0033</t>
        </is>
      </c>
      <c r="B223" s="3" t="inlineStr">
        <is>
          <t>VAR_4</t>
        </is>
      </c>
      <c r="C223" s="3" t="inlineStr">
        <is>
          <t>Wooden Material</t>
        </is>
      </c>
      <c r="D223" s="3" t="inlineStr">
        <is>
          <t>Adhesive</t>
        </is>
      </c>
      <c r="E223" s="3" t="inlineStr">
        <is>
          <t>Fevicol</t>
        </is>
      </c>
      <c r="F223" s="3" t="inlineStr">
        <is>
          <t>Terminator Wood Preservative</t>
        </is>
      </c>
      <c r="H223" s="3" t="inlineStr">
        <is>
          <t>Weight</t>
        </is>
      </c>
      <c r="I223" s="3" t="inlineStr">
        <is>
          <t>5 Ltr</t>
        </is>
      </c>
      <c r="Q223" s="3" t="inlineStr">
        <is>
          <t>Manufacturer's Warranty</t>
        </is>
      </c>
      <c r="Y223" s="3" t="inlineStr">
        <is>
          <t>FC_Terminator_Wood_Preservative_5LTR</t>
        </is>
      </c>
      <c r="Z223" s="3" t="n">
        <v>38089990</v>
      </c>
      <c r="AE223" s="3" t="n">
        <v>0</v>
      </c>
      <c r="AF223" s="4" t="n">
        <v>0</v>
      </c>
      <c r="AG223" s="3" t="n">
        <v>985.22</v>
      </c>
      <c r="AH223" s="4" t="n">
        <v>0.18</v>
      </c>
      <c r="AI223" s="3">
        <f>ROUND(AG223+(AG223*AH223),2)</f>
        <v/>
      </c>
      <c r="AJ223" s="4" t="n">
        <v>0.2</v>
      </c>
      <c r="AK223" s="3">
        <f>ROUND(AI223*AJ223,2)</f>
        <v/>
      </c>
      <c r="AL223" s="3">
        <f>AI223+AK223</f>
        <v/>
      </c>
      <c r="AM223" s="3">
        <f>AE223-AL223</f>
        <v/>
      </c>
      <c r="AN223" s="4">
        <f>AM223/AE223</f>
        <v/>
      </c>
      <c r="AO223" s="3" t="inlineStr">
        <is>
          <t>60 mins</t>
        </is>
      </c>
      <c r="AQ223" s="3" t="inlineStr">
        <is>
          <t>Weight</t>
        </is>
      </c>
      <c r="AS223" s="3" t="inlineStr">
        <is>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is>
      </c>
    </row>
    <row r="224" ht="15.75" customHeight="1">
      <c r="A224" s="3" t="inlineStr">
        <is>
          <t>PROD_0034</t>
        </is>
      </c>
      <c r="B224" s="3" t="inlineStr">
        <is>
          <t>VAR_1</t>
        </is>
      </c>
      <c r="C224" s="3" t="inlineStr">
        <is>
          <t>Wooden Material</t>
        </is>
      </c>
      <c r="D224" s="3" t="inlineStr">
        <is>
          <t>Adhesive</t>
        </is>
      </c>
      <c r="E224" s="3" t="inlineStr">
        <is>
          <t>Polyfix</t>
        </is>
      </c>
      <c r="F224" s="3" t="inlineStr">
        <is>
          <t>Rapid HV Glue</t>
        </is>
      </c>
      <c r="H224" s="3" t="inlineStr">
        <is>
          <t>Weight</t>
        </is>
      </c>
      <c r="I224" s="3" t="inlineStr">
        <is>
          <t>6 gm</t>
        </is>
      </c>
      <c r="Q224" s="3" t="inlineStr">
        <is>
          <t>Manufacturer's Warranty</t>
        </is>
      </c>
      <c r="Y224" s="3" t="inlineStr">
        <is>
          <t>PolyfiX_Rapid_HV_Glue_6ML</t>
        </is>
      </c>
      <c r="Z224" s="3" t="n">
        <v>3506</v>
      </c>
      <c r="AE224" s="3" t="n">
        <v>0</v>
      </c>
      <c r="AF224" s="4" t="n">
        <v>0</v>
      </c>
      <c r="AG224" s="3">
        <f>ROUND(AE224-(AE224*AF224),2)</f>
        <v/>
      </c>
      <c r="AH224" s="4" t="n">
        <v>0.18</v>
      </c>
      <c r="AI224" s="3">
        <f>ROUND(AG224+(AG224*AH224),2)</f>
        <v/>
      </c>
      <c r="AJ224" s="4" t="n">
        <v>0.2</v>
      </c>
      <c r="AK224" s="3">
        <f>ROUND(AI224*AJ224,2)</f>
        <v/>
      </c>
      <c r="AL224" s="3">
        <f>AI224+AK224</f>
        <v/>
      </c>
      <c r="AM224" s="3">
        <f>AE224-AL224</f>
        <v/>
      </c>
      <c r="AN224" s="4">
        <f>AM224/AE224</f>
        <v/>
      </c>
      <c r="AO224" s="3" t="inlineStr">
        <is>
          <t>60 mins</t>
        </is>
      </c>
      <c r="AQ224" s="3" t="inlineStr">
        <is>
          <t>Weight</t>
        </is>
      </c>
      <c r="AS224"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25" ht="15.75" customHeight="1">
      <c r="A225" s="3" t="inlineStr">
        <is>
          <t>PROD_0034</t>
        </is>
      </c>
      <c r="B225" s="3" t="inlineStr">
        <is>
          <t>VAR_2</t>
        </is>
      </c>
      <c r="C225" s="3" t="inlineStr">
        <is>
          <t>Wooden Material</t>
        </is>
      </c>
      <c r="D225" s="3" t="inlineStr">
        <is>
          <t>Adhesive</t>
        </is>
      </c>
      <c r="E225" s="3" t="inlineStr">
        <is>
          <t>Polyfix</t>
        </is>
      </c>
      <c r="F225" s="3" t="inlineStr">
        <is>
          <t>Rapid HV Glue</t>
        </is>
      </c>
      <c r="H225" s="3" t="inlineStr">
        <is>
          <t>Weight</t>
        </is>
      </c>
      <c r="I225" s="3" t="inlineStr">
        <is>
          <t>10 gm</t>
        </is>
      </c>
      <c r="Q225" s="3" t="inlineStr">
        <is>
          <t>Manufacturer's Warranty</t>
        </is>
      </c>
      <c r="Y225" s="3" t="inlineStr">
        <is>
          <t>PolyfiX_Rapid_HV_Glue_10ML</t>
        </is>
      </c>
      <c r="Z225" s="3" t="n">
        <v>3506</v>
      </c>
      <c r="AE225" s="3" t="n">
        <v>0</v>
      </c>
      <c r="AF225" s="4" t="n">
        <v>0</v>
      </c>
      <c r="AG225" s="3">
        <f>ROUND(AE225-(AE225*AF225),2)</f>
        <v/>
      </c>
      <c r="AH225" s="4" t="n">
        <v>0.18</v>
      </c>
      <c r="AI225" s="3">
        <f>ROUND(AG225+(AG225*AH225),2)</f>
        <v/>
      </c>
      <c r="AJ225" s="4" t="n">
        <v>0.2</v>
      </c>
      <c r="AK225" s="3">
        <f>ROUND(AI225*AJ225,2)</f>
        <v/>
      </c>
      <c r="AL225" s="3">
        <f>AI225+AK225</f>
        <v/>
      </c>
      <c r="AM225" s="3">
        <f>AE225-AL225</f>
        <v/>
      </c>
      <c r="AN225" s="4">
        <f>AM225/AE225</f>
        <v/>
      </c>
      <c r="AO225" s="3" t="inlineStr">
        <is>
          <t>60 mins</t>
        </is>
      </c>
      <c r="AQ225" s="3" t="inlineStr">
        <is>
          <t>Weight</t>
        </is>
      </c>
      <c r="AS225"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26" ht="15.75" customHeight="1">
      <c r="A226" s="3" t="inlineStr">
        <is>
          <t>PROD_0034</t>
        </is>
      </c>
      <c r="B226" s="3" t="inlineStr">
        <is>
          <t>VAR_3</t>
        </is>
      </c>
      <c r="C226" s="3" t="inlineStr">
        <is>
          <t>Wooden Material</t>
        </is>
      </c>
      <c r="D226" s="3" t="inlineStr">
        <is>
          <t>Adhesive</t>
        </is>
      </c>
      <c r="E226" s="3" t="inlineStr">
        <is>
          <t>Polyfix</t>
        </is>
      </c>
      <c r="F226" s="3" t="inlineStr">
        <is>
          <t>Rapid HV Glue</t>
        </is>
      </c>
      <c r="H226" s="3" t="inlineStr">
        <is>
          <t>Weight</t>
        </is>
      </c>
      <c r="I226" s="3" t="inlineStr">
        <is>
          <t>12 gm</t>
        </is>
      </c>
      <c r="Q226" s="3" t="inlineStr">
        <is>
          <t>Manufacturer's Warranty</t>
        </is>
      </c>
      <c r="Y226" s="3" t="inlineStr">
        <is>
          <t>PolyfiX_Rapid_HV_Glue_12ML</t>
        </is>
      </c>
      <c r="Z226" s="3" t="n">
        <v>3506</v>
      </c>
      <c r="AE226" s="3" t="n">
        <v>0</v>
      </c>
      <c r="AF226" s="4" t="n">
        <v>0</v>
      </c>
      <c r="AG226" s="3">
        <f>ROUND(AE226-(AE226*AF226),2)</f>
        <v/>
      </c>
      <c r="AH226" s="4" t="n">
        <v>0.18</v>
      </c>
      <c r="AI226" s="3">
        <f>ROUND(AG226+(AG226*AH226),2)</f>
        <v/>
      </c>
      <c r="AJ226" s="4" t="n">
        <v>0.2</v>
      </c>
      <c r="AK226" s="3">
        <f>ROUND(AI226*AJ226,2)</f>
        <v/>
      </c>
      <c r="AL226" s="3">
        <f>AI226+AK226</f>
        <v/>
      </c>
      <c r="AM226" s="3">
        <f>AE226-AL226</f>
        <v/>
      </c>
      <c r="AN226" s="4">
        <f>AM226/AE226</f>
        <v/>
      </c>
      <c r="AO226" s="3" t="inlineStr">
        <is>
          <t>60 mins</t>
        </is>
      </c>
      <c r="AQ226" s="3" t="inlineStr">
        <is>
          <t>Weight</t>
        </is>
      </c>
      <c r="AS226"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27" ht="15.75" customHeight="1">
      <c r="A227" s="3" t="inlineStr">
        <is>
          <t>PROD_0034</t>
        </is>
      </c>
      <c r="B227" s="3" t="inlineStr">
        <is>
          <t>VAR_4</t>
        </is>
      </c>
      <c r="C227" s="3" t="inlineStr">
        <is>
          <t>Wooden Material</t>
        </is>
      </c>
      <c r="D227" s="3" t="inlineStr">
        <is>
          <t>Adhesive</t>
        </is>
      </c>
      <c r="E227" s="3" t="inlineStr">
        <is>
          <t>Polyfix</t>
        </is>
      </c>
      <c r="F227" s="3" t="inlineStr">
        <is>
          <t>Rapid HV Glue</t>
        </is>
      </c>
      <c r="H227" s="3" t="inlineStr">
        <is>
          <t>Weight</t>
        </is>
      </c>
      <c r="I227" s="3" t="inlineStr">
        <is>
          <t>15 gm</t>
        </is>
      </c>
      <c r="Q227" s="3" t="inlineStr">
        <is>
          <t>Manufacturer's Warranty</t>
        </is>
      </c>
      <c r="Y227" s="3" t="inlineStr">
        <is>
          <t>PolyfiX_Rapid_HV_Glue_15ML</t>
        </is>
      </c>
      <c r="Z227" s="3" t="n">
        <v>3506</v>
      </c>
      <c r="AE227" s="3" t="n">
        <v>0</v>
      </c>
      <c r="AF227" s="4" t="n">
        <v>0</v>
      </c>
      <c r="AG227" s="3">
        <f>ROUND(AE227-(AE227*AF227),2)</f>
        <v/>
      </c>
      <c r="AH227" s="4" t="n">
        <v>0.18</v>
      </c>
      <c r="AI227" s="3">
        <f>ROUND(AG227+(AG227*AH227),2)</f>
        <v/>
      </c>
      <c r="AJ227" s="4" t="n">
        <v>0.2</v>
      </c>
      <c r="AK227" s="3">
        <f>ROUND(AI227*AJ227,2)</f>
        <v/>
      </c>
      <c r="AL227" s="3">
        <f>AI227+AK227</f>
        <v/>
      </c>
      <c r="AM227" s="3">
        <f>AE227-AL227</f>
        <v/>
      </c>
      <c r="AN227" s="4">
        <f>AM227/AE227</f>
        <v/>
      </c>
      <c r="AO227" s="3" t="inlineStr">
        <is>
          <t>60 mins</t>
        </is>
      </c>
      <c r="AQ227" s="3" t="inlineStr">
        <is>
          <t>Weight</t>
        </is>
      </c>
      <c r="AS227"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28" ht="15.75" customHeight="1">
      <c r="A228" s="3" t="inlineStr">
        <is>
          <t>PROD_0034</t>
        </is>
      </c>
      <c r="B228" s="3" t="inlineStr">
        <is>
          <t>VAR_5</t>
        </is>
      </c>
      <c r="C228" s="3" t="inlineStr">
        <is>
          <t>Wooden Material</t>
        </is>
      </c>
      <c r="D228" s="3" t="inlineStr">
        <is>
          <t>Adhesive</t>
        </is>
      </c>
      <c r="E228" s="3" t="inlineStr">
        <is>
          <t>Polyfix</t>
        </is>
      </c>
      <c r="F228" s="3" t="inlineStr">
        <is>
          <t>Rapid HV Glue</t>
        </is>
      </c>
      <c r="H228" s="3" t="inlineStr">
        <is>
          <t>Weight</t>
        </is>
      </c>
      <c r="I228" s="3" t="inlineStr">
        <is>
          <t>18 gm</t>
        </is>
      </c>
      <c r="Q228" s="3" t="inlineStr">
        <is>
          <t>Manufacturer's Warranty</t>
        </is>
      </c>
      <c r="Y228" s="3" t="inlineStr">
        <is>
          <t>PolyfiX_Rapid_HV_Glue_18ML</t>
        </is>
      </c>
      <c r="Z228" s="3" t="n">
        <v>3506</v>
      </c>
      <c r="AE228" s="3" t="n">
        <v>0</v>
      </c>
      <c r="AF228" s="4" t="n">
        <v>0</v>
      </c>
      <c r="AG228" s="3">
        <f>ROUND(AE228-(AE228*AF228),2)</f>
        <v/>
      </c>
      <c r="AH228" s="4" t="n">
        <v>0.18</v>
      </c>
      <c r="AI228" s="3">
        <f>ROUND(AG228+(AG228*AH228),2)</f>
        <v/>
      </c>
      <c r="AJ228" s="4" t="n">
        <v>0.2</v>
      </c>
      <c r="AK228" s="3">
        <f>ROUND(AI228*AJ228,2)</f>
        <v/>
      </c>
      <c r="AL228" s="3">
        <f>AI228+AK228</f>
        <v/>
      </c>
      <c r="AM228" s="3">
        <f>AE228-AL228</f>
        <v/>
      </c>
      <c r="AN228" s="4">
        <f>AM228/AE228</f>
        <v/>
      </c>
      <c r="AO228" s="3" t="inlineStr">
        <is>
          <t>60 mins</t>
        </is>
      </c>
      <c r="AQ228" s="3" t="inlineStr">
        <is>
          <t>Weight</t>
        </is>
      </c>
      <c r="AS228"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29" ht="15.75" customHeight="1">
      <c r="A229" s="3" t="inlineStr">
        <is>
          <t>PROD_0034</t>
        </is>
      </c>
      <c r="B229" s="3" t="inlineStr">
        <is>
          <t>VAR_6</t>
        </is>
      </c>
      <c r="C229" s="3" t="inlineStr">
        <is>
          <t>Wooden Material</t>
        </is>
      </c>
      <c r="D229" s="3" t="inlineStr">
        <is>
          <t>Adhesive</t>
        </is>
      </c>
      <c r="E229" s="3" t="inlineStr">
        <is>
          <t>Polyfix</t>
        </is>
      </c>
      <c r="F229" s="3" t="inlineStr">
        <is>
          <t>Rapid HV Glue</t>
        </is>
      </c>
      <c r="H229" s="3" t="inlineStr">
        <is>
          <t>Weight</t>
        </is>
      </c>
      <c r="I229" s="3" t="inlineStr">
        <is>
          <t>125 gm</t>
        </is>
      </c>
      <c r="Q229" s="3" t="inlineStr">
        <is>
          <t>Manufacturer's Warranty</t>
        </is>
      </c>
      <c r="Y229" s="3" t="inlineStr">
        <is>
          <t>PolyfiX_Rapid_HV_Glue_125GM</t>
        </is>
      </c>
      <c r="Z229" s="3" t="n">
        <v>3506</v>
      </c>
      <c r="AE229" s="3" t="n">
        <v>0</v>
      </c>
      <c r="AF229" s="4" t="n">
        <v>0</v>
      </c>
      <c r="AG229" s="3">
        <f>ROUND(AE229-(AE229*AF229),2)</f>
        <v/>
      </c>
      <c r="AH229" s="4" t="n">
        <v>0.18</v>
      </c>
      <c r="AI229" s="3">
        <f>ROUND(AG229+(AG229*AH229),2)</f>
        <v/>
      </c>
      <c r="AJ229" s="4" t="n">
        <v>0.2</v>
      </c>
      <c r="AK229" s="3">
        <f>ROUND(AI229*AJ229,2)</f>
        <v/>
      </c>
      <c r="AL229" s="3">
        <f>AI229+AK229</f>
        <v/>
      </c>
      <c r="AM229" s="3">
        <f>AE229-AL229</f>
        <v/>
      </c>
      <c r="AN229" s="4">
        <f>AM229/AE229</f>
        <v/>
      </c>
      <c r="AO229" s="3" t="inlineStr">
        <is>
          <t>60 mins</t>
        </is>
      </c>
      <c r="AQ229" s="3" t="inlineStr">
        <is>
          <t>Weight</t>
        </is>
      </c>
      <c r="AS229"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30" ht="15.75" customHeight="1">
      <c r="A230" s="3" t="inlineStr">
        <is>
          <t>PROD_0034</t>
        </is>
      </c>
      <c r="B230" s="3" t="inlineStr">
        <is>
          <t>VAR_7</t>
        </is>
      </c>
      <c r="C230" s="3" t="inlineStr">
        <is>
          <t>Wooden Material</t>
        </is>
      </c>
      <c r="D230" s="3" t="inlineStr">
        <is>
          <t>Adhesive</t>
        </is>
      </c>
      <c r="E230" s="3" t="inlineStr">
        <is>
          <t>Polyfix</t>
        </is>
      </c>
      <c r="F230" s="3" t="inlineStr">
        <is>
          <t>Rapid HV Glue</t>
        </is>
      </c>
      <c r="H230" s="3" t="inlineStr">
        <is>
          <t>Weight</t>
        </is>
      </c>
      <c r="I230" s="3" t="inlineStr">
        <is>
          <t>250 gm</t>
        </is>
      </c>
      <c r="Q230" s="3" t="inlineStr">
        <is>
          <t>Manufacturer's Warranty</t>
        </is>
      </c>
      <c r="Y230" s="3" t="inlineStr">
        <is>
          <t>PolyfiX_Rapid_HV_Glue_250GM</t>
        </is>
      </c>
      <c r="Z230" s="3" t="n">
        <v>3506</v>
      </c>
      <c r="AE230" s="3" t="n">
        <v>0</v>
      </c>
      <c r="AF230" s="4" t="n">
        <v>0</v>
      </c>
      <c r="AG230" s="3">
        <f>ROUND(AE230-(AE230*AF230),2)</f>
        <v/>
      </c>
      <c r="AH230" s="4" t="n">
        <v>0.18</v>
      </c>
      <c r="AI230" s="3">
        <f>ROUND(AG230+(AG230*AH230),2)</f>
        <v/>
      </c>
      <c r="AJ230" s="4" t="n">
        <v>0.2</v>
      </c>
      <c r="AK230" s="3">
        <f>ROUND(AI230*AJ230,2)</f>
        <v/>
      </c>
      <c r="AL230" s="3">
        <f>AI230+AK230</f>
        <v/>
      </c>
      <c r="AM230" s="3">
        <f>AE230-AL230</f>
        <v/>
      </c>
      <c r="AN230" s="4">
        <f>AM230/AE230</f>
        <v/>
      </c>
      <c r="AO230" s="3" t="inlineStr">
        <is>
          <t>60 mins</t>
        </is>
      </c>
      <c r="AQ230" s="3" t="inlineStr">
        <is>
          <t>Weight</t>
        </is>
      </c>
      <c r="AS230" s="3" t="inlineStr">
        <is>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is>
      </c>
    </row>
    <row r="231" ht="15.75" customHeight="1">
      <c r="A231" s="10" t="inlineStr">
        <is>
          <t>PROD_0035</t>
        </is>
      </c>
      <c r="B231" s="10" t="inlineStr">
        <is>
          <t>VAR_1</t>
        </is>
      </c>
      <c r="C231" s="10" t="inlineStr">
        <is>
          <t>Wooden Material</t>
        </is>
      </c>
      <c r="D231" s="10" t="inlineStr">
        <is>
          <t>Adhesive</t>
        </is>
      </c>
      <c r="E231" s="10" t="inlineStr">
        <is>
          <t>Jeevanjor</t>
        </is>
      </c>
      <c r="F231" s="10" t="inlineStr">
        <is>
          <t xml:space="preserve">All Rounder </t>
        </is>
      </c>
      <c r="G231" s="10" t="n"/>
      <c r="H231" s="10" t="inlineStr">
        <is>
          <t>Weight</t>
        </is>
      </c>
      <c r="I231" s="10" t="inlineStr">
        <is>
          <t>250 gm</t>
        </is>
      </c>
      <c r="J231" s="10" t="n"/>
      <c r="K231" s="10" t="n"/>
      <c r="L231" s="10" t="n"/>
      <c r="M231" s="10" t="n"/>
      <c r="N231" s="10" t="n"/>
      <c r="O231" s="10" t="n"/>
      <c r="P231" s="10" t="n"/>
      <c r="Q231" s="10" t="inlineStr">
        <is>
          <t>Manufacturer's Warranty</t>
        </is>
      </c>
      <c r="R231" s="10" t="n"/>
      <c r="S231" s="10" t="n"/>
      <c r="T231" s="10" t="n"/>
      <c r="U231" s="10" t="n"/>
      <c r="V231" s="10" t="n"/>
      <c r="W231" s="10" t="n"/>
      <c r="X231" s="10" t="n"/>
      <c r="Y231" s="10" t="inlineStr">
        <is>
          <t>Jeevanjor_All_Rounder_HP_250GM</t>
        </is>
      </c>
      <c r="Z231" s="10" t="n">
        <v>35069190</v>
      </c>
      <c r="AA231" s="10" t="n"/>
      <c r="AB231" s="10" t="n"/>
      <c r="AC231" s="10" t="n"/>
      <c r="AD231" s="10" t="n"/>
      <c r="AE231" s="10" t="n">
        <v>0</v>
      </c>
      <c r="AF231" s="11" t="n">
        <v>0</v>
      </c>
      <c r="AG231" s="10">
        <f>ROUND(AE231-(AE231*AF231),2)</f>
        <v/>
      </c>
      <c r="AH231" s="11" t="n">
        <v>0.18</v>
      </c>
      <c r="AI231" s="10">
        <f>ROUND(AG231+(AG231*AH231),2)</f>
        <v/>
      </c>
      <c r="AJ231" s="11" t="n">
        <v>0.2</v>
      </c>
      <c r="AK231" s="10">
        <f>ROUND(AI231*AJ231,2)</f>
        <v/>
      </c>
      <c r="AL231" s="10">
        <f>AI231+AK231</f>
        <v/>
      </c>
      <c r="AM231" s="10">
        <f>AE231-AL231</f>
        <v/>
      </c>
      <c r="AN231" s="11">
        <f>AM231/AE231</f>
        <v/>
      </c>
      <c r="AO231" s="10" t="inlineStr">
        <is>
          <t>60 mins</t>
        </is>
      </c>
      <c r="AP231" s="10" t="n"/>
      <c r="AQ231" s="10" t="inlineStr">
        <is>
          <t>Weight</t>
        </is>
      </c>
      <c r="AR231" s="10" t="n"/>
      <c r="AS231" s="10"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2" ht="15.75" customHeight="1">
      <c r="A232" s="3" t="inlineStr">
        <is>
          <t>PROD_0035</t>
        </is>
      </c>
      <c r="B232" s="3" t="inlineStr">
        <is>
          <t>VAR_2</t>
        </is>
      </c>
      <c r="C232" s="3" t="inlineStr">
        <is>
          <t>Wooden Material</t>
        </is>
      </c>
      <c r="D232" s="3" t="inlineStr">
        <is>
          <t>Adhesive</t>
        </is>
      </c>
      <c r="E232" s="3" t="inlineStr">
        <is>
          <t>Jeevanjor</t>
        </is>
      </c>
      <c r="F232" s="3" t="inlineStr">
        <is>
          <t xml:space="preserve">All Rounder </t>
        </is>
      </c>
      <c r="H232" s="3" t="inlineStr">
        <is>
          <t>Weight</t>
        </is>
      </c>
      <c r="I232" s="3" t="inlineStr">
        <is>
          <t>500 gm</t>
        </is>
      </c>
      <c r="Q232" s="3" t="inlineStr">
        <is>
          <t>Manufacturer's Warranty</t>
        </is>
      </c>
      <c r="Y232" s="3" t="inlineStr">
        <is>
          <t>Jeevanjor_All_Rounder_HP_500GM</t>
        </is>
      </c>
      <c r="Z232" s="3" t="n">
        <v>35069190</v>
      </c>
      <c r="AE232" s="3" t="n">
        <v>0</v>
      </c>
      <c r="AF232" s="4" t="n">
        <v>0</v>
      </c>
      <c r="AG232" s="3" t="n">
        <v>111.36</v>
      </c>
      <c r="AH232" s="4" t="n">
        <v>0.18</v>
      </c>
      <c r="AI232" s="3">
        <f>ROUND(AG232+(AG232*AH232),2)</f>
        <v/>
      </c>
      <c r="AJ232" s="4" t="n">
        <v>0.2</v>
      </c>
      <c r="AK232" s="3">
        <f>ROUND(AI232*AJ232,2)</f>
        <v/>
      </c>
      <c r="AL232" s="3">
        <f>AI232+AK232</f>
        <v/>
      </c>
      <c r="AM232" s="3">
        <f>AE232-AL232</f>
        <v/>
      </c>
      <c r="AN232" s="4">
        <f>AM232/AE232</f>
        <v/>
      </c>
      <c r="AO232" s="3" t="inlineStr">
        <is>
          <t>60 mins</t>
        </is>
      </c>
      <c r="AQ232" s="3" t="inlineStr">
        <is>
          <t>Weight</t>
        </is>
      </c>
      <c r="AS232"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3" ht="15.75" customHeight="1">
      <c r="A233" s="3" t="inlineStr">
        <is>
          <t>PROD_0035</t>
        </is>
      </c>
      <c r="B233" s="3" t="inlineStr">
        <is>
          <t>VAR_3</t>
        </is>
      </c>
      <c r="C233" s="3" t="inlineStr">
        <is>
          <t>Wooden Material</t>
        </is>
      </c>
      <c r="D233" s="3" t="inlineStr">
        <is>
          <t>Adhesive</t>
        </is>
      </c>
      <c r="E233" s="3" t="inlineStr">
        <is>
          <t>Jeevanjor</t>
        </is>
      </c>
      <c r="F233" s="3" t="inlineStr">
        <is>
          <t xml:space="preserve">All Rounder </t>
        </is>
      </c>
      <c r="H233" s="3" t="inlineStr">
        <is>
          <t>Weight</t>
        </is>
      </c>
      <c r="I233" s="3" t="inlineStr">
        <is>
          <t>1kg</t>
        </is>
      </c>
      <c r="Q233" s="3" t="inlineStr">
        <is>
          <t>Manufacturer's Warranty</t>
        </is>
      </c>
      <c r="Y233" s="3" t="inlineStr">
        <is>
          <t>Jeevanjor_All_Rounder_HP_1KG</t>
        </is>
      </c>
      <c r="Z233" s="3" t="n">
        <v>35069190</v>
      </c>
      <c r="AE233" s="3" t="n">
        <v>0</v>
      </c>
      <c r="AF233" s="4" t="n">
        <v>0</v>
      </c>
      <c r="AG233" s="3" t="n">
        <v>205.44</v>
      </c>
      <c r="AH233" s="4" t="n">
        <v>0.18</v>
      </c>
      <c r="AI233" s="3">
        <f>ROUND(AG233+(AG233*AH233),2)</f>
        <v/>
      </c>
      <c r="AJ233" s="4" t="n">
        <v>0.2</v>
      </c>
      <c r="AK233" s="3">
        <f>ROUND(AI233*AJ233,2)</f>
        <v/>
      </c>
      <c r="AL233" s="3">
        <f>AI233+AK233</f>
        <v/>
      </c>
      <c r="AM233" s="3">
        <f>AE233-AL233</f>
        <v/>
      </c>
      <c r="AN233" s="4">
        <f>AM233/AE233</f>
        <v/>
      </c>
      <c r="AO233" s="3" t="inlineStr">
        <is>
          <t>60 mins</t>
        </is>
      </c>
      <c r="AQ233" s="3" t="inlineStr">
        <is>
          <t>Weight</t>
        </is>
      </c>
      <c r="AS233"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4" ht="15.75" customHeight="1">
      <c r="A234" s="3" t="inlineStr">
        <is>
          <t>PROD_0035</t>
        </is>
      </c>
      <c r="B234" s="3" t="inlineStr">
        <is>
          <t>VAR_4</t>
        </is>
      </c>
      <c r="C234" s="3" t="inlineStr">
        <is>
          <t>Wooden Material</t>
        </is>
      </c>
      <c r="D234" s="3" t="inlineStr">
        <is>
          <t>Adhesive</t>
        </is>
      </c>
      <c r="E234" s="3" t="inlineStr">
        <is>
          <t>Jeevanjor</t>
        </is>
      </c>
      <c r="F234" s="3" t="inlineStr">
        <is>
          <t xml:space="preserve">All Rounder </t>
        </is>
      </c>
      <c r="H234" s="3" t="inlineStr">
        <is>
          <t>Weight</t>
        </is>
      </c>
      <c r="I234" s="3" t="inlineStr">
        <is>
          <t>2kg</t>
        </is>
      </c>
      <c r="Q234" s="3" t="inlineStr">
        <is>
          <t>Manufacturer's Warranty</t>
        </is>
      </c>
      <c r="Y234" s="3" t="inlineStr">
        <is>
          <t>Jeevanjor_All_Rounder_HP_2KG</t>
        </is>
      </c>
      <c r="Z234" s="3" t="n">
        <v>35069190</v>
      </c>
      <c r="AE234" s="3" t="n">
        <v>0</v>
      </c>
      <c r="AF234" s="4" t="n">
        <v>0</v>
      </c>
      <c r="AG234" s="3" t="n">
        <v>388.8</v>
      </c>
      <c r="AH234" s="4" t="n">
        <v>0.18</v>
      </c>
      <c r="AI234" s="3">
        <f>ROUND(AG234+(AG234*AH234),2)</f>
        <v/>
      </c>
      <c r="AJ234" s="4" t="n">
        <v>0.2</v>
      </c>
      <c r="AK234" s="3">
        <f>ROUND(AI234*AJ234,2)</f>
        <v/>
      </c>
      <c r="AL234" s="3">
        <f>AI234+AK234</f>
        <v/>
      </c>
      <c r="AM234" s="3">
        <f>AE234-AL234</f>
        <v/>
      </c>
      <c r="AN234" s="4">
        <f>AM234/AE234</f>
        <v/>
      </c>
      <c r="AO234" s="3" t="inlineStr">
        <is>
          <t>60 mins</t>
        </is>
      </c>
      <c r="AQ234" s="3" t="inlineStr">
        <is>
          <t>Weight</t>
        </is>
      </c>
      <c r="AS234"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5" ht="15.75" customHeight="1">
      <c r="A235" s="3" t="inlineStr">
        <is>
          <t>PROD_0035</t>
        </is>
      </c>
      <c r="B235" s="3" t="inlineStr">
        <is>
          <t>VAR_5</t>
        </is>
      </c>
      <c r="C235" s="3" t="inlineStr">
        <is>
          <t>Wooden Material</t>
        </is>
      </c>
      <c r="D235" s="3" t="inlineStr">
        <is>
          <t>Adhesive</t>
        </is>
      </c>
      <c r="E235" s="3" t="inlineStr">
        <is>
          <t>Jeevanjor</t>
        </is>
      </c>
      <c r="F235" s="3" t="inlineStr">
        <is>
          <t xml:space="preserve">All Rounder </t>
        </is>
      </c>
      <c r="H235" s="3" t="inlineStr">
        <is>
          <t>Weight</t>
        </is>
      </c>
      <c r="I235" s="3" t="inlineStr">
        <is>
          <t>5 kg</t>
        </is>
      </c>
      <c r="Q235" s="3" t="inlineStr">
        <is>
          <t>Manufacturer's Warranty</t>
        </is>
      </c>
      <c r="Y235" s="3" t="inlineStr">
        <is>
          <t>Jeevanjor_All_Rounder_HP_5KG</t>
        </is>
      </c>
      <c r="Z235" s="3" t="n">
        <v>35069190</v>
      </c>
      <c r="AE235" s="3" t="n">
        <v>0</v>
      </c>
      <c r="AF235" s="4" t="n">
        <v>0</v>
      </c>
      <c r="AG235" s="3" t="n">
        <v>909.12</v>
      </c>
      <c r="AH235" s="4" t="n">
        <v>0.18</v>
      </c>
      <c r="AI235" s="3">
        <f>ROUND(AG235+(AG235*AH235),2)</f>
        <v/>
      </c>
      <c r="AJ235" s="4" t="n">
        <v>0.2</v>
      </c>
      <c r="AK235" s="3">
        <f>ROUND(AI235*AJ235,2)</f>
        <v/>
      </c>
      <c r="AL235" s="3">
        <f>AI235+AK235</f>
        <v/>
      </c>
      <c r="AM235" s="3">
        <f>AE235-AL235</f>
        <v/>
      </c>
      <c r="AN235" s="4">
        <f>AM235/AE235</f>
        <v/>
      </c>
      <c r="AO235" s="3" t="inlineStr">
        <is>
          <t>60 mins</t>
        </is>
      </c>
      <c r="AQ235" s="3" t="inlineStr">
        <is>
          <t>Weight</t>
        </is>
      </c>
      <c r="AS235"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6" ht="15.75" customHeight="1">
      <c r="A236" s="3" t="inlineStr">
        <is>
          <t>PROD_0035</t>
        </is>
      </c>
      <c r="B236" s="3" t="inlineStr">
        <is>
          <t>VAR_6</t>
        </is>
      </c>
      <c r="C236" s="3" t="inlineStr">
        <is>
          <t>Wooden Material</t>
        </is>
      </c>
      <c r="D236" s="3" t="inlineStr">
        <is>
          <t>Adhesive</t>
        </is>
      </c>
      <c r="E236" s="3" t="inlineStr">
        <is>
          <t>Jeevanjor</t>
        </is>
      </c>
      <c r="F236" s="3" t="inlineStr">
        <is>
          <t xml:space="preserve">All Rounder </t>
        </is>
      </c>
      <c r="H236" s="3" t="inlineStr">
        <is>
          <t>Weight</t>
        </is>
      </c>
      <c r="I236" s="3" t="inlineStr">
        <is>
          <t>10 kg</t>
        </is>
      </c>
      <c r="Q236" s="3" t="inlineStr">
        <is>
          <t>Manufacturer's Warranty</t>
        </is>
      </c>
      <c r="Y236" s="3" t="inlineStr">
        <is>
          <t>Jeevanjor_All_Rounder_HP_10KG</t>
        </is>
      </c>
      <c r="Z236" s="3" t="n">
        <v>35069190</v>
      </c>
      <c r="AE236" s="3" t="n">
        <v>0</v>
      </c>
      <c r="AF236" s="4" t="n">
        <v>0</v>
      </c>
      <c r="AG236" s="3" t="n">
        <v>1731.84</v>
      </c>
      <c r="AH236" s="4" t="n">
        <v>0.18</v>
      </c>
      <c r="AI236" s="3">
        <f>ROUND(AG236+(AG236*AH236),2)</f>
        <v/>
      </c>
      <c r="AJ236" s="4" t="n">
        <v>0.2</v>
      </c>
      <c r="AK236" s="3">
        <f>ROUND(AI236*AJ236,2)</f>
        <v/>
      </c>
      <c r="AL236" s="3">
        <f>AI236+AK236</f>
        <v/>
      </c>
      <c r="AM236" s="3">
        <f>AE236-AL236</f>
        <v/>
      </c>
      <c r="AN236" s="4">
        <f>AM236/AE236</f>
        <v/>
      </c>
      <c r="AO236" s="3" t="inlineStr">
        <is>
          <t>60 mins</t>
        </is>
      </c>
      <c r="AQ236" s="3" t="inlineStr">
        <is>
          <t>Weight</t>
        </is>
      </c>
      <c r="AS236"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7" ht="15.75" customHeight="1">
      <c r="A237" s="3" t="inlineStr">
        <is>
          <t>PROD_0035</t>
        </is>
      </c>
      <c r="B237" s="3" t="inlineStr">
        <is>
          <t>VAR_7</t>
        </is>
      </c>
      <c r="C237" s="3" t="inlineStr">
        <is>
          <t>Wooden Material</t>
        </is>
      </c>
      <c r="D237" s="3" t="inlineStr">
        <is>
          <t>Adhesive</t>
        </is>
      </c>
      <c r="E237" s="3" t="inlineStr">
        <is>
          <t>Jeevanjor</t>
        </is>
      </c>
      <c r="F237" s="3" t="inlineStr">
        <is>
          <t xml:space="preserve">All Rounder </t>
        </is>
      </c>
      <c r="H237" s="3" t="inlineStr">
        <is>
          <t>Weight</t>
        </is>
      </c>
      <c r="I237" s="3" t="inlineStr">
        <is>
          <t>20 kg</t>
        </is>
      </c>
      <c r="Q237" s="3" t="inlineStr">
        <is>
          <t>Manufacturer's Warranty</t>
        </is>
      </c>
      <c r="Y237" s="3" t="inlineStr">
        <is>
          <t>Jeevanjor_All_Rounder_HP_20KG</t>
        </is>
      </c>
      <c r="Z237" s="3" t="n">
        <v>35069190</v>
      </c>
      <c r="AE237" s="3" t="n">
        <v>0</v>
      </c>
      <c r="AF237" s="4" t="n">
        <v>0</v>
      </c>
      <c r="AG237" s="3" t="n">
        <v>3355.56</v>
      </c>
      <c r="AH237" s="4" t="n">
        <v>0.18</v>
      </c>
      <c r="AI237" s="3">
        <f>ROUND(AG237+(AG237*AH237),2)</f>
        <v/>
      </c>
      <c r="AJ237" s="4" t="n">
        <v>0.2</v>
      </c>
      <c r="AK237" s="3">
        <f>ROUND(AI237*AJ237,2)</f>
        <v/>
      </c>
      <c r="AL237" s="3">
        <f>AI237+AK237</f>
        <v/>
      </c>
      <c r="AM237" s="3">
        <f>AE237-AL237</f>
        <v/>
      </c>
      <c r="AN237" s="4">
        <f>AM237/AE237</f>
        <v/>
      </c>
      <c r="AO237" s="3" t="inlineStr">
        <is>
          <t>60 mins</t>
        </is>
      </c>
      <c r="AQ237" s="3" t="inlineStr">
        <is>
          <t>Weight</t>
        </is>
      </c>
      <c r="AS237"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8" ht="15.75" customHeight="1">
      <c r="A238" s="3" t="inlineStr">
        <is>
          <t>PROD_0035</t>
        </is>
      </c>
      <c r="B238" s="3" t="inlineStr">
        <is>
          <t>VAR_8</t>
        </is>
      </c>
      <c r="C238" s="3" t="inlineStr">
        <is>
          <t>Wooden Material</t>
        </is>
      </c>
      <c r="D238" s="3" t="inlineStr">
        <is>
          <t>Adhesive</t>
        </is>
      </c>
      <c r="E238" s="3" t="inlineStr">
        <is>
          <t>Jeevanjor</t>
        </is>
      </c>
      <c r="F238" s="3" t="inlineStr">
        <is>
          <t xml:space="preserve">All Rounder </t>
        </is>
      </c>
      <c r="H238" s="3" t="inlineStr">
        <is>
          <t>Weight</t>
        </is>
      </c>
      <c r="I238" s="3" t="inlineStr">
        <is>
          <t>50 kg</t>
        </is>
      </c>
      <c r="Q238" s="3" t="inlineStr">
        <is>
          <t>Manufacturer's Warranty</t>
        </is>
      </c>
      <c r="Y238" s="3" t="inlineStr">
        <is>
          <t>Jeevanjor_All_Rounder_HP_50KG</t>
        </is>
      </c>
      <c r="Z238" s="3" t="n">
        <v>35069190</v>
      </c>
      <c r="AE238" s="3" t="n">
        <v>0</v>
      </c>
      <c r="AF238" s="4" t="n">
        <v>0</v>
      </c>
      <c r="AG238" s="3" t="n">
        <v>7589.76</v>
      </c>
      <c r="AH238" s="4" t="n">
        <v>0.18</v>
      </c>
      <c r="AI238" s="3">
        <f>ROUND(AG238+(AG238*AH238),2)</f>
        <v/>
      </c>
      <c r="AJ238" s="4" t="n">
        <v>0.2</v>
      </c>
      <c r="AK238" s="3">
        <f>ROUND(AI238*AJ238,2)</f>
        <v/>
      </c>
      <c r="AL238" s="3">
        <f>AI238+AK238</f>
        <v/>
      </c>
      <c r="AM238" s="3">
        <f>AE238-AL238</f>
        <v/>
      </c>
      <c r="AN238" s="4">
        <f>AM238/AE238</f>
        <v/>
      </c>
      <c r="AO238" s="3" t="inlineStr">
        <is>
          <t>60 mins</t>
        </is>
      </c>
      <c r="AQ238" s="3" t="inlineStr">
        <is>
          <t>Weight</t>
        </is>
      </c>
      <c r="AS238"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39" ht="15.75" customHeight="1">
      <c r="A239" s="3" t="inlineStr">
        <is>
          <t>PROD_0035</t>
        </is>
      </c>
      <c r="B239" s="3" t="inlineStr">
        <is>
          <t>VAR_9</t>
        </is>
      </c>
      <c r="C239" s="3" t="inlineStr">
        <is>
          <t>Wooden Material</t>
        </is>
      </c>
      <c r="D239" s="3" t="inlineStr">
        <is>
          <t>Adhesive</t>
        </is>
      </c>
      <c r="E239" s="3" t="inlineStr">
        <is>
          <t>Jeevanjor</t>
        </is>
      </c>
      <c r="F239" s="3" t="inlineStr">
        <is>
          <t xml:space="preserve">All Rounder </t>
        </is>
      </c>
      <c r="H239" s="3" t="inlineStr">
        <is>
          <t>Weight</t>
        </is>
      </c>
      <c r="I239" s="3" t="inlineStr">
        <is>
          <t>60 kg</t>
        </is>
      </c>
      <c r="Q239" s="3" t="inlineStr">
        <is>
          <t>Manufacturer's Warranty</t>
        </is>
      </c>
      <c r="Y239" s="3" t="inlineStr">
        <is>
          <t>Jeevanjor_All_Rounder_HP_60KG</t>
        </is>
      </c>
      <c r="Z239" s="3" t="n">
        <v>35069190</v>
      </c>
      <c r="AE239" s="3" t="n">
        <v>0</v>
      </c>
      <c r="AF239" s="4" t="n">
        <v>0</v>
      </c>
      <c r="AG239" s="3" t="n">
        <v>8888.639999999999</v>
      </c>
      <c r="AH239" s="4" t="n">
        <v>0.18</v>
      </c>
      <c r="AI239" s="3">
        <f>ROUND(AG239+(AG239*AH239),2)</f>
        <v/>
      </c>
      <c r="AJ239" s="4" t="n">
        <v>0.2</v>
      </c>
      <c r="AK239" s="3">
        <f>ROUND(AI239*AJ239,2)</f>
        <v/>
      </c>
      <c r="AL239" s="3">
        <f>AI239+AK239</f>
        <v/>
      </c>
      <c r="AM239" s="3">
        <f>AE239-AL239</f>
        <v/>
      </c>
      <c r="AN239" s="4">
        <f>AM239/AE239</f>
        <v/>
      </c>
      <c r="AO239" s="3" t="inlineStr">
        <is>
          <t>60 mins</t>
        </is>
      </c>
      <c r="AQ239" s="3" t="inlineStr">
        <is>
          <t>Weight</t>
        </is>
      </c>
      <c r="AS239" s="3" t="inlineStr">
        <is>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is>
      </c>
    </row>
    <row r="240" ht="15.75" customHeight="1">
      <c r="A240" s="3" t="inlineStr">
        <is>
          <t>PROD_0036</t>
        </is>
      </c>
      <c r="B240" s="3" t="inlineStr">
        <is>
          <t>VAR_1</t>
        </is>
      </c>
      <c r="C240" s="3" t="inlineStr">
        <is>
          <t>Wooden Material</t>
        </is>
      </c>
      <c r="D240" s="3" t="inlineStr">
        <is>
          <t>Adhesive</t>
        </is>
      </c>
      <c r="E240" s="3" t="inlineStr">
        <is>
          <t>Jeevanjor</t>
        </is>
      </c>
      <c r="F240" s="3" t="inlineStr">
        <is>
          <t>Aqua Bond</t>
        </is>
      </c>
      <c r="H240" s="3" t="inlineStr">
        <is>
          <t>Weight</t>
        </is>
      </c>
      <c r="I240" s="3" t="inlineStr">
        <is>
          <t>1kg</t>
        </is>
      </c>
      <c r="Q240" s="3" t="inlineStr">
        <is>
          <t>Manufacturer's Warranty</t>
        </is>
      </c>
      <c r="Y240" s="3" t="inlineStr">
        <is>
          <t>Jeevanjor_Aqua_Bond_1KG</t>
        </is>
      </c>
      <c r="Z240" s="3" t="n">
        <v>35069190</v>
      </c>
      <c r="AE240" s="3" t="n">
        <v>0</v>
      </c>
      <c r="AF240" s="4" t="n">
        <v>0</v>
      </c>
      <c r="AG240" s="3" t="n">
        <v>275.52</v>
      </c>
      <c r="AH240" s="4" t="n">
        <v>0.18</v>
      </c>
      <c r="AI240" s="3">
        <f>ROUND(AG240+(AG240*AH240),2)</f>
        <v/>
      </c>
      <c r="AJ240" s="4" t="n">
        <v>0.2</v>
      </c>
      <c r="AK240" s="3">
        <f>ROUND(AI240*AJ240,2)</f>
        <v/>
      </c>
      <c r="AL240" s="3">
        <f>AI240+AK240</f>
        <v/>
      </c>
      <c r="AM240" s="3">
        <f>AE240-AL240</f>
        <v/>
      </c>
      <c r="AN240" s="4">
        <f>AM240/AE240</f>
        <v/>
      </c>
      <c r="AO240" s="3" t="inlineStr">
        <is>
          <t>60 mins</t>
        </is>
      </c>
      <c r="AQ240" s="3" t="inlineStr">
        <is>
          <t>Weight</t>
        </is>
      </c>
      <c r="AS240" s="3" t="inlineStr">
        <is>
          <t>Heat and Water proof special Adhesive with Cross Linked Polymer (CLP).
Benefits:-
Cross linked polymer provides excellent water and Heat resistance.
Superior flow and spread ability.
Safe and formaldehyde free.
Heat and water proof adhesive specially made for kitchens and bathrooms.</t>
        </is>
      </c>
    </row>
    <row r="241" ht="15.75" customHeight="1">
      <c r="A241" s="3" t="inlineStr">
        <is>
          <t>PROD_0036</t>
        </is>
      </c>
      <c r="B241" s="3" t="inlineStr">
        <is>
          <t>VAR_2</t>
        </is>
      </c>
      <c r="C241" s="3" t="inlineStr">
        <is>
          <t>Wooden Material</t>
        </is>
      </c>
      <c r="D241" s="3" t="inlineStr">
        <is>
          <t>Adhesive</t>
        </is>
      </c>
      <c r="E241" s="3" t="inlineStr">
        <is>
          <t>Jeevanjor</t>
        </is>
      </c>
      <c r="F241" s="3" t="inlineStr">
        <is>
          <t>Aqua Bond</t>
        </is>
      </c>
      <c r="H241" s="3" t="inlineStr">
        <is>
          <t>Weight</t>
        </is>
      </c>
      <c r="I241" s="3" t="inlineStr">
        <is>
          <t>2kg</t>
        </is>
      </c>
      <c r="Q241" s="3" t="inlineStr">
        <is>
          <t>Manufacturer's Warranty</t>
        </is>
      </c>
      <c r="Y241" s="3" t="inlineStr">
        <is>
          <t>Jeevanjor_Aqua_Bond_2KG</t>
        </is>
      </c>
      <c r="Z241" s="3" t="n">
        <v>35069190</v>
      </c>
      <c r="AE241" s="3" t="n">
        <v>0</v>
      </c>
      <c r="AF241" s="4" t="n">
        <v>0</v>
      </c>
      <c r="AG241" s="3" t="n">
        <v>238</v>
      </c>
      <c r="AH241" s="4" t="n">
        <v>0.18</v>
      </c>
      <c r="AI241" s="3">
        <f>ROUND(AG241+(AG241*AH241),2)</f>
        <v/>
      </c>
      <c r="AJ241" s="4" t="n">
        <v>0.2</v>
      </c>
      <c r="AK241" s="3">
        <f>ROUND(AI241*AJ241,2)</f>
        <v/>
      </c>
      <c r="AL241" s="3">
        <f>AI241+AK241</f>
        <v/>
      </c>
      <c r="AM241" s="3">
        <f>AE241-AL241</f>
        <v/>
      </c>
      <c r="AN241" s="4">
        <f>AM241/AE241</f>
        <v/>
      </c>
      <c r="AO241" s="3" t="inlineStr">
        <is>
          <t>60 mins</t>
        </is>
      </c>
      <c r="AQ241" s="3" t="inlineStr">
        <is>
          <t>Weight</t>
        </is>
      </c>
      <c r="AS241" s="3" t="inlineStr">
        <is>
          <t>Heat and Water proof special Adhesive with Cross Linked Polymer (CLP).
Benefits:-
Cross linked polymer provides excellent water and Heat resistance.
Superior flow and spread ability.
Safe and formaldehyde free.
Heat and water proof adhesive specially made for kitchens and bathrooms.</t>
        </is>
      </c>
    </row>
    <row r="242" ht="15.75" customHeight="1">
      <c r="A242" s="3" t="inlineStr">
        <is>
          <t>PROD_0036</t>
        </is>
      </c>
      <c r="B242" s="3" t="inlineStr">
        <is>
          <t>VAR_3</t>
        </is>
      </c>
      <c r="C242" s="3" t="inlineStr">
        <is>
          <t>Wooden Material</t>
        </is>
      </c>
      <c r="D242" s="3" t="inlineStr">
        <is>
          <t>Adhesive</t>
        </is>
      </c>
      <c r="E242" s="3" t="inlineStr">
        <is>
          <t>Jeevanjor</t>
        </is>
      </c>
      <c r="F242" s="3" t="inlineStr">
        <is>
          <t>Aqua Bond</t>
        </is>
      </c>
      <c r="H242" s="3" t="inlineStr">
        <is>
          <t>Weight</t>
        </is>
      </c>
      <c r="I242" s="3" t="inlineStr">
        <is>
          <t>5 kg</t>
        </is>
      </c>
      <c r="Q242" s="3" t="inlineStr">
        <is>
          <t>Manufacturer's Warranty</t>
        </is>
      </c>
      <c r="Y242" s="3" t="inlineStr">
        <is>
          <t>Jeevanjor_Aqua_Bond_5KG</t>
        </is>
      </c>
      <c r="Z242" s="3" t="n">
        <v>35069190</v>
      </c>
      <c r="AE242" s="3" t="n">
        <v>0</v>
      </c>
      <c r="AF242" s="4" t="n">
        <v>0</v>
      </c>
      <c r="AG242" s="3" t="n">
        <v>1256.64</v>
      </c>
      <c r="AH242" s="4" t="n">
        <v>0.18</v>
      </c>
      <c r="AI242" s="3">
        <f>ROUND(AG242+(AG242*AH242),2)</f>
        <v/>
      </c>
      <c r="AJ242" s="4" t="n">
        <v>0.2</v>
      </c>
      <c r="AK242" s="3">
        <f>ROUND(AI242*AJ242,2)</f>
        <v/>
      </c>
      <c r="AL242" s="3">
        <f>AI242+AK242</f>
        <v/>
      </c>
      <c r="AM242" s="3">
        <f>AE242-AL242</f>
        <v/>
      </c>
      <c r="AN242" s="4">
        <f>AM242/AE242</f>
        <v/>
      </c>
      <c r="AO242" s="3" t="inlineStr">
        <is>
          <t>60 mins</t>
        </is>
      </c>
      <c r="AQ242" s="3" t="inlineStr">
        <is>
          <t>Weight</t>
        </is>
      </c>
      <c r="AS242" s="3" t="inlineStr">
        <is>
          <t>Heat and Water proof special Adhesive with Cross Linked Polymer (CLP).
Benefits:-
Cross linked polymer provides excellent water and Heat resistance.
Superior flow and spread ability.
Safe and formaldehyde free.
Heat and water proof adhesive specially made for kitchens and bathrooms.</t>
        </is>
      </c>
    </row>
    <row r="243" ht="15.75" customHeight="1">
      <c r="A243" s="3" t="inlineStr">
        <is>
          <t>PROD_0036</t>
        </is>
      </c>
      <c r="B243" s="3" t="inlineStr">
        <is>
          <t>VAR_4</t>
        </is>
      </c>
      <c r="C243" s="3" t="inlineStr">
        <is>
          <t>Wooden Material</t>
        </is>
      </c>
      <c r="D243" s="3" t="inlineStr">
        <is>
          <t>Adhesive</t>
        </is>
      </c>
      <c r="E243" s="3" t="inlineStr">
        <is>
          <t>Jeevanjor</t>
        </is>
      </c>
      <c r="F243" s="3" t="inlineStr">
        <is>
          <t>Aqua Bond</t>
        </is>
      </c>
      <c r="H243" s="3" t="inlineStr">
        <is>
          <t>Weight</t>
        </is>
      </c>
      <c r="I243" s="3" t="inlineStr">
        <is>
          <t>10 kg</t>
        </is>
      </c>
      <c r="Q243" s="3" t="inlineStr">
        <is>
          <t>Manufacturer's Warranty</t>
        </is>
      </c>
      <c r="Y243" s="3" t="inlineStr">
        <is>
          <t>Jeevanjor_Aqua_Bond_10KG</t>
        </is>
      </c>
      <c r="Z243" s="3" t="n">
        <v>35069190</v>
      </c>
      <c r="AE243" s="3" t="n">
        <v>0</v>
      </c>
      <c r="AF243" s="4" t="n">
        <v>0</v>
      </c>
      <c r="AG243" s="3" t="n">
        <v>2396.16</v>
      </c>
      <c r="AH243" s="4" t="n">
        <v>0.18</v>
      </c>
      <c r="AI243" s="3">
        <f>ROUND(AG243+(AG243*AH243),2)</f>
        <v/>
      </c>
      <c r="AJ243" s="4" t="n">
        <v>0.2</v>
      </c>
      <c r="AK243" s="3">
        <f>ROUND(AI243*AJ243,2)</f>
        <v/>
      </c>
      <c r="AL243" s="3">
        <f>AI243+AK243</f>
        <v/>
      </c>
      <c r="AM243" s="3">
        <f>AE243-AL243</f>
        <v/>
      </c>
      <c r="AN243" s="4">
        <f>AM243/AE243</f>
        <v/>
      </c>
      <c r="AO243" s="3" t="inlineStr">
        <is>
          <t>60 mins</t>
        </is>
      </c>
      <c r="AQ243" s="3" t="inlineStr">
        <is>
          <t>Weight</t>
        </is>
      </c>
      <c r="AS243" s="3" t="inlineStr">
        <is>
          <t>Heat and Water proof special Adhesive with Cross Linked Polymer (CLP).
Benefits:-
Cross linked polymer provides excellent water and Heat resistance.
Superior flow and spread ability.
Safe and formaldehyde free.
Heat and water proof adhesive specially made for kitchens and bathrooms.</t>
        </is>
      </c>
    </row>
    <row r="244" ht="15.75" customHeight="1">
      <c r="A244" s="3" t="inlineStr">
        <is>
          <t>PROD_0036</t>
        </is>
      </c>
      <c r="B244" s="3" t="inlineStr">
        <is>
          <t>VAR_5</t>
        </is>
      </c>
      <c r="C244" s="3" t="inlineStr">
        <is>
          <t>Wooden Material</t>
        </is>
      </c>
      <c r="D244" s="3" t="inlineStr">
        <is>
          <t>Adhesive</t>
        </is>
      </c>
      <c r="E244" s="3" t="inlineStr">
        <is>
          <t>Jeevanjor</t>
        </is>
      </c>
      <c r="F244" s="3" t="inlineStr">
        <is>
          <t>Aqua Bond</t>
        </is>
      </c>
      <c r="H244" s="3" t="inlineStr">
        <is>
          <t>Weight</t>
        </is>
      </c>
      <c r="I244" s="3" t="inlineStr">
        <is>
          <t>20 kg</t>
        </is>
      </c>
      <c r="Q244" s="3" t="inlineStr">
        <is>
          <t>Manufacturer's Warranty</t>
        </is>
      </c>
      <c r="Y244" s="3" t="inlineStr">
        <is>
          <t>Jeevanjor_Aqua_Bond_20KG</t>
        </is>
      </c>
      <c r="Z244" s="3" t="n">
        <v>35069190</v>
      </c>
      <c r="AE244" s="3" t="n">
        <v>0</v>
      </c>
      <c r="AF244" s="4" t="n">
        <v>0</v>
      </c>
      <c r="AG244" s="3" t="n">
        <v>4590.72</v>
      </c>
      <c r="AH244" s="4" t="n">
        <v>0.18</v>
      </c>
      <c r="AI244" s="3">
        <f>ROUND(AG244+(AG244*AH244),2)</f>
        <v/>
      </c>
      <c r="AJ244" s="4" t="n">
        <v>0.2</v>
      </c>
      <c r="AK244" s="3">
        <f>ROUND(AI244*AJ244,2)</f>
        <v/>
      </c>
      <c r="AL244" s="3">
        <f>AI244+AK244</f>
        <v/>
      </c>
      <c r="AM244" s="3">
        <f>AE244-AL244</f>
        <v/>
      </c>
      <c r="AN244" s="4">
        <f>AM244/AE244</f>
        <v/>
      </c>
      <c r="AO244" s="3" t="inlineStr">
        <is>
          <t>60 mins</t>
        </is>
      </c>
      <c r="AQ244" s="3" t="inlineStr">
        <is>
          <t>Weight</t>
        </is>
      </c>
      <c r="AS244" s="3" t="inlineStr">
        <is>
          <t>Heat and Water proof special Adhesive with Cross Linked Polymer (CLP).
Benefits:-
Cross linked polymer provides excellent water and Heat resistance.
Superior flow and spread ability.
Safe and formaldehyde free.
Heat and water proof adhesive specially made for kitchens and bathrooms.</t>
        </is>
      </c>
    </row>
    <row r="245" ht="15.75" customHeight="1">
      <c r="A245" s="3" t="inlineStr">
        <is>
          <t>PROD_0036</t>
        </is>
      </c>
      <c r="B245" s="3" t="inlineStr">
        <is>
          <t>VAR_6</t>
        </is>
      </c>
      <c r="C245" s="3" t="inlineStr">
        <is>
          <t>Wooden Material</t>
        </is>
      </c>
      <c r="D245" s="3" t="inlineStr">
        <is>
          <t>Adhesive</t>
        </is>
      </c>
      <c r="E245" s="3" t="inlineStr">
        <is>
          <t>Jeevanjor</t>
        </is>
      </c>
      <c r="F245" s="3" t="inlineStr">
        <is>
          <t>Aqua Bond</t>
        </is>
      </c>
      <c r="H245" s="3" t="inlineStr">
        <is>
          <t>Weight</t>
        </is>
      </c>
      <c r="I245" s="3" t="inlineStr">
        <is>
          <t>50 kg</t>
        </is>
      </c>
      <c r="Q245" s="3" t="inlineStr">
        <is>
          <t>Manufacturer's Warranty</t>
        </is>
      </c>
      <c r="Y245" s="3" t="inlineStr">
        <is>
          <t>Jeevanjor_Aqua_Bond_50KG</t>
        </is>
      </c>
      <c r="Z245" s="3" t="n">
        <v>35069190</v>
      </c>
      <c r="AE245" s="3" t="n">
        <v>0</v>
      </c>
      <c r="AF245" s="4" t="n">
        <v>0</v>
      </c>
      <c r="AG245" s="3" t="n">
        <v>10970.88</v>
      </c>
      <c r="AH245" s="4" t="n">
        <v>0.18</v>
      </c>
      <c r="AI245" s="3">
        <f>ROUND(AG245+(AG245*AH245),2)</f>
        <v/>
      </c>
      <c r="AJ245" s="4" t="n">
        <v>0.2</v>
      </c>
      <c r="AK245" s="3">
        <f>ROUND(AI245*AJ245,2)</f>
        <v/>
      </c>
      <c r="AL245" s="3">
        <f>AI245+AK245</f>
        <v/>
      </c>
      <c r="AM245" s="3">
        <f>AE245-AL245</f>
        <v/>
      </c>
      <c r="AN245" s="4">
        <f>AM245/AE245</f>
        <v/>
      </c>
      <c r="AO245" s="3" t="inlineStr">
        <is>
          <t>60 mins</t>
        </is>
      </c>
      <c r="AQ245" s="3" t="inlineStr">
        <is>
          <t>Weight</t>
        </is>
      </c>
      <c r="AS245" s="3" t="inlineStr">
        <is>
          <t>Heat and Water proof special Adhesive with Cross Linked Polymer (CLP).
Benefits:-
Cross linked polymer provides excellent water and Heat resistance.
Superior flow and spread ability.
Safe and formaldehyde free.
Heat and water proof adhesive specially made for kitchens and bathrooms.</t>
        </is>
      </c>
    </row>
    <row r="246" ht="15.75" customHeight="1">
      <c r="A246" s="10" t="inlineStr">
        <is>
          <t>PROD_0037</t>
        </is>
      </c>
      <c r="B246" s="10" t="inlineStr">
        <is>
          <t>VAR_1</t>
        </is>
      </c>
      <c r="C246" s="10" t="inlineStr">
        <is>
          <t>Wooden Material</t>
        </is>
      </c>
      <c r="D246" s="10" t="inlineStr">
        <is>
          <t>Adhesive</t>
        </is>
      </c>
      <c r="E246" s="10" t="inlineStr">
        <is>
          <t>Jeevanjor</t>
        </is>
      </c>
      <c r="F246" s="10" t="inlineStr">
        <is>
          <t>Lamino IPN WR</t>
        </is>
      </c>
      <c r="G246" s="10" t="n"/>
      <c r="H246" s="10" t="inlineStr">
        <is>
          <t>Weight</t>
        </is>
      </c>
      <c r="I246" s="10" t="inlineStr">
        <is>
          <t>500 gm</t>
        </is>
      </c>
      <c r="J246" s="10" t="n"/>
      <c r="K246" s="10" t="n"/>
      <c r="L246" s="10" t="n"/>
      <c r="M246" s="10" t="n"/>
      <c r="N246" s="10" t="n"/>
      <c r="O246" s="10" t="n"/>
      <c r="P246" s="10" t="n"/>
      <c r="Q246" s="10" t="inlineStr">
        <is>
          <t>Manufacturer's Warranty</t>
        </is>
      </c>
      <c r="R246" s="10" t="n"/>
      <c r="S246" s="10" t="n"/>
      <c r="T246" s="10" t="n"/>
      <c r="U246" s="10" t="n"/>
      <c r="V246" s="10" t="n"/>
      <c r="W246" s="10" t="n"/>
      <c r="X246" s="10" t="n"/>
      <c r="Y246" s="10" t="inlineStr">
        <is>
          <t>Jeevanjor_Lamino_IPN_WR_500GM</t>
        </is>
      </c>
      <c r="Z246" s="10" t="n">
        <v>35069190</v>
      </c>
      <c r="AA246" s="10" t="n"/>
      <c r="AB246" s="10" t="n"/>
      <c r="AC246" s="10" t="n"/>
      <c r="AD246" s="10" t="n"/>
      <c r="AE246" s="10" t="n">
        <v>0</v>
      </c>
      <c r="AF246" s="11" t="n">
        <v>0</v>
      </c>
      <c r="AG246" s="10">
        <f>ROUND(AE246-(AE246*AF246),2)</f>
        <v/>
      </c>
      <c r="AH246" s="11" t="n">
        <v>0.18</v>
      </c>
      <c r="AI246" s="10">
        <f>ROUND(AG246+(AG246*AH246),2)</f>
        <v/>
      </c>
      <c r="AJ246" s="11" t="n">
        <v>0.2</v>
      </c>
      <c r="AK246" s="10">
        <f>ROUND(AI246*AJ246,2)</f>
        <v/>
      </c>
      <c r="AL246" s="10">
        <f>AI246+AK246</f>
        <v/>
      </c>
      <c r="AM246" s="10">
        <f>AE246-AL246</f>
        <v/>
      </c>
      <c r="AN246" s="11">
        <f>AM246/AE246</f>
        <v/>
      </c>
      <c r="AO246" s="10" t="inlineStr">
        <is>
          <t>60 mins</t>
        </is>
      </c>
      <c r="AP246" s="10" t="n"/>
      <c r="AQ246" s="10" t="inlineStr">
        <is>
          <t>Weight</t>
        </is>
      </c>
      <c r="AR246" s="10" t="n"/>
      <c r="AS246" s="10"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47" ht="15.75" customHeight="1">
      <c r="A247" s="3" t="inlineStr">
        <is>
          <t>PROD_0037</t>
        </is>
      </c>
      <c r="B247" s="3" t="inlineStr">
        <is>
          <t>VAR_2</t>
        </is>
      </c>
      <c r="C247" s="3" t="inlineStr">
        <is>
          <t>Wooden Material</t>
        </is>
      </c>
      <c r="D247" s="3" t="inlineStr">
        <is>
          <t>Adhesive</t>
        </is>
      </c>
      <c r="E247" s="3" t="inlineStr">
        <is>
          <t>Jeevanjor</t>
        </is>
      </c>
      <c r="F247" s="3" t="inlineStr">
        <is>
          <t>Lamino IPN WR</t>
        </is>
      </c>
      <c r="H247" s="3" t="inlineStr">
        <is>
          <t>Weight</t>
        </is>
      </c>
      <c r="I247" s="3" t="inlineStr">
        <is>
          <t>800GM</t>
        </is>
      </c>
      <c r="Q247" s="3" t="inlineStr">
        <is>
          <t>Manufacturer's Warranty</t>
        </is>
      </c>
      <c r="Y247" s="3" t="inlineStr">
        <is>
          <t>Jeevanjor_Lamino_IPN_WR_800GM</t>
        </is>
      </c>
      <c r="Z247" s="3" t="n">
        <v>35069190</v>
      </c>
      <c r="AE247" s="3" t="n">
        <v>0</v>
      </c>
      <c r="AF247" s="4" t="n">
        <v>0</v>
      </c>
      <c r="AG247" s="3" t="n">
        <v>242.88</v>
      </c>
      <c r="AH247" s="4" t="n">
        <v>0.18</v>
      </c>
      <c r="AI247" s="3">
        <f>ROUND(AG247+(AG247*AH247),2)</f>
        <v/>
      </c>
      <c r="AJ247" s="4" t="n">
        <v>0.2</v>
      </c>
      <c r="AK247" s="3">
        <f>ROUND(AI247*AJ247,2)</f>
        <v/>
      </c>
      <c r="AL247" s="3">
        <f>AI247+AK247</f>
        <v/>
      </c>
      <c r="AM247" s="3">
        <f>AE247-AL247</f>
        <v/>
      </c>
      <c r="AN247" s="4">
        <f>AM247/AE247</f>
        <v/>
      </c>
      <c r="AO247" s="3" t="inlineStr">
        <is>
          <t>60 mins</t>
        </is>
      </c>
      <c r="AQ247" s="3" t="inlineStr">
        <is>
          <t>Weight</t>
        </is>
      </c>
      <c r="AS247"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48" ht="15.75" customHeight="1">
      <c r="A248" s="3" t="inlineStr">
        <is>
          <t>PROD_0037</t>
        </is>
      </c>
      <c r="B248" s="3" t="inlineStr">
        <is>
          <t>VAR_3</t>
        </is>
      </c>
      <c r="C248" s="3" t="inlineStr">
        <is>
          <t>Wooden Material</t>
        </is>
      </c>
      <c r="D248" s="3" t="inlineStr">
        <is>
          <t>Adhesive</t>
        </is>
      </c>
      <c r="E248" s="3" t="inlineStr">
        <is>
          <t>Jeevanjor</t>
        </is>
      </c>
      <c r="F248" s="3" t="inlineStr">
        <is>
          <t>Lamino IPN WR</t>
        </is>
      </c>
      <c r="H248" s="3" t="inlineStr">
        <is>
          <t>Weight</t>
        </is>
      </c>
      <c r="I248" s="3" t="inlineStr">
        <is>
          <t>1.6kg</t>
        </is>
      </c>
      <c r="Q248" s="3" t="inlineStr">
        <is>
          <t>Manufacturer's Warranty</t>
        </is>
      </c>
      <c r="Y248" s="3" t="inlineStr">
        <is>
          <t>Jeevanjor_Lamino_IPN_WR_1.6KG</t>
        </is>
      </c>
      <c r="Z248" s="3" t="n">
        <v>35069190</v>
      </c>
      <c r="AE248" s="3" t="n">
        <v>0</v>
      </c>
      <c r="AF248" s="4" t="n">
        <v>0</v>
      </c>
      <c r="AG248" s="3" t="n">
        <v>464.64</v>
      </c>
      <c r="AH248" s="4" t="n">
        <v>0.18</v>
      </c>
      <c r="AI248" s="3">
        <f>ROUND(AG248+(AG248*AH248),2)</f>
        <v/>
      </c>
      <c r="AJ248" s="4" t="n">
        <v>0.2</v>
      </c>
      <c r="AK248" s="3">
        <f>ROUND(AI248*AJ248,2)</f>
        <v/>
      </c>
      <c r="AL248" s="3">
        <f>AI248+AK248</f>
        <v/>
      </c>
      <c r="AM248" s="3">
        <f>AE248-AL248</f>
        <v/>
      </c>
      <c r="AN248" s="4">
        <f>AM248/AE248</f>
        <v/>
      </c>
      <c r="AO248" s="3" t="inlineStr">
        <is>
          <t>60 mins</t>
        </is>
      </c>
      <c r="AQ248" s="3" t="inlineStr">
        <is>
          <t>Weight</t>
        </is>
      </c>
      <c r="AS248"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49" ht="15.75" customHeight="1">
      <c r="A249" s="3" t="inlineStr">
        <is>
          <t>PROD_0037</t>
        </is>
      </c>
      <c r="B249" s="3" t="inlineStr">
        <is>
          <t>VAR_4</t>
        </is>
      </c>
      <c r="C249" s="3" t="inlineStr">
        <is>
          <t>Wooden Material</t>
        </is>
      </c>
      <c r="D249" s="3" t="inlineStr">
        <is>
          <t>Adhesive</t>
        </is>
      </c>
      <c r="E249" s="3" t="inlineStr">
        <is>
          <t>Jeevanjor</t>
        </is>
      </c>
      <c r="F249" s="3" t="inlineStr">
        <is>
          <t>Lamino IPN WR</t>
        </is>
      </c>
      <c r="H249" s="3" t="inlineStr">
        <is>
          <t>Weight</t>
        </is>
      </c>
      <c r="I249" s="3" t="inlineStr">
        <is>
          <t>5 kg</t>
        </is>
      </c>
      <c r="Q249" s="3" t="inlineStr">
        <is>
          <t>Manufacturer's Warranty</t>
        </is>
      </c>
      <c r="Y249" s="3" t="inlineStr">
        <is>
          <t>Jeevanjor_Lamino_IPN_WR_5KG</t>
        </is>
      </c>
      <c r="Z249" s="3" t="n">
        <v>35069190</v>
      </c>
      <c r="AE249" s="3" t="n">
        <v>0</v>
      </c>
      <c r="AF249" s="4" t="n">
        <v>0</v>
      </c>
      <c r="AG249" s="3" t="n">
        <v>1377.6</v>
      </c>
      <c r="AH249" s="4" t="n">
        <v>0.18</v>
      </c>
      <c r="AI249" s="3">
        <f>ROUND(AG249+(AG249*AH249),2)</f>
        <v/>
      </c>
      <c r="AJ249" s="4" t="n">
        <v>0.2</v>
      </c>
      <c r="AK249" s="3">
        <f>ROUND(AI249*AJ249,2)</f>
        <v/>
      </c>
      <c r="AL249" s="3">
        <f>AI249+AK249</f>
        <v/>
      </c>
      <c r="AM249" s="3">
        <f>AE249-AL249</f>
        <v/>
      </c>
      <c r="AN249" s="4">
        <f>AM249/AE249</f>
        <v/>
      </c>
      <c r="AO249" s="3" t="inlineStr">
        <is>
          <t>60 mins</t>
        </is>
      </c>
      <c r="AQ249" s="3" t="inlineStr">
        <is>
          <t>Weight</t>
        </is>
      </c>
      <c r="AS249"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50" ht="15.75" customHeight="1">
      <c r="A250" s="3" t="inlineStr">
        <is>
          <t>PROD_0037</t>
        </is>
      </c>
      <c r="B250" s="3" t="inlineStr">
        <is>
          <t>VAR_5</t>
        </is>
      </c>
      <c r="C250" s="3" t="inlineStr">
        <is>
          <t>Wooden Material</t>
        </is>
      </c>
      <c r="D250" s="3" t="inlineStr">
        <is>
          <t>Adhesive</t>
        </is>
      </c>
      <c r="E250" s="3" t="inlineStr">
        <is>
          <t>Jeevanjor</t>
        </is>
      </c>
      <c r="F250" s="3" t="inlineStr">
        <is>
          <t>Lamino IPN WR</t>
        </is>
      </c>
      <c r="H250" s="3" t="inlineStr">
        <is>
          <t>Weight</t>
        </is>
      </c>
      <c r="I250" s="3" t="inlineStr">
        <is>
          <t>10 kg</t>
        </is>
      </c>
      <c r="Q250" s="3" t="inlineStr">
        <is>
          <t>Manufacturer's Warranty</t>
        </is>
      </c>
      <c r="Y250" s="3" t="inlineStr">
        <is>
          <t>Jeevanjor_Lamino_IPN_WR_10KG</t>
        </is>
      </c>
      <c r="Z250" s="3" t="n">
        <v>35069190</v>
      </c>
      <c r="AE250" s="3" t="n">
        <v>0</v>
      </c>
      <c r="AF250" s="4" t="n">
        <v>0</v>
      </c>
      <c r="AG250" s="3" t="n">
        <v>2634.24</v>
      </c>
      <c r="AH250" s="4" t="n">
        <v>0.18</v>
      </c>
      <c r="AI250" s="3">
        <f>ROUND(AG250+(AG250*AH250),2)</f>
        <v/>
      </c>
      <c r="AJ250" s="4" t="n">
        <v>0.2</v>
      </c>
      <c r="AK250" s="3">
        <f>ROUND(AI250*AJ250,2)</f>
        <v/>
      </c>
      <c r="AL250" s="3">
        <f>AI250+AK250</f>
        <v/>
      </c>
      <c r="AM250" s="3">
        <f>AE250-AL250</f>
        <v/>
      </c>
      <c r="AN250" s="4">
        <f>AM250/AE250</f>
        <v/>
      </c>
      <c r="AO250" s="3" t="inlineStr">
        <is>
          <t>60 mins</t>
        </is>
      </c>
      <c r="AQ250" s="3" t="inlineStr">
        <is>
          <t>Weight</t>
        </is>
      </c>
      <c r="AS250"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51" ht="15.75" customHeight="1">
      <c r="A251" s="3" t="inlineStr">
        <is>
          <t>PROD_0037</t>
        </is>
      </c>
      <c r="B251" s="3" t="inlineStr">
        <is>
          <t>VAR_6</t>
        </is>
      </c>
      <c r="C251" s="3" t="inlineStr">
        <is>
          <t>Wooden Material</t>
        </is>
      </c>
      <c r="D251" s="3" t="inlineStr">
        <is>
          <t>Adhesive</t>
        </is>
      </c>
      <c r="E251" s="3" t="inlineStr">
        <is>
          <t>Jeevanjor</t>
        </is>
      </c>
      <c r="F251" s="3" t="inlineStr">
        <is>
          <t>Lamino IPN WR</t>
        </is>
      </c>
      <c r="H251" s="3" t="inlineStr">
        <is>
          <t>Weight</t>
        </is>
      </c>
      <c r="I251" s="3" t="inlineStr">
        <is>
          <t>20 kg</t>
        </is>
      </c>
      <c r="Q251" s="3" t="inlineStr">
        <is>
          <t>Manufacturer's Warranty</t>
        </is>
      </c>
      <c r="Y251" s="3" t="inlineStr">
        <is>
          <t>Jeevanjor_Lamino_IPN_WR_20KG</t>
        </is>
      </c>
      <c r="Z251" s="3" t="n">
        <v>35069190</v>
      </c>
      <c r="AE251" s="3" t="n">
        <v>0</v>
      </c>
      <c r="AF251" s="4" t="n">
        <v>0</v>
      </c>
      <c r="AG251" s="3" t="n">
        <v>5076.48</v>
      </c>
      <c r="AH251" s="4" t="n">
        <v>0.18</v>
      </c>
      <c r="AI251" s="3">
        <f>ROUND(AG251+(AG251*AH251),2)</f>
        <v/>
      </c>
      <c r="AJ251" s="4" t="n">
        <v>0.2</v>
      </c>
      <c r="AK251" s="3">
        <f>ROUND(AI251*AJ251,2)</f>
        <v/>
      </c>
      <c r="AL251" s="3">
        <f>AI251+AK251</f>
        <v/>
      </c>
      <c r="AM251" s="3">
        <f>AE251-AL251</f>
        <v/>
      </c>
      <c r="AN251" s="4">
        <f>AM251/AE251</f>
        <v/>
      </c>
      <c r="AO251" s="3" t="inlineStr">
        <is>
          <t>60 mins</t>
        </is>
      </c>
      <c r="AQ251" s="3" t="inlineStr">
        <is>
          <t>Weight</t>
        </is>
      </c>
      <c r="AS251"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52" ht="15.75" customHeight="1">
      <c r="A252" s="3" t="inlineStr">
        <is>
          <t>PROD_0037</t>
        </is>
      </c>
      <c r="B252" s="3" t="inlineStr">
        <is>
          <t>VAR_7</t>
        </is>
      </c>
      <c r="C252" s="3" t="inlineStr">
        <is>
          <t>Wooden Material</t>
        </is>
      </c>
      <c r="D252" s="3" t="inlineStr">
        <is>
          <t>Adhesive</t>
        </is>
      </c>
      <c r="E252" s="3" t="inlineStr">
        <is>
          <t>Jeevanjor</t>
        </is>
      </c>
      <c r="F252" s="3" t="inlineStr">
        <is>
          <t>Lamino IPN WR</t>
        </is>
      </c>
      <c r="H252" s="3" t="inlineStr">
        <is>
          <t>Weight</t>
        </is>
      </c>
      <c r="I252" s="3" t="inlineStr">
        <is>
          <t>50 kg</t>
        </is>
      </c>
      <c r="Q252" s="3" t="inlineStr">
        <is>
          <t>Manufacturer's Warranty</t>
        </is>
      </c>
      <c r="Y252" s="3" t="inlineStr">
        <is>
          <t>Jeevanjor_Lamino_IPN_WR_50KG</t>
        </is>
      </c>
      <c r="Z252" s="3" t="n">
        <v>35069190</v>
      </c>
      <c r="AE252" s="3" t="n">
        <v>0</v>
      </c>
      <c r="AF252" s="4" t="n">
        <v>0</v>
      </c>
      <c r="AG252" s="3" t="n">
        <v>12487.2</v>
      </c>
      <c r="AH252" s="4" t="n">
        <v>0.18</v>
      </c>
      <c r="AI252" s="3">
        <f>ROUND(AG252+(AG252*AH252),2)</f>
        <v/>
      </c>
      <c r="AJ252" s="4" t="n">
        <v>0.2</v>
      </c>
      <c r="AK252" s="3">
        <f>ROUND(AI252*AJ252,2)</f>
        <v/>
      </c>
      <c r="AL252" s="3">
        <f>AI252+AK252</f>
        <v/>
      </c>
      <c r="AM252" s="3">
        <f>AE252-AL252</f>
        <v/>
      </c>
      <c r="AN252" s="4">
        <f>AM252/AE252</f>
        <v/>
      </c>
      <c r="AO252" s="3" t="inlineStr">
        <is>
          <t>60 mins</t>
        </is>
      </c>
      <c r="AQ252" s="3" t="inlineStr">
        <is>
          <t>Weight</t>
        </is>
      </c>
      <c r="AS252"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53" ht="15.75" customHeight="1">
      <c r="A253" s="3" t="inlineStr">
        <is>
          <t>PROD_0037</t>
        </is>
      </c>
      <c r="B253" s="3" t="inlineStr">
        <is>
          <t>VAR_8</t>
        </is>
      </c>
      <c r="C253" s="3" t="inlineStr">
        <is>
          <t>Wooden Material</t>
        </is>
      </c>
      <c r="D253" s="3" t="inlineStr">
        <is>
          <t>Adhesive</t>
        </is>
      </c>
      <c r="E253" s="3" t="inlineStr">
        <is>
          <t>Jeevanjor</t>
        </is>
      </c>
      <c r="F253" s="3" t="inlineStr">
        <is>
          <t>Lamino IPN WR</t>
        </is>
      </c>
      <c r="H253" s="3" t="inlineStr">
        <is>
          <t>Weight</t>
        </is>
      </c>
      <c r="I253" s="3" t="inlineStr">
        <is>
          <t>60 kg</t>
        </is>
      </c>
      <c r="Q253" s="3" t="inlineStr">
        <is>
          <t>Manufacturer's Warranty</t>
        </is>
      </c>
      <c r="Y253" s="3" t="inlineStr">
        <is>
          <t>Jeevanjor_Lamino_IPN_WR_60KG</t>
        </is>
      </c>
      <c r="Z253" s="3" t="n">
        <v>35069190</v>
      </c>
      <c r="AE253" s="3" t="n">
        <v>0</v>
      </c>
      <c r="AF253" s="4" t="n">
        <v>0</v>
      </c>
      <c r="AG253" s="3" t="n">
        <v>14643.84</v>
      </c>
      <c r="AH253" s="4" t="n">
        <v>0.18</v>
      </c>
      <c r="AI253" s="3">
        <f>ROUND(AG253+(AG253*AH253),2)</f>
        <v/>
      </c>
      <c r="AJ253" s="4" t="n">
        <v>0.2</v>
      </c>
      <c r="AK253" s="3">
        <f>ROUND(AI253*AJ253,2)</f>
        <v/>
      </c>
      <c r="AL253" s="3">
        <f>AI253+AK253</f>
        <v/>
      </c>
      <c r="AM253" s="3">
        <f>AE253-AL253</f>
        <v/>
      </c>
      <c r="AN253" s="4">
        <f>AM253/AE253</f>
        <v/>
      </c>
      <c r="AO253" s="3" t="inlineStr">
        <is>
          <t>60 mins</t>
        </is>
      </c>
      <c r="AQ253" s="3" t="inlineStr">
        <is>
          <t>Weight</t>
        </is>
      </c>
      <c r="AS253" s="3" t="inlineStr">
        <is>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is>
      </c>
    </row>
    <row r="254" ht="15.75" customHeight="1">
      <c r="A254" s="3" t="inlineStr">
        <is>
          <t>PROD_0038</t>
        </is>
      </c>
      <c r="B254" s="3" t="inlineStr">
        <is>
          <t>VAR_1</t>
        </is>
      </c>
      <c r="C254" s="3" t="inlineStr">
        <is>
          <t>Wooden Material</t>
        </is>
      </c>
      <c r="D254" s="3" t="inlineStr">
        <is>
          <t>Adhesive</t>
        </is>
      </c>
      <c r="E254" s="3" t="inlineStr">
        <is>
          <t>Jeevanjor</t>
        </is>
      </c>
      <c r="F254" s="3" t="inlineStr">
        <is>
          <t>Supremo</t>
        </is>
      </c>
      <c r="H254" s="3" t="inlineStr">
        <is>
          <t>Weight</t>
        </is>
      </c>
      <c r="I254" s="3" t="inlineStr">
        <is>
          <t>1kg</t>
        </is>
      </c>
      <c r="Q254" s="3" t="inlineStr">
        <is>
          <t>Manufacturer's Warranty</t>
        </is>
      </c>
      <c r="Y254" s="3" t="inlineStr">
        <is>
          <t>Jeevanjor_Supremo_Hyper_Star_1KG</t>
        </is>
      </c>
      <c r="Z254" s="3" t="n">
        <v>3506</v>
      </c>
      <c r="AE254" s="3" t="n">
        <v>0</v>
      </c>
      <c r="AF254" s="4" t="n">
        <v>0</v>
      </c>
      <c r="AG254" s="3" t="n">
        <v>289.92</v>
      </c>
      <c r="AH254" s="4" t="n">
        <v>0.18</v>
      </c>
      <c r="AI254" s="3">
        <f>ROUND(AG254+(AG254*AH254),2)</f>
        <v/>
      </c>
      <c r="AJ254" s="4" t="n">
        <v>0.2</v>
      </c>
      <c r="AK254" s="3">
        <f>ROUND(AI254*AJ254,2)</f>
        <v/>
      </c>
      <c r="AL254" s="3">
        <f>AI254+AK254</f>
        <v/>
      </c>
      <c r="AM254" s="3">
        <f>AE254-AL254</f>
        <v/>
      </c>
      <c r="AN254" s="4">
        <f>AM254/AE254</f>
        <v/>
      </c>
      <c r="AO254" s="3" t="inlineStr">
        <is>
          <t>60 mins</t>
        </is>
      </c>
      <c r="AQ254" s="3" t="inlineStr">
        <is>
          <t>Weight</t>
        </is>
      </c>
      <c r="AS254" s="3" t="inlineStr">
        <is>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is>
      </c>
    </row>
    <row r="255" ht="15.75" customHeight="1">
      <c r="A255" s="3" t="inlineStr">
        <is>
          <t>PROD_0038</t>
        </is>
      </c>
      <c r="B255" s="3" t="inlineStr">
        <is>
          <t>VAR_2</t>
        </is>
      </c>
      <c r="C255" s="3" t="inlineStr">
        <is>
          <t>Wooden Material</t>
        </is>
      </c>
      <c r="D255" s="3" t="inlineStr">
        <is>
          <t>Adhesive</t>
        </is>
      </c>
      <c r="E255" s="3" t="inlineStr">
        <is>
          <t>Jeevanjor</t>
        </is>
      </c>
      <c r="F255" s="3" t="inlineStr">
        <is>
          <t>Supremo</t>
        </is>
      </c>
      <c r="H255" s="3" t="inlineStr">
        <is>
          <t>Weight</t>
        </is>
      </c>
      <c r="I255" s="3" t="inlineStr">
        <is>
          <t>2kg</t>
        </is>
      </c>
      <c r="Q255" s="3" t="inlineStr">
        <is>
          <t>Manufacturer's Warranty</t>
        </is>
      </c>
      <c r="Y255" s="3" t="inlineStr">
        <is>
          <t xml:space="preserve">Jeevanjor_Supremo_Hyper_Star_2KG </t>
        </is>
      </c>
      <c r="Z255" s="3" t="n">
        <v>3506</v>
      </c>
      <c r="AE255" s="3" t="n">
        <v>0</v>
      </c>
      <c r="AF255" s="4" t="n">
        <v>0</v>
      </c>
      <c r="AG255" s="3" t="n">
        <v>528</v>
      </c>
      <c r="AH255" s="4" t="n">
        <v>0.18</v>
      </c>
      <c r="AI255" s="3">
        <f>ROUND(AG255+(AG255*AH255),2)</f>
        <v/>
      </c>
      <c r="AJ255" s="4" t="n">
        <v>0.2</v>
      </c>
      <c r="AK255" s="3">
        <f>ROUND(AI255*AJ255,2)</f>
        <v/>
      </c>
      <c r="AL255" s="3">
        <f>AI255+AK255</f>
        <v/>
      </c>
      <c r="AM255" s="3">
        <f>AE255-AL255</f>
        <v/>
      </c>
      <c r="AN255" s="4">
        <f>AM255/AE255</f>
        <v/>
      </c>
      <c r="AO255" s="3" t="inlineStr">
        <is>
          <t>60 mins</t>
        </is>
      </c>
      <c r="AQ255" s="3" t="inlineStr">
        <is>
          <t>Weight</t>
        </is>
      </c>
      <c r="AS255" s="3" t="inlineStr">
        <is>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is>
      </c>
    </row>
    <row r="256" ht="15.75" customHeight="1">
      <c r="A256" s="3" t="inlineStr">
        <is>
          <t>PROD_0038</t>
        </is>
      </c>
      <c r="B256" s="3" t="inlineStr">
        <is>
          <t>VAR_3</t>
        </is>
      </c>
      <c r="C256" s="3" t="inlineStr">
        <is>
          <t>Wooden Material</t>
        </is>
      </c>
      <c r="D256" s="3" t="inlineStr">
        <is>
          <t>Adhesive</t>
        </is>
      </c>
      <c r="E256" s="3" t="inlineStr">
        <is>
          <t>Jeevanjor</t>
        </is>
      </c>
      <c r="F256" s="3" t="inlineStr">
        <is>
          <t>Supremo</t>
        </is>
      </c>
      <c r="H256" s="3" t="inlineStr">
        <is>
          <t>Weight</t>
        </is>
      </c>
      <c r="I256" s="3" t="inlineStr">
        <is>
          <t>5 kg</t>
        </is>
      </c>
      <c r="Q256" s="3" t="inlineStr">
        <is>
          <t>Manufacturer's Warranty</t>
        </is>
      </c>
      <c r="Y256" s="3" t="inlineStr">
        <is>
          <t>Jeevanjor_Supremo_Hyper_Star_5KG</t>
        </is>
      </c>
      <c r="Z256" s="3" t="n">
        <v>3506</v>
      </c>
      <c r="AE256" s="3" t="n">
        <v>0</v>
      </c>
      <c r="AF256" s="4" t="n">
        <v>0</v>
      </c>
      <c r="AG256" s="3" t="n">
        <v>1339.2</v>
      </c>
      <c r="AH256" s="4" t="n">
        <v>0.18</v>
      </c>
      <c r="AI256" s="3">
        <f>ROUND(AG256+(AG256*AH256),2)</f>
        <v/>
      </c>
      <c r="AJ256" s="4" t="n">
        <v>0.2</v>
      </c>
      <c r="AK256" s="3">
        <f>ROUND(AI256*AJ256,2)</f>
        <v/>
      </c>
      <c r="AL256" s="3">
        <f>AI256+AK256</f>
        <v/>
      </c>
      <c r="AM256" s="3">
        <f>AE256-AL256</f>
        <v/>
      </c>
      <c r="AN256" s="4">
        <f>AM256/AE256</f>
        <v/>
      </c>
      <c r="AO256" s="3" t="inlineStr">
        <is>
          <t>60 mins</t>
        </is>
      </c>
      <c r="AQ256" s="3" t="inlineStr">
        <is>
          <t>Weight</t>
        </is>
      </c>
      <c r="AS256" s="3" t="inlineStr">
        <is>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is>
      </c>
    </row>
    <row r="257" ht="15.75" customHeight="1">
      <c r="A257" s="3" t="inlineStr">
        <is>
          <t>PROD_0038</t>
        </is>
      </c>
      <c r="B257" s="3" t="inlineStr">
        <is>
          <t>VAR_4</t>
        </is>
      </c>
      <c r="C257" s="3" t="inlineStr">
        <is>
          <t>Wooden Material</t>
        </is>
      </c>
      <c r="D257" s="3" t="inlineStr">
        <is>
          <t>Adhesive</t>
        </is>
      </c>
      <c r="E257" s="3" t="inlineStr">
        <is>
          <t>Jeevanjor</t>
        </is>
      </c>
      <c r="F257" s="3" t="inlineStr">
        <is>
          <t>Supremo</t>
        </is>
      </c>
      <c r="H257" s="3" t="inlineStr">
        <is>
          <t>Weight</t>
        </is>
      </c>
      <c r="I257" s="3" t="inlineStr">
        <is>
          <t>10 kg</t>
        </is>
      </c>
      <c r="Q257" s="3" t="inlineStr">
        <is>
          <t>Manufacturer's Warranty</t>
        </is>
      </c>
      <c r="Y257" s="3" t="inlineStr">
        <is>
          <t>Jeevanjor_Supremo_Hyper_Star_10KG</t>
        </is>
      </c>
      <c r="Z257" s="3" t="n">
        <v>3506</v>
      </c>
      <c r="AE257" s="3" t="n">
        <v>0</v>
      </c>
      <c r="AF257" s="4" t="n">
        <v>0</v>
      </c>
      <c r="AG257" s="3" t="n">
        <v>2600.64</v>
      </c>
      <c r="AH257" s="4" t="n">
        <v>0.18</v>
      </c>
      <c r="AI257" s="3">
        <f>ROUND(AG257+(AG257*AH257),2)</f>
        <v/>
      </c>
      <c r="AJ257" s="4" t="n">
        <v>0.2</v>
      </c>
      <c r="AK257" s="3">
        <f>ROUND(AI257*AJ257,2)</f>
        <v/>
      </c>
      <c r="AL257" s="3">
        <f>AI257+AK257</f>
        <v/>
      </c>
      <c r="AM257" s="3">
        <f>AE257-AL257</f>
        <v/>
      </c>
      <c r="AN257" s="4">
        <f>AM257/AE257</f>
        <v/>
      </c>
      <c r="AO257" s="3" t="inlineStr">
        <is>
          <t>60 mins</t>
        </is>
      </c>
      <c r="AQ257" s="3" t="inlineStr">
        <is>
          <t>Weight</t>
        </is>
      </c>
      <c r="AS257" s="3" t="inlineStr">
        <is>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is>
      </c>
    </row>
    <row r="258" ht="15.75" customHeight="1">
      <c r="A258" s="3" t="inlineStr">
        <is>
          <t>PROD_0038</t>
        </is>
      </c>
      <c r="B258" s="3" t="inlineStr">
        <is>
          <t>VAR_5</t>
        </is>
      </c>
      <c r="C258" s="3" t="inlineStr">
        <is>
          <t>Wooden Material</t>
        </is>
      </c>
      <c r="D258" s="3" t="inlineStr">
        <is>
          <t>Adhesive</t>
        </is>
      </c>
      <c r="E258" s="3" t="inlineStr">
        <is>
          <t>Jeevanjor</t>
        </is>
      </c>
      <c r="F258" s="3" t="inlineStr">
        <is>
          <t>Supremo</t>
        </is>
      </c>
      <c r="H258" s="3" t="inlineStr">
        <is>
          <t>Weight</t>
        </is>
      </c>
      <c r="I258" s="3" t="inlineStr">
        <is>
          <t>20 kg</t>
        </is>
      </c>
      <c r="Q258" s="3" t="inlineStr">
        <is>
          <t>Manufacturer's Warranty</t>
        </is>
      </c>
      <c r="Y258" s="3" t="inlineStr">
        <is>
          <t xml:space="preserve">Jeevanjor_Supremo_Hyper_Star_20KG </t>
        </is>
      </c>
      <c r="Z258" s="3" t="n">
        <v>3506</v>
      </c>
      <c r="AE258" s="3" t="n">
        <v>0</v>
      </c>
      <c r="AF258" s="4" t="n">
        <v>0</v>
      </c>
      <c r="AG258" s="3" t="n">
        <v>4857.6</v>
      </c>
      <c r="AH258" s="4" t="n">
        <v>0.18</v>
      </c>
      <c r="AI258" s="3">
        <f>ROUND(AG258+(AG258*AH258),2)</f>
        <v/>
      </c>
      <c r="AJ258" s="4" t="n">
        <v>0.2</v>
      </c>
      <c r="AK258" s="3">
        <f>ROUND(AI258*AJ258,2)</f>
        <v/>
      </c>
      <c r="AL258" s="3">
        <f>AI258+AK258</f>
        <v/>
      </c>
      <c r="AM258" s="3">
        <f>AE258-AL258</f>
        <v/>
      </c>
      <c r="AN258" s="4">
        <f>AM258/AE258</f>
        <v/>
      </c>
      <c r="AO258" s="3" t="inlineStr">
        <is>
          <t>60 mins</t>
        </is>
      </c>
      <c r="AQ258" s="3" t="inlineStr">
        <is>
          <t>Weight</t>
        </is>
      </c>
      <c r="AS258" s="3" t="inlineStr">
        <is>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is>
      </c>
    </row>
    <row r="259" ht="15.75" customHeight="1">
      <c r="A259" s="3" t="inlineStr">
        <is>
          <t>PROD_0038</t>
        </is>
      </c>
      <c r="B259" s="3" t="inlineStr">
        <is>
          <t>VAR_6</t>
        </is>
      </c>
      <c r="C259" s="3" t="inlineStr">
        <is>
          <t>Wooden Material</t>
        </is>
      </c>
      <c r="D259" s="3" t="inlineStr">
        <is>
          <t>Adhesive</t>
        </is>
      </c>
      <c r="E259" s="3" t="inlineStr">
        <is>
          <t>Jeevanjor</t>
        </is>
      </c>
      <c r="F259" s="3" t="inlineStr">
        <is>
          <t>Supremo</t>
        </is>
      </c>
      <c r="H259" s="3" t="inlineStr">
        <is>
          <t>Weight</t>
        </is>
      </c>
      <c r="I259" s="3" t="inlineStr">
        <is>
          <t>50 kg</t>
        </is>
      </c>
      <c r="Q259" s="3" t="inlineStr">
        <is>
          <t>Manufacturer's Warranty</t>
        </is>
      </c>
      <c r="Y259" s="3" t="inlineStr">
        <is>
          <t>Jeevanjor_Supremo_Hyper_Star_50KG</t>
        </is>
      </c>
      <c r="Z259" s="3" t="n">
        <v>3506</v>
      </c>
      <c r="AE259" s="3" t="n">
        <v>0</v>
      </c>
      <c r="AF259" s="4" t="n">
        <v>0</v>
      </c>
      <c r="AG259" s="3" t="n">
        <v>13822.08</v>
      </c>
      <c r="AH259" s="4" t="n">
        <v>0.18</v>
      </c>
      <c r="AI259" s="3">
        <f>ROUND(AG259+(AG259*AH259),2)</f>
        <v/>
      </c>
      <c r="AJ259" s="4" t="n">
        <v>0.2</v>
      </c>
      <c r="AK259" s="3">
        <f>ROUND(AI259*AJ259,2)</f>
        <v/>
      </c>
      <c r="AL259" s="3">
        <f>AI259+AK259</f>
        <v/>
      </c>
      <c r="AM259" s="3">
        <f>AE259-AL259</f>
        <v/>
      </c>
      <c r="AN259" s="4">
        <f>AM259/AE259</f>
        <v/>
      </c>
      <c r="AO259" s="3" t="inlineStr">
        <is>
          <t>60 mins</t>
        </is>
      </c>
      <c r="AQ259" s="3" t="inlineStr">
        <is>
          <t>Weight</t>
        </is>
      </c>
      <c r="AS259" s="3" t="inlineStr">
        <is>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is>
      </c>
    </row>
    <row r="260" ht="15.75" customHeight="1">
      <c r="A260" s="10" t="inlineStr">
        <is>
          <t>PROD_0039</t>
        </is>
      </c>
      <c r="B260" s="10" t="inlineStr">
        <is>
          <t>VAR_1</t>
        </is>
      </c>
      <c r="C260" s="10" t="inlineStr">
        <is>
          <t>Wooden Material</t>
        </is>
      </c>
      <c r="D260" s="10" t="inlineStr">
        <is>
          <t>Adhesive</t>
        </is>
      </c>
      <c r="E260" s="10" t="inlineStr">
        <is>
          <t>Jeevanjor</t>
        </is>
      </c>
      <c r="F260" s="10" t="inlineStr">
        <is>
          <t>Polystic Super</t>
        </is>
      </c>
      <c r="G260" s="10" t="n"/>
      <c r="H260" s="10" t="inlineStr">
        <is>
          <t>Weight</t>
        </is>
      </c>
      <c r="I260" s="10" t="inlineStr">
        <is>
          <t>250 gm</t>
        </is>
      </c>
      <c r="J260" s="10" t="n"/>
      <c r="K260" s="10" t="n"/>
      <c r="L260" s="10" t="n"/>
      <c r="M260" s="10" t="n"/>
      <c r="N260" s="10" t="n"/>
      <c r="O260" s="10" t="n"/>
      <c r="P260" s="10" t="n"/>
      <c r="Q260" s="10" t="inlineStr">
        <is>
          <t>Manufacturer's Warranty</t>
        </is>
      </c>
      <c r="R260" s="10" t="n"/>
      <c r="S260" s="10" t="n"/>
      <c r="T260" s="10" t="n"/>
      <c r="U260" s="10" t="n"/>
      <c r="V260" s="10" t="n"/>
      <c r="W260" s="10" t="n"/>
      <c r="X260" s="10" t="n"/>
      <c r="Y260" s="10" t="inlineStr">
        <is>
          <t>Jeevanjor_Polystic_Super_250GM</t>
        </is>
      </c>
      <c r="Z260" s="10" t="n">
        <v>35069190</v>
      </c>
      <c r="AA260" s="10" t="n"/>
      <c r="AB260" s="10" t="n"/>
      <c r="AC260" s="10" t="n"/>
      <c r="AD260" s="10" t="n"/>
      <c r="AE260" s="10" t="n">
        <v>0</v>
      </c>
      <c r="AF260" s="11" t="n">
        <v>0</v>
      </c>
      <c r="AG260" s="10">
        <f>ROUND(AE260-(AE260*AF260),2)</f>
        <v/>
      </c>
      <c r="AH260" s="11" t="n">
        <v>0.18</v>
      </c>
      <c r="AI260" s="10">
        <f>ROUND(AG260+(AG260*AH260),2)</f>
        <v/>
      </c>
      <c r="AJ260" s="11" t="n">
        <v>0.2</v>
      </c>
      <c r="AK260" s="10">
        <f>ROUND(AI260*AJ260,2)</f>
        <v/>
      </c>
      <c r="AL260" s="10">
        <f>AI260+AK260</f>
        <v/>
      </c>
      <c r="AM260" s="10">
        <f>AE260-AL260</f>
        <v/>
      </c>
      <c r="AN260" s="11">
        <f>AM260/AE260</f>
        <v/>
      </c>
      <c r="AO260" s="10" t="inlineStr">
        <is>
          <t>60 mins</t>
        </is>
      </c>
      <c r="AP260" s="10" t="n"/>
      <c r="AQ260" s="10" t="inlineStr">
        <is>
          <t>Weight</t>
        </is>
      </c>
      <c r="AR260" s="10" t="n"/>
      <c r="AS260" s="10"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1" ht="15.75" customHeight="1">
      <c r="A261" s="3" t="inlineStr">
        <is>
          <t>PROD_0039</t>
        </is>
      </c>
      <c r="B261" s="3" t="inlineStr">
        <is>
          <t>VAR_2</t>
        </is>
      </c>
      <c r="C261" s="3" t="inlineStr">
        <is>
          <t>Wooden Material</t>
        </is>
      </c>
      <c r="D261" s="3" t="inlineStr">
        <is>
          <t>Adhesive</t>
        </is>
      </c>
      <c r="E261" s="3" t="inlineStr">
        <is>
          <t>Jeevanjor</t>
        </is>
      </c>
      <c r="F261" s="3" t="inlineStr">
        <is>
          <t>Polystic Super</t>
        </is>
      </c>
      <c r="H261" s="3" t="inlineStr">
        <is>
          <t>Weight</t>
        </is>
      </c>
      <c r="I261" s="3" t="inlineStr">
        <is>
          <t>500 gm</t>
        </is>
      </c>
      <c r="Q261" s="3" t="inlineStr">
        <is>
          <t>Manufacturer's Warranty</t>
        </is>
      </c>
      <c r="Y261" s="3" t="inlineStr">
        <is>
          <t>Jeevanjor_Polystic_Super_500GM</t>
        </is>
      </c>
      <c r="Z261" s="3" t="n">
        <v>35069190</v>
      </c>
      <c r="AE261" s="3" t="n">
        <v>0</v>
      </c>
      <c r="AF261" s="4" t="n">
        <v>0</v>
      </c>
      <c r="AG261" s="3" t="n">
        <v>52.8</v>
      </c>
      <c r="AH261" s="4" t="n">
        <v>0.18</v>
      </c>
      <c r="AI261" s="3">
        <f>ROUND(AG261+(AG261*AH261),2)</f>
        <v/>
      </c>
      <c r="AJ261" s="4" t="n">
        <v>0.2</v>
      </c>
      <c r="AK261" s="3">
        <f>ROUND(AI261*AJ261,2)</f>
        <v/>
      </c>
      <c r="AL261" s="3">
        <f>AI261+AK261</f>
        <v/>
      </c>
      <c r="AM261" s="3">
        <f>AE261-AL261</f>
        <v/>
      </c>
      <c r="AN261" s="4">
        <f>AM261/AE261</f>
        <v/>
      </c>
      <c r="AO261" s="3" t="inlineStr">
        <is>
          <t>60 mins</t>
        </is>
      </c>
      <c r="AQ261" s="3" t="inlineStr">
        <is>
          <t>Weight</t>
        </is>
      </c>
      <c r="AS261"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2" ht="15.75" customHeight="1">
      <c r="A262" s="3" t="inlineStr">
        <is>
          <t>PROD_0039</t>
        </is>
      </c>
      <c r="B262" s="3" t="inlineStr">
        <is>
          <t>VAR_3</t>
        </is>
      </c>
      <c r="C262" s="3" t="inlineStr">
        <is>
          <t>Wooden Material</t>
        </is>
      </c>
      <c r="D262" s="3" t="inlineStr">
        <is>
          <t>Adhesive</t>
        </is>
      </c>
      <c r="E262" s="3" t="inlineStr">
        <is>
          <t>Jeevanjor</t>
        </is>
      </c>
      <c r="F262" s="3" t="inlineStr">
        <is>
          <t>Polystic Super</t>
        </is>
      </c>
      <c r="H262" s="3" t="inlineStr">
        <is>
          <t>Weight</t>
        </is>
      </c>
      <c r="I262" s="3" t="inlineStr">
        <is>
          <t>1kg</t>
        </is>
      </c>
      <c r="Q262" s="3" t="inlineStr">
        <is>
          <t>Manufacturer's Warranty</t>
        </is>
      </c>
      <c r="Y262" s="3" t="inlineStr">
        <is>
          <t>Jeevanjor_Polystic_Super_1KG</t>
        </is>
      </c>
      <c r="Z262" s="3" t="n">
        <v>35069190</v>
      </c>
      <c r="AE262" s="3" t="n">
        <v>0</v>
      </c>
      <c r="AF262" s="4" t="n">
        <v>0</v>
      </c>
      <c r="AG262" s="3" t="n">
        <v>97.92</v>
      </c>
      <c r="AH262" s="4" t="n">
        <v>0.18</v>
      </c>
      <c r="AI262" s="3">
        <f>ROUND(AG262+(AG262*AH262),2)</f>
        <v/>
      </c>
      <c r="AJ262" s="4" t="n">
        <v>0.2</v>
      </c>
      <c r="AK262" s="3">
        <f>ROUND(AI262*AJ262,2)</f>
        <v/>
      </c>
      <c r="AL262" s="3">
        <f>AI262+AK262</f>
        <v/>
      </c>
      <c r="AM262" s="3">
        <f>AE262-AL262</f>
        <v/>
      </c>
      <c r="AN262" s="4">
        <f>AM262/AE262</f>
        <v/>
      </c>
      <c r="AO262" s="3" t="inlineStr">
        <is>
          <t>60 mins</t>
        </is>
      </c>
      <c r="AQ262" s="3" t="inlineStr">
        <is>
          <t>Weight</t>
        </is>
      </c>
      <c r="AS262"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3" ht="15.75" customHeight="1">
      <c r="A263" s="3" t="inlineStr">
        <is>
          <t>PROD_0039</t>
        </is>
      </c>
      <c r="B263" s="3" t="inlineStr">
        <is>
          <t>VAR_4</t>
        </is>
      </c>
      <c r="C263" s="3" t="inlineStr">
        <is>
          <t>Wooden Material</t>
        </is>
      </c>
      <c r="D263" s="3" t="inlineStr">
        <is>
          <t>Adhesive</t>
        </is>
      </c>
      <c r="E263" s="3" t="inlineStr">
        <is>
          <t>Jeevanjor</t>
        </is>
      </c>
      <c r="F263" s="3" t="inlineStr">
        <is>
          <t>Polystic Super</t>
        </is>
      </c>
      <c r="H263" s="3" t="inlineStr">
        <is>
          <t>Weight</t>
        </is>
      </c>
      <c r="I263" s="3" t="inlineStr">
        <is>
          <t>2kg</t>
        </is>
      </c>
      <c r="Q263" s="3" t="inlineStr">
        <is>
          <t>Manufacturer's Warranty</t>
        </is>
      </c>
      <c r="Y263" s="3" t="inlineStr">
        <is>
          <t>Jeevanjor_Polystic_Super_2KG</t>
        </is>
      </c>
      <c r="Z263" s="3" t="n">
        <v>35069190</v>
      </c>
      <c r="AE263" s="3" t="n">
        <v>0</v>
      </c>
      <c r="AF263" s="4" t="n">
        <v>0</v>
      </c>
      <c r="AG263" s="3" t="n">
        <v>192</v>
      </c>
      <c r="AH263" s="4" t="n">
        <v>0.18</v>
      </c>
      <c r="AI263" s="3">
        <f>ROUND(AG263+(AG263*AH263),2)</f>
        <v/>
      </c>
      <c r="AJ263" s="4" t="n">
        <v>0.2</v>
      </c>
      <c r="AK263" s="3">
        <f>ROUND(AI263*AJ263,2)</f>
        <v/>
      </c>
      <c r="AL263" s="3">
        <f>AI263+AK263</f>
        <v/>
      </c>
      <c r="AM263" s="3">
        <f>AE263-AL263</f>
        <v/>
      </c>
      <c r="AN263" s="4">
        <f>AM263/AE263</f>
        <v/>
      </c>
      <c r="AO263" s="3" t="inlineStr">
        <is>
          <t>60 mins</t>
        </is>
      </c>
      <c r="AQ263" s="3" t="inlineStr">
        <is>
          <t>Weight</t>
        </is>
      </c>
      <c r="AS263"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4" ht="15.75" customHeight="1">
      <c r="A264" s="3" t="inlineStr">
        <is>
          <t>PROD_0039</t>
        </is>
      </c>
      <c r="B264" s="3" t="inlineStr">
        <is>
          <t>VAR_5</t>
        </is>
      </c>
      <c r="C264" s="3" t="inlineStr">
        <is>
          <t>Wooden Material</t>
        </is>
      </c>
      <c r="D264" s="3" t="inlineStr">
        <is>
          <t>Adhesive</t>
        </is>
      </c>
      <c r="E264" s="3" t="inlineStr">
        <is>
          <t>Jeevanjor</t>
        </is>
      </c>
      <c r="F264" s="3" t="inlineStr">
        <is>
          <t>Polystic Super</t>
        </is>
      </c>
      <c r="H264" s="3" t="inlineStr">
        <is>
          <t>Weight</t>
        </is>
      </c>
      <c r="I264" s="3" t="inlineStr">
        <is>
          <t>5 kg</t>
        </is>
      </c>
      <c r="Q264" s="3" t="inlineStr">
        <is>
          <t>Manufacturer's Warranty</t>
        </is>
      </c>
      <c r="Y264" s="3" t="inlineStr">
        <is>
          <t xml:space="preserve">Jeevanjor_Polystic_Super_5KG </t>
        </is>
      </c>
      <c r="Z264" s="3" t="n">
        <v>35069190</v>
      </c>
      <c r="AE264" s="3" t="n">
        <v>0</v>
      </c>
      <c r="AF264" s="4" t="n">
        <v>0</v>
      </c>
      <c r="AG264" s="3" t="n">
        <v>470.4</v>
      </c>
      <c r="AH264" s="4" t="n">
        <v>0.18</v>
      </c>
      <c r="AI264" s="3">
        <f>ROUND(AG264+(AG264*AH264),2)</f>
        <v/>
      </c>
      <c r="AJ264" s="4" t="n">
        <v>0.2</v>
      </c>
      <c r="AK264" s="3">
        <f>ROUND(AI264*AJ264,2)</f>
        <v/>
      </c>
      <c r="AL264" s="3">
        <f>AI264+AK264</f>
        <v/>
      </c>
      <c r="AM264" s="3">
        <f>AE264-AL264</f>
        <v/>
      </c>
      <c r="AN264" s="4">
        <f>AM264/AE264</f>
        <v/>
      </c>
      <c r="AO264" s="3" t="inlineStr">
        <is>
          <t>60 mins</t>
        </is>
      </c>
      <c r="AQ264" s="3" t="inlineStr">
        <is>
          <t>Weight</t>
        </is>
      </c>
      <c r="AS264"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5" ht="15.75" customHeight="1">
      <c r="A265" s="3" t="inlineStr">
        <is>
          <t>PROD_0039</t>
        </is>
      </c>
      <c r="B265" s="3" t="inlineStr">
        <is>
          <t>VAR_6</t>
        </is>
      </c>
      <c r="C265" s="3" t="inlineStr">
        <is>
          <t>Wooden Material</t>
        </is>
      </c>
      <c r="D265" s="3" t="inlineStr">
        <is>
          <t>Adhesive</t>
        </is>
      </c>
      <c r="E265" s="3" t="inlineStr">
        <is>
          <t>Jeevanjor</t>
        </is>
      </c>
      <c r="F265" s="3" t="inlineStr">
        <is>
          <t>Polystic Super</t>
        </is>
      </c>
      <c r="H265" s="3" t="inlineStr">
        <is>
          <t>Weight</t>
        </is>
      </c>
      <c r="I265" s="3" t="inlineStr">
        <is>
          <t>10 kg</t>
        </is>
      </c>
      <c r="Q265" s="3" t="inlineStr">
        <is>
          <t>Manufacturer's Warranty</t>
        </is>
      </c>
      <c r="Y265" s="3" t="inlineStr">
        <is>
          <t xml:space="preserve">Jeevanjor_Polystic_Super_10KG </t>
        </is>
      </c>
      <c r="Z265" s="3" t="n">
        <v>35069190</v>
      </c>
      <c r="AE265" s="3" t="n">
        <v>0</v>
      </c>
      <c r="AF265" s="4" t="n">
        <v>0</v>
      </c>
      <c r="AG265" s="3" t="n">
        <v>921.6</v>
      </c>
      <c r="AH265" s="4" t="n">
        <v>0.18</v>
      </c>
      <c r="AI265" s="3">
        <f>ROUND(AG265+(AG265*AH265),2)</f>
        <v/>
      </c>
      <c r="AJ265" s="4" t="n">
        <v>0.2</v>
      </c>
      <c r="AK265" s="3">
        <f>ROUND(AI265*AJ265,2)</f>
        <v/>
      </c>
      <c r="AL265" s="3">
        <f>AI265+AK265</f>
        <v/>
      </c>
      <c r="AM265" s="3">
        <f>AE265-AL265</f>
        <v/>
      </c>
      <c r="AN265" s="4">
        <f>AM265/AE265</f>
        <v/>
      </c>
      <c r="AO265" s="3" t="inlineStr">
        <is>
          <t>60 mins</t>
        </is>
      </c>
      <c r="AQ265" s="3" t="inlineStr">
        <is>
          <t>Weight</t>
        </is>
      </c>
      <c r="AS265"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6" ht="15.75" customHeight="1">
      <c r="A266" s="3" t="inlineStr">
        <is>
          <t>PROD_0039</t>
        </is>
      </c>
      <c r="B266" s="3" t="inlineStr">
        <is>
          <t>VAR_7</t>
        </is>
      </c>
      <c r="C266" s="3" t="inlineStr">
        <is>
          <t>Wooden Material</t>
        </is>
      </c>
      <c r="D266" s="3" t="inlineStr">
        <is>
          <t>Adhesive</t>
        </is>
      </c>
      <c r="E266" s="3" t="inlineStr">
        <is>
          <t>Jeevanjor</t>
        </is>
      </c>
      <c r="F266" s="3" t="inlineStr">
        <is>
          <t>Polystic Super</t>
        </is>
      </c>
      <c r="H266" s="3" t="inlineStr">
        <is>
          <t>Weight</t>
        </is>
      </c>
      <c r="I266" s="3" t="inlineStr">
        <is>
          <t>20 kg</t>
        </is>
      </c>
      <c r="Q266" s="3" t="inlineStr">
        <is>
          <t>Manufacturer's Warranty</t>
        </is>
      </c>
      <c r="Y266" s="3" t="inlineStr">
        <is>
          <t>Jeevanjor_Polystic_Super_20KG</t>
        </is>
      </c>
      <c r="Z266" s="3" t="n">
        <v>35069190</v>
      </c>
      <c r="AE266" s="3" t="n">
        <v>0</v>
      </c>
      <c r="AF266" s="4" t="n">
        <v>0</v>
      </c>
      <c r="AG266" s="3" t="n">
        <v>1804.8</v>
      </c>
      <c r="AH266" s="4" t="n">
        <v>0.18</v>
      </c>
      <c r="AI266" s="3">
        <f>ROUND(AG266+(AG266*AH266),2)</f>
        <v/>
      </c>
      <c r="AJ266" s="4" t="n">
        <v>0.2</v>
      </c>
      <c r="AK266" s="3">
        <f>ROUND(AI266*AJ266,2)</f>
        <v/>
      </c>
      <c r="AL266" s="3">
        <f>AI266+AK266</f>
        <v/>
      </c>
      <c r="AM266" s="3">
        <f>AE266-AL266</f>
        <v/>
      </c>
      <c r="AN266" s="4">
        <f>AM266/AE266</f>
        <v/>
      </c>
      <c r="AO266" s="3" t="inlineStr">
        <is>
          <t>60 mins</t>
        </is>
      </c>
      <c r="AQ266" s="3" t="inlineStr">
        <is>
          <t>Weight</t>
        </is>
      </c>
      <c r="AS266"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7" ht="15.75" customHeight="1">
      <c r="A267" s="3" t="inlineStr">
        <is>
          <t>PROD_0039</t>
        </is>
      </c>
      <c r="B267" s="3" t="inlineStr">
        <is>
          <t>VAR_8</t>
        </is>
      </c>
      <c r="C267" s="3" t="inlineStr">
        <is>
          <t>Wooden Material</t>
        </is>
      </c>
      <c r="D267" s="3" t="inlineStr">
        <is>
          <t>Adhesive</t>
        </is>
      </c>
      <c r="E267" s="3" t="inlineStr">
        <is>
          <t>Jeevanjor</t>
        </is>
      </c>
      <c r="F267" s="3" t="inlineStr">
        <is>
          <t>Polystic Super</t>
        </is>
      </c>
      <c r="H267" s="3" t="inlineStr">
        <is>
          <t>Weight</t>
        </is>
      </c>
      <c r="I267" s="3" t="inlineStr">
        <is>
          <t>50 kg</t>
        </is>
      </c>
      <c r="Q267" s="3" t="inlineStr">
        <is>
          <t>Manufacturer's Warranty</t>
        </is>
      </c>
      <c r="Y267" s="3" t="inlineStr">
        <is>
          <t>Jeevanjor_Polystic_Super_50KG</t>
        </is>
      </c>
      <c r="Z267" s="3" t="n">
        <v>35069190</v>
      </c>
      <c r="AE267" s="3" t="n">
        <v>0</v>
      </c>
      <c r="AF267" s="4" t="n">
        <v>0</v>
      </c>
      <c r="AG267" s="3" t="n">
        <v>4368</v>
      </c>
      <c r="AH267" s="4" t="n">
        <v>0.18</v>
      </c>
      <c r="AI267" s="3">
        <f>ROUND(AG267+(AG267*AH267),2)</f>
        <v/>
      </c>
      <c r="AJ267" s="4" t="n">
        <v>0.2</v>
      </c>
      <c r="AK267" s="3">
        <f>ROUND(AI267*AJ267,2)</f>
        <v/>
      </c>
      <c r="AL267" s="3">
        <f>AI267+AK267</f>
        <v/>
      </c>
      <c r="AM267" s="3">
        <f>AE267-AL267</f>
        <v/>
      </c>
      <c r="AN267" s="4">
        <f>AM267/AE267</f>
        <v/>
      </c>
      <c r="AO267" s="3" t="inlineStr">
        <is>
          <t>60 mins</t>
        </is>
      </c>
      <c r="AQ267" s="3" t="inlineStr">
        <is>
          <t>Weight</t>
        </is>
      </c>
      <c r="AS267" s="3" t="inlineStr">
        <is>
          <t>This general purpose synthetic resin adhesive, Polystic Super provides economical multi-purpose wood adhesives.
Key Features:
Designed to join wood to wood, decorative laminates and laminate to particle boards
Available in attractive packing (pouch and jars)</t>
        </is>
      </c>
    </row>
    <row r="268" ht="15.75" customHeight="1">
      <c r="A268" s="3" t="inlineStr">
        <is>
          <t>PROD_0040</t>
        </is>
      </c>
      <c r="B268" s="3" t="inlineStr">
        <is>
          <t>VAR_1</t>
        </is>
      </c>
      <c r="C268" s="3" t="inlineStr">
        <is>
          <t>Wooden Material</t>
        </is>
      </c>
      <c r="D268" s="3" t="inlineStr">
        <is>
          <t>Adhesive</t>
        </is>
      </c>
      <c r="E268" s="3" t="inlineStr">
        <is>
          <t>Jeevanjor</t>
        </is>
      </c>
      <c r="F268" s="3" t="inlineStr">
        <is>
          <t>Fastx (Heatex)</t>
        </is>
      </c>
      <c r="H268" s="3" t="inlineStr">
        <is>
          <t>Volume</t>
        </is>
      </c>
      <c r="I268" s="3" t="inlineStr">
        <is>
          <t>100 ML</t>
        </is>
      </c>
      <c r="Q268" s="3" t="inlineStr">
        <is>
          <t>Manufacturer's Warranty</t>
        </is>
      </c>
      <c r="Y268" s="3" t="inlineStr">
        <is>
          <t>Jeevanjor_Fastx_(Heatex)_100ML</t>
        </is>
      </c>
      <c r="Z268" s="3" t="inlineStr">
        <is>
          <t>3506 1000</t>
        </is>
      </c>
      <c r="AE268" s="3" t="n">
        <v>0</v>
      </c>
      <c r="AF268" s="4" t="n">
        <v>0</v>
      </c>
      <c r="AG268" s="3" t="n">
        <v>53.76</v>
      </c>
      <c r="AH268" s="4" t="n">
        <v>0.18</v>
      </c>
      <c r="AI268" s="3">
        <f>ROUND(AG268+(AG268*AH268),2)</f>
        <v/>
      </c>
      <c r="AJ268" s="4" t="n">
        <v>0.2</v>
      </c>
      <c r="AK268" s="3">
        <f>ROUND(AI268*AJ268,2)</f>
        <v/>
      </c>
      <c r="AL268" s="3">
        <f>AI268+AK268</f>
        <v/>
      </c>
      <c r="AM268" s="3">
        <f>AE268-AL268</f>
        <v/>
      </c>
      <c r="AN268" s="4">
        <f>AM268/AE268</f>
        <v/>
      </c>
      <c r="AO268" s="3" t="inlineStr">
        <is>
          <t>60 mins</t>
        </is>
      </c>
      <c r="AQ268" s="3" t="inlineStr">
        <is>
          <t>Weight</t>
        </is>
      </c>
      <c r="AS268" s="3" t="inlineStr">
        <is>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is>
      </c>
    </row>
    <row r="269" ht="15.75" customHeight="1">
      <c r="A269" s="3" t="inlineStr">
        <is>
          <t>PROD_0040</t>
        </is>
      </c>
      <c r="B269" s="3" t="inlineStr">
        <is>
          <t>VAR_2</t>
        </is>
      </c>
      <c r="C269" s="3" t="inlineStr">
        <is>
          <t>Wooden Material</t>
        </is>
      </c>
      <c r="D269" s="3" t="inlineStr">
        <is>
          <t>Adhesive</t>
        </is>
      </c>
      <c r="E269" s="3" t="inlineStr">
        <is>
          <t>Jeevanjor</t>
        </is>
      </c>
      <c r="F269" s="3" t="inlineStr">
        <is>
          <t>Fastx (Heatex)</t>
        </is>
      </c>
      <c r="H269" s="3" t="inlineStr">
        <is>
          <t>Volume</t>
        </is>
      </c>
      <c r="I269" s="3" t="inlineStr">
        <is>
          <t>200 ML</t>
        </is>
      </c>
      <c r="Q269" s="3" t="inlineStr">
        <is>
          <t>Manufacturer's Warranty</t>
        </is>
      </c>
      <c r="Y269" s="3" t="inlineStr">
        <is>
          <t>Jeevanjor_Fastx_(Heatex)_200ML</t>
        </is>
      </c>
      <c r="Z269" s="3" t="inlineStr">
        <is>
          <t>3506 1000</t>
        </is>
      </c>
      <c r="AE269" s="3" t="n">
        <v>0</v>
      </c>
      <c r="AF269" s="4" t="n">
        <v>0</v>
      </c>
      <c r="AG269" s="3" t="n">
        <v>97.92</v>
      </c>
      <c r="AH269" s="4" t="n">
        <v>0.18</v>
      </c>
      <c r="AI269" s="3">
        <f>ROUND(AG269+(AG269*AH269),2)</f>
        <v/>
      </c>
      <c r="AJ269" s="4" t="n">
        <v>0.2</v>
      </c>
      <c r="AK269" s="3">
        <f>ROUND(AI269*AJ269,2)</f>
        <v/>
      </c>
      <c r="AL269" s="3">
        <f>AI269+AK269</f>
        <v/>
      </c>
      <c r="AM269" s="3">
        <f>AE269-AL269</f>
        <v/>
      </c>
      <c r="AN269" s="4">
        <f>AM269/AE269</f>
        <v/>
      </c>
      <c r="AO269" s="3" t="inlineStr">
        <is>
          <t>60 mins</t>
        </is>
      </c>
      <c r="AQ269" s="3" t="inlineStr">
        <is>
          <t>Weight</t>
        </is>
      </c>
      <c r="AS269" s="3" t="inlineStr">
        <is>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is>
      </c>
    </row>
    <row r="270" ht="15.75" customHeight="1">
      <c r="A270" s="3" t="inlineStr">
        <is>
          <t>PROD_0040</t>
        </is>
      </c>
      <c r="B270" s="3" t="inlineStr">
        <is>
          <t>VAR_3</t>
        </is>
      </c>
      <c r="C270" s="3" t="inlineStr">
        <is>
          <t>Wooden Material</t>
        </is>
      </c>
      <c r="D270" s="3" t="inlineStr">
        <is>
          <t>Adhesive</t>
        </is>
      </c>
      <c r="E270" s="3" t="inlineStr">
        <is>
          <t>Jeevanjor</t>
        </is>
      </c>
      <c r="F270" s="3" t="inlineStr">
        <is>
          <t>Fastx (Heatex)</t>
        </is>
      </c>
      <c r="H270" s="3" t="inlineStr">
        <is>
          <t>Volume</t>
        </is>
      </c>
      <c r="I270" s="3" t="inlineStr">
        <is>
          <t>500 ML</t>
        </is>
      </c>
      <c r="Q270" s="3" t="inlineStr">
        <is>
          <t>Manufacturer's Warranty</t>
        </is>
      </c>
      <c r="Y270" s="3" t="inlineStr">
        <is>
          <t>Jeevanjor_Fastx_(Heatex)_500ML</t>
        </is>
      </c>
      <c r="Z270" s="3" t="inlineStr">
        <is>
          <t>3506 1000</t>
        </is>
      </c>
      <c r="AE270" s="3" t="n">
        <v>0</v>
      </c>
      <c r="AF270" s="4" t="n">
        <v>0</v>
      </c>
      <c r="AG270" s="3" t="n">
        <v>210.24</v>
      </c>
      <c r="AH270" s="4" t="n">
        <v>0.18</v>
      </c>
      <c r="AI270" s="3">
        <f>ROUND(AG270+(AG270*AH270),2)</f>
        <v/>
      </c>
      <c r="AJ270" s="4" t="n">
        <v>0.2</v>
      </c>
      <c r="AK270" s="3">
        <f>ROUND(AI270*AJ270,2)</f>
        <v/>
      </c>
      <c r="AL270" s="3">
        <f>AI270+AK270</f>
        <v/>
      </c>
      <c r="AM270" s="3">
        <f>AE270-AL270</f>
        <v/>
      </c>
      <c r="AN270" s="4">
        <f>AM270/AE270</f>
        <v/>
      </c>
      <c r="AO270" s="3" t="inlineStr">
        <is>
          <t>60 mins</t>
        </is>
      </c>
      <c r="AQ270" s="3" t="inlineStr">
        <is>
          <t>Weight</t>
        </is>
      </c>
      <c r="AS270" s="3" t="inlineStr">
        <is>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is>
      </c>
    </row>
    <row r="271" ht="15.75" customHeight="1">
      <c r="A271" s="3" t="inlineStr">
        <is>
          <t>PROD_0040</t>
        </is>
      </c>
      <c r="B271" s="3" t="inlineStr">
        <is>
          <t>VAR_4</t>
        </is>
      </c>
      <c r="C271" s="3" t="inlineStr">
        <is>
          <t>Wooden Material</t>
        </is>
      </c>
      <c r="D271" s="3" t="inlineStr">
        <is>
          <t>Adhesive</t>
        </is>
      </c>
      <c r="E271" s="3" t="inlineStr">
        <is>
          <t>Jeevanjor</t>
        </is>
      </c>
      <c r="F271" s="3" t="inlineStr">
        <is>
          <t>Fastx (Heatex)</t>
        </is>
      </c>
      <c r="H271" s="3" t="inlineStr">
        <is>
          <t>Volume</t>
        </is>
      </c>
      <c r="I271" s="3" t="inlineStr">
        <is>
          <t>1 LTR</t>
        </is>
      </c>
      <c r="Q271" s="3" t="inlineStr">
        <is>
          <t>Manufacturer's Warranty</t>
        </is>
      </c>
      <c r="Y271" s="3" t="inlineStr">
        <is>
          <t>Jeevanjor_Fastx_(Heatex)_1LTR</t>
        </is>
      </c>
      <c r="Z271" s="3" t="inlineStr">
        <is>
          <t>3506 1000</t>
        </is>
      </c>
      <c r="AE271" s="3" t="n">
        <v>0</v>
      </c>
      <c r="AF271" s="4" t="n">
        <v>0</v>
      </c>
      <c r="AG271" s="3" t="n">
        <v>407.04</v>
      </c>
      <c r="AH271" s="4" t="n">
        <v>0.18</v>
      </c>
      <c r="AI271" s="3">
        <f>ROUND(AG271+(AG271*AH271),2)</f>
        <v/>
      </c>
      <c r="AJ271" s="4" t="n">
        <v>0.2</v>
      </c>
      <c r="AK271" s="3">
        <f>ROUND(AI271*AJ271,2)</f>
        <v/>
      </c>
      <c r="AL271" s="3">
        <f>AI271+AK271</f>
        <v/>
      </c>
      <c r="AM271" s="3">
        <f>AE271-AL271</f>
        <v/>
      </c>
      <c r="AN271" s="4">
        <f>AM271/AE271</f>
        <v/>
      </c>
      <c r="AO271" s="3" t="inlineStr">
        <is>
          <t>60 mins</t>
        </is>
      </c>
      <c r="AQ271" s="3" t="inlineStr">
        <is>
          <t>Weight</t>
        </is>
      </c>
      <c r="AS271" s="3" t="inlineStr">
        <is>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is>
      </c>
    </row>
    <row r="272" ht="15.75" customHeight="1">
      <c r="A272" s="3" t="inlineStr">
        <is>
          <t>PROD_0040</t>
        </is>
      </c>
      <c r="B272" s="3" t="inlineStr">
        <is>
          <t>VAR_5</t>
        </is>
      </c>
      <c r="C272" s="3" t="inlineStr">
        <is>
          <t>Wooden Material</t>
        </is>
      </c>
      <c r="D272" s="3" t="inlineStr">
        <is>
          <t>Adhesive</t>
        </is>
      </c>
      <c r="E272" s="3" t="inlineStr">
        <is>
          <t>Jeevanjor</t>
        </is>
      </c>
      <c r="F272" s="3" t="inlineStr">
        <is>
          <t>Fastx (Heatex)</t>
        </is>
      </c>
      <c r="H272" s="3" t="inlineStr">
        <is>
          <t>Volume</t>
        </is>
      </c>
      <c r="I272" s="3" t="inlineStr">
        <is>
          <t>2 LTR</t>
        </is>
      </c>
      <c r="Q272" s="3" t="inlineStr">
        <is>
          <t>Manufacturer's Warranty</t>
        </is>
      </c>
      <c r="Y272" s="3" t="inlineStr">
        <is>
          <t xml:space="preserve">Jeevanjor_Fastx_(Heatex)_2LTR </t>
        </is>
      </c>
      <c r="Z272" s="3" t="inlineStr">
        <is>
          <t>3506 1000</t>
        </is>
      </c>
      <c r="AE272" s="3" t="n">
        <v>0</v>
      </c>
      <c r="AF272" s="4" t="n">
        <v>0</v>
      </c>
      <c r="AG272" s="3" t="n">
        <v>788.16</v>
      </c>
      <c r="AH272" s="4" t="n">
        <v>0.18</v>
      </c>
      <c r="AI272" s="3">
        <f>ROUND(AG272+(AG272*AH272),2)</f>
        <v/>
      </c>
      <c r="AJ272" s="4" t="n">
        <v>0.2</v>
      </c>
      <c r="AK272" s="3">
        <f>ROUND(AI272*AJ272,2)</f>
        <v/>
      </c>
      <c r="AL272" s="3">
        <f>AI272+AK272</f>
        <v/>
      </c>
      <c r="AM272" s="3">
        <f>AE272-AL272</f>
        <v/>
      </c>
      <c r="AN272" s="4">
        <f>AM272/AE272</f>
        <v/>
      </c>
      <c r="AO272" s="3" t="inlineStr">
        <is>
          <t>60 mins</t>
        </is>
      </c>
      <c r="AQ272" s="3" t="inlineStr">
        <is>
          <t>Weight</t>
        </is>
      </c>
      <c r="AS272" s="3" t="inlineStr">
        <is>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is>
      </c>
    </row>
    <row r="273" ht="15.75" customHeight="1">
      <c r="A273" s="3" t="inlineStr">
        <is>
          <t>PROD_0040</t>
        </is>
      </c>
      <c r="B273" s="3" t="inlineStr">
        <is>
          <t>VAR_6</t>
        </is>
      </c>
      <c r="C273" s="3" t="inlineStr">
        <is>
          <t>Wooden Material</t>
        </is>
      </c>
      <c r="D273" s="3" t="inlineStr">
        <is>
          <t>Adhesive</t>
        </is>
      </c>
      <c r="E273" s="3" t="inlineStr">
        <is>
          <t>Jeevanjor</t>
        </is>
      </c>
      <c r="F273" s="3" t="inlineStr">
        <is>
          <t>Fastx (Heatex)</t>
        </is>
      </c>
      <c r="H273" s="3" t="inlineStr">
        <is>
          <t>Volume</t>
        </is>
      </c>
      <c r="I273" s="3" t="inlineStr">
        <is>
          <t>5 LTR</t>
        </is>
      </c>
      <c r="Q273" s="3" t="inlineStr">
        <is>
          <t>Manufacturer's Warranty</t>
        </is>
      </c>
      <c r="Y273" s="3" t="inlineStr">
        <is>
          <t>Jeevanjor_Fastx_(Heatex)_5LTR</t>
        </is>
      </c>
      <c r="Z273" s="3" t="inlineStr">
        <is>
          <t>3506 1000</t>
        </is>
      </c>
      <c r="AE273" s="3" t="n">
        <v>0</v>
      </c>
      <c r="AF273" s="4" t="n">
        <v>0</v>
      </c>
      <c r="AG273" s="3" t="n">
        <v>1879.68</v>
      </c>
      <c r="AH273" s="4" t="n">
        <v>0.18</v>
      </c>
      <c r="AI273" s="3">
        <f>ROUND(AG273+(AG273*AH273),2)</f>
        <v/>
      </c>
      <c r="AJ273" s="4" t="n">
        <v>0.2</v>
      </c>
      <c r="AK273" s="3">
        <f>ROUND(AI273*AJ273,2)</f>
        <v/>
      </c>
      <c r="AL273" s="3">
        <f>AI273+AK273</f>
        <v/>
      </c>
      <c r="AM273" s="3">
        <f>AE273-AL273</f>
        <v/>
      </c>
      <c r="AN273" s="4">
        <f>AM273/AE273</f>
        <v/>
      </c>
      <c r="AO273" s="3" t="inlineStr">
        <is>
          <t>60 mins</t>
        </is>
      </c>
      <c r="AQ273" s="3" t="inlineStr">
        <is>
          <t>Weight</t>
        </is>
      </c>
      <c r="AS273" s="3" t="inlineStr">
        <is>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is>
      </c>
    </row>
    <row r="274" ht="15.75" customHeight="1">
      <c r="A274" s="3" t="inlineStr">
        <is>
          <t>PROD_0041</t>
        </is>
      </c>
      <c r="B274" s="3" t="inlineStr">
        <is>
          <t>VAR_1</t>
        </is>
      </c>
      <c r="C274" s="3" t="inlineStr">
        <is>
          <t>Wooden Material</t>
        </is>
      </c>
      <c r="D274" s="3" t="inlineStr">
        <is>
          <t>Adhesive</t>
        </is>
      </c>
      <c r="E274" s="3" t="inlineStr">
        <is>
          <t>Jeevanjor</t>
        </is>
      </c>
      <c r="F274" s="3" t="inlineStr">
        <is>
          <t>PVC Xtra Probond</t>
        </is>
      </c>
      <c r="H274" s="3" t="inlineStr">
        <is>
          <t>Volume</t>
        </is>
      </c>
      <c r="I274" s="3" t="inlineStr">
        <is>
          <t>500 ML</t>
        </is>
      </c>
      <c r="Q274" s="3" t="inlineStr">
        <is>
          <t>Manufacturer's Warranty</t>
        </is>
      </c>
      <c r="Y274" s="3" t="inlineStr">
        <is>
          <t>Jeevanjor_PVC_Xtra_Probond_500ML</t>
        </is>
      </c>
      <c r="Z274" s="3" t="n">
        <v>3506</v>
      </c>
      <c r="AE274" s="3" t="n">
        <v>0</v>
      </c>
      <c r="AF274" s="4" t="n">
        <v>0</v>
      </c>
      <c r="AG274" s="3" t="n">
        <v>175.68</v>
      </c>
      <c r="AH274" s="4" t="n">
        <v>0.18</v>
      </c>
      <c r="AI274" s="3">
        <f>ROUND(AG274+(AG274*AH274),2)</f>
        <v/>
      </c>
      <c r="AJ274" s="4" t="n">
        <v>0.2</v>
      </c>
      <c r="AK274" s="3">
        <f>ROUND(AI274*AJ274,2)</f>
        <v/>
      </c>
      <c r="AL274" s="3">
        <f>AI274+AK274</f>
        <v/>
      </c>
      <c r="AM274" s="3">
        <f>AE274-AL274</f>
        <v/>
      </c>
      <c r="AN274" s="4">
        <f>AM274/AE274</f>
        <v/>
      </c>
      <c r="AO274" s="3" t="inlineStr">
        <is>
          <t>60 mins</t>
        </is>
      </c>
      <c r="AQ274" s="3" t="inlineStr">
        <is>
          <t>Weight</t>
        </is>
      </c>
      <c r="AS274" s="3" t="inlineStr">
        <is>
          <t>Excellent Bonding
Easy applicability
Low VOC ; formaldehyde free
Water Based Adhesive- Eco friendly</t>
        </is>
      </c>
    </row>
    <row r="275" ht="15.75" customHeight="1">
      <c r="A275" s="3" t="inlineStr">
        <is>
          <t>PROD_0041</t>
        </is>
      </c>
      <c r="B275" s="3" t="inlineStr">
        <is>
          <t>VAR_2</t>
        </is>
      </c>
      <c r="C275" s="3" t="inlineStr">
        <is>
          <t>Wooden Material</t>
        </is>
      </c>
      <c r="D275" s="3" t="inlineStr">
        <is>
          <t>Adhesive</t>
        </is>
      </c>
      <c r="E275" s="3" t="inlineStr">
        <is>
          <t>Jeevanjor</t>
        </is>
      </c>
      <c r="F275" s="3" t="inlineStr">
        <is>
          <t>PVC Xtra Probond</t>
        </is>
      </c>
      <c r="H275" s="3" t="inlineStr">
        <is>
          <t>Volume</t>
        </is>
      </c>
      <c r="I275" s="3" t="inlineStr">
        <is>
          <t>1kg</t>
        </is>
      </c>
      <c r="Q275" s="3" t="inlineStr">
        <is>
          <t>Manufacturer's Warranty</t>
        </is>
      </c>
      <c r="Y275" s="3" t="inlineStr">
        <is>
          <t>Jeevanjor_PVC_Xtra_Probond_1KG</t>
        </is>
      </c>
      <c r="Z275" s="3" t="n">
        <v>3506</v>
      </c>
      <c r="AE275" s="3" t="n">
        <v>0</v>
      </c>
      <c r="AF275" s="4" t="n">
        <v>0</v>
      </c>
      <c r="AG275" s="3" t="n">
        <v>320.64</v>
      </c>
      <c r="AH275" s="4" t="n">
        <v>0.18</v>
      </c>
      <c r="AI275" s="3">
        <f>ROUND(AG275+(AG275*AH275),2)</f>
        <v/>
      </c>
      <c r="AJ275" s="4" t="n">
        <v>0.2</v>
      </c>
      <c r="AK275" s="3">
        <f>ROUND(AI275*AJ275,2)</f>
        <v/>
      </c>
      <c r="AL275" s="3">
        <f>AI275+AK275</f>
        <v/>
      </c>
      <c r="AM275" s="3">
        <f>AE275-AL275</f>
        <v/>
      </c>
      <c r="AN275" s="4">
        <f>AM275/AE275</f>
        <v/>
      </c>
      <c r="AO275" s="3" t="inlineStr">
        <is>
          <t>60 mins</t>
        </is>
      </c>
      <c r="AQ275" s="3" t="inlineStr">
        <is>
          <t>Weight</t>
        </is>
      </c>
      <c r="AS275" s="3" t="inlineStr">
        <is>
          <t>Excellent Bonding
Easy applicability
Low VOC ; formaldehyde free
Water Based Adhesive- Eco friendly</t>
        </is>
      </c>
    </row>
    <row r="276" ht="15.75" customHeight="1">
      <c r="A276" s="3" t="inlineStr">
        <is>
          <t>PROD_0041</t>
        </is>
      </c>
      <c r="B276" s="3" t="inlineStr">
        <is>
          <t>VAR_3</t>
        </is>
      </c>
      <c r="C276" s="3" t="inlineStr">
        <is>
          <t>Wooden Material</t>
        </is>
      </c>
      <c r="D276" s="3" t="inlineStr">
        <is>
          <t>Adhesive</t>
        </is>
      </c>
      <c r="E276" s="3" t="inlineStr">
        <is>
          <t>Jeevanjor</t>
        </is>
      </c>
      <c r="F276" s="3" t="inlineStr">
        <is>
          <t>PVC Xtra Probond</t>
        </is>
      </c>
      <c r="H276" s="3" t="inlineStr">
        <is>
          <t>Volume</t>
        </is>
      </c>
      <c r="I276" s="3" t="inlineStr">
        <is>
          <t>5 kg</t>
        </is>
      </c>
      <c r="Q276" s="3" t="inlineStr">
        <is>
          <t>Manufacturer's Warranty</t>
        </is>
      </c>
      <c r="Y276" s="3" t="inlineStr">
        <is>
          <t>Jeevanjor_PVC_Xtra_Probond_5KG</t>
        </is>
      </c>
      <c r="Z276" s="3" t="n">
        <v>3506</v>
      </c>
      <c r="AE276" s="3" t="n">
        <v>0</v>
      </c>
      <c r="AF276" s="4" t="n">
        <v>0</v>
      </c>
      <c r="AG276" s="3" t="n">
        <v>1492.8</v>
      </c>
      <c r="AH276" s="4" t="n">
        <v>0.18</v>
      </c>
      <c r="AI276" s="3">
        <f>ROUND(AG276+(AG276*AH276),2)</f>
        <v/>
      </c>
      <c r="AJ276" s="4" t="n">
        <v>0.2</v>
      </c>
      <c r="AK276" s="3">
        <f>ROUND(AI276*AJ276,2)</f>
        <v/>
      </c>
      <c r="AL276" s="3">
        <f>AI276+AK276</f>
        <v/>
      </c>
      <c r="AM276" s="3">
        <f>AE276-AL276</f>
        <v/>
      </c>
      <c r="AN276" s="4">
        <f>AM276/AE276</f>
        <v/>
      </c>
      <c r="AO276" s="3" t="inlineStr">
        <is>
          <t>60 mins</t>
        </is>
      </c>
      <c r="AQ276" s="3" t="inlineStr">
        <is>
          <t>Weight</t>
        </is>
      </c>
      <c r="AS276" s="3" t="inlineStr">
        <is>
          <t>Excellent Bonding
Easy applicability
Low VOC ; formaldehyde free
Water Based Adhesive- Eco friendly</t>
        </is>
      </c>
    </row>
    <row r="277" ht="15.75" customHeight="1">
      <c r="A277" s="3" t="inlineStr">
        <is>
          <t>PROD_0041</t>
        </is>
      </c>
      <c r="B277" s="3" t="inlineStr">
        <is>
          <t>VAR_4</t>
        </is>
      </c>
      <c r="C277" s="3" t="inlineStr">
        <is>
          <t>Wooden Material</t>
        </is>
      </c>
      <c r="D277" s="3" t="inlineStr">
        <is>
          <t>Adhesive</t>
        </is>
      </c>
      <c r="E277" s="3" t="inlineStr">
        <is>
          <t>Jeevanjor</t>
        </is>
      </c>
      <c r="F277" s="3" t="inlineStr">
        <is>
          <t>PVC Xtra Probond</t>
        </is>
      </c>
      <c r="H277" s="3" t="inlineStr">
        <is>
          <t>Volume</t>
        </is>
      </c>
      <c r="I277" s="3" t="inlineStr">
        <is>
          <t>10 kg</t>
        </is>
      </c>
      <c r="Q277" s="3" t="inlineStr">
        <is>
          <t>Manufacturer's Warranty</t>
        </is>
      </c>
      <c r="Y277" s="3" t="inlineStr">
        <is>
          <t>Jeevanjor_PVC_Xtra_Probond_10KG</t>
        </is>
      </c>
      <c r="Z277" s="3" t="n">
        <v>3506</v>
      </c>
      <c r="AE277" s="3" t="n">
        <v>0</v>
      </c>
      <c r="AF277" s="4" t="n">
        <v>0</v>
      </c>
      <c r="AG277" s="3" t="n">
        <v>2852.16</v>
      </c>
      <c r="AH277" s="4" t="n">
        <v>0.18</v>
      </c>
      <c r="AI277" s="3">
        <f>ROUND(AG277+(AG277*AH277),2)</f>
        <v/>
      </c>
      <c r="AJ277" s="4" t="n">
        <v>0.2</v>
      </c>
      <c r="AK277" s="3">
        <f>ROUND(AI277*AJ277,2)</f>
        <v/>
      </c>
      <c r="AL277" s="3">
        <f>AI277+AK277</f>
        <v/>
      </c>
      <c r="AM277" s="3">
        <f>AE277-AL277</f>
        <v/>
      </c>
      <c r="AN277" s="4">
        <f>AM277/AE277</f>
        <v/>
      </c>
      <c r="AO277" s="3" t="inlineStr">
        <is>
          <t>60 mins</t>
        </is>
      </c>
      <c r="AQ277" s="3" t="inlineStr">
        <is>
          <t>Weight</t>
        </is>
      </c>
      <c r="AS277" s="3" t="inlineStr">
        <is>
          <t>Excellent Bonding
Easy applicability
Low VOC ; formaldehyde free
Water Based Adhesive- Eco friendly</t>
        </is>
      </c>
    </row>
    <row r="278" ht="15.75" customHeight="1">
      <c r="A278" s="3" t="inlineStr">
        <is>
          <t>PROD_0041</t>
        </is>
      </c>
      <c r="B278" s="3" t="inlineStr">
        <is>
          <t>VAR_5</t>
        </is>
      </c>
      <c r="C278" s="3" t="inlineStr">
        <is>
          <t>Wooden Material</t>
        </is>
      </c>
      <c r="D278" s="3" t="inlineStr">
        <is>
          <t>Adhesive</t>
        </is>
      </c>
      <c r="E278" s="3" t="inlineStr">
        <is>
          <t>Jeevanjor</t>
        </is>
      </c>
      <c r="F278" s="3" t="inlineStr">
        <is>
          <t>PVC Xtra Probond</t>
        </is>
      </c>
      <c r="H278" s="3" t="inlineStr">
        <is>
          <t>Volume</t>
        </is>
      </c>
      <c r="I278" s="3" t="inlineStr">
        <is>
          <t>20 kg</t>
        </is>
      </c>
      <c r="Q278" s="3" t="inlineStr">
        <is>
          <t>Manufacturer's Warranty</t>
        </is>
      </c>
      <c r="Y278" s="3" t="inlineStr">
        <is>
          <t>Jeevanjor_PVC_Xtra_Probond_20KG</t>
        </is>
      </c>
      <c r="Z278" s="3" t="n">
        <v>3506</v>
      </c>
      <c r="AE278" s="3" t="n">
        <v>0</v>
      </c>
      <c r="AF278" s="4" t="n">
        <v>0</v>
      </c>
      <c r="AG278" s="3" t="n">
        <v>5427.84</v>
      </c>
      <c r="AH278" s="4" t="n">
        <v>0.18</v>
      </c>
      <c r="AI278" s="3">
        <f>ROUND(AG278+(AG278*AH278),2)</f>
        <v/>
      </c>
      <c r="AJ278" s="4" t="n">
        <v>0.2</v>
      </c>
      <c r="AK278" s="3">
        <f>ROUND(AI278*AJ278,2)</f>
        <v/>
      </c>
      <c r="AL278" s="3">
        <f>AI278+AK278</f>
        <v/>
      </c>
      <c r="AM278" s="3">
        <f>AE278-AL278</f>
        <v/>
      </c>
      <c r="AN278" s="4">
        <f>AM278/AE278</f>
        <v/>
      </c>
      <c r="AO278" s="3" t="inlineStr">
        <is>
          <t>60 mins</t>
        </is>
      </c>
      <c r="AQ278" s="3" t="inlineStr">
        <is>
          <t>Weight</t>
        </is>
      </c>
      <c r="AS278" s="3" t="inlineStr">
        <is>
          <t>Excellent Bonding
Easy applicability
Low VOC ; formaldehyde free
Water Based Adhesive- Eco friendly</t>
        </is>
      </c>
    </row>
    <row r="279" ht="15.75" customHeight="1">
      <c r="A279" s="3" t="inlineStr">
        <is>
          <t>PROD_0042</t>
        </is>
      </c>
      <c r="B279" s="3" t="inlineStr">
        <is>
          <t>VAR_1</t>
        </is>
      </c>
      <c r="C279" s="3" t="inlineStr">
        <is>
          <t>Modular Hardware</t>
        </is>
      </c>
      <c r="D279" s="3" t="inlineStr">
        <is>
          <t>Hinges</t>
        </is>
      </c>
      <c r="E279" s="3" t="inlineStr">
        <is>
          <t>Hettich</t>
        </is>
      </c>
      <c r="F279" s="3" t="inlineStr">
        <is>
          <t>Square Butt Hinges</t>
        </is>
      </c>
      <c r="H279" s="3" t="inlineStr">
        <is>
          <t>Hole Pattern</t>
        </is>
      </c>
      <c r="J279" s="3" t="inlineStr">
        <is>
          <t>Size</t>
        </is>
      </c>
      <c r="K279" s="3" t="inlineStr">
        <is>
          <t>4" x 3" x 2.5"</t>
        </is>
      </c>
      <c r="L279" s="3" t="inlineStr">
        <is>
          <t>Material</t>
        </is>
      </c>
      <c r="M279" s="3" t="inlineStr">
        <is>
          <t>Stainless Steel</t>
        </is>
      </c>
      <c r="Q279" s="3" t="inlineStr">
        <is>
          <t>Manufacturer's Warranty</t>
        </is>
      </c>
      <c r="R279" s="12" t="n">
        <v>9251678</v>
      </c>
      <c r="S279" s="3" t="n">
        <v>2</v>
      </c>
      <c r="U279" s="3" t="n">
        <v>0.5600000000000001</v>
      </c>
      <c r="W279" s="3" t="inlineStr">
        <is>
          <t>Board Thickness</t>
        </is>
      </c>
      <c r="Y279" s="3" t="inlineStr">
        <is>
          <t>HT_BH_SQ_SS</t>
        </is>
      </c>
      <c r="Z279" s="12" t="n">
        <v>83021010</v>
      </c>
      <c r="AC279" s="3" t="n">
        <v>1</v>
      </c>
      <c r="AE279" s="3" t="n">
        <v>710</v>
      </c>
      <c r="AF279" s="4" t="n">
        <v>0.4</v>
      </c>
      <c r="AG279" s="3">
        <f>ROUND(AE279-(AE279*AF279),2)</f>
        <v/>
      </c>
      <c r="AH279" s="4" t="n">
        <v>0.18</v>
      </c>
      <c r="AI279" s="3">
        <f>ROUND(AG279+(AG279*AH279),2)</f>
        <v/>
      </c>
      <c r="AJ279" s="4" t="n">
        <v>0.2</v>
      </c>
      <c r="AK279" s="3">
        <f>ROUND(AI279*AJ279,2)</f>
        <v/>
      </c>
      <c r="AL279" s="3">
        <f>AI279+AK279</f>
        <v/>
      </c>
      <c r="AM279" s="3">
        <f>AE279-AL279</f>
        <v/>
      </c>
      <c r="AN279" s="4">
        <f>AM279/AE279</f>
        <v/>
      </c>
      <c r="AO279" s="3" t="inlineStr">
        <is>
          <t>3 hrs</t>
        </is>
      </c>
      <c r="AQ279" s="3" t="inlineStr">
        <is>
          <t>Weight</t>
        </is>
      </c>
      <c r="AS279" s="3" t="inlineStr">
        <is>
          <t>Non Ball Bearing Hinge, Loading capacity 60 kg</t>
        </is>
      </c>
      <c r="AT279" s="3" t="inlineStr">
        <is>
          <t>3 hrs</t>
        </is>
      </c>
    </row>
    <row r="280" ht="15.75" customHeight="1">
      <c r="A280" s="3" t="inlineStr">
        <is>
          <t>PROD_0042</t>
        </is>
      </c>
      <c r="B280" s="3" t="inlineStr">
        <is>
          <t>VAR_2</t>
        </is>
      </c>
      <c r="C280" s="3" t="inlineStr">
        <is>
          <t>Modular Hardware</t>
        </is>
      </c>
      <c r="D280" s="3" t="inlineStr">
        <is>
          <t>Hinges</t>
        </is>
      </c>
      <c r="E280" s="3" t="inlineStr">
        <is>
          <t>Hettich</t>
        </is>
      </c>
      <c r="F280" s="3" t="inlineStr">
        <is>
          <t>Square Butt Hinges</t>
        </is>
      </c>
      <c r="H280" s="3" t="inlineStr">
        <is>
          <t>Hole Pattern</t>
        </is>
      </c>
      <c r="I280" s="3" t="inlineStr">
        <is>
          <t>C</t>
        </is>
      </c>
      <c r="J280" s="3" t="inlineStr">
        <is>
          <t>Size</t>
        </is>
      </c>
      <c r="K280" s="3" t="inlineStr">
        <is>
          <t>4" x 3" x 3</t>
        </is>
      </c>
      <c r="L280" s="3" t="inlineStr">
        <is>
          <t>Material</t>
        </is>
      </c>
      <c r="M280" s="3" t="inlineStr">
        <is>
          <t>Antique Brass</t>
        </is>
      </c>
      <c r="Q280" s="3" t="inlineStr">
        <is>
          <t>Manufacturer's Warranty</t>
        </is>
      </c>
      <c r="R280" s="12" t="n">
        <v>9251650</v>
      </c>
      <c r="S280" s="3" t="n">
        <v>2</v>
      </c>
      <c r="U280" s="3" t="n">
        <v>0.5600000000000001</v>
      </c>
      <c r="Y280" s="3" t="inlineStr">
        <is>
          <t>HT_BH_SQ_BRASS</t>
        </is>
      </c>
      <c r="Z280" s="12" t="n">
        <v>83021010</v>
      </c>
      <c r="AE280" s="3" t="n">
        <v>1155</v>
      </c>
      <c r="AF280" s="4" t="n">
        <v>0.4</v>
      </c>
      <c r="AG280" s="3">
        <f>ROUND(AE280-(AE280*AF280),2)</f>
        <v/>
      </c>
      <c r="AH280" s="4" t="n">
        <v>0.18</v>
      </c>
      <c r="AI280" s="3">
        <f>ROUND(AG280+(AG280*AH280),2)</f>
        <v/>
      </c>
      <c r="AJ280" s="4" t="n">
        <v>0.2</v>
      </c>
      <c r="AK280" s="3">
        <f>ROUND(AI280*AJ280,2)</f>
        <v/>
      </c>
      <c r="AL280" s="3">
        <f>AI280+AK280</f>
        <v/>
      </c>
      <c r="AM280" s="3">
        <f>AE280-AL280</f>
        <v/>
      </c>
      <c r="AN280" s="4">
        <f>AM280/AE280</f>
        <v/>
      </c>
      <c r="AO280" s="3" t="inlineStr">
        <is>
          <t>3 hrs</t>
        </is>
      </c>
      <c r="AQ280" s="3" t="inlineStr">
        <is>
          <t>Weight</t>
        </is>
      </c>
      <c r="AS280" s="3" t="inlineStr">
        <is>
          <t>SS 304 Ball Bearing Hinge, Square Edge, 4"x3"x3, 
loading capacity 120 Kg, AB finish (with screws)</t>
        </is>
      </c>
      <c r="AT280" s="3" t="inlineStr">
        <is>
          <t>3 hrs</t>
        </is>
      </c>
    </row>
    <row r="281" ht="15.75" customHeight="1">
      <c r="A281" s="3" t="inlineStr">
        <is>
          <t>PROD_0042</t>
        </is>
      </c>
      <c r="B281" s="3" t="inlineStr">
        <is>
          <t>VAR_3</t>
        </is>
      </c>
      <c r="C281" s="3" t="inlineStr">
        <is>
          <t>Modular Hardware</t>
        </is>
      </c>
      <c r="D281" s="3" t="inlineStr">
        <is>
          <t>Hinges</t>
        </is>
      </c>
      <c r="E281" s="3" t="inlineStr">
        <is>
          <t>Hettich</t>
        </is>
      </c>
      <c r="F281" s="3" t="inlineStr">
        <is>
          <t>Square Butt Hinges</t>
        </is>
      </c>
      <c r="H281" s="3" t="inlineStr">
        <is>
          <t>Hole Pattern</t>
        </is>
      </c>
      <c r="I281" s="3" t="inlineStr">
        <is>
          <t>C</t>
        </is>
      </c>
      <c r="J281" s="3" t="inlineStr">
        <is>
          <t>Size</t>
        </is>
      </c>
      <c r="K281" s="3" t="inlineStr">
        <is>
          <t>5" x 3" x 3</t>
        </is>
      </c>
      <c r="L281" s="3" t="inlineStr">
        <is>
          <t>Material</t>
        </is>
      </c>
      <c r="M281" s="3" t="inlineStr">
        <is>
          <t>Antique Brass</t>
        </is>
      </c>
      <c r="Q281" s="3" t="inlineStr">
        <is>
          <t>Manufacturer's Warranty</t>
        </is>
      </c>
      <c r="R281" s="12" t="n">
        <v>9251658</v>
      </c>
      <c r="S281" s="3" t="n">
        <v>2</v>
      </c>
      <c r="U281" s="3" t="n">
        <v>0.5600000000000001</v>
      </c>
      <c r="Y281" s="3" t="inlineStr">
        <is>
          <t>HT_BH_SQ_AQ_BRASS</t>
        </is>
      </c>
      <c r="Z281" s="12" t="n">
        <v>83021010</v>
      </c>
      <c r="AC281" s="3" t="n">
        <v>1</v>
      </c>
      <c r="AE281" s="3" t="n">
        <v>1390</v>
      </c>
      <c r="AF281" s="4" t="n">
        <v>0.4</v>
      </c>
      <c r="AG281" s="3">
        <f>ROUND(AE281-(AE281*AF281),2)</f>
        <v/>
      </c>
      <c r="AH281" s="4" t="n">
        <v>0.18</v>
      </c>
      <c r="AI281" s="3">
        <f>ROUND(AG281+(AG281*AH281),2)</f>
        <v/>
      </c>
      <c r="AJ281" s="4" t="n">
        <v>0.2</v>
      </c>
      <c r="AK281" s="3">
        <f>ROUND(AI281*AJ281,2)</f>
        <v/>
      </c>
      <c r="AL281" s="3">
        <f>AI281+AK281</f>
        <v/>
      </c>
      <c r="AM281" s="3">
        <f>AE281-AL281</f>
        <v/>
      </c>
      <c r="AN281" s="4">
        <f>AM281/AE281</f>
        <v/>
      </c>
      <c r="AO281" s="3" t="inlineStr">
        <is>
          <t>3 hrs</t>
        </is>
      </c>
      <c r="AQ281" s="3" t="inlineStr">
        <is>
          <t>Weight</t>
        </is>
      </c>
      <c r="AS281" s="3" t="inlineStr">
        <is>
          <t>SS 304 Ball Bearing Hinge, Square Edge, 4"x3"x3, 
loading capacity 120 Kg, AB finish (with screws)</t>
        </is>
      </c>
      <c r="AT281" s="3" t="inlineStr">
        <is>
          <t>3 hrs</t>
        </is>
      </c>
    </row>
    <row r="282" ht="15.75" customHeight="1">
      <c r="A282" s="3" t="inlineStr">
        <is>
          <t>PROD_0042</t>
        </is>
      </c>
      <c r="B282" s="3" t="inlineStr">
        <is>
          <t>VAR_4</t>
        </is>
      </c>
      <c r="C282" s="3" t="inlineStr">
        <is>
          <t>Modular Hardware</t>
        </is>
      </c>
      <c r="D282" s="3" t="inlineStr">
        <is>
          <t>Hinges</t>
        </is>
      </c>
      <c r="E282" s="3" t="inlineStr">
        <is>
          <t>Hettich</t>
        </is>
      </c>
      <c r="F282" s="3" t="inlineStr">
        <is>
          <t>Square Butt Hinges</t>
        </is>
      </c>
      <c r="H282" s="3" t="inlineStr">
        <is>
          <t>Hole Pattern</t>
        </is>
      </c>
      <c r="J282" s="3" t="inlineStr">
        <is>
          <t>Size</t>
        </is>
      </c>
      <c r="K282" s="3" t="inlineStr">
        <is>
          <t>5" x 3" x 2.5"</t>
        </is>
      </c>
      <c r="L282" s="3" t="inlineStr">
        <is>
          <t>Material</t>
        </is>
      </c>
      <c r="M282" s="3" t="inlineStr">
        <is>
          <t>Stainless Steel</t>
        </is>
      </c>
      <c r="Q282" s="3" t="inlineStr">
        <is>
          <t>Manufacturer's Warranty</t>
        </is>
      </c>
      <c r="R282" s="12" t="n">
        <v>9251685</v>
      </c>
      <c r="S282" s="3" t="n">
        <v>2</v>
      </c>
      <c r="U282" s="3" t="n">
        <v>0.5600000000000001</v>
      </c>
      <c r="Y282" s="3" t="inlineStr">
        <is>
          <t>HT_BH_SQ_SS</t>
        </is>
      </c>
      <c r="Z282" s="12" t="n">
        <v>83021010</v>
      </c>
      <c r="AE282" s="3" t="n">
        <v>860</v>
      </c>
      <c r="AF282" s="4" t="n">
        <v>0.4</v>
      </c>
      <c r="AG282" s="3">
        <f>ROUND(AE282-(AE282*AF282),2)</f>
        <v/>
      </c>
      <c r="AH282" s="4" t="n">
        <v>0.18</v>
      </c>
      <c r="AI282" s="3">
        <f>ROUND(AG282+(AG282*AH282),2)</f>
        <v/>
      </c>
      <c r="AJ282" s="4" t="n">
        <v>0.2</v>
      </c>
      <c r="AK282" s="3">
        <f>ROUND(AI282*AJ282,2)</f>
        <v/>
      </c>
      <c r="AL282" s="3">
        <f>AI282+AK282</f>
        <v/>
      </c>
      <c r="AM282" s="3">
        <f>AE282-AL282</f>
        <v/>
      </c>
      <c r="AN282" s="4">
        <f>AM282/AE282</f>
        <v/>
      </c>
      <c r="AO282" s="3" t="inlineStr">
        <is>
          <t>3 hrs</t>
        </is>
      </c>
      <c r="AQ282" s="3" t="inlineStr">
        <is>
          <t>Weight</t>
        </is>
      </c>
      <c r="AS282" s="3" t="inlineStr">
        <is>
          <t>Non Ball Bearing Hinge, Loading capacity 60 kg</t>
        </is>
      </c>
      <c r="AT282" s="3" t="inlineStr">
        <is>
          <t>3 hrs</t>
        </is>
      </c>
    </row>
    <row r="283" ht="15.75" customHeight="1">
      <c r="A283" s="3" t="inlineStr">
        <is>
          <t>PROD_0043</t>
        </is>
      </c>
      <c r="B283" s="3" t="inlineStr">
        <is>
          <t>VAR_1</t>
        </is>
      </c>
      <c r="C283" s="3" t="inlineStr">
        <is>
          <t>Modular Hardware</t>
        </is>
      </c>
      <c r="D283" s="3" t="inlineStr">
        <is>
          <t>Hinges</t>
        </is>
      </c>
      <c r="E283" s="3" t="inlineStr">
        <is>
          <t>Hettich</t>
        </is>
      </c>
      <c r="F283" s="3" t="inlineStr">
        <is>
          <t>Intermat 9935 | 95 degree | Soft Close</t>
        </is>
      </c>
      <c r="H283" s="3" t="inlineStr">
        <is>
          <t>Opening Angle</t>
        </is>
      </c>
      <c r="I283" s="3" t="inlineStr">
        <is>
          <t>95 degree</t>
        </is>
      </c>
      <c r="J283" s="3" t="inlineStr">
        <is>
          <t>Crank</t>
        </is>
      </c>
      <c r="K283" s="3" t="inlineStr">
        <is>
          <t>16 K</t>
        </is>
      </c>
      <c r="L283" s="3" t="inlineStr">
        <is>
          <t>Board Thickness</t>
        </is>
      </c>
      <c r="M283" s="3" t="inlineStr">
        <is>
          <t>16-43 mm</t>
        </is>
      </c>
      <c r="Q283" s="3" t="inlineStr">
        <is>
          <t>Manufacturer's Warranty</t>
        </is>
      </c>
      <c r="R283" s="3" t="n">
        <v>9242885</v>
      </c>
      <c r="S283" s="3" t="n">
        <v>2</v>
      </c>
      <c r="U283" s="3" t="n">
        <v>0.22</v>
      </c>
      <c r="V283" s="3" t="inlineStr">
        <is>
          <t>Mounting Plates</t>
        </is>
      </c>
      <c r="W283" s="3" t="inlineStr">
        <is>
          <t>Application</t>
        </is>
      </c>
      <c r="Y283" s="3" t="inlineStr">
        <is>
          <t>HT_IH_SC_9935</t>
        </is>
      </c>
      <c r="Z283" s="12" t="n">
        <v>83021090</v>
      </c>
      <c r="AC283" s="3" t="n">
        <v>1</v>
      </c>
      <c r="AE283" s="3" t="n">
        <v>1172</v>
      </c>
      <c r="AF283" s="4" t="n">
        <v>0.5</v>
      </c>
      <c r="AG283" s="3">
        <f>ROUND(AE283-(AE283*AF283),2)</f>
        <v/>
      </c>
      <c r="AH283" s="4" t="n">
        <v>0.18</v>
      </c>
      <c r="AI283" s="3">
        <f>ROUND(AG283+(AG283*AH283),2)</f>
        <v/>
      </c>
      <c r="AJ283" s="4" t="n">
        <v>0.2</v>
      </c>
      <c r="AK283" s="3">
        <f>ROUND(AI283*AJ283,2)</f>
        <v/>
      </c>
      <c r="AL283" s="3">
        <f>AI283+AK283</f>
        <v/>
      </c>
      <c r="AM283" s="3">
        <f>AE283-AL283</f>
        <v/>
      </c>
      <c r="AN283" s="4">
        <f>AM283/AE283</f>
        <v/>
      </c>
      <c r="AO283" s="3" t="inlineStr">
        <is>
          <t>60 mins</t>
        </is>
      </c>
      <c r="AQ283" s="3" t="inlineStr">
        <is>
          <t>Weight</t>
        </is>
      </c>
      <c r="AS283"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3" s="3" t="inlineStr">
        <is>
          <t>60 mins</t>
        </is>
      </c>
    </row>
    <row r="284" ht="15.75" customHeight="1">
      <c r="A284" s="3" t="inlineStr">
        <is>
          <t>PROD_0043</t>
        </is>
      </c>
      <c r="B284" s="3" t="inlineStr">
        <is>
          <t>VAR_2</t>
        </is>
      </c>
      <c r="C284" s="3" t="inlineStr">
        <is>
          <t>Modular Hardware</t>
        </is>
      </c>
      <c r="D284" s="3" t="inlineStr">
        <is>
          <t>Hinges</t>
        </is>
      </c>
      <c r="E284" s="3" t="inlineStr">
        <is>
          <t>Hettich</t>
        </is>
      </c>
      <c r="F284" s="3" t="inlineStr">
        <is>
          <t>Intermat 9935 | 95 degree | Soft Close</t>
        </is>
      </c>
      <c r="H284" s="3" t="inlineStr">
        <is>
          <t>Opening Angle</t>
        </is>
      </c>
      <c r="I284" s="3" t="inlineStr">
        <is>
          <t>95 degree</t>
        </is>
      </c>
      <c r="J284" s="3" t="inlineStr">
        <is>
          <t>Crank</t>
        </is>
      </c>
      <c r="K284" s="3" t="inlineStr">
        <is>
          <t>5 K</t>
        </is>
      </c>
      <c r="L284" s="3" t="inlineStr">
        <is>
          <t>Board Thickness</t>
        </is>
      </c>
      <c r="M284" s="3" t="inlineStr">
        <is>
          <t>16-43 mm</t>
        </is>
      </c>
      <c r="Q284" s="3" t="inlineStr">
        <is>
          <t>Manufacturer's Warranty</t>
        </is>
      </c>
      <c r="R284" s="3" t="n">
        <v>9242883</v>
      </c>
      <c r="S284" s="3" t="n">
        <v>2</v>
      </c>
      <c r="U284" s="3" t="n">
        <v>0.22</v>
      </c>
      <c r="Y284" s="3" t="inlineStr">
        <is>
          <t>HT_IH_SC_9935</t>
        </is>
      </c>
      <c r="Z284" s="12" t="n">
        <v>83021090</v>
      </c>
      <c r="AC284" s="3" t="n">
        <v>1</v>
      </c>
      <c r="AE284" s="3" t="n">
        <v>1161</v>
      </c>
      <c r="AF284" s="4" t="n">
        <v>0.5</v>
      </c>
      <c r="AG284" s="3">
        <f>ROUND(AE284-(AE284*AF284),2)</f>
        <v/>
      </c>
      <c r="AH284" s="4" t="n">
        <v>0.18</v>
      </c>
      <c r="AI284" s="3">
        <f>ROUND(AG284+(AG284*AH284),2)</f>
        <v/>
      </c>
      <c r="AJ284" s="4" t="n">
        <v>0.2</v>
      </c>
      <c r="AK284" s="3">
        <f>ROUND(AI284*AJ284,2)</f>
        <v/>
      </c>
      <c r="AL284" s="3">
        <f>AI284+AK284</f>
        <v/>
      </c>
      <c r="AM284" s="3">
        <f>AE284-AL284</f>
        <v/>
      </c>
      <c r="AN284" s="4">
        <f>AM284/AE284</f>
        <v/>
      </c>
      <c r="AO284" s="3" t="inlineStr">
        <is>
          <t>60 mins</t>
        </is>
      </c>
      <c r="AQ284" s="3" t="inlineStr">
        <is>
          <t>Weight</t>
        </is>
      </c>
      <c r="AS284"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4" s="3" t="inlineStr">
        <is>
          <t>60 mins</t>
        </is>
      </c>
    </row>
    <row r="285" ht="15.75" customHeight="1">
      <c r="A285" s="3" t="inlineStr">
        <is>
          <t>PROD_0043</t>
        </is>
      </c>
      <c r="B285" s="3" t="inlineStr">
        <is>
          <t>VAR_3</t>
        </is>
      </c>
      <c r="C285" s="3" t="inlineStr">
        <is>
          <t>Modular Hardware</t>
        </is>
      </c>
      <c r="D285" s="3" t="inlineStr">
        <is>
          <t>Hinges</t>
        </is>
      </c>
      <c r="E285" s="3" t="inlineStr">
        <is>
          <t>Hettich</t>
        </is>
      </c>
      <c r="F285" s="3" t="inlineStr">
        <is>
          <t>Intermat 9935 | 95 degree | Soft Close</t>
        </is>
      </c>
      <c r="H285" s="3" t="inlineStr">
        <is>
          <t>Opening Angle</t>
        </is>
      </c>
      <c r="I285" s="3" t="inlineStr">
        <is>
          <t>95 degree</t>
        </is>
      </c>
      <c r="J285" s="3" t="inlineStr">
        <is>
          <t>Crank</t>
        </is>
      </c>
      <c r="K285" s="3" t="inlineStr">
        <is>
          <t>-5 K</t>
        </is>
      </c>
      <c r="L285" s="3" t="inlineStr">
        <is>
          <t>Board Thickness</t>
        </is>
      </c>
      <c r="M285" s="3" t="inlineStr">
        <is>
          <t>16-43 mm</t>
        </is>
      </c>
      <c r="Q285" s="3" t="inlineStr">
        <is>
          <t>Manufacturer's Warranty</t>
        </is>
      </c>
      <c r="R285" s="3" t="n">
        <v>9242878</v>
      </c>
      <c r="S285" s="3" t="n">
        <v>2</v>
      </c>
      <c r="U285" s="3" t="n">
        <v>0.22</v>
      </c>
      <c r="Y285" s="3" t="inlineStr">
        <is>
          <t>HT_IH_SC_9935</t>
        </is>
      </c>
      <c r="Z285" s="12" t="n">
        <v>83021090</v>
      </c>
      <c r="AC285" s="3" t="n">
        <v>1</v>
      </c>
      <c r="AE285" s="3" t="n">
        <v>1126</v>
      </c>
      <c r="AF285" s="4" t="n">
        <v>0.5</v>
      </c>
      <c r="AG285" s="3">
        <f>ROUND(AE285-(AE285*AF285),2)</f>
        <v/>
      </c>
      <c r="AH285" s="4" t="n">
        <v>0.18</v>
      </c>
      <c r="AI285" s="3">
        <f>ROUND(AG285+(AG285*AH285),2)</f>
        <v/>
      </c>
      <c r="AJ285" s="4" t="n">
        <v>0.2</v>
      </c>
      <c r="AK285" s="3">
        <f>ROUND(AI285*AJ285,2)</f>
        <v/>
      </c>
      <c r="AL285" s="3">
        <f>AI285+AK285</f>
        <v/>
      </c>
      <c r="AM285" s="3">
        <f>AE285-AL285</f>
        <v/>
      </c>
      <c r="AN285" s="4">
        <f>AM285/AE285</f>
        <v/>
      </c>
      <c r="AO285" s="3" t="inlineStr">
        <is>
          <t>60 mins</t>
        </is>
      </c>
      <c r="AQ285" s="3" t="inlineStr">
        <is>
          <t>Weight</t>
        </is>
      </c>
      <c r="AS285"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5" s="3" t="inlineStr">
        <is>
          <t>60 mins</t>
        </is>
      </c>
    </row>
    <row r="286" ht="15.75" customHeight="1">
      <c r="A286" s="3" t="inlineStr">
        <is>
          <t>PROD_0044</t>
        </is>
      </c>
      <c r="B286" s="3" t="inlineStr">
        <is>
          <t>VAR_1</t>
        </is>
      </c>
      <c r="C286" s="3" t="inlineStr">
        <is>
          <t>Modular Hardware</t>
        </is>
      </c>
      <c r="D286" s="3" t="inlineStr">
        <is>
          <t>Hinges</t>
        </is>
      </c>
      <c r="E286" s="3" t="inlineStr">
        <is>
          <t>Hettich</t>
        </is>
      </c>
      <c r="F286" s="3" t="inlineStr">
        <is>
          <t>Intermat 9936 | 95 degree | Soft Close</t>
        </is>
      </c>
      <c r="H286" s="3" t="inlineStr">
        <is>
          <t>Opening Angle</t>
        </is>
      </c>
      <c r="I286" s="3" t="inlineStr">
        <is>
          <t>95 degree</t>
        </is>
      </c>
      <c r="J286" s="3" t="inlineStr">
        <is>
          <t>Crank</t>
        </is>
      </c>
      <c r="K286" s="3" t="inlineStr">
        <is>
          <t>16 K</t>
        </is>
      </c>
      <c r="L286" s="3" t="inlineStr">
        <is>
          <t>Board Thickness</t>
        </is>
      </c>
      <c r="M286" s="3" t="inlineStr">
        <is>
          <t>14-32 mm</t>
        </is>
      </c>
      <c r="Q286" s="3" t="inlineStr">
        <is>
          <t>Manufacturer's Warranty</t>
        </is>
      </c>
      <c r="R286" s="3" t="n">
        <v>9242877</v>
      </c>
      <c r="S286" s="3" t="n">
        <v>2</v>
      </c>
      <c r="U286" s="3" t="n">
        <v>0.22</v>
      </c>
      <c r="V286" s="3" t="inlineStr">
        <is>
          <t>Mounting Plates</t>
        </is>
      </c>
      <c r="W286" s="3" t="inlineStr">
        <is>
          <t>Application</t>
        </is>
      </c>
      <c r="X286" s="3" t="inlineStr">
        <is>
          <t>Blind Corner</t>
        </is>
      </c>
      <c r="Y286" s="3" t="inlineStr">
        <is>
          <t>HT_IH_SC_9936</t>
        </is>
      </c>
      <c r="Z286" s="12" t="n">
        <v>83021090</v>
      </c>
      <c r="AC286" s="3" t="n">
        <v>1</v>
      </c>
      <c r="AE286" s="3" t="n">
        <v>411</v>
      </c>
      <c r="AF286" s="4" t="n">
        <v>0.5</v>
      </c>
      <c r="AG286" s="3">
        <f>ROUND(AE286-(AE286*AF286),2)</f>
        <v/>
      </c>
      <c r="AH286" s="4" t="n">
        <v>0.18</v>
      </c>
      <c r="AI286" s="3">
        <f>ROUND(AG286+(AG286*AH286),2)</f>
        <v/>
      </c>
      <c r="AJ286" s="4" t="n">
        <v>0.2</v>
      </c>
      <c r="AK286" s="3">
        <f>ROUND(AI286*AJ286,2)</f>
        <v/>
      </c>
      <c r="AL286" s="3">
        <f>AI286+AK286</f>
        <v/>
      </c>
      <c r="AM286" s="3">
        <f>AE286-AL286</f>
        <v/>
      </c>
      <c r="AN286" s="4">
        <f>AM286/AE286</f>
        <v/>
      </c>
      <c r="AO286" s="3" t="inlineStr">
        <is>
          <t>60 mins</t>
        </is>
      </c>
      <c r="AQ286" s="3" t="inlineStr">
        <is>
          <t>Weight</t>
        </is>
      </c>
      <c r="AS286"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6" s="3" t="inlineStr">
        <is>
          <t>60 mins</t>
        </is>
      </c>
    </row>
    <row r="287" ht="15.75" customHeight="1">
      <c r="A287" s="3" t="inlineStr">
        <is>
          <t>PROD_0044</t>
        </is>
      </c>
      <c r="B287" s="3" t="inlineStr">
        <is>
          <t>VAR_2</t>
        </is>
      </c>
      <c r="C287" s="3" t="inlineStr">
        <is>
          <t>Modular Hardware</t>
        </is>
      </c>
      <c r="D287" s="3" t="inlineStr">
        <is>
          <t>Hinges</t>
        </is>
      </c>
      <c r="E287" s="3" t="inlineStr">
        <is>
          <t>Hettich</t>
        </is>
      </c>
      <c r="F287" s="3" t="inlineStr">
        <is>
          <t>Intermat 9936 | 95 degree | Soft Close</t>
        </is>
      </c>
      <c r="H287" s="3" t="inlineStr">
        <is>
          <t>Opening Angle</t>
        </is>
      </c>
      <c r="I287" s="3" t="inlineStr">
        <is>
          <t>95 degree</t>
        </is>
      </c>
      <c r="J287" s="3" t="inlineStr">
        <is>
          <t>Crank</t>
        </is>
      </c>
      <c r="K287" s="3" t="inlineStr">
        <is>
          <t>9.5 K</t>
        </is>
      </c>
      <c r="L287" s="3" t="inlineStr">
        <is>
          <t>Board Thickness</t>
        </is>
      </c>
      <c r="M287" s="3" t="inlineStr">
        <is>
          <t>14-32 mm</t>
        </is>
      </c>
      <c r="Q287" s="3" t="inlineStr">
        <is>
          <t>Manufacturer's Warranty</t>
        </is>
      </c>
      <c r="R287" s="3" t="n">
        <v>9242876</v>
      </c>
      <c r="S287" s="3" t="n">
        <v>2</v>
      </c>
      <c r="U287" s="3" t="n">
        <v>0.22</v>
      </c>
      <c r="Y287" s="3" t="inlineStr">
        <is>
          <t>HT_IH_SC_9936</t>
        </is>
      </c>
      <c r="Z287" s="12" t="n">
        <v>83021090</v>
      </c>
      <c r="AC287" s="3" t="n">
        <v>1</v>
      </c>
      <c r="AE287" s="3" t="n">
        <v>373</v>
      </c>
      <c r="AF287" s="4" t="n">
        <v>0.5</v>
      </c>
      <c r="AG287" s="3">
        <f>ROUND(AE287-(AE287*AF287),2)</f>
        <v/>
      </c>
      <c r="AH287" s="4" t="n">
        <v>0.18</v>
      </c>
      <c r="AI287" s="3">
        <f>ROUND(AG287+(AG287*AH287),2)</f>
        <v/>
      </c>
      <c r="AJ287" s="4" t="n">
        <v>0.2</v>
      </c>
      <c r="AK287" s="3">
        <f>ROUND(AI287*AJ287,2)</f>
        <v/>
      </c>
      <c r="AL287" s="3">
        <f>AI287+AK287</f>
        <v/>
      </c>
      <c r="AM287" s="3">
        <f>AE287-AL287</f>
        <v/>
      </c>
      <c r="AN287" s="4">
        <f>AM287/AE287</f>
        <v/>
      </c>
      <c r="AO287" s="3" t="inlineStr">
        <is>
          <t>60 mins</t>
        </is>
      </c>
      <c r="AQ287" s="3" t="inlineStr">
        <is>
          <t>Weight</t>
        </is>
      </c>
      <c r="AS287"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7" s="3" t="inlineStr">
        <is>
          <t>60 mins</t>
        </is>
      </c>
    </row>
    <row r="288" ht="15.75" customHeight="1">
      <c r="A288" s="3" t="inlineStr">
        <is>
          <t>PROD_0044</t>
        </is>
      </c>
      <c r="B288" s="3" t="inlineStr">
        <is>
          <t>VAR_3</t>
        </is>
      </c>
      <c r="C288" s="3" t="inlineStr">
        <is>
          <t>Modular Hardware</t>
        </is>
      </c>
      <c r="D288" s="3" t="inlineStr">
        <is>
          <t>Hinges</t>
        </is>
      </c>
      <c r="E288" s="3" t="inlineStr">
        <is>
          <t>Hettich</t>
        </is>
      </c>
      <c r="F288" s="3" t="inlineStr">
        <is>
          <t>Intermat 9936 | 95 degree | Soft Close</t>
        </is>
      </c>
      <c r="H288" s="3" t="inlineStr">
        <is>
          <t>Opening Angle</t>
        </is>
      </c>
      <c r="I288" s="3" t="inlineStr">
        <is>
          <t>95 degree</t>
        </is>
      </c>
      <c r="J288" s="3" t="inlineStr">
        <is>
          <t>Crank</t>
        </is>
      </c>
      <c r="K288" s="3" t="inlineStr">
        <is>
          <t>0 K</t>
        </is>
      </c>
      <c r="L288" s="3" t="inlineStr">
        <is>
          <t>Board Thickness</t>
        </is>
      </c>
      <c r="M288" s="3" t="inlineStr">
        <is>
          <t>14-32 mm</t>
        </is>
      </c>
      <c r="Q288" s="3" t="inlineStr">
        <is>
          <t>Manufacturer's Warranty</t>
        </is>
      </c>
      <c r="R288" s="3" t="n">
        <v>9242874</v>
      </c>
      <c r="S288" s="3" t="n">
        <v>2</v>
      </c>
      <c r="U288" s="3" t="n">
        <v>0.22</v>
      </c>
      <c r="Y288" s="3" t="inlineStr">
        <is>
          <t>HT_IH_SC_9936</t>
        </is>
      </c>
      <c r="Z288" s="12" t="n">
        <v>83021090</v>
      </c>
      <c r="AC288" s="3" t="n">
        <v>1</v>
      </c>
      <c r="AE288" s="3" t="n">
        <v>335</v>
      </c>
      <c r="AF288" s="4" t="n">
        <v>0.5</v>
      </c>
      <c r="AG288" s="3">
        <f>ROUND(AE288-(AE288*AF288),2)</f>
        <v/>
      </c>
      <c r="AH288" s="4" t="n">
        <v>0.18</v>
      </c>
      <c r="AI288" s="3">
        <f>ROUND(AG288+(AG288*AH288),2)</f>
        <v/>
      </c>
      <c r="AJ288" s="4" t="n">
        <v>0.2</v>
      </c>
      <c r="AK288" s="3">
        <f>ROUND(AI288*AJ288,2)</f>
        <v/>
      </c>
      <c r="AL288" s="3">
        <f>AI288+AK288</f>
        <v/>
      </c>
      <c r="AM288" s="3">
        <f>AE288-AL288</f>
        <v/>
      </c>
      <c r="AN288" s="4">
        <f>AM288/AE288</f>
        <v/>
      </c>
      <c r="AO288" s="3" t="inlineStr">
        <is>
          <t>60 mins</t>
        </is>
      </c>
      <c r="AQ288" s="3" t="inlineStr">
        <is>
          <t>Weight</t>
        </is>
      </c>
      <c r="AS288"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8" s="3" t="inlineStr">
        <is>
          <t>60 mins</t>
        </is>
      </c>
    </row>
    <row r="289" ht="15.75" customHeight="1">
      <c r="A289" s="3" t="inlineStr">
        <is>
          <t>PROD_0045</t>
        </is>
      </c>
      <c r="B289" s="3" t="inlineStr">
        <is>
          <t>VAR_1</t>
        </is>
      </c>
      <c r="C289" s="3" t="inlineStr">
        <is>
          <t>Modular Hardware</t>
        </is>
      </c>
      <c r="D289" s="3" t="inlineStr">
        <is>
          <t>Hinges</t>
        </is>
      </c>
      <c r="E289" s="3" t="inlineStr">
        <is>
          <t>Hettich</t>
        </is>
      </c>
      <c r="F289" s="3" t="inlineStr">
        <is>
          <t>Sensys 8645i (German)| 110 degree | Soft Close</t>
        </is>
      </c>
      <c r="H289" s="3" t="inlineStr">
        <is>
          <t>Opening Angle</t>
        </is>
      </c>
      <c r="I289" s="3" t="inlineStr">
        <is>
          <t>110 degree</t>
        </is>
      </c>
      <c r="J289" s="3" t="inlineStr">
        <is>
          <t>Crank</t>
        </is>
      </c>
      <c r="K289" s="3" t="inlineStr">
        <is>
          <t>0 K</t>
        </is>
      </c>
      <c r="L289" s="3" t="inlineStr">
        <is>
          <t>Board Thickness</t>
        </is>
      </c>
      <c r="M289" s="3" t="inlineStr">
        <is>
          <t>15-24 mm</t>
        </is>
      </c>
      <c r="Q289" s="3" t="inlineStr">
        <is>
          <t>Manufacturer's Warranty</t>
        </is>
      </c>
      <c r="R289" s="3" t="n">
        <v>9242922</v>
      </c>
      <c r="S289" s="3" t="n">
        <v>2</v>
      </c>
      <c r="U289" s="3" t="n">
        <v>0.22</v>
      </c>
      <c r="V289" s="3" t="inlineStr">
        <is>
          <t>Mounting Plates</t>
        </is>
      </c>
      <c r="Y289" s="3" t="inlineStr">
        <is>
          <t>HT_IH_SC_8645i_0k</t>
        </is>
      </c>
      <c r="Z289" s="12" t="n">
        <v>83021090</v>
      </c>
      <c r="AC289" s="3" t="n">
        <v>1</v>
      </c>
      <c r="AE289" s="3" t="n">
        <v>840</v>
      </c>
      <c r="AF289" s="4" t="n">
        <v>0.5</v>
      </c>
      <c r="AG289" s="3">
        <f>ROUND(AE289-(AE289*AF289),2)</f>
        <v/>
      </c>
      <c r="AH289" s="4" t="n">
        <v>0.18</v>
      </c>
      <c r="AI289" s="3">
        <f>ROUND(AG289+(AG289*AH289),2)</f>
        <v/>
      </c>
      <c r="AJ289" s="4" t="n">
        <v>0.2</v>
      </c>
      <c r="AK289" s="3">
        <f>ROUND(AI289*AJ289,2)</f>
        <v/>
      </c>
      <c r="AL289" s="3">
        <f>AI289+AK289</f>
        <v/>
      </c>
      <c r="AM289" s="3">
        <f>AE289-AL289</f>
        <v/>
      </c>
      <c r="AN289" s="4">
        <f>AM289/AE289</f>
        <v/>
      </c>
      <c r="AO289" s="3" t="inlineStr">
        <is>
          <t>60 mins</t>
        </is>
      </c>
      <c r="AQ289" s="3" t="inlineStr">
        <is>
          <t>Weight</t>
        </is>
      </c>
      <c r="AS289"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89" s="3" t="inlineStr">
        <is>
          <t>60 mins</t>
        </is>
      </c>
    </row>
    <row r="290" ht="15.75" customHeight="1">
      <c r="A290" s="3" t="inlineStr">
        <is>
          <t>PROD_0045</t>
        </is>
      </c>
      <c r="B290" s="3" t="inlineStr">
        <is>
          <t>VAR_2</t>
        </is>
      </c>
      <c r="C290" s="3" t="inlineStr">
        <is>
          <t>Modular Hardware</t>
        </is>
      </c>
      <c r="D290" s="3" t="inlineStr">
        <is>
          <t>Hinges</t>
        </is>
      </c>
      <c r="E290" s="3" t="inlineStr">
        <is>
          <t>Hettich</t>
        </is>
      </c>
      <c r="F290" s="3" t="inlineStr">
        <is>
          <t>Sensys 8645i (German)| 110 degree | Soft Close</t>
        </is>
      </c>
      <c r="H290" s="3" t="inlineStr">
        <is>
          <t>Opening Angle</t>
        </is>
      </c>
      <c r="I290" s="3" t="inlineStr">
        <is>
          <t>110 degree</t>
        </is>
      </c>
      <c r="J290" s="3" t="inlineStr">
        <is>
          <t>Crank</t>
        </is>
      </c>
      <c r="K290" s="3" t="inlineStr">
        <is>
          <t>9.5 K</t>
        </is>
      </c>
      <c r="L290" s="3" t="inlineStr">
        <is>
          <t>Board Thickness</t>
        </is>
      </c>
      <c r="M290" s="3" t="inlineStr">
        <is>
          <t>15-24 mm</t>
        </is>
      </c>
      <c r="Q290" s="3" t="inlineStr">
        <is>
          <t>Manufacturer's Warranty</t>
        </is>
      </c>
      <c r="R290" s="3" t="n">
        <v>9242923</v>
      </c>
      <c r="S290" s="3" t="n">
        <v>2</v>
      </c>
      <c r="U290" s="3" t="n">
        <v>0.22</v>
      </c>
      <c r="Y290" s="3" t="inlineStr">
        <is>
          <t>HT_IH_SC_8645i_9.5k</t>
        </is>
      </c>
      <c r="Z290" s="12" t="n">
        <v>83021090</v>
      </c>
      <c r="AC290" s="3" t="n">
        <v>1</v>
      </c>
      <c r="AE290" s="3" t="n">
        <v>888</v>
      </c>
      <c r="AF290" s="4" t="n">
        <v>0.5</v>
      </c>
      <c r="AG290" s="3">
        <f>ROUND(AE290-(AE290*AF290),2)</f>
        <v/>
      </c>
      <c r="AH290" s="4" t="n">
        <v>0.18</v>
      </c>
      <c r="AI290" s="3">
        <f>ROUND(AG290+(AG290*AH290),2)</f>
        <v/>
      </c>
      <c r="AJ290" s="4" t="n">
        <v>0.2</v>
      </c>
      <c r="AK290" s="3">
        <f>ROUND(AI290*AJ290,2)</f>
        <v/>
      </c>
      <c r="AL290" s="3">
        <f>AI290+AK290</f>
        <v/>
      </c>
      <c r="AM290" s="3">
        <f>AE290-AL290</f>
        <v/>
      </c>
      <c r="AN290" s="4">
        <f>AM290/AE290</f>
        <v/>
      </c>
      <c r="AO290" s="3" t="inlineStr">
        <is>
          <t>60 mins</t>
        </is>
      </c>
      <c r="AQ290" s="3" t="inlineStr">
        <is>
          <t>Weight</t>
        </is>
      </c>
      <c r="AS290"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0" s="3" t="inlineStr">
        <is>
          <t>60 mins</t>
        </is>
      </c>
    </row>
    <row r="291" ht="15.75" customHeight="1">
      <c r="A291" s="3" t="inlineStr">
        <is>
          <t>PROD_0045</t>
        </is>
      </c>
      <c r="B291" s="3" t="inlineStr">
        <is>
          <t>VAR_3</t>
        </is>
      </c>
      <c r="C291" s="3" t="inlineStr">
        <is>
          <t>Modular Hardware</t>
        </is>
      </c>
      <c r="D291" s="3" t="inlineStr">
        <is>
          <t>Hinges</t>
        </is>
      </c>
      <c r="E291" s="3" t="inlineStr">
        <is>
          <t>Hettich</t>
        </is>
      </c>
      <c r="F291" s="3" t="inlineStr">
        <is>
          <t>Sensys 8645i (German)| 110 degree | Soft Close</t>
        </is>
      </c>
      <c r="H291" s="3" t="inlineStr">
        <is>
          <t>Opening Angle</t>
        </is>
      </c>
      <c r="I291" s="3" t="inlineStr">
        <is>
          <t>110 degree</t>
        </is>
      </c>
      <c r="J291" s="3" t="inlineStr">
        <is>
          <t>Crank</t>
        </is>
      </c>
      <c r="K291" s="3" t="inlineStr">
        <is>
          <t>16 K</t>
        </is>
      </c>
      <c r="L291" s="3" t="inlineStr">
        <is>
          <t>Board Thickness</t>
        </is>
      </c>
      <c r="M291" s="3" t="inlineStr">
        <is>
          <t>15-24 mm</t>
        </is>
      </c>
      <c r="Q291" s="3" t="inlineStr">
        <is>
          <t>Manufacturer's Warranty</t>
        </is>
      </c>
      <c r="R291" s="3" t="n">
        <v>9242924</v>
      </c>
      <c r="S291" s="3" t="n">
        <v>2</v>
      </c>
      <c r="U291" s="3" t="n">
        <v>0.22</v>
      </c>
      <c r="Y291" s="3" t="inlineStr">
        <is>
          <t>HT_IH_SC_8645i_16k</t>
        </is>
      </c>
      <c r="Z291" s="12" t="n">
        <v>83021090</v>
      </c>
      <c r="AC291" s="3" t="n">
        <v>1</v>
      </c>
      <c r="AE291" s="3" t="n">
        <v>936</v>
      </c>
      <c r="AF291" s="4" t="n">
        <v>0.5</v>
      </c>
      <c r="AG291" s="3">
        <f>ROUND(AE291-(AE291*AF291),2)</f>
        <v/>
      </c>
      <c r="AH291" s="4" t="n">
        <v>0.18</v>
      </c>
      <c r="AI291" s="3">
        <f>ROUND(AG291+(AG291*AH291),2)</f>
        <v/>
      </c>
      <c r="AJ291" s="4" t="n">
        <v>0.2</v>
      </c>
      <c r="AK291" s="3">
        <f>ROUND(AI291*AJ291,2)</f>
        <v/>
      </c>
      <c r="AL291" s="3">
        <f>AI291+AK291</f>
        <v/>
      </c>
      <c r="AM291" s="3">
        <f>AE291-AL291</f>
        <v/>
      </c>
      <c r="AN291" s="4">
        <f>AM291/AE291</f>
        <v/>
      </c>
      <c r="AO291" s="3" t="inlineStr">
        <is>
          <t>60 mins</t>
        </is>
      </c>
      <c r="AQ291" s="3" t="inlineStr">
        <is>
          <t>Weight</t>
        </is>
      </c>
      <c r="AS291"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1" s="3" t="inlineStr">
        <is>
          <t>60 mins</t>
        </is>
      </c>
    </row>
    <row r="292" ht="15.75" customHeight="1">
      <c r="A292" s="3" t="inlineStr">
        <is>
          <t>PROD_0046</t>
        </is>
      </c>
      <c r="B292" s="3" t="inlineStr">
        <is>
          <t>VAR_1</t>
        </is>
      </c>
      <c r="C292" s="3" t="inlineStr">
        <is>
          <t>Modular Hardware</t>
        </is>
      </c>
      <c r="D292" s="3" t="inlineStr">
        <is>
          <t>Hinges</t>
        </is>
      </c>
      <c r="E292" s="3" t="inlineStr">
        <is>
          <t>Hettich</t>
        </is>
      </c>
      <c r="F292" s="3" t="inlineStr">
        <is>
          <t>Sensys 8657i (German)| 165 degree | Soft Close</t>
        </is>
      </c>
      <c r="H292" s="3" t="inlineStr">
        <is>
          <t>Opening Angle</t>
        </is>
      </c>
      <c r="I292" s="3" t="inlineStr">
        <is>
          <t>165 degree</t>
        </is>
      </c>
      <c r="J292" s="3" t="inlineStr">
        <is>
          <t>Crank</t>
        </is>
      </c>
      <c r="K292" s="3" t="inlineStr">
        <is>
          <t>0 K</t>
        </is>
      </c>
      <c r="L292" s="3" t="inlineStr">
        <is>
          <t>Board Thickness</t>
        </is>
      </c>
      <c r="M292" s="3" t="inlineStr">
        <is>
          <t>15-32 mm</t>
        </is>
      </c>
      <c r="Q292" s="3" t="inlineStr">
        <is>
          <t>Manufacturer's Warranty</t>
        </is>
      </c>
      <c r="R292" s="3" t="n">
        <v>9243040</v>
      </c>
      <c r="S292" s="3" t="n">
        <v>2</v>
      </c>
      <c r="U292" s="3" t="n">
        <v>0.22</v>
      </c>
      <c r="V292" s="3" t="inlineStr">
        <is>
          <t>Mounting Plates</t>
        </is>
      </c>
      <c r="Y292" s="3" t="inlineStr">
        <is>
          <t>HT_IH_SC_8657i</t>
        </is>
      </c>
      <c r="Z292" s="12" t="n">
        <v>83021090</v>
      </c>
      <c r="AC292" s="3" t="n">
        <v>1</v>
      </c>
      <c r="AE292" s="3" t="n">
        <v>1645</v>
      </c>
      <c r="AF292" s="4" t="n">
        <v>0.5</v>
      </c>
      <c r="AG292" s="3">
        <f>ROUND(AE292-(AE292*AF292),2)</f>
        <v/>
      </c>
      <c r="AH292" s="4" t="n">
        <v>0.18</v>
      </c>
      <c r="AI292" s="3">
        <f>ROUND(AG292+(AG292*AH292),2)</f>
        <v/>
      </c>
      <c r="AJ292" s="4" t="n">
        <v>0.2</v>
      </c>
      <c r="AK292" s="3">
        <f>ROUND(AI292*AJ292,2)</f>
        <v/>
      </c>
      <c r="AL292" s="3">
        <f>AI292+AK292</f>
        <v/>
      </c>
      <c r="AM292" s="3">
        <f>AE292-AL292</f>
        <v/>
      </c>
      <c r="AN292" s="4">
        <f>AM292/AE292</f>
        <v/>
      </c>
      <c r="AO292" s="3" t="inlineStr">
        <is>
          <t>60 mins</t>
        </is>
      </c>
      <c r="AQ292" s="3" t="inlineStr">
        <is>
          <t>Weight</t>
        </is>
      </c>
      <c r="AS292"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2" s="3" t="inlineStr">
        <is>
          <t>60 mins</t>
        </is>
      </c>
    </row>
    <row r="293" ht="15.75" customHeight="1">
      <c r="A293" s="3" t="inlineStr">
        <is>
          <t>PROD_0047</t>
        </is>
      </c>
      <c r="B293" s="3" t="inlineStr">
        <is>
          <t>VAR_1</t>
        </is>
      </c>
      <c r="C293" s="3" t="inlineStr">
        <is>
          <t>Modular Hardware</t>
        </is>
      </c>
      <c r="D293" s="3" t="inlineStr">
        <is>
          <t>Hinges</t>
        </is>
      </c>
      <c r="E293" s="3" t="inlineStr">
        <is>
          <t>Hettich</t>
        </is>
      </c>
      <c r="F293" s="3" t="inlineStr">
        <is>
          <t>Onsys 4447i | 105 degree | Soft Close</t>
        </is>
      </c>
      <c r="H293" s="3" t="inlineStr">
        <is>
          <t>Opening Angle</t>
        </is>
      </c>
      <c r="I293" s="3" t="inlineStr">
        <is>
          <t>105 degree</t>
        </is>
      </c>
      <c r="J293" s="3" t="inlineStr">
        <is>
          <t>Crank</t>
        </is>
      </c>
      <c r="K293" s="3" t="inlineStr">
        <is>
          <t>0 K</t>
        </is>
      </c>
      <c r="L293" s="3" t="inlineStr">
        <is>
          <t>Board Thickness</t>
        </is>
      </c>
      <c r="M293" s="3" t="inlineStr">
        <is>
          <t>14-25 mm</t>
        </is>
      </c>
      <c r="Q293" s="3" t="inlineStr">
        <is>
          <t>Manufacturer's Warranty</t>
        </is>
      </c>
      <c r="R293" s="3" t="n">
        <v>9281432</v>
      </c>
      <c r="S293" s="3" t="n">
        <v>2</v>
      </c>
      <c r="U293" s="3" t="n">
        <v>0.22</v>
      </c>
      <c r="V293" s="3" t="inlineStr">
        <is>
          <t>Mounting Plates</t>
        </is>
      </c>
      <c r="Y293" s="3" t="inlineStr">
        <is>
          <t>HT_IH_SC_4447i_0k</t>
        </is>
      </c>
      <c r="Z293" s="12" t="n">
        <v>83021090</v>
      </c>
      <c r="AC293" s="3" t="n">
        <v>1</v>
      </c>
      <c r="AE293" s="3" t="n">
        <v>384</v>
      </c>
      <c r="AF293" s="4" t="n">
        <v>0.5</v>
      </c>
      <c r="AG293" s="3">
        <f>ROUND(AE293-(AE293*AF293),2)</f>
        <v/>
      </c>
      <c r="AH293" s="4" t="n">
        <v>0.18</v>
      </c>
      <c r="AI293" s="3">
        <f>ROUND(AG293+(AG293*AH293),2)</f>
        <v/>
      </c>
      <c r="AJ293" s="4" t="n">
        <v>0.2</v>
      </c>
      <c r="AK293" s="3">
        <f>ROUND(AI293*AJ293,2)</f>
        <v/>
      </c>
      <c r="AL293" s="3">
        <f>AI293+AK293</f>
        <v/>
      </c>
      <c r="AM293" s="3">
        <f>AE293-AL293</f>
        <v/>
      </c>
      <c r="AN293" s="4">
        <f>AM293/AE293</f>
        <v/>
      </c>
      <c r="AO293" s="3" t="inlineStr">
        <is>
          <t>60 mins</t>
        </is>
      </c>
      <c r="AQ293" s="3" t="inlineStr">
        <is>
          <t>Weight</t>
        </is>
      </c>
      <c r="AS293"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3" s="3" t="inlineStr">
        <is>
          <t>60 mins</t>
        </is>
      </c>
    </row>
    <row r="294" ht="15.75" customHeight="1">
      <c r="A294" s="3" t="inlineStr">
        <is>
          <t>PROD_0047</t>
        </is>
      </c>
      <c r="B294" s="3" t="inlineStr">
        <is>
          <t>VAR_2</t>
        </is>
      </c>
      <c r="C294" s="3" t="inlineStr">
        <is>
          <t>Modular Hardware</t>
        </is>
      </c>
      <c r="D294" s="3" t="inlineStr">
        <is>
          <t>Hinges</t>
        </is>
      </c>
      <c r="E294" s="3" t="inlineStr">
        <is>
          <t>Hettich</t>
        </is>
      </c>
      <c r="F294" s="3" t="inlineStr">
        <is>
          <t>Onsys 4447i | 105 degree | Soft Close</t>
        </is>
      </c>
      <c r="H294" s="3" t="inlineStr">
        <is>
          <t>Opening Angle</t>
        </is>
      </c>
      <c r="I294" s="3" t="inlineStr">
        <is>
          <t>105 degree</t>
        </is>
      </c>
      <c r="J294" s="3" t="inlineStr">
        <is>
          <t>Crank</t>
        </is>
      </c>
      <c r="K294" s="3" t="inlineStr">
        <is>
          <t>9.5 K</t>
        </is>
      </c>
      <c r="L294" s="3" t="inlineStr">
        <is>
          <t>Board Thickness</t>
        </is>
      </c>
      <c r="M294" s="3" t="inlineStr">
        <is>
          <t>14-25 mm</t>
        </is>
      </c>
      <c r="Q294" s="3" t="inlineStr">
        <is>
          <t>Manufacturer's Warranty</t>
        </is>
      </c>
      <c r="R294" s="3" t="n">
        <v>9281434</v>
      </c>
      <c r="S294" s="3" t="n">
        <v>2</v>
      </c>
      <c r="U294" s="3" t="n">
        <v>0.22</v>
      </c>
      <c r="Y294" s="3" t="inlineStr">
        <is>
          <t>HT_IH_SC_4447i_9.5k</t>
        </is>
      </c>
      <c r="Z294" s="12" t="n">
        <v>83021090</v>
      </c>
      <c r="AC294" s="3" t="n">
        <v>1</v>
      </c>
      <c r="AE294" s="3" t="n">
        <v>422</v>
      </c>
      <c r="AF294" s="4" t="n">
        <v>0.5</v>
      </c>
      <c r="AG294" s="3">
        <f>ROUND(AE294-(AE294*AF294),2)</f>
        <v/>
      </c>
      <c r="AH294" s="4" t="n">
        <v>0.18</v>
      </c>
      <c r="AI294" s="3">
        <f>ROUND(AG294+(AG294*AH294),2)</f>
        <v/>
      </c>
      <c r="AJ294" s="4" t="n">
        <v>0.2</v>
      </c>
      <c r="AK294" s="3">
        <f>ROUND(AI294*AJ294,2)</f>
        <v/>
      </c>
      <c r="AL294" s="3">
        <f>AI294+AK294</f>
        <v/>
      </c>
      <c r="AM294" s="3">
        <f>AE294-AL294</f>
        <v/>
      </c>
      <c r="AN294" s="4">
        <f>AM294/AE294</f>
        <v/>
      </c>
      <c r="AO294" s="3" t="inlineStr">
        <is>
          <t>60 mins</t>
        </is>
      </c>
      <c r="AQ294" s="3" t="inlineStr">
        <is>
          <t>Weight</t>
        </is>
      </c>
      <c r="AS294"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4" s="3" t="inlineStr">
        <is>
          <t>60 mins</t>
        </is>
      </c>
    </row>
    <row r="295" ht="15.75" customHeight="1">
      <c r="A295" s="3" t="inlineStr">
        <is>
          <t>PROD_0047</t>
        </is>
      </c>
      <c r="B295" s="3" t="inlineStr">
        <is>
          <t>VAR_3</t>
        </is>
      </c>
      <c r="C295" s="3" t="inlineStr">
        <is>
          <t>Modular Hardware</t>
        </is>
      </c>
      <c r="D295" s="3" t="inlineStr">
        <is>
          <t>Hinges</t>
        </is>
      </c>
      <c r="E295" s="3" t="inlineStr">
        <is>
          <t>Hettich</t>
        </is>
      </c>
      <c r="F295" s="3" t="inlineStr">
        <is>
          <t>Onsys 4447i | 105 degree | Soft Close</t>
        </is>
      </c>
      <c r="H295" s="3" t="inlineStr">
        <is>
          <t>Opening Angle</t>
        </is>
      </c>
      <c r="I295" s="3" t="inlineStr">
        <is>
          <t>105 degree</t>
        </is>
      </c>
      <c r="J295" s="3" t="inlineStr">
        <is>
          <t>Crank</t>
        </is>
      </c>
      <c r="K295" s="3" t="inlineStr">
        <is>
          <t>16 K</t>
        </is>
      </c>
      <c r="L295" s="3" t="inlineStr">
        <is>
          <t>Board Thickness</t>
        </is>
      </c>
      <c r="M295" s="3" t="inlineStr">
        <is>
          <t>14-25 mm</t>
        </is>
      </c>
      <c r="Q295" s="3" t="inlineStr">
        <is>
          <t>Manufacturer's Warranty</t>
        </is>
      </c>
      <c r="R295" s="3" t="n">
        <v>9281436</v>
      </c>
      <c r="S295" s="3" t="n">
        <v>2</v>
      </c>
      <c r="U295" s="3" t="n">
        <v>0.22</v>
      </c>
      <c r="Y295" s="3" t="inlineStr">
        <is>
          <t>HT_IH_SC_4447i_16k</t>
        </is>
      </c>
      <c r="Z295" s="12" t="n">
        <v>83021090</v>
      </c>
      <c r="AC295" s="3" t="n">
        <v>1</v>
      </c>
      <c r="AE295" s="3" t="n">
        <v>460</v>
      </c>
      <c r="AF295" s="4" t="n">
        <v>0.5</v>
      </c>
      <c r="AG295" s="3">
        <f>ROUND(AE295-(AE295*AF295),2)</f>
        <v/>
      </c>
      <c r="AH295" s="4" t="n">
        <v>0.18</v>
      </c>
      <c r="AI295" s="3">
        <f>ROUND(AG295+(AG295*AH295),2)</f>
        <v/>
      </c>
      <c r="AJ295" s="4" t="n">
        <v>0.2</v>
      </c>
      <c r="AK295" s="3">
        <f>ROUND(AI295*AJ295,2)</f>
        <v/>
      </c>
      <c r="AL295" s="3">
        <f>AI295+AK295</f>
        <v/>
      </c>
      <c r="AM295" s="3">
        <f>AE295-AL295</f>
        <v/>
      </c>
      <c r="AN295" s="4">
        <f>AM295/AE295</f>
        <v/>
      </c>
      <c r="AO295" s="3" t="inlineStr">
        <is>
          <t>60 mins</t>
        </is>
      </c>
      <c r="AQ295" s="3" t="inlineStr">
        <is>
          <t>Weight</t>
        </is>
      </c>
      <c r="AS295"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5" s="3" t="inlineStr">
        <is>
          <t>60 mins</t>
        </is>
      </c>
    </row>
    <row r="296" ht="15.75" customHeight="1">
      <c r="A296" s="3" t="inlineStr">
        <is>
          <t>PROD_0048</t>
        </is>
      </c>
      <c r="B296" s="3" t="inlineStr">
        <is>
          <t>VAR_1</t>
        </is>
      </c>
      <c r="C296" s="3" t="inlineStr">
        <is>
          <t>Modular Hardware</t>
        </is>
      </c>
      <c r="D296" s="3" t="inlineStr">
        <is>
          <t>Hinges</t>
        </is>
      </c>
      <c r="E296" s="3" t="inlineStr">
        <is>
          <t>Hettich</t>
        </is>
      </c>
      <c r="F296" s="3" t="inlineStr">
        <is>
          <t>Onsys 4447 | 105 degree | Soft Close</t>
        </is>
      </c>
      <c r="H296" s="3" t="inlineStr">
        <is>
          <t>Opening Angle</t>
        </is>
      </c>
      <c r="I296" s="3" t="inlineStr">
        <is>
          <t>105 degree</t>
        </is>
      </c>
      <c r="J296" s="3" t="inlineStr">
        <is>
          <t>Crank</t>
        </is>
      </c>
      <c r="K296" s="3" t="inlineStr">
        <is>
          <t>0 K</t>
        </is>
      </c>
      <c r="L296" s="3" t="inlineStr">
        <is>
          <t>Board Thickness</t>
        </is>
      </c>
      <c r="M296" s="3" t="inlineStr">
        <is>
          <t>14-25 mm</t>
        </is>
      </c>
      <c r="Q296" s="3" t="inlineStr">
        <is>
          <t>Manufacturer's Warranty</t>
        </is>
      </c>
      <c r="R296" s="3" t="n">
        <v>9297208</v>
      </c>
      <c r="S296" s="3" t="n">
        <v>2</v>
      </c>
      <c r="U296" s="3" t="n">
        <v>0.22</v>
      </c>
      <c r="V296" s="3" t="inlineStr">
        <is>
          <t>Mounting Plates</t>
        </is>
      </c>
      <c r="Y296" s="3" t="inlineStr">
        <is>
          <t>HT_IH_SC_4447_0k</t>
        </is>
      </c>
      <c r="Z296" s="12" t="n">
        <v>83021090</v>
      </c>
      <c r="AC296" s="3" t="n">
        <v>1</v>
      </c>
      <c r="AE296" s="3" t="n">
        <v>296</v>
      </c>
      <c r="AF296" s="4" t="n">
        <v>0.5</v>
      </c>
      <c r="AG296" s="3">
        <f>ROUND(AE296-(AE296*AF296),2)</f>
        <v/>
      </c>
      <c r="AH296" s="4" t="n">
        <v>0.18</v>
      </c>
      <c r="AI296" s="3">
        <f>ROUND(AG296+(AG296*AH296),2)</f>
        <v/>
      </c>
      <c r="AJ296" s="4" t="n">
        <v>0.2</v>
      </c>
      <c r="AK296" s="3">
        <f>ROUND(AI296*AJ296,2)</f>
        <v/>
      </c>
      <c r="AL296" s="3">
        <f>AI296+AK296</f>
        <v/>
      </c>
      <c r="AM296" s="3">
        <f>AE296-AL296</f>
        <v/>
      </c>
      <c r="AN296" s="4">
        <f>AM296/AE296</f>
        <v/>
      </c>
      <c r="AO296" s="3" t="inlineStr">
        <is>
          <t>60 mins</t>
        </is>
      </c>
      <c r="AQ296" s="3" t="inlineStr">
        <is>
          <t>Weight</t>
        </is>
      </c>
      <c r="AS296"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6" s="3" t="inlineStr">
        <is>
          <t>60 mins</t>
        </is>
      </c>
    </row>
    <row r="297" ht="15.75" customHeight="1">
      <c r="A297" s="3" t="inlineStr">
        <is>
          <t>PROD_0048</t>
        </is>
      </c>
      <c r="B297" s="3" t="inlineStr">
        <is>
          <t>VAR_2</t>
        </is>
      </c>
      <c r="C297" s="3" t="inlineStr">
        <is>
          <t>Modular Hardware</t>
        </is>
      </c>
      <c r="D297" s="3" t="inlineStr">
        <is>
          <t>Hinges</t>
        </is>
      </c>
      <c r="E297" s="3" t="inlineStr">
        <is>
          <t>Hettich</t>
        </is>
      </c>
      <c r="F297" s="3" t="inlineStr">
        <is>
          <t>Onsys 4447 | 105 degree | Soft Close</t>
        </is>
      </c>
      <c r="H297" s="3" t="inlineStr">
        <is>
          <t>Opening Angle</t>
        </is>
      </c>
      <c r="I297" s="3" t="inlineStr">
        <is>
          <t>105 degree</t>
        </is>
      </c>
      <c r="J297" s="3" t="inlineStr">
        <is>
          <t>Crank</t>
        </is>
      </c>
      <c r="K297" s="3" t="inlineStr">
        <is>
          <t>9.5 K</t>
        </is>
      </c>
      <c r="L297" s="3" t="inlineStr">
        <is>
          <t>Board Thickness</t>
        </is>
      </c>
      <c r="M297" s="3" t="inlineStr">
        <is>
          <t>14-25 mm</t>
        </is>
      </c>
      <c r="Q297" s="3" t="inlineStr">
        <is>
          <t>Manufacturer's Warranty</t>
        </is>
      </c>
      <c r="R297" s="3" t="n">
        <v>9297209</v>
      </c>
      <c r="S297" s="3" t="n">
        <v>2</v>
      </c>
      <c r="U297" s="3" t="n">
        <v>0.22</v>
      </c>
      <c r="V297" s="3" t="inlineStr">
        <is>
          <t>Cover Caps</t>
        </is>
      </c>
      <c r="Y297" s="3" t="inlineStr">
        <is>
          <t>HT_IH_SC_4447_9.5k</t>
        </is>
      </c>
      <c r="Z297" s="12" t="n">
        <v>83021090</v>
      </c>
      <c r="AC297" s="3" t="n">
        <v>1</v>
      </c>
      <c r="AE297" s="3" t="n">
        <v>332</v>
      </c>
      <c r="AF297" s="4" t="n">
        <v>0.5</v>
      </c>
      <c r="AG297" s="3">
        <f>ROUND(AE297-(AE297*AF297),2)</f>
        <v/>
      </c>
      <c r="AH297" s="4" t="n">
        <v>0.18</v>
      </c>
      <c r="AI297" s="3">
        <f>ROUND(AG297+(AG297*AH297),2)</f>
        <v/>
      </c>
      <c r="AJ297" s="4" t="n">
        <v>0.2</v>
      </c>
      <c r="AK297" s="3">
        <f>ROUND(AI297*AJ297,2)</f>
        <v/>
      </c>
      <c r="AL297" s="3">
        <f>AI297+AK297</f>
        <v/>
      </c>
      <c r="AM297" s="3">
        <f>AE297-AL297</f>
        <v/>
      </c>
      <c r="AN297" s="4">
        <f>AM297/AE297</f>
        <v/>
      </c>
      <c r="AO297" s="3" t="inlineStr">
        <is>
          <t>60 mins</t>
        </is>
      </c>
      <c r="AQ297" s="3" t="inlineStr">
        <is>
          <t>Weight</t>
        </is>
      </c>
      <c r="AS297"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7" s="3" t="inlineStr">
        <is>
          <t>60 mins</t>
        </is>
      </c>
    </row>
    <row r="298" ht="15.75" customHeight="1">
      <c r="A298" s="3" t="inlineStr">
        <is>
          <t>PROD_0048</t>
        </is>
      </c>
      <c r="B298" s="3" t="inlineStr">
        <is>
          <t>VAR_3</t>
        </is>
      </c>
      <c r="C298" s="3" t="inlineStr">
        <is>
          <t>Modular Hardware</t>
        </is>
      </c>
      <c r="D298" s="3" t="inlineStr">
        <is>
          <t>Hinges</t>
        </is>
      </c>
      <c r="E298" s="3" t="inlineStr">
        <is>
          <t>Hettich</t>
        </is>
      </c>
      <c r="F298" s="3" t="inlineStr">
        <is>
          <t>Onsys 4447 | 105 degree | Soft Close</t>
        </is>
      </c>
      <c r="H298" s="3" t="inlineStr">
        <is>
          <t>Opening Angle</t>
        </is>
      </c>
      <c r="I298" s="3" t="inlineStr">
        <is>
          <t>105 degree</t>
        </is>
      </c>
      <c r="J298" s="3" t="inlineStr">
        <is>
          <t>Crank</t>
        </is>
      </c>
      <c r="K298" s="3" t="inlineStr">
        <is>
          <t>16 K</t>
        </is>
      </c>
      <c r="L298" s="3" t="inlineStr">
        <is>
          <t>Board Thickness</t>
        </is>
      </c>
      <c r="M298" s="3" t="inlineStr">
        <is>
          <t>14-25 mm</t>
        </is>
      </c>
      <c r="Q298" s="3" t="inlineStr">
        <is>
          <t>Manufacturer's Warranty</t>
        </is>
      </c>
      <c r="R298" s="3" t="n">
        <v>9297210</v>
      </c>
      <c r="S298" s="3" t="n">
        <v>2</v>
      </c>
      <c r="U298" s="3" t="n">
        <v>0.22</v>
      </c>
      <c r="Y298" s="3" t="inlineStr">
        <is>
          <t>HT_IH_SC_4447_16k</t>
        </is>
      </c>
      <c r="Z298" s="12" t="n">
        <v>83021090</v>
      </c>
      <c r="AC298" s="3" t="n">
        <v>1</v>
      </c>
      <c r="AE298" s="3" t="n">
        <v>368</v>
      </c>
      <c r="AF298" s="4" t="n">
        <v>0.5</v>
      </c>
      <c r="AG298" s="3">
        <f>ROUND(AE298-(AE298*AF298),2)</f>
        <v/>
      </c>
      <c r="AH298" s="4" t="n">
        <v>0.18</v>
      </c>
      <c r="AI298" s="3">
        <f>ROUND(AG298+(AG298*AH298),2)</f>
        <v/>
      </c>
      <c r="AJ298" s="4" t="n">
        <v>0.2</v>
      </c>
      <c r="AK298" s="3">
        <f>ROUND(AI298*AJ298,2)</f>
        <v/>
      </c>
      <c r="AL298" s="3">
        <f>AI298+AK298</f>
        <v/>
      </c>
      <c r="AM298" s="3">
        <f>AE298-AL298</f>
        <v/>
      </c>
      <c r="AN298" s="4">
        <f>AM298/AE298</f>
        <v/>
      </c>
      <c r="AO298" s="3" t="inlineStr">
        <is>
          <t>60 mins</t>
        </is>
      </c>
      <c r="AQ298" s="3" t="inlineStr">
        <is>
          <t>Weight</t>
        </is>
      </c>
      <c r="AS298"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8" s="3" t="inlineStr">
        <is>
          <t>60 mins</t>
        </is>
      </c>
    </row>
    <row r="299" ht="15.75" customHeight="1">
      <c r="A299" s="3" t="inlineStr">
        <is>
          <t>PROD_0049</t>
        </is>
      </c>
      <c r="B299" s="3" t="inlineStr">
        <is>
          <t>VAR_1</t>
        </is>
      </c>
      <c r="C299" s="3" t="inlineStr">
        <is>
          <t>Modular Hardware</t>
        </is>
      </c>
      <c r="D299" s="3" t="inlineStr">
        <is>
          <t>Hinges</t>
        </is>
      </c>
      <c r="E299" s="3" t="inlineStr">
        <is>
          <t>Hettich</t>
        </is>
      </c>
      <c r="F299" s="3" t="inlineStr">
        <is>
          <t>Onsys Magma Black | 105 degree | Soft Close</t>
        </is>
      </c>
      <c r="H299" s="3" t="inlineStr">
        <is>
          <t>Opening Angle</t>
        </is>
      </c>
      <c r="I299" s="3" t="inlineStr">
        <is>
          <t>105 degree</t>
        </is>
      </c>
      <c r="J299" s="3" t="inlineStr">
        <is>
          <t>Crank</t>
        </is>
      </c>
      <c r="K299" s="3" t="inlineStr">
        <is>
          <t>0 K</t>
        </is>
      </c>
      <c r="L299" s="3" t="inlineStr">
        <is>
          <t>Board Thickness</t>
        </is>
      </c>
      <c r="M299" s="3" t="inlineStr">
        <is>
          <t>14-25 mm</t>
        </is>
      </c>
      <c r="Q299" s="3" t="inlineStr">
        <is>
          <t>Manufacturer's Warranty</t>
        </is>
      </c>
      <c r="R299" s="3" t="n">
        <v>9354033</v>
      </c>
      <c r="S299" s="3" t="n">
        <v>2</v>
      </c>
      <c r="U299" s="3" t="n">
        <v>0.22</v>
      </c>
      <c r="Y299" s="3" t="inlineStr">
        <is>
          <t>HT_IH_SC_MB_OK</t>
        </is>
      </c>
      <c r="Z299" s="12" t="n">
        <v>83021090</v>
      </c>
      <c r="AC299" s="3" t="n">
        <v>1</v>
      </c>
      <c r="AE299" s="3" t="n">
        <v>420</v>
      </c>
      <c r="AF299" s="4" t="n">
        <v>0.5</v>
      </c>
      <c r="AG299" s="3">
        <f>ROUND(AE299-(AE299*AF299),2)</f>
        <v/>
      </c>
      <c r="AH299" s="4" t="n">
        <v>0.18</v>
      </c>
      <c r="AI299" s="3">
        <f>ROUND(AG299+(AG299*AH299),2)</f>
        <v/>
      </c>
      <c r="AJ299" s="4" t="n">
        <v>0.2</v>
      </c>
      <c r="AK299" s="3">
        <f>ROUND(AI299*AJ299,2)</f>
        <v/>
      </c>
      <c r="AL299" s="3">
        <f>AI299+AK299</f>
        <v/>
      </c>
      <c r="AM299" s="3">
        <f>AE299-AL299</f>
        <v/>
      </c>
      <c r="AN299" s="4">
        <f>AM299/AE299</f>
        <v/>
      </c>
      <c r="AO299" s="3" t="inlineStr">
        <is>
          <t>60 mins</t>
        </is>
      </c>
      <c r="AQ299" s="3" t="inlineStr">
        <is>
          <t>Weight</t>
        </is>
      </c>
      <c r="AS299"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299" s="3" t="inlineStr">
        <is>
          <t>60 mins</t>
        </is>
      </c>
    </row>
    <row r="300" ht="15.75" customHeight="1">
      <c r="A300" s="3" t="inlineStr">
        <is>
          <t>PROD_0049</t>
        </is>
      </c>
      <c r="B300" s="3" t="inlineStr">
        <is>
          <t>VAR_2</t>
        </is>
      </c>
      <c r="C300" s="3" t="inlineStr">
        <is>
          <t>Modular Hardware</t>
        </is>
      </c>
      <c r="D300" s="3" t="inlineStr">
        <is>
          <t>Hinges</t>
        </is>
      </c>
      <c r="E300" s="3" t="inlineStr">
        <is>
          <t>Hettich</t>
        </is>
      </c>
      <c r="F300" s="3" t="inlineStr">
        <is>
          <t>Onsys Magma Black | 105 degree | Soft Close</t>
        </is>
      </c>
      <c r="H300" s="3" t="inlineStr">
        <is>
          <t>Opening Angle</t>
        </is>
      </c>
      <c r="I300" s="3" t="inlineStr">
        <is>
          <t>105 degree</t>
        </is>
      </c>
      <c r="J300" s="3" t="inlineStr">
        <is>
          <t>Crank</t>
        </is>
      </c>
      <c r="K300" s="3" t="inlineStr">
        <is>
          <t>9.5 K</t>
        </is>
      </c>
      <c r="L300" s="3" t="inlineStr">
        <is>
          <t>Board Thickness</t>
        </is>
      </c>
      <c r="M300" s="3" t="inlineStr">
        <is>
          <t>14-25 mm</t>
        </is>
      </c>
      <c r="Q300" s="3" t="inlineStr">
        <is>
          <t>Manufacturer's Warranty</t>
        </is>
      </c>
      <c r="R300" s="3" t="n">
        <v>9354034</v>
      </c>
      <c r="S300" s="3" t="n">
        <v>2</v>
      </c>
      <c r="U300" s="3" t="n">
        <v>0.22</v>
      </c>
      <c r="Y300" s="3" t="inlineStr">
        <is>
          <t>HT_IH_SC_MB_9.5K</t>
        </is>
      </c>
      <c r="Z300" s="12" t="n">
        <v>83021090</v>
      </c>
      <c r="AC300" s="3" t="n">
        <v>1</v>
      </c>
      <c r="AE300" s="3" t="n">
        <v>460</v>
      </c>
      <c r="AF300" s="4" t="n">
        <v>0.5</v>
      </c>
      <c r="AG300" s="3">
        <f>ROUND(AE300-(AE300*AF300),2)</f>
        <v/>
      </c>
      <c r="AH300" s="4" t="n">
        <v>0.18</v>
      </c>
      <c r="AI300" s="3">
        <f>ROUND(AG300+(AG300*AH300),2)</f>
        <v/>
      </c>
      <c r="AJ300" s="4" t="n">
        <v>0.2</v>
      </c>
      <c r="AK300" s="3">
        <f>ROUND(AI300*AJ300,2)</f>
        <v/>
      </c>
      <c r="AL300" s="3">
        <f>AI300+AK300</f>
        <v/>
      </c>
      <c r="AM300" s="3">
        <f>AE300-AL300</f>
        <v/>
      </c>
      <c r="AN300" s="4">
        <f>AM300/AE300</f>
        <v/>
      </c>
      <c r="AO300" s="3" t="inlineStr">
        <is>
          <t>60 mins</t>
        </is>
      </c>
      <c r="AQ300" s="3" t="inlineStr">
        <is>
          <t>Weight</t>
        </is>
      </c>
      <c r="AS300"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0" s="3" t="inlineStr">
        <is>
          <t>60 mins</t>
        </is>
      </c>
    </row>
    <row r="301" ht="15.75" customHeight="1">
      <c r="A301" s="3" t="inlineStr">
        <is>
          <t>PROD_0049</t>
        </is>
      </c>
      <c r="B301" s="3" t="inlineStr">
        <is>
          <t>VAR_3</t>
        </is>
      </c>
      <c r="C301" s="3" t="inlineStr">
        <is>
          <t>Modular Hardware</t>
        </is>
      </c>
      <c r="D301" s="3" t="inlineStr">
        <is>
          <t>Hinges</t>
        </is>
      </c>
      <c r="E301" s="3" t="inlineStr">
        <is>
          <t>Hettich</t>
        </is>
      </c>
      <c r="F301" s="3" t="inlineStr">
        <is>
          <t>Onsys Magma Black | 105 degree | Soft Close</t>
        </is>
      </c>
      <c r="H301" s="3" t="inlineStr">
        <is>
          <t>Opening Angle</t>
        </is>
      </c>
      <c r="I301" s="3" t="inlineStr">
        <is>
          <t>105 degree</t>
        </is>
      </c>
      <c r="J301" s="3" t="inlineStr">
        <is>
          <t>Crank</t>
        </is>
      </c>
      <c r="K301" s="3" t="inlineStr">
        <is>
          <t>16 K</t>
        </is>
      </c>
      <c r="L301" s="3" t="inlineStr">
        <is>
          <t>Board Thickness</t>
        </is>
      </c>
      <c r="M301" s="3" t="inlineStr">
        <is>
          <t>14-25 mm</t>
        </is>
      </c>
      <c r="Q301" s="3" t="inlineStr">
        <is>
          <t>Manufacturer's Warranty</t>
        </is>
      </c>
      <c r="R301" s="3" t="n">
        <v>9354035</v>
      </c>
      <c r="S301" s="3" t="n">
        <v>2</v>
      </c>
      <c r="U301" s="3" t="n">
        <v>0.22</v>
      </c>
      <c r="Y301" s="3" t="inlineStr">
        <is>
          <t>HT_IH_SC_MB_16K</t>
        </is>
      </c>
      <c r="Z301" s="12" t="n">
        <v>83021090</v>
      </c>
      <c r="AC301" s="3" t="n">
        <v>1</v>
      </c>
      <c r="AE301" s="3" t="n">
        <v>500</v>
      </c>
      <c r="AF301" s="4" t="n">
        <v>0.5</v>
      </c>
      <c r="AG301" s="3">
        <f>ROUND(AE301-(AE301*AF301),2)</f>
        <v/>
      </c>
      <c r="AH301" s="4" t="n">
        <v>0.18</v>
      </c>
      <c r="AI301" s="3">
        <f>ROUND(AG301+(AG301*AH301),2)</f>
        <v/>
      </c>
      <c r="AJ301" s="4" t="n">
        <v>0.2</v>
      </c>
      <c r="AK301" s="3">
        <f>ROUND(AI301*AJ301,2)</f>
        <v/>
      </c>
      <c r="AL301" s="3">
        <f>AI301+AK301</f>
        <v/>
      </c>
      <c r="AM301" s="3">
        <f>AE301-AL301</f>
        <v/>
      </c>
      <c r="AN301" s="4">
        <f>AM301/AE301</f>
        <v/>
      </c>
      <c r="AO301" s="3" t="inlineStr">
        <is>
          <t>60 mins</t>
        </is>
      </c>
      <c r="AQ301" s="3" t="inlineStr">
        <is>
          <t>Weight</t>
        </is>
      </c>
      <c r="AS301"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1" s="3" t="inlineStr">
        <is>
          <t>60 mins</t>
        </is>
      </c>
    </row>
    <row r="302" ht="15.75" customHeight="1">
      <c r="A302" s="3" t="inlineStr">
        <is>
          <t>PROD_0050</t>
        </is>
      </c>
      <c r="B302" s="3" t="inlineStr">
        <is>
          <t>VAR_1</t>
        </is>
      </c>
      <c r="C302" s="3" t="inlineStr">
        <is>
          <t>Modular Hardware</t>
        </is>
      </c>
      <c r="D302" s="3" t="inlineStr">
        <is>
          <t>Hinges</t>
        </is>
      </c>
      <c r="E302" s="3" t="inlineStr">
        <is>
          <t>Hettich</t>
        </is>
      </c>
      <c r="F302" s="3" t="inlineStr">
        <is>
          <t>Intermat 9956 | 165 degree | Wide Angle Hinge</t>
        </is>
      </c>
      <c r="H302" s="3" t="inlineStr">
        <is>
          <t>Opening Angle</t>
        </is>
      </c>
      <c r="I302" s="3" t="inlineStr">
        <is>
          <t>165 degree</t>
        </is>
      </c>
      <c r="J302" s="3" t="inlineStr">
        <is>
          <t>Crank</t>
        </is>
      </c>
      <c r="K302" s="3" t="inlineStr">
        <is>
          <t>0 K</t>
        </is>
      </c>
      <c r="L302" s="3" t="inlineStr">
        <is>
          <t>Board Thickness</t>
        </is>
      </c>
      <c r="M302" s="3" t="inlineStr">
        <is>
          <t>16-24 mm</t>
        </is>
      </c>
      <c r="Q302" s="3" t="inlineStr">
        <is>
          <t>Manufacturer's Warranty</t>
        </is>
      </c>
      <c r="R302" s="3" t="n">
        <v>9242890</v>
      </c>
      <c r="S302" s="3" t="n">
        <v>2</v>
      </c>
      <c r="V302" s="3" t="inlineStr">
        <is>
          <t>Mounting Plates</t>
        </is>
      </c>
      <c r="W302" s="3" t="inlineStr">
        <is>
          <t>Application</t>
        </is>
      </c>
      <c r="X302" s="3" t="inlineStr">
        <is>
          <t>Wide Opening</t>
        </is>
      </c>
      <c r="Y302" s="3" t="inlineStr">
        <is>
          <t>HT_IH_WIDE_9956_0K</t>
        </is>
      </c>
      <c r="Z302" s="12" t="n">
        <v>83021090</v>
      </c>
      <c r="AC302" s="3" t="n">
        <v>1</v>
      </c>
      <c r="AE302" s="3" t="n">
        <v>1068</v>
      </c>
      <c r="AF302" s="4" t="n">
        <v>0.5</v>
      </c>
      <c r="AG302" s="3">
        <f>ROUND(AE302-(AE302*AF302),2)</f>
        <v/>
      </c>
      <c r="AH302" s="4" t="n">
        <v>0.18</v>
      </c>
      <c r="AI302" s="3">
        <f>ROUND(AG302+(AG302*AH302),2)</f>
        <v/>
      </c>
      <c r="AJ302" s="4" t="n">
        <v>0.2</v>
      </c>
      <c r="AK302" s="3">
        <f>ROUND(AI302*AJ302,2)</f>
        <v/>
      </c>
      <c r="AL302" s="3">
        <f>AI302+AK302</f>
        <v/>
      </c>
      <c r="AM302" s="3">
        <f>AE302-AL302</f>
        <v/>
      </c>
      <c r="AN302" s="4">
        <f>AM302/AE302</f>
        <v/>
      </c>
      <c r="AO302" s="3" t="inlineStr">
        <is>
          <t>60 mins</t>
        </is>
      </c>
      <c r="AQ302" s="3" t="inlineStr">
        <is>
          <t>Weight</t>
        </is>
      </c>
      <c r="AS302"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2" s="3" t="inlineStr">
        <is>
          <t>60 mins</t>
        </is>
      </c>
    </row>
    <row r="303" ht="15.75" customHeight="1">
      <c r="A303" s="3" t="inlineStr">
        <is>
          <t>PROD_0051</t>
        </is>
      </c>
      <c r="B303" s="3" t="inlineStr">
        <is>
          <t>VAR_1</t>
        </is>
      </c>
      <c r="C303" s="3" t="inlineStr">
        <is>
          <t>Modular Hardware</t>
        </is>
      </c>
      <c r="D303" s="3" t="inlineStr">
        <is>
          <t>Hinges</t>
        </is>
      </c>
      <c r="E303" s="3" t="inlineStr">
        <is>
          <t>Hettich</t>
        </is>
      </c>
      <c r="F303" s="3" t="inlineStr">
        <is>
          <t>Intermat 9930 | 50 degree | Concealed Hinge</t>
        </is>
      </c>
      <c r="H303" s="3" t="inlineStr">
        <is>
          <t>Opening Angle</t>
        </is>
      </c>
      <c r="I303" s="3" t="inlineStr">
        <is>
          <t>50 degree</t>
        </is>
      </c>
      <c r="J303" s="3" t="inlineStr">
        <is>
          <t>Crank</t>
        </is>
      </c>
      <c r="K303" s="3" t="inlineStr">
        <is>
          <t>0 K</t>
        </is>
      </c>
      <c r="L303" s="3" t="inlineStr">
        <is>
          <t>Board Thickness</t>
        </is>
      </c>
      <c r="M303" s="3" t="inlineStr">
        <is>
          <t>16-21 mm</t>
        </is>
      </c>
      <c r="Q303" s="3" t="inlineStr">
        <is>
          <t>Manufacturer's Warranty</t>
        </is>
      </c>
      <c r="R303" s="3" t="n">
        <v>9242888</v>
      </c>
      <c r="S303" s="3" t="n">
        <v>2</v>
      </c>
      <c r="V303" s="3" t="inlineStr">
        <is>
          <t>Mounting Plates</t>
        </is>
      </c>
      <c r="W303" s="3" t="inlineStr">
        <is>
          <t>Application</t>
        </is>
      </c>
      <c r="X303" s="3" t="inlineStr">
        <is>
          <t>Corner</t>
        </is>
      </c>
      <c r="Y303" s="3" t="inlineStr">
        <is>
          <t>HT_IH_CON_9930_0K</t>
        </is>
      </c>
      <c r="Z303" s="12" t="n">
        <v>83021090</v>
      </c>
      <c r="AC303" s="3" t="n">
        <v>1</v>
      </c>
      <c r="AE303" s="3" t="n">
        <v>976</v>
      </c>
      <c r="AF303" s="4" t="n">
        <v>0.5</v>
      </c>
      <c r="AG303" s="3">
        <f>ROUND(AE303-(AE303*AF303),2)</f>
        <v/>
      </c>
      <c r="AH303" s="4" t="n">
        <v>0.18</v>
      </c>
      <c r="AI303" s="3">
        <f>ROUND(AG303+(AG303*AH303),2)</f>
        <v/>
      </c>
      <c r="AJ303" s="4" t="n">
        <v>0.2</v>
      </c>
      <c r="AK303" s="3">
        <f>ROUND(AI303*AJ303,2)</f>
        <v/>
      </c>
      <c r="AL303" s="3">
        <f>AI303+AK303</f>
        <v/>
      </c>
      <c r="AM303" s="3">
        <f>AE303-AL303</f>
        <v/>
      </c>
      <c r="AN303" s="4">
        <f>AM303/AE303</f>
        <v/>
      </c>
      <c r="AO303" s="3" t="inlineStr">
        <is>
          <t>60 mins</t>
        </is>
      </c>
      <c r="AQ303" s="3" t="inlineStr">
        <is>
          <t>Weight</t>
        </is>
      </c>
      <c r="AS303"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3" s="3" t="inlineStr">
        <is>
          <t>60 mins</t>
        </is>
      </c>
    </row>
    <row r="304" ht="15.75" customHeight="1">
      <c r="A304" s="3" t="inlineStr">
        <is>
          <t>PROD_0052</t>
        </is>
      </c>
      <c r="B304" s="3" t="inlineStr">
        <is>
          <t>VAR_1</t>
        </is>
      </c>
      <c r="C304" s="3" t="inlineStr">
        <is>
          <t>Modular Hardware</t>
        </is>
      </c>
      <c r="D304" s="3" t="inlineStr">
        <is>
          <t>Hinges</t>
        </is>
      </c>
      <c r="E304" s="3" t="inlineStr">
        <is>
          <t>INOX</t>
        </is>
      </c>
      <c r="F304" s="3" t="inlineStr">
        <is>
          <t>SS 3D Clip-On Hinge | 110 degree | Soft Close</t>
        </is>
      </c>
      <c r="H304" s="3" t="inlineStr">
        <is>
          <t>Opening Angle</t>
        </is>
      </c>
      <c r="I304" s="3" t="inlineStr">
        <is>
          <t>110 degree</t>
        </is>
      </c>
      <c r="J304" s="3" t="inlineStr">
        <is>
          <t>Crank</t>
        </is>
      </c>
      <c r="K304" s="3" t="inlineStr">
        <is>
          <t>0 K</t>
        </is>
      </c>
      <c r="L304" s="3" t="inlineStr">
        <is>
          <t>Board Thickness</t>
        </is>
      </c>
      <c r="M304" s="3" t="inlineStr">
        <is>
          <t>16-21 mm</t>
        </is>
      </c>
      <c r="Q304" s="3" t="inlineStr">
        <is>
          <t>Manufacturer's Warranty</t>
        </is>
      </c>
      <c r="R304" s="3" t="inlineStr">
        <is>
          <t>C7.04.201</t>
        </is>
      </c>
      <c r="S304" s="3" t="n">
        <v>2</v>
      </c>
      <c r="V304" s="3" t="inlineStr">
        <is>
          <t>Mounting Plates</t>
        </is>
      </c>
      <c r="W304" s="3" t="inlineStr">
        <is>
          <t>Application</t>
        </is>
      </c>
      <c r="Y304" s="3" t="inlineStr">
        <is>
          <t>INOX_IH_SC_3D</t>
        </is>
      </c>
      <c r="Z304" s="3" t="n">
        <v>8302</v>
      </c>
      <c r="AC304" s="3" t="n">
        <v>1</v>
      </c>
      <c r="AE304" s="3" t="n">
        <v>333</v>
      </c>
      <c r="AF304" s="4" t="n">
        <v>0.5</v>
      </c>
      <c r="AG304" s="3">
        <f>ROUND(AE304-(AE304*AF304),2)</f>
        <v/>
      </c>
      <c r="AH304" s="4" t="n">
        <v>0.18</v>
      </c>
      <c r="AI304" s="3">
        <f>ROUND(AG304+(AG304*AH304),2)</f>
        <v/>
      </c>
      <c r="AJ304" s="4" t="n">
        <v>0.2</v>
      </c>
      <c r="AK304" s="3">
        <f>ROUND(AI304*AJ304,2)</f>
        <v/>
      </c>
      <c r="AL304" s="3">
        <f>AI304+AK304</f>
        <v/>
      </c>
      <c r="AM304" s="3">
        <f>AE304-AL304</f>
        <v/>
      </c>
      <c r="AN304" s="4">
        <f>AM304/AE304</f>
        <v/>
      </c>
      <c r="AO304" s="3" t="inlineStr">
        <is>
          <t>60 mins</t>
        </is>
      </c>
      <c r="AQ304" s="3" t="inlineStr">
        <is>
          <t>Weight</t>
        </is>
      </c>
      <c r="AS304"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4" s="3" t="inlineStr">
        <is>
          <t>60 mins</t>
        </is>
      </c>
    </row>
    <row r="305" ht="15.75" customHeight="1">
      <c r="A305" s="3" t="inlineStr">
        <is>
          <t>PROD_0052</t>
        </is>
      </c>
      <c r="B305" s="3" t="inlineStr">
        <is>
          <t>VAR_2</t>
        </is>
      </c>
      <c r="C305" s="3" t="inlineStr">
        <is>
          <t>Modular Hardware</t>
        </is>
      </c>
      <c r="D305" s="3" t="inlineStr">
        <is>
          <t>Hinges</t>
        </is>
      </c>
      <c r="E305" s="3" t="inlineStr">
        <is>
          <t>INOX</t>
        </is>
      </c>
      <c r="F305" s="3" t="inlineStr">
        <is>
          <t>SS 3D Clip-On Hinge | 110 degree | Soft Close</t>
        </is>
      </c>
      <c r="H305" s="3" t="inlineStr">
        <is>
          <t>Opening Angle</t>
        </is>
      </c>
      <c r="I305" s="3" t="inlineStr">
        <is>
          <t>110 degree</t>
        </is>
      </c>
      <c r="J305" s="3" t="inlineStr">
        <is>
          <t>Crank</t>
        </is>
      </c>
      <c r="K305" s="3" t="inlineStr">
        <is>
          <t>8 K</t>
        </is>
      </c>
      <c r="L305" s="3" t="inlineStr">
        <is>
          <t>Board Thickness</t>
        </is>
      </c>
      <c r="M305" s="3" t="inlineStr">
        <is>
          <t>16-21 mm</t>
        </is>
      </c>
      <c r="Q305" s="3" t="inlineStr">
        <is>
          <t>Manufacturer's Warranty</t>
        </is>
      </c>
      <c r="R305" s="3" t="inlineStr">
        <is>
          <t>C7.04.202</t>
        </is>
      </c>
      <c r="Y305" s="3" t="inlineStr">
        <is>
          <t>INOX_IH_SC_3D</t>
        </is>
      </c>
      <c r="Z305" s="3" t="n">
        <v>8302</v>
      </c>
      <c r="AC305" s="3" t="n">
        <v>1</v>
      </c>
      <c r="AE305" s="3" t="n">
        <v>333</v>
      </c>
      <c r="AF305" s="4" t="n">
        <v>0.5</v>
      </c>
      <c r="AG305" s="3">
        <f>ROUND(AE305-(AE305*AF305),2)</f>
        <v/>
      </c>
      <c r="AH305" s="4" t="n">
        <v>0.18</v>
      </c>
      <c r="AI305" s="3">
        <f>ROUND(AG305+(AG305*AH305),2)</f>
        <v/>
      </c>
      <c r="AJ305" s="4" t="n">
        <v>0.2</v>
      </c>
      <c r="AK305" s="3">
        <f>ROUND(AI305*AJ305,2)</f>
        <v/>
      </c>
      <c r="AL305" s="3">
        <f>AI305+AK305</f>
        <v/>
      </c>
      <c r="AM305" s="3">
        <f>AE305-AL305</f>
        <v/>
      </c>
      <c r="AN305" s="4">
        <f>AM305/AE305</f>
        <v/>
      </c>
      <c r="AO305" s="3" t="inlineStr">
        <is>
          <t>60 mins</t>
        </is>
      </c>
      <c r="AQ305" s="3" t="inlineStr">
        <is>
          <t>Weight</t>
        </is>
      </c>
      <c r="AS305"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5" s="3" t="inlineStr">
        <is>
          <t>60 mins</t>
        </is>
      </c>
    </row>
    <row r="306" ht="15.75" customHeight="1">
      <c r="A306" s="3" t="inlineStr">
        <is>
          <t>PROD_0052</t>
        </is>
      </c>
      <c r="B306" s="3" t="inlineStr">
        <is>
          <t>VAR_3</t>
        </is>
      </c>
      <c r="C306" s="3" t="inlineStr">
        <is>
          <t>Modular Hardware</t>
        </is>
      </c>
      <c r="D306" s="3" t="inlineStr">
        <is>
          <t>Hinges</t>
        </is>
      </c>
      <c r="E306" s="3" t="inlineStr">
        <is>
          <t>INOX</t>
        </is>
      </c>
      <c r="F306" s="3" t="inlineStr">
        <is>
          <t>SS 3D Clip-On Hinge | 110 degree | Soft Close</t>
        </is>
      </c>
      <c r="H306" s="3" t="inlineStr">
        <is>
          <t>Opening Angle</t>
        </is>
      </c>
      <c r="I306" s="3" t="inlineStr">
        <is>
          <t>110 degree</t>
        </is>
      </c>
      <c r="J306" s="3" t="inlineStr">
        <is>
          <t>Crank</t>
        </is>
      </c>
      <c r="K306" s="3" t="inlineStr">
        <is>
          <t>15 K</t>
        </is>
      </c>
      <c r="L306" s="3" t="inlineStr">
        <is>
          <t>Board Thickness</t>
        </is>
      </c>
      <c r="M306" s="3" t="inlineStr">
        <is>
          <t>16-21 mm</t>
        </is>
      </c>
      <c r="Q306" s="3" t="inlineStr">
        <is>
          <t>Manufacturer's Warranty</t>
        </is>
      </c>
      <c r="R306" s="3" t="inlineStr">
        <is>
          <t>C7.04.203</t>
        </is>
      </c>
      <c r="Y306" s="3" t="inlineStr">
        <is>
          <t>INOX_IH_SC_3D</t>
        </is>
      </c>
      <c r="Z306" s="3" t="n">
        <v>8302</v>
      </c>
      <c r="AC306" s="3" t="n">
        <v>1</v>
      </c>
      <c r="AE306" s="3" t="n">
        <v>333</v>
      </c>
      <c r="AF306" s="4" t="n">
        <v>0.5</v>
      </c>
      <c r="AG306" s="3">
        <f>ROUND(AE306-(AE306*AF306),2)</f>
        <v/>
      </c>
      <c r="AH306" s="4" t="n">
        <v>0.18</v>
      </c>
      <c r="AI306" s="3">
        <f>ROUND(AG306+(AG306*AH306),2)</f>
        <v/>
      </c>
      <c r="AJ306" s="4" t="n">
        <v>0.2</v>
      </c>
      <c r="AK306" s="3">
        <f>ROUND(AI306*AJ306,2)</f>
        <v/>
      </c>
      <c r="AL306" s="3">
        <f>AI306+AK306</f>
        <v/>
      </c>
      <c r="AM306" s="3">
        <f>AE306-AL306</f>
        <v/>
      </c>
      <c r="AN306" s="4">
        <f>AM306/AE306</f>
        <v/>
      </c>
      <c r="AO306" s="3" t="inlineStr">
        <is>
          <t>60 mins</t>
        </is>
      </c>
      <c r="AQ306" s="3" t="inlineStr">
        <is>
          <t>Weight</t>
        </is>
      </c>
      <c r="AS306"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6" s="3" t="inlineStr">
        <is>
          <t>60 mins</t>
        </is>
      </c>
    </row>
    <row r="307" ht="15.75" customHeight="1">
      <c r="A307" s="3" t="inlineStr">
        <is>
          <t>PROD_0053</t>
        </is>
      </c>
      <c r="B307" s="3" t="inlineStr">
        <is>
          <t>VAR_1</t>
        </is>
      </c>
      <c r="C307" s="3" t="inlineStr">
        <is>
          <t>Modular Hardware</t>
        </is>
      </c>
      <c r="D307" s="3" t="inlineStr">
        <is>
          <t>Hinges</t>
        </is>
      </c>
      <c r="E307" s="3" t="inlineStr">
        <is>
          <t>INOX</t>
        </is>
      </c>
      <c r="F307" s="3" t="inlineStr">
        <is>
          <t>Corner Hinge (Double Adjustment) | 170 degree | Soft Close</t>
        </is>
      </c>
      <c r="H307" s="3" t="inlineStr">
        <is>
          <t>Opening Angle</t>
        </is>
      </c>
      <c r="I307" s="3" t="inlineStr">
        <is>
          <t>170 degree</t>
        </is>
      </c>
      <c r="J307" s="3" t="inlineStr">
        <is>
          <t>Crank</t>
        </is>
      </c>
      <c r="K307" s="3" t="inlineStr">
        <is>
          <t>0 K</t>
        </is>
      </c>
      <c r="L307" s="3" t="inlineStr">
        <is>
          <t>Board Thickness</t>
        </is>
      </c>
      <c r="M307" s="3" t="inlineStr">
        <is>
          <t>14-19 mm</t>
        </is>
      </c>
      <c r="Q307" s="3" t="inlineStr">
        <is>
          <t>Manufacturer's Warranty</t>
        </is>
      </c>
      <c r="R307" s="3" t="inlineStr">
        <is>
          <t>C7.02.204</t>
        </is>
      </c>
      <c r="S307" s="3" t="n">
        <v>2</v>
      </c>
      <c r="V307" s="3" t="inlineStr">
        <is>
          <t>Mounting Plates</t>
        </is>
      </c>
      <c r="W307" s="3" t="inlineStr">
        <is>
          <t>Application</t>
        </is>
      </c>
      <c r="X307" s="3" t="inlineStr">
        <is>
          <t>Corner</t>
        </is>
      </c>
      <c r="Y307" s="3" t="inlineStr">
        <is>
          <t xml:space="preserve">INOX_IH_SC_CORNER </t>
        </is>
      </c>
      <c r="Z307" s="3" t="n">
        <v>8302</v>
      </c>
      <c r="AC307" s="3" t="n">
        <v>1</v>
      </c>
      <c r="AE307" s="3" t="n">
        <v>899</v>
      </c>
      <c r="AF307" s="4" t="n">
        <v>0.5</v>
      </c>
      <c r="AG307" s="3">
        <f>ROUND(AE307-(AE307*AF307),2)</f>
        <v/>
      </c>
      <c r="AH307" s="4" t="n">
        <v>0.18</v>
      </c>
      <c r="AI307" s="3">
        <f>ROUND(AG307+(AG307*AH307),2)</f>
        <v/>
      </c>
      <c r="AJ307" s="4" t="n">
        <v>0.2</v>
      </c>
      <c r="AK307" s="3">
        <f>ROUND(AI307*AJ307,2)</f>
        <v/>
      </c>
      <c r="AL307" s="3">
        <f>AI307+AK307</f>
        <v/>
      </c>
      <c r="AM307" s="3">
        <f>AE307-AL307</f>
        <v/>
      </c>
      <c r="AN307" s="4">
        <f>AM307/AE307</f>
        <v/>
      </c>
      <c r="AO307" s="3" t="inlineStr">
        <is>
          <t>60 mins</t>
        </is>
      </c>
      <c r="AQ307" s="3" t="inlineStr">
        <is>
          <t>Weight</t>
        </is>
      </c>
      <c r="AS307"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7" s="3" t="inlineStr">
        <is>
          <t>60 mins</t>
        </is>
      </c>
    </row>
    <row r="308" ht="15.75" customHeight="1">
      <c r="A308" s="3" t="inlineStr">
        <is>
          <t>PROD_0054</t>
        </is>
      </c>
      <c r="B308" s="3" t="inlineStr">
        <is>
          <t>VAR_1</t>
        </is>
      </c>
      <c r="C308" s="3" t="inlineStr">
        <is>
          <t>Modular Hardware</t>
        </is>
      </c>
      <c r="D308" s="3" t="inlineStr">
        <is>
          <t>Hinges</t>
        </is>
      </c>
      <c r="E308" s="3" t="inlineStr">
        <is>
          <t>INOX</t>
        </is>
      </c>
      <c r="F308" s="3" t="inlineStr">
        <is>
          <t>VIVENTE Hinge (XXXtra Adjustment) | 110 degree | Soft Close</t>
        </is>
      </c>
      <c r="H308" s="3" t="inlineStr">
        <is>
          <t>Opening Angle</t>
        </is>
      </c>
      <c r="I308" s="3" t="inlineStr">
        <is>
          <t>110 degree</t>
        </is>
      </c>
      <c r="J308" s="3" t="inlineStr">
        <is>
          <t>Crank</t>
        </is>
      </c>
      <c r="K308" s="3" t="inlineStr">
        <is>
          <t>0 K</t>
        </is>
      </c>
      <c r="L308" s="3" t="inlineStr">
        <is>
          <t>Board Thickness</t>
        </is>
      </c>
      <c r="M308" s="3" t="inlineStr">
        <is>
          <t>14-19 mm</t>
        </is>
      </c>
      <c r="Q308" s="3" t="inlineStr">
        <is>
          <t>Manufacturer's Warranty</t>
        </is>
      </c>
      <c r="R308" s="3" t="inlineStr">
        <is>
          <t>C7.05.201</t>
        </is>
      </c>
      <c r="S308" s="3" t="n">
        <v>2</v>
      </c>
      <c r="U308" s="3" t="n">
        <v>0.11</v>
      </c>
      <c r="V308" s="3" t="inlineStr">
        <is>
          <t>Mounting Plates</t>
        </is>
      </c>
      <c r="W308" s="3" t="inlineStr">
        <is>
          <t>Application</t>
        </is>
      </c>
      <c r="X308" s="3" t="inlineStr">
        <is>
          <t>Standard</t>
        </is>
      </c>
      <c r="Y308" s="3" t="inlineStr">
        <is>
          <t>INOX_IH_SC_VIVEN</t>
        </is>
      </c>
      <c r="Z308" s="3" t="n">
        <v>8302</v>
      </c>
      <c r="AC308" s="3" t="n">
        <v>1</v>
      </c>
      <c r="AE308" s="3" t="n">
        <v>279</v>
      </c>
      <c r="AF308" s="4" t="n">
        <v>0.5</v>
      </c>
      <c r="AG308" s="3">
        <f>ROUND(AE308-(AE308*AF308),2)</f>
        <v/>
      </c>
      <c r="AH308" s="4" t="n">
        <v>0.18</v>
      </c>
      <c r="AI308" s="3">
        <f>ROUND(AG308+(AG308*AH308),2)</f>
        <v/>
      </c>
      <c r="AJ308" s="4" t="n">
        <v>0.2</v>
      </c>
      <c r="AK308" s="3">
        <f>ROUND(AI308*AJ308,2)</f>
        <v/>
      </c>
      <c r="AL308" s="3">
        <f>AI308+AK308</f>
        <v/>
      </c>
      <c r="AM308" s="3">
        <f>AE308-AL308</f>
        <v/>
      </c>
      <c r="AN308" s="4">
        <f>AM308/AE308</f>
        <v/>
      </c>
      <c r="AO308" s="3" t="inlineStr">
        <is>
          <t>60 mins</t>
        </is>
      </c>
      <c r="AQ308" s="3" t="inlineStr">
        <is>
          <t>Weight</t>
        </is>
      </c>
      <c r="AS308"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8" s="3" t="inlineStr">
        <is>
          <t>60 mins</t>
        </is>
      </c>
    </row>
    <row r="309" ht="15.75" customHeight="1">
      <c r="A309" s="3" t="inlineStr">
        <is>
          <t>PROD_0054</t>
        </is>
      </c>
      <c r="B309" s="3" t="inlineStr">
        <is>
          <t>VAR_2</t>
        </is>
      </c>
      <c r="C309" s="3" t="inlineStr">
        <is>
          <t>Modular Hardware</t>
        </is>
      </c>
      <c r="D309" s="3" t="inlineStr">
        <is>
          <t>Hinges</t>
        </is>
      </c>
      <c r="E309" s="3" t="inlineStr">
        <is>
          <t>INOX</t>
        </is>
      </c>
      <c r="F309" s="3" t="inlineStr">
        <is>
          <t>VIVENTE Hinge (XXXtra Adjustment) | 110 degree | Soft Close</t>
        </is>
      </c>
      <c r="H309" s="3" t="inlineStr">
        <is>
          <t>Opening Angle</t>
        </is>
      </c>
      <c r="I309" s="3" t="inlineStr">
        <is>
          <t>110 degree</t>
        </is>
      </c>
      <c r="J309" s="3" t="inlineStr">
        <is>
          <t>Crank</t>
        </is>
      </c>
      <c r="K309" s="3" t="inlineStr">
        <is>
          <t>8 K</t>
        </is>
      </c>
      <c r="L309" s="3" t="inlineStr">
        <is>
          <t>Board Thickness</t>
        </is>
      </c>
      <c r="M309" s="3" t="inlineStr">
        <is>
          <t>14-19 mm</t>
        </is>
      </c>
      <c r="Q309" s="3" t="inlineStr">
        <is>
          <t>Manufacturer's Warranty</t>
        </is>
      </c>
      <c r="R309" s="3" t="inlineStr">
        <is>
          <t>C7.05.202</t>
        </is>
      </c>
      <c r="S309" s="3" t="n">
        <v>2</v>
      </c>
      <c r="Y309" s="3" t="inlineStr">
        <is>
          <t>INOX_IH_SC_VIVEN</t>
        </is>
      </c>
      <c r="Z309" s="3" t="n">
        <v>8302</v>
      </c>
      <c r="AC309" s="3" t="n">
        <v>1</v>
      </c>
      <c r="AE309" s="3" t="n">
        <v>279</v>
      </c>
      <c r="AF309" s="4" t="n">
        <v>0.5</v>
      </c>
      <c r="AG309" s="3">
        <f>ROUND(AE309-(AE309*AF309),2)</f>
        <v/>
      </c>
      <c r="AH309" s="4" t="n">
        <v>0.18</v>
      </c>
      <c r="AI309" s="3">
        <f>ROUND(AG309+(AG309*AH309),2)</f>
        <v/>
      </c>
      <c r="AJ309" s="4" t="n">
        <v>0.2</v>
      </c>
      <c r="AK309" s="3">
        <f>ROUND(AI309*AJ309,2)</f>
        <v/>
      </c>
      <c r="AL309" s="3">
        <f>AI309+AK309</f>
        <v/>
      </c>
      <c r="AM309" s="3">
        <f>AE309-AL309</f>
        <v/>
      </c>
      <c r="AN309" s="4">
        <f>AM309/AE309</f>
        <v/>
      </c>
      <c r="AO309" s="3" t="inlineStr">
        <is>
          <t>60 mins</t>
        </is>
      </c>
      <c r="AQ309" s="3" t="inlineStr">
        <is>
          <t>Weight</t>
        </is>
      </c>
      <c r="AS309"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09" s="3" t="inlineStr">
        <is>
          <t>60 mins</t>
        </is>
      </c>
    </row>
    <row r="310" ht="15.75" customHeight="1">
      <c r="A310" s="3" t="inlineStr">
        <is>
          <t>PROD_0054</t>
        </is>
      </c>
      <c r="B310" s="3" t="inlineStr">
        <is>
          <t>VAR_3</t>
        </is>
      </c>
      <c r="C310" s="3" t="inlineStr">
        <is>
          <t>Modular Hardware</t>
        </is>
      </c>
      <c r="D310" s="3" t="inlineStr">
        <is>
          <t>Hinges</t>
        </is>
      </c>
      <c r="E310" s="3" t="inlineStr">
        <is>
          <t>INOX</t>
        </is>
      </c>
      <c r="F310" s="3" t="inlineStr">
        <is>
          <t>VIVENTE Hinge (XXXtra Adjustment) | 110 degree | Soft Close</t>
        </is>
      </c>
      <c r="H310" s="3" t="inlineStr">
        <is>
          <t>Opening Angle</t>
        </is>
      </c>
      <c r="I310" s="3" t="inlineStr">
        <is>
          <t>110 degree</t>
        </is>
      </c>
      <c r="J310" s="3" t="inlineStr">
        <is>
          <t>Crank</t>
        </is>
      </c>
      <c r="K310" s="3" t="inlineStr">
        <is>
          <t>15 K</t>
        </is>
      </c>
      <c r="L310" s="3" t="inlineStr">
        <is>
          <t>Board Thickness</t>
        </is>
      </c>
      <c r="M310" s="3" t="inlineStr">
        <is>
          <t>14-19 mm</t>
        </is>
      </c>
      <c r="Q310" s="3" t="inlineStr">
        <is>
          <t>Manufacturer's Warranty</t>
        </is>
      </c>
      <c r="R310" s="3" t="inlineStr">
        <is>
          <t>C7.05.203</t>
        </is>
      </c>
      <c r="S310" s="3" t="n">
        <v>2</v>
      </c>
      <c r="Y310" s="3" t="inlineStr">
        <is>
          <t>INOX_IH_SC_VIVEN</t>
        </is>
      </c>
      <c r="Z310" s="3" t="n">
        <v>8302</v>
      </c>
      <c r="AC310" s="3" t="n">
        <v>1</v>
      </c>
      <c r="AE310" s="3" t="n">
        <v>279</v>
      </c>
      <c r="AF310" s="4" t="n">
        <v>0.5</v>
      </c>
      <c r="AG310" s="3">
        <f>ROUND(AE310-(AE310*AF310),2)</f>
        <v/>
      </c>
      <c r="AH310" s="4" t="n">
        <v>0.18</v>
      </c>
      <c r="AI310" s="3">
        <f>ROUND(AG310+(AG310*AH310),2)</f>
        <v/>
      </c>
      <c r="AJ310" s="4" t="n">
        <v>0.2</v>
      </c>
      <c r="AK310" s="3">
        <f>ROUND(AI310*AJ310,2)</f>
        <v/>
      </c>
      <c r="AL310" s="3">
        <f>AI310+AK310</f>
        <v/>
      </c>
      <c r="AM310" s="3">
        <f>AE310-AL310</f>
        <v/>
      </c>
      <c r="AN310" s="4">
        <f>AM310/AE310</f>
        <v/>
      </c>
      <c r="AO310" s="3" t="inlineStr">
        <is>
          <t>60 mins</t>
        </is>
      </c>
      <c r="AQ310" s="3" t="inlineStr">
        <is>
          <t>Weight</t>
        </is>
      </c>
      <c r="AS310"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0" s="3" t="inlineStr">
        <is>
          <t>60 mins</t>
        </is>
      </c>
    </row>
    <row r="311" ht="15.75" customHeight="1">
      <c r="A311" s="3" t="inlineStr">
        <is>
          <t>PROD_0055</t>
        </is>
      </c>
      <c r="B311" s="3" t="inlineStr">
        <is>
          <t>VAR_1</t>
        </is>
      </c>
      <c r="C311" s="3" t="inlineStr">
        <is>
          <t>Modular Hardware</t>
        </is>
      </c>
      <c r="D311" s="3" t="inlineStr">
        <is>
          <t>Hinges</t>
        </is>
      </c>
      <c r="E311" s="3" t="inlineStr">
        <is>
          <t>INOX</t>
        </is>
      </c>
      <c r="F311" s="3" t="inlineStr">
        <is>
          <t>Corner Pie Cut Hinge | 135 degree | Normal Close</t>
        </is>
      </c>
      <c r="H311" s="3" t="inlineStr">
        <is>
          <t>Opening Angle</t>
        </is>
      </c>
      <c r="I311" s="3" t="inlineStr">
        <is>
          <t>135 degree</t>
        </is>
      </c>
      <c r="J311" s="3" t="inlineStr">
        <is>
          <t>Crank</t>
        </is>
      </c>
      <c r="K311" s="3" t="inlineStr">
        <is>
          <t>0 K</t>
        </is>
      </c>
      <c r="L311" s="3" t="inlineStr">
        <is>
          <t>Board Thickness</t>
        </is>
      </c>
      <c r="M311" s="3" t="inlineStr">
        <is>
          <t>14-19 mm</t>
        </is>
      </c>
      <c r="Q311" s="3" t="inlineStr">
        <is>
          <t>Manufacturer's Warranty</t>
        </is>
      </c>
      <c r="R311" s="3" t="inlineStr">
        <is>
          <t>C7.02.105</t>
        </is>
      </c>
      <c r="S311" s="3" t="n">
        <v>2</v>
      </c>
      <c r="V311" s="3" t="inlineStr">
        <is>
          <t>Mounting Plates</t>
        </is>
      </c>
      <c r="W311" s="3" t="inlineStr">
        <is>
          <t>Application</t>
        </is>
      </c>
      <c r="X311" s="3" t="inlineStr">
        <is>
          <t>Corner</t>
        </is>
      </c>
      <c r="Y311" s="3" t="inlineStr">
        <is>
          <t>INOX_IH_NC_CORNERPIE</t>
        </is>
      </c>
      <c r="Z311" s="3" t="n">
        <v>8302</v>
      </c>
      <c r="AC311" s="3" t="n">
        <v>1</v>
      </c>
      <c r="AE311" s="3" t="n">
        <v>229</v>
      </c>
      <c r="AF311" s="4" t="n">
        <v>0.5</v>
      </c>
      <c r="AG311" s="3">
        <f>ROUND(AE311-(AE311*AF311),2)</f>
        <v/>
      </c>
      <c r="AH311" s="4" t="n">
        <v>0.18</v>
      </c>
      <c r="AI311" s="3">
        <f>ROUND(AG311+(AG311*AH311),2)</f>
        <v/>
      </c>
      <c r="AJ311" s="4" t="n">
        <v>0.2</v>
      </c>
      <c r="AK311" s="3">
        <f>ROUND(AI311*AJ311,2)</f>
        <v/>
      </c>
      <c r="AL311" s="3">
        <f>AI311+AK311</f>
        <v/>
      </c>
      <c r="AM311" s="3">
        <f>AE311-AL311</f>
        <v/>
      </c>
      <c r="AN311" s="4">
        <f>AM311/AE311</f>
        <v/>
      </c>
      <c r="AO311" s="3" t="inlineStr">
        <is>
          <t>60 mins</t>
        </is>
      </c>
      <c r="AQ311" s="3" t="inlineStr">
        <is>
          <t>Weight</t>
        </is>
      </c>
      <c r="AS311"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1" s="3" t="inlineStr">
        <is>
          <t>60 mins</t>
        </is>
      </c>
    </row>
    <row r="312" ht="15.75" customHeight="1">
      <c r="A312" s="3" t="inlineStr">
        <is>
          <t>PROD_0056</t>
        </is>
      </c>
      <c r="B312" s="3" t="inlineStr">
        <is>
          <t>VAR_1</t>
        </is>
      </c>
      <c r="C312" s="3" t="inlineStr">
        <is>
          <t>Modular Hardware</t>
        </is>
      </c>
      <c r="D312" s="3" t="inlineStr">
        <is>
          <t>Hinges</t>
        </is>
      </c>
      <c r="E312" s="3" t="inlineStr">
        <is>
          <t>INOX</t>
        </is>
      </c>
      <c r="F312" s="3" t="inlineStr">
        <is>
          <t>Slide-On Blind Corner Hinge | 90 degree | Normal Close</t>
        </is>
      </c>
      <c r="H312" s="3" t="inlineStr">
        <is>
          <t>Opening Angle</t>
        </is>
      </c>
      <c r="I312" s="3" t="inlineStr">
        <is>
          <t>90 degree</t>
        </is>
      </c>
      <c r="J312" s="3" t="inlineStr">
        <is>
          <t>Crank</t>
        </is>
      </c>
      <c r="K312" s="3" t="inlineStr">
        <is>
          <t>0 K</t>
        </is>
      </c>
      <c r="L312" s="3" t="inlineStr">
        <is>
          <t>Board Thickness</t>
        </is>
      </c>
      <c r="M312" s="3" t="inlineStr">
        <is>
          <t>14-19 mm</t>
        </is>
      </c>
      <c r="Q312" s="3" t="inlineStr">
        <is>
          <t>Manufacturer's Warranty</t>
        </is>
      </c>
      <c r="R312" s="3" t="inlineStr">
        <is>
          <t>C7.02.106</t>
        </is>
      </c>
      <c r="S312" s="3" t="n">
        <v>2</v>
      </c>
      <c r="V312" s="3" t="inlineStr">
        <is>
          <t>Mounting Plates</t>
        </is>
      </c>
      <c r="W312" s="3" t="inlineStr">
        <is>
          <t>Application</t>
        </is>
      </c>
      <c r="X312" s="3" t="inlineStr">
        <is>
          <t>Corner</t>
        </is>
      </c>
      <c r="Y312" s="3" t="inlineStr">
        <is>
          <t>INOX_IH_NC_SLIDEON</t>
        </is>
      </c>
      <c r="Z312" s="3" t="n">
        <v>8302</v>
      </c>
      <c r="AC312" s="3" t="n">
        <v>1</v>
      </c>
      <c r="AE312" s="3" t="n">
        <v>199</v>
      </c>
      <c r="AF312" s="4" t="n">
        <v>0.5</v>
      </c>
      <c r="AG312" s="3">
        <f>ROUND(AE312-(AE312*AF312),2)</f>
        <v/>
      </c>
      <c r="AH312" s="4" t="n">
        <v>0.18</v>
      </c>
      <c r="AI312" s="3">
        <f>ROUND(AG312+(AG312*AH312),2)</f>
        <v/>
      </c>
      <c r="AJ312" s="4" t="n">
        <v>0.2</v>
      </c>
      <c r="AK312" s="3">
        <f>ROUND(AI312*AJ312,2)</f>
        <v/>
      </c>
      <c r="AL312" s="3">
        <f>AI312+AK312</f>
        <v/>
      </c>
      <c r="AM312" s="3">
        <f>AE312-AL312</f>
        <v/>
      </c>
      <c r="AN312" s="4">
        <f>AM312/AE312</f>
        <v/>
      </c>
      <c r="AO312" s="3" t="inlineStr">
        <is>
          <t>60 mins</t>
        </is>
      </c>
      <c r="AQ312" s="3" t="inlineStr">
        <is>
          <t>Weight</t>
        </is>
      </c>
      <c r="AS312"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2" s="3" t="inlineStr">
        <is>
          <t>60 mins</t>
        </is>
      </c>
    </row>
    <row r="313" ht="15.75" customHeight="1">
      <c r="A313" s="3" t="inlineStr">
        <is>
          <t>PROD_0057</t>
        </is>
      </c>
      <c r="B313" s="3" t="inlineStr">
        <is>
          <t>VAR_1</t>
        </is>
      </c>
      <c r="C313" s="3" t="inlineStr">
        <is>
          <t>Modular Hardware</t>
        </is>
      </c>
      <c r="D313" s="3" t="inlineStr">
        <is>
          <t>Hinges</t>
        </is>
      </c>
      <c r="E313" s="3" t="inlineStr">
        <is>
          <t>INOX</t>
        </is>
      </c>
      <c r="F313" s="3" t="inlineStr">
        <is>
          <t>Clip-On Blind Corner Hinge | 90 degree | Normal Close</t>
        </is>
      </c>
      <c r="H313" s="3" t="inlineStr">
        <is>
          <t>Opening Angle</t>
        </is>
      </c>
      <c r="I313" s="3" t="inlineStr">
        <is>
          <t>90 degree</t>
        </is>
      </c>
      <c r="J313" s="3" t="inlineStr">
        <is>
          <t>Crank</t>
        </is>
      </c>
      <c r="K313" s="3" t="inlineStr">
        <is>
          <t>0 K</t>
        </is>
      </c>
      <c r="L313" s="3" t="inlineStr">
        <is>
          <t>Board Thickness</t>
        </is>
      </c>
      <c r="M313" s="3" t="inlineStr">
        <is>
          <t>14-19 mm</t>
        </is>
      </c>
      <c r="Q313" s="3" t="inlineStr">
        <is>
          <t>Manufacturer's Warranty</t>
        </is>
      </c>
      <c r="R313" s="3" t="inlineStr">
        <is>
          <t>C7.02.206</t>
        </is>
      </c>
      <c r="S313" s="3" t="n">
        <v>2</v>
      </c>
      <c r="V313" s="3" t="inlineStr">
        <is>
          <t>Mounting Plates</t>
        </is>
      </c>
      <c r="W313" s="3" t="inlineStr">
        <is>
          <t>Application</t>
        </is>
      </c>
      <c r="X313" s="3" t="inlineStr">
        <is>
          <t>Corner</t>
        </is>
      </c>
      <c r="Y313" s="3" t="inlineStr">
        <is>
          <t>INOX_IH_NC_SLIDEON</t>
        </is>
      </c>
      <c r="Z313" s="3" t="n">
        <v>8302</v>
      </c>
      <c r="AC313" s="3" t="n">
        <v>1</v>
      </c>
      <c r="AE313" s="3" t="n">
        <v>459</v>
      </c>
      <c r="AF313" s="4" t="n">
        <v>0.5</v>
      </c>
      <c r="AG313" s="3">
        <f>ROUND(AE313-(AE313*AF313),2)</f>
        <v/>
      </c>
      <c r="AH313" s="4" t="n">
        <v>0.18</v>
      </c>
      <c r="AI313" s="3">
        <f>ROUND(AG313+(AG313*AH313),2)</f>
        <v/>
      </c>
      <c r="AJ313" s="4" t="n">
        <v>0.2</v>
      </c>
      <c r="AK313" s="3">
        <f>ROUND(AI313*AJ313,2)</f>
        <v/>
      </c>
      <c r="AL313" s="3">
        <f>AI313+AK313</f>
        <v/>
      </c>
      <c r="AM313" s="3">
        <f>AE313-AL313</f>
        <v/>
      </c>
      <c r="AN313" s="4">
        <f>AM313/AE313</f>
        <v/>
      </c>
      <c r="AO313" s="3" t="inlineStr">
        <is>
          <t>60 mins</t>
        </is>
      </c>
      <c r="AQ313" s="3" t="inlineStr">
        <is>
          <t>Weight</t>
        </is>
      </c>
      <c r="AS313"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3" s="3" t="inlineStr">
        <is>
          <t>60 mins</t>
        </is>
      </c>
    </row>
    <row r="314" ht="15.75" customHeight="1">
      <c r="A314" s="3" t="inlineStr">
        <is>
          <t>PROD_0058</t>
        </is>
      </c>
      <c r="B314" s="3" t="inlineStr">
        <is>
          <t>VAR_1</t>
        </is>
      </c>
      <c r="C314" s="3" t="inlineStr">
        <is>
          <t>Modular Hardware</t>
        </is>
      </c>
      <c r="D314" s="3" t="inlineStr">
        <is>
          <t>Hinges</t>
        </is>
      </c>
      <c r="E314" s="3" t="inlineStr">
        <is>
          <t>INOX</t>
        </is>
      </c>
      <c r="F314" s="3" t="inlineStr">
        <is>
          <t>Double Adjustment | 170 degree | Normal Close</t>
        </is>
      </c>
      <c r="H314" s="3" t="inlineStr">
        <is>
          <t>Opening Angle</t>
        </is>
      </c>
      <c r="I314" s="3" t="inlineStr">
        <is>
          <t>170 degree</t>
        </is>
      </c>
      <c r="J314" s="3" t="inlineStr">
        <is>
          <t>Crank</t>
        </is>
      </c>
      <c r="K314" s="3" t="inlineStr">
        <is>
          <t>0 K</t>
        </is>
      </c>
      <c r="L314" s="3" t="inlineStr">
        <is>
          <t>Board Thickness</t>
        </is>
      </c>
      <c r="M314" s="3" t="inlineStr">
        <is>
          <t>14-19 mm</t>
        </is>
      </c>
      <c r="Q314" s="3" t="inlineStr">
        <is>
          <t>Manufacturer's Warranty</t>
        </is>
      </c>
      <c r="R314" s="3" t="inlineStr">
        <is>
          <t>C7.02.104</t>
        </is>
      </c>
      <c r="S314" s="3" t="n">
        <v>2</v>
      </c>
      <c r="V314" s="3" t="inlineStr">
        <is>
          <t>Mounting Plates</t>
        </is>
      </c>
      <c r="W314" s="3" t="inlineStr">
        <is>
          <t>Application</t>
        </is>
      </c>
      <c r="X314" s="3" t="inlineStr">
        <is>
          <t>Corner</t>
        </is>
      </c>
      <c r="Y314" s="3" t="inlineStr">
        <is>
          <t>INOX_IH_DBADJ_170_104</t>
        </is>
      </c>
      <c r="Z314" s="3" t="n">
        <v>8302</v>
      </c>
      <c r="AC314" s="3" t="n">
        <v>1</v>
      </c>
      <c r="AE314" s="3" t="n">
        <v>459</v>
      </c>
      <c r="AF314" s="4" t="n">
        <v>0.5</v>
      </c>
      <c r="AG314" s="3">
        <f>ROUND(AE314-(AE314*AF314),2)</f>
        <v/>
      </c>
      <c r="AH314" s="4" t="n">
        <v>0.18</v>
      </c>
      <c r="AI314" s="3">
        <f>ROUND(AG314+(AG314*AH314),2)</f>
        <v/>
      </c>
      <c r="AJ314" s="4" t="n">
        <v>0.2</v>
      </c>
      <c r="AK314" s="3">
        <f>ROUND(AI314*AJ314,2)</f>
        <v/>
      </c>
      <c r="AL314" s="3">
        <f>AI314+AK314</f>
        <v/>
      </c>
      <c r="AM314" s="3">
        <f>AE314-AL314</f>
        <v/>
      </c>
      <c r="AN314" s="4">
        <f>AM314/AE314</f>
        <v/>
      </c>
      <c r="AO314" s="3" t="inlineStr">
        <is>
          <t>60 mins</t>
        </is>
      </c>
      <c r="AQ314" s="3" t="inlineStr">
        <is>
          <t>Weight</t>
        </is>
      </c>
      <c r="AS314"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4" s="3" t="inlineStr">
        <is>
          <t>60 mins</t>
        </is>
      </c>
    </row>
    <row r="315" ht="15.75" customHeight="1">
      <c r="A315" s="10" t="inlineStr">
        <is>
          <t>PROD_0059</t>
        </is>
      </c>
      <c r="B315" s="10" t="inlineStr">
        <is>
          <t>VAR_1</t>
        </is>
      </c>
      <c r="C315" s="10" t="inlineStr">
        <is>
          <t>Modular Hardware</t>
        </is>
      </c>
      <c r="D315" s="10" t="inlineStr">
        <is>
          <t>Hinges</t>
        </is>
      </c>
      <c r="E315" s="10" t="inlineStr">
        <is>
          <t>Godrej</t>
        </is>
      </c>
      <c r="F315" s="10" t="inlineStr">
        <is>
          <t>Butt Hinge | 75x10x15 mm</t>
        </is>
      </c>
      <c r="G315" s="10" t="n"/>
      <c r="H315" s="10" t="inlineStr">
        <is>
          <t>Material</t>
        </is>
      </c>
      <c r="I315" s="10" t="inlineStr">
        <is>
          <t>Stainless Steel</t>
        </is>
      </c>
      <c r="J315" s="10" t="n"/>
      <c r="K315" s="10" t="n"/>
      <c r="L315" s="10" t="n"/>
      <c r="M315" s="10" t="n"/>
      <c r="N315" s="10" t="n"/>
      <c r="O315" s="10" t="n"/>
      <c r="P315" s="10" t="n"/>
      <c r="Q315" s="10" t="inlineStr">
        <is>
          <t>Manufacturer's Warranty</t>
        </is>
      </c>
      <c r="R315" s="10" t="n">
        <v>2560</v>
      </c>
      <c r="S315" s="10" t="n"/>
      <c r="T315" s="10" t="n"/>
      <c r="U315" s="10" t="n">
        <v>0.23</v>
      </c>
      <c r="V315" s="10" t="n"/>
      <c r="W315" s="10" t="inlineStr">
        <is>
          <t>Application</t>
        </is>
      </c>
      <c r="X315" s="10" t="inlineStr">
        <is>
          <t>Door &amp; Window</t>
        </is>
      </c>
      <c r="Y315" s="10" t="inlineStr">
        <is>
          <t>Godrej_BH_Cut _Size_75x10x15 mm_HInge_SS_2560</t>
        </is>
      </c>
      <c r="Z315" s="10" t="n">
        <v>8302</v>
      </c>
      <c r="AA315" s="10" t="n"/>
      <c r="AB315" s="10" t="n"/>
      <c r="AC315" s="10" t="n">
        <v>1</v>
      </c>
      <c r="AD315" s="10" t="n"/>
      <c r="AE315" s="10" t="n">
        <v>56</v>
      </c>
      <c r="AF315" s="11" t="n">
        <v>0.5</v>
      </c>
      <c r="AG315" s="10">
        <f>ROUND(AE315-(AE315*AF315),2)</f>
        <v/>
      </c>
      <c r="AH315" s="11" t="n">
        <v>0.18</v>
      </c>
      <c r="AI315" s="10">
        <f>ROUND(AG315+(AG315*AH315),2)</f>
        <v/>
      </c>
      <c r="AJ315" s="11" t="n">
        <v>0.2</v>
      </c>
      <c r="AK315" s="10">
        <f>ROUND(AI315*AJ315,2)</f>
        <v/>
      </c>
      <c r="AL315" s="10">
        <f>AI315+AK315</f>
        <v/>
      </c>
      <c r="AM315" s="10">
        <f>AE315-AL315</f>
        <v/>
      </c>
      <c r="AN315" s="11">
        <f>AM315/AE315</f>
        <v/>
      </c>
      <c r="AO315" s="10" t="inlineStr">
        <is>
          <t>60 mins</t>
        </is>
      </c>
      <c r="AP315" s="10" t="n"/>
      <c r="AQ315" s="10" t="inlineStr">
        <is>
          <t>Weight</t>
        </is>
      </c>
      <c r="AR315" s="10" t="n"/>
      <c r="AS315"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5" s="10" t="inlineStr">
        <is>
          <t>Inactive</t>
        </is>
      </c>
    </row>
    <row r="316" ht="15.75" customHeight="1">
      <c r="A316" s="3" t="inlineStr">
        <is>
          <t>PROD_0060</t>
        </is>
      </c>
      <c r="B316" s="3" t="inlineStr">
        <is>
          <t>VAR_1</t>
        </is>
      </c>
      <c r="C316" s="3" t="inlineStr">
        <is>
          <t>Modular Hardware</t>
        </is>
      </c>
      <c r="D316" s="3" t="inlineStr">
        <is>
          <t>Hinges</t>
        </is>
      </c>
      <c r="E316" s="3" t="inlineStr">
        <is>
          <t>Godrej</t>
        </is>
      </c>
      <c r="F316" s="3" t="inlineStr">
        <is>
          <t>Butt Hinge | 75x13x19 mm</t>
        </is>
      </c>
      <c r="H316" s="3" t="inlineStr">
        <is>
          <t>Material</t>
        </is>
      </c>
      <c r="I316" s="3" t="inlineStr">
        <is>
          <t>Stainless Steel</t>
        </is>
      </c>
      <c r="Q316" s="3" t="inlineStr">
        <is>
          <t>Manufacturer's Warranty</t>
        </is>
      </c>
      <c r="R316" s="3" t="n">
        <v>2561</v>
      </c>
      <c r="U316" s="3" t="n">
        <v>0.23</v>
      </c>
      <c r="W316" s="3" t="inlineStr">
        <is>
          <t>Application</t>
        </is>
      </c>
      <c r="X316" s="3" t="inlineStr">
        <is>
          <t>Door &amp; Window</t>
        </is>
      </c>
      <c r="Y316" s="3" t="inlineStr">
        <is>
          <t>Godrej_BH_Cut _Size_75x13x19 mm_HInge_SS_2561</t>
        </is>
      </c>
      <c r="Z316" s="3" t="n">
        <v>8302</v>
      </c>
      <c r="AC316" s="3" t="n">
        <v>1</v>
      </c>
      <c r="AE316" s="3" t="n">
        <v>66</v>
      </c>
      <c r="AF316" s="4" t="n">
        <v>0.5</v>
      </c>
      <c r="AG316" s="3">
        <f>ROUND(AE316-(AE316*AF316),2)</f>
        <v/>
      </c>
      <c r="AH316" s="4" t="n">
        <v>0.18</v>
      </c>
      <c r="AI316" s="3">
        <f>ROUND(AG316+(AG316*AH316),2)</f>
        <v/>
      </c>
      <c r="AJ316" s="4" t="n">
        <v>0.2</v>
      </c>
      <c r="AK316" s="3">
        <f>ROUND(AI316*AJ316,2)</f>
        <v/>
      </c>
      <c r="AL316" s="3">
        <f>AI316+AK316</f>
        <v/>
      </c>
      <c r="AM316" s="3">
        <f>AE316-AL316</f>
        <v/>
      </c>
      <c r="AN316" s="4">
        <f>AM316/AE316</f>
        <v/>
      </c>
      <c r="AO316" s="3" t="inlineStr">
        <is>
          <t>60 mins</t>
        </is>
      </c>
      <c r="AQ316" s="3" t="inlineStr">
        <is>
          <t>Weight</t>
        </is>
      </c>
      <c r="AS316"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6" s="3" t="inlineStr">
        <is>
          <t>60 mins</t>
        </is>
      </c>
    </row>
    <row r="317" ht="15.75" customHeight="1">
      <c r="A317" s="10" t="inlineStr">
        <is>
          <t>PROD_0061</t>
        </is>
      </c>
      <c r="B317" s="10" t="inlineStr">
        <is>
          <t>VAR_1</t>
        </is>
      </c>
      <c r="C317" s="10" t="inlineStr">
        <is>
          <t>Modular Hardware</t>
        </is>
      </c>
      <c r="D317" s="10" t="inlineStr">
        <is>
          <t>Hinges</t>
        </is>
      </c>
      <c r="E317" s="10" t="inlineStr">
        <is>
          <t>Godrej</t>
        </is>
      </c>
      <c r="F317" s="10" t="inlineStr">
        <is>
          <t>Butt Hinge | 75x19x19 mm</t>
        </is>
      </c>
      <c r="G317" s="10" t="n"/>
      <c r="H317" s="10" t="inlineStr">
        <is>
          <t>Material</t>
        </is>
      </c>
      <c r="I317" s="10" t="inlineStr">
        <is>
          <t>Stainless Steel</t>
        </is>
      </c>
      <c r="J317" s="10" t="n"/>
      <c r="K317" s="10" t="n"/>
      <c r="L317" s="10" t="n"/>
      <c r="M317" s="10" t="n"/>
      <c r="N317" s="10" t="n"/>
      <c r="O317" s="10" t="n"/>
      <c r="P317" s="10" t="n"/>
      <c r="Q317" s="10" t="inlineStr">
        <is>
          <t>Manufacturer's Warranty</t>
        </is>
      </c>
      <c r="R317" s="10" t="n">
        <v>2562</v>
      </c>
      <c r="S317" s="10" t="n"/>
      <c r="T317" s="10" t="n"/>
      <c r="U317" s="10" t="n">
        <v>0.23</v>
      </c>
      <c r="V317" s="10" t="n"/>
      <c r="W317" s="10" t="inlineStr">
        <is>
          <t>Application</t>
        </is>
      </c>
      <c r="X317" s="10" t="inlineStr">
        <is>
          <t>Door &amp; Window</t>
        </is>
      </c>
      <c r="Y317" s="10" t="inlineStr">
        <is>
          <t>Godrej_BH_Cut _Size_75x19x19 mm_HInge_SS_2562</t>
        </is>
      </c>
      <c r="Z317" s="10" t="n">
        <v>8302</v>
      </c>
      <c r="AA317" s="10" t="n"/>
      <c r="AB317" s="10" t="n"/>
      <c r="AC317" s="10" t="n">
        <v>1</v>
      </c>
      <c r="AD317" s="10" t="n"/>
      <c r="AE317" s="10" t="n">
        <v>70</v>
      </c>
      <c r="AF317" s="11" t="n">
        <v>0.5</v>
      </c>
      <c r="AG317" s="10">
        <f>ROUND(AE317-(AE317*AF317),2)</f>
        <v/>
      </c>
      <c r="AH317" s="11" t="n">
        <v>0.18</v>
      </c>
      <c r="AI317" s="10">
        <f>ROUND(AG317+(AG317*AH317),2)</f>
        <v/>
      </c>
      <c r="AJ317" s="11" t="n">
        <v>0.2</v>
      </c>
      <c r="AK317" s="10">
        <f>ROUND(AI317*AJ317,2)</f>
        <v/>
      </c>
      <c r="AL317" s="10">
        <f>AI317+AK317</f>
        <v/>
      </c>
      <c r="AM317" s="10">
        <f>AE317-AL317</f>
        <v/>
      </c>
      <c r="AN317" s="11">
        <f>AM317/AE317</f>
        <v/>
      </c>
      <c r="AO317" s="10" t="inlineStr">
        <is>
          <t>60 mins</t>
        </is>
      </c>
      <c r="AP317" s="10" t="n"/>
      <c r="AQ317" s="10" t="inlineStr">
        <is>
          <t>Weight</t>
        </is>
      </c>
      <c r="AR317" s="10" t="n"/>
      <c r="AS317"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7" s="10" t="inlineStr">
        <is>
          <t>Inactive</t>
        </is>
      </c>
    </row>
    <row r="318" ht="15.75" customHeight="1">
      <c r="A318" s="3" t="inlineStr">
        <is>
          <t>PROD_0062</t>
        </is>
      </c>
      <c r="B318" s="3" t="inlineStr">
        <is>
          <t>VAR_1</t>
        </is>
      </c>
      <c r="C318" s="3" t="inlineStr">
        <is>
          <t>Modular Hardware</t>
        </is>
      </c>
      <c r="D318" s="3" t="inlineStr">
        <is>
          <t>Hinges</t>
        </is>
      </c>
      <c r="E318" s="3" t="inlineStr">
        <is>
          <t>Godrej</t>
        </is>
      </c>
      <c r="F318" s="3" t="inlineStr">
        <is>
          <t>Butt Hinge | 75x10x27 mm</t>
        </is>
      </c>
      <c r="H318" s="3" t="inlineStr">
        <is>
          <t>Material</t>
        </is>
      </c>
      <c r="I318" s="3" t="inlineStr">
        <is>
          <t>Stainless Steel</t>
        </is>
      </c>
      <c r="Q318" s="3" t="inlineStr">
        <is>
          <t>Manufacturer's Warranty</t>
        </is>
      </c>
      <c r="R318" s="3" t="n">
        <v>2570</v>
      </c>
      <c r="U318" s="3" t="n">
        <v>0.23</v>
      </c>
      <c r="W318" s="3" t="inlineStr">
        <is>
          <t>Application</t>
        </is>
      </c>
      <c r="X318" s="3" t="inlineStr">
        <is>
          <t>Door &amp; Window</t>
        </is>
      </c>
      <c r="Y318" s="3" t="inlineStr">
        <is>
          <t>Godrej_BH_Cut _Size_75x10x27 mm_HInge_SS_2570</t>
        </is>
      </c>
      <c r="Z318" s="3" t="n">
        <v>8302</v>
      </c>
      <c r="AC318" s="3" t="n">
        <v>1</v>
      </c>
      <c r="AE318" s="3" t="n">
        <v>66</v>
      </c>
      <c r="AF318" s="4" t="n">
        <v>0.5</v>
      </c>
      <c r="AG318" s="3">
        <f>ROUND(AE318-(AE318*AF318),2)</f>
        <v/>
      </c>
      <c r="AH318" s="4" t="n">
        <v>0.18</v>
      </c>
      <c r="AI318" s="3">
        <f>ROUND(AG318+(AG318*AH318),2)</f>
        <v/>
      </c>
      <c r="AJ318" s="4" t="n">
        <v>0.2</v>
      </c>
      <c r="AK318" s="3">
        <f>ROUND(AI318*AJ318,2)</f>
        <v/>
      </c>
      <c r="AL318" s="3">
        <f>AI318+AK318</f>
        <v/>
      </c>
      <c r="AM318" s="3">
        <f>AE318-AL318</f>
        <v/>
      </c>
      <c r="AN318" s="4">
        <f>AM318/AE318</f>
        <v/>
      </c>
      <c r="AO318" s="3" t="inlineStr">
        <is>
          <t>60 mins</t>
        </is>
      </c>
      <c r="AQ318" s="3" t="inlineStr">
        <is>
          <t>Weight</t>
        </is>
      </c>
      <c r="AS318"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8" s="3" t="inlineStr">
        <is>
          <t>60 mins</t>
        </is>
      </c>
    </row>
    <row r="319" ht="15.75" customHeight="1">
      <c r="A319" s="10" t="inlineStr">
        <is>
          <t>PROD_0063</t>
        </is>
      </c>
      <c r="B319" s="10" t="inlineStr">
        <is>
          <t>VAR_1</t>
        </is>
      </c>
      <c r="C319" s="10" t="inlineStr">
        <is>
          <t>Modular Hardware</t>
        </is>
      </c>
      <c r="D319" s="10" t="inlineStr">
        <is>
          <t>Hinges</t>
        </is>
      </c>
      <c r="E319" s="10" t="inlineStr">
        <is>
          <t>Godrej</t>
        </is>
      </c>
      <c r="F319" s="10" t="inlineStr">
        <is>
          <t>Butt Hinge | 100x13x19 mm</t>
        </is>
      </c>
      <c r="G319" s="10" t="n"/>
      <c r="H319" s="10" t="inlineStr">
        <is>
          <t>Material</t>
        </is>
      </c>
      <c r="I319" s="10" t="inlineStr">
        <is>
          <t>Stainless Steel</t>
        </is>
      </c>
      <c r="J319" s="10" t="n"/>
      <c r="K319" s="10" t="n"/>
      <c r="L319" s="10" t="n"/>
      <c r="M319" s="10" t="n"/>
      <c r="N319" s="10" t="n"/>
      <c r="O319" s="10" t="n"/>
      <c r="P319" s="10" t="n"/>
      <c r="Q319" s="10" t="inlineStr">
        <is>
          <t>Manufacturer's Warranty</t>
        </is>
      </c>
      <c r="R319" s="10" t="n">
        <v>2563</v>
      </c>
      <c r="S319" s="10" t="n"/>
      <c r="T319" s="10" t="n"/>
      <c r="U319" s="10" t="n">
        <v>0.23</v>
      </c>
      <c r="V319" s="10" t="n"/>
      <c r="W319" s="10" t="inlineStr">
        <is>
          <t>Application</t>
        </is>
      </c>
      <c r="X319" s="10" t="inlineStr">
        <is>
          <t>Door &amp; Window</t>
        </is>
      </c>
      <c r="Y319" s="10" t="inlineStr">
        <is>
          <t>Godrej_BH_Cut _Size_100x13x19 mm_HInge_SS_2563</t>
        </is>
      </c>
      <c r="Z319" s="10" t="n">
        <v>8302</v>
      </c>
      <c r="AA319" s="10" t="n"/>
      <c r="AB319" s="10" t="n"/>
      <c r="AC319" s="10" t="n">
        <v>1</v>
      </c>
      <c r="AD319" s="10" t="n"/>
      <c r="AE319" s="10" t="n">
        <v>442</v>
      </c>
      <c r="AF319" s="11" t="n">
        <v>0.5</v>
      </c>
      <c r="AG319" s="10">
        <f>ROUND(AE319-(AE319*AF319),2)</f>
        <v/>
      </c>
      <c r="AH319" s="11" t="n">
        <v>0.18</v>
      </c>
      <c r="AI319" s="10">
        <f>ROUND(AG319+(AG319*AH319),2)</f>
        <v/>
      </c>
      <c r="AJ319" s="11" t="n">
        <v>0.2</v>
      </c>
      <c r="AK319" s="10">
        <f>ROUND(AI319*AJ319,2)</f>
        <v/>
      </c>
      <c r="AL319" s="10">
        <f>AI319+AK319</f>
        <v/>
      </c>
      <c r="AM319" s="10">
        <f>AE319-AL319</f>
        <v/>
      </c>
      <c r="AN319" s="11">
        <f>AM319/AE319</f>
        <v/>
      </c>
      <c r="AO319" s="10" t="inlineStr">
        <is>
          <t>60 mins</t>
        </is>
      </c>
      <c r="AP319" s="10" t="n"/>
      <c r="AQ319" s="10" t="inlineStr">
        <is>
          <t>Weight</t>
        </is>
      </c>
      <c r="AR319" s="10" t="n"/>
      <c r="AS319"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19" s="10" t="inlineStr">
        <is>
          <t>Inactive</t>
        </is>
      </c>
    </row>
    <row r="320" ht="15.75" customHeight="1">
      <c r="A320" s="10" t="inlineStr">
        <is>
          <t>PROD_0064</t>
        </is>
      </c>
      <c r="B320" s="10" t="inlineStr">
        <is>
          <t>VAR_1</t>
        </is>
      </c>
      <c r="C320" s="10" t="inlineStr">
        <is>
          <t>Modular Hardware</t>
        </is>
      </c>
      <c r="D320" s="10" t="inlineStr">
        <is>
          <t>Hinges</t>
        </is>
      </c>
      <c r="E320" s="10" t="inlineStr">
        <is>
          <t>Godrej</t>
        </is>
      </c>
      <c r="F320" s="10" t="inlineStr">
        <is>
          <t>Butt Hinge | 100x19x19 mm</t>
        </is>
      </c>
      <c r="G320" s="10" t="n"/>
      <c r="H320" s="10" t="inlineStr">
        <is>
          <t>Material</t>
        </is>
      </c>
      <c r="I320" s="10" t="inlineStr">
        <is>
          <t>Stainless Steel</t>
        </is>
      </c>
      <c r="J320" s="10" t="n"/>
      <c r="K320" s="10" t="n"/>
      <c r="L320" s="10" t="n"/>
      <c r="M320" s="10" t="n"/>
      <c r="N320" s="10" t="n"/>
      <c r="O320" s="10" t="n"/>
      <c r="P320" s="10" t="n"/>
      <c r="Q320" s="10" t="inlineStr">
        <is>
          <t>Manufacturer's Warranty</t>
        </is>
      </c>
      <c r="R320" s="10" t="n">
        <v>2564</v>
      </c>
      <c r="S320" s="10" t="n"/>
      <c r="T320" s="10" t="n"/>
      <c r="U320" s="10" t="n">
        <v>0.23</v>
      </c>
      <c r="V320" s="10" t="n"/>
      <c r="W320" s="10" t="inlineStr">
        <is>
          <t>Application</t>
        </is>
      </c>
      <c r="X320" s="10" t="inlineStr">
        <is>
          <t>Door &amp; Window</t>
        </is>
      </c>
      <c r="Y320" s="10" t="inlineStr">
        <is>
          <t>Godrej_BH_Cut _Size_100x19x19 mm_HInge_SS_2564</t>
        </is>
      </c>
      <c r="Z320" s="10" t="n">
        <v>8302</v>
      </c>
      <c r="AA320" s="10" t="n"/>
      <c r="AB320" s="10" t="n"/>
      <c r="AC320" s="10" t="n">
        <v>1</v>
      </c>
      <c r="AD320" s="10" t="n"/>
      <c r="AE320" s="10" t="n">
        <v>343</v>
      </c>
      <c r="AF320" s="11" t="n">
        <v>0.5</v>
      </c>
      <c r="AG320" s="10">
        <f>ROUND(AE320-(AE320*AF320),2)</f>
        <v/>
      </c>
      <c r="AH320" s="11" t="n">
        <v>0.18</v>
      </c>
      <c r="AI320" s="10">
        <f>ROUND(AG320+(AG320*AH320),2)</f>
        <v/>
      </c>
      <c r="AJ320" s="11" t="n">
        <v>0.2</v>
      </c>
      <c r="AK320" s="10">
        <f>ROUND(AI320*AJ320,2)</f>
        <v/>
      </c>
      <c r="AL320" s="10">
        <f>AI320+AK320</f>
        <v/>
      </c>
      <c r="AM320" s="10">
        <f>AE320-AL320</f>
        <v/>
      </c>
      <c r="AN320" s="11">
        <f>AM320/AE320</f>
        <v/>
      </c>
      <c r="AO320" s="10" t="inlineStr">
        <is>
          <t>60 mins</t>
        </is>
      </c>
      <c r="AP320" s="10" t="n"/>
      <c r="AQ320" s="10" t="inlineStr">
        <is>
          <t>Weight</t>
        </is>
      </c>
      <c r="AR320" s="10" t="n"/>
      <c r="AS320"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20" s="10" t="inlineStr">
        <is>
          <t>Inactive</t>
        </is>
      </c>
    </row>
    <row r="321" ht="15.75" customHeight="1">
      <c r="A321" s="3" t="inlineStr">
        <is>
          <t>PROD_0065</t>
        </is>
      </c>
      <c r="B321" s="3" t="inlineStr">
        <is>
          <t>VAR_1</t>
        </is>
      </c>
      <c r="C321" s="3" t="inlineStr">
        <is>
          <t>Modular Hardware</t>
        </is>
      </c>
      <c r="D321" s="3" t="inlineStr">
        <is>
          <t>Hinges</t>
        </is>
      </c>
      <c r="E321" s="3" t="inlineStr">
        <is>
          <t>Godrej</t>
        </is>
      </c>
      <c r="F321" s="3" t="inlineStr">
        <is>
          <t>Ball Bearing Hinge | 125x75x2.5 mm | Regular Close</t>
        </is>
      </c>
      <c r="H321" s="3" t="inlineStr">
        <is>
          <t>Material</t>
        </is>
      </c>
      <c r="I321" s="3" t="inlineStr">
        <is>
          <t>Stainless Steel</t>
        </is>
      </c>
      <c r="J321" s="3" t="inlineStr">
        <is>
          <t>Thickness</t>
        </is>
      </c>
      <c r="K321" s="3" t="inlineStr">
        <is>
          <t>5 mm</t>
        </is>
      </c>
      <c r="Q321" s="3" t="inlineStr">
        <is>
          <t>Manufacturer's Warranty</t>
        </is>
      </c>
      <c r="R321" s="3" t="n">
        <v>2705</v>
      </c>
      <c r="Y321" s="3" t="inlineStr">
        <is>
          <t>Godrej_BH_Cut _Size_125x75x2.5 mm_HInge_SS_2705</t>
        </is>
      </c>
      <c r="Z321" s="3" t="n">
        <v>8302</v>
      </c>
      <c r="AE321" s="3" t="n">
        <v>421</v>
      </c>
      <c r="AF321" s="4" t="n">
        <v>0.5</v>
      </c>
      <c r="AG321" s="3">
        <f>ROUND(AE321-(AE321*AF321),2)</f>
        <v/>
      </c>
      <c r="AH321" s="4" t="n">
        <v>0.18</v>
      </c>
      <c r="AI321" s="3">
        <f>ROUND(AG321+(AG321*AH321),2)</f>
        <v/>
      </c>
      <c r="AJ321" s="4" t="n">
        <v>0.2</v>
      </c>
      <c r="AK321" s="3">
        <f>ROUND(AI321*AJ321,2)</f>
        <v/>
      </c>
      <c r="AL321" s="3">
        <f>AI321+AK321</f>
        <v/>
      </c>
      <c r="AM321" s="3">
        <f>AE321-AL321</f>
        <v/>
      </c>
      <c r="AN321" s="4">
        <f>AM321/AE321</f>
        <v/>
      </c>
      <c r="AO321" s="3" t="inlineStr">
        <is>
          <t>60 mins</t>
        </is>
      </c>
      <c r="AT321" s="3" t="inlineStr">
        <is>
          <t>3 hrs</t>
        </is>
      </c>
    </row>
    <row r="322" ht="15.75" customHeight="1">
      <c r="A322" s="3" t="inlineStr">
        <is>
          <t>PROD_0066</t>
        </is>
      </c>
      <c r="B322" s="3" t="inlineStr">
        <is>
          <t>VAR_1</t>
        </is>
      </c>
      <c r="C322" s="3" t="inlineStr">
        <is>
          <t>Modular Hardware</t>
        </is>
      </c>
      <c r="D322" s="3" t="inlineStr">
        <is>
          <t>Hinges</t>
        </is>
      </c>
      <c r="E322" s="3" t="inlineStr">
        <is>
          <t>Godrej</t>
        </is>
      </c>
      <c r="F322" s="3" t="inlineStr">
        <is>
          <t>Ball Bearing Hinge | 125x75x3 mm | Regular Close</t>
        </is>
      </c>
      <c r="H322" s="3" t="inlineStr">
        <is>
          <t>Material</t>
        </is>
      </c>
      <c r="I322" s="3" t="inlineStr">
        <is>
          <t>Stainless Steel</t>
        </is>
      </c>
      <c r="J322" s="3" t="inlineStr">
        <is>
          <t>Thickness</t>
        </is>
      </c>
      <c r="K322" s="3" t="inlineStr">
        <is>
          <t>5 mm</t>
        </is>
      </c>
      <c r="Q322" s="3" t="inlineStr">
        <is>
          <t>Manufacturer's Warranty</t>
        </is>
      </c>
      <c r="R322" s="3" t="n">
        <v>2702</v>
      </c>
      <c r="Y322" s="3" t="inlineStr">
        <is>
          <t>Godrej_BH_Cut _Size_125x75x3 mm _HInge_SS_2702</t>
        </is>
      </c>
      <c r="Z322" s="3" t="n">
        <v>8302</v>
      </c>
      <c r="AE322" s="3" t="n">
        <v>442</v>
      </c>
      <c r="AF322" s="4" t="n">
        <v>0.5</v>
      </c>
      <c r="AG322" s="3">
        <f>ROUND(AE322-(AE322*AF322),2)</f>
        <v/>
      </c>
      <c r="AH322" s="4" t="n">
        <v>0.18</v>
      </c>
      <c r="AI322" s="3">
        <f>ROUND(AG322+(AG322*AH322),2)</f>
        <v/>
      </c>
      <c r="AJ322" s="4" t="n">
        <v>0.2</v>
      </c>
      <c r="AK322" s="3">
        <f>ROUND(AI322*AJ322,2)</f>
        <v/>
      </c>
      <c r="AL322" s="3">
        <f>AI322+AK322</f>
        <v/>
      </c>
      <c r="AM322" s="3">
        <f>AE322-AL322</f>
        <v/>
      </c>
      <c r="AN322" s="4">
        <f>AM322/AE322</f>
        <v/>
      </c>
      <c r="AO322" s="3" t="inlineStr">
        <is>
          <t>60 mins</t>
        </is>
      </c>
      <c r="AT322" s="3" t="inlineStr">
        <is>
          <t>3 hrs</t>
        </is>
      </c>
    </row>
    <row r="323" ht="15.75" customHeight="1">
      <c r="A323" s="3" t="inlineStr">
        <is>
          <t>PROD_0067</t>
        </is>
      </c>
      <c r="B323" s="3" t="inlineStr">
        <is>
          <t>VAR_1</t>
        </is>
      </c>
      <c r="C323" s="3" t="inlineStr">
        <is>
          <t>Modular Hardware</t>
        </is>
      </c>
      <c r="D323" s="3" t="inlineStr">
        <is>
          <t>Hinges</t>
        </is>
      </c>
      <c r="E323" s="3" t="inlineStr">
        <is>
          <t>Godrej</t>
        </is>
      </c>
      <c r="F323" s="3" t="inlineStr">
        <is>
          <t>Ball Bearing Hinge | 100x75x2.5 mm | Regular Close</t>
        </is>
      </c>
      <c r="H323" s="3" t="inlineStr">
        <is>
          <t>Material</t>
        </is>
      </c>
      <c r="I323" s="3" t="inlineStr">
        <is>
          <t>Stainless Steel</t>
        </is>
      </c>
      <c r="J323" s="3" t="inlineStr">
        <is>
          <t>Thickness</t>
        </is>
      </c>
      <c r="K323" s="3" t="inlineStr">
        <is>
          <t>4 mm</t>
        </is>
      </c>
      <c r="Q323" s="3" t="inlineStr">
        <is>
          <t>Manufacturer's Warranty</t>
        </is>
      </c>
      <c r="R323" s="3" t="n">
        <v>2706</v>
      </c>
      <c r="Y323" s="3" t="inlineStr">
        <is>
          <t>Godrej_BH_Cut _Size_100x75x2.5 mm_HInge_SS_2706</t>
        </is>
      </c>
      <c r="Z323" s="3" t="n">
        <v>8302</v>
      </c>
      <c r="AE323" s="3" t="n">
        <v>343</v>
      </c>
      <c r="AF323" s="4" t="n">
        <v>0.5</v>
      </c>
      <c r="AG323" s="3">
        <f>ROUND(AE323-(AE323*AF323),2)</f>
        <v/>
      </c>
      <c r="AH323" s="4" t="n">
        <v>0.18</v>
      </c>
      <c r="AI323" s="3">
        <f>ROUND(AG323+(AG323*AH323),2)</f>
        <v/>
      </c>
      <c r="AJ323" s="4" t="n">
        <v>0.2</v>
      </c>
      <c r="AK323" s="3">
        <f>ROUND(AI323*AJ323,2)</f>
        <v/>
      </c>
      <c r="AL323" s="3">
        <f>AI323+AK323</f>
        <v/>
      </c>
      <c r="AM323" s="3">
        <f>AE323-AL323</f>
        <v/>
      </c>
      <c r="AN323" s="4">
        <f>AM323/AE323</f>
        <v/>
      </c>
      <c r="AO323" s="3" t="inlineStr">
        <is>
          <t>60 mins</t>
        </is>
      </c>
      <c r="AT323" s="3" t="inlineStr">
        <is>
          <t>3 hrs</t>
        </is>
      </c>
    </row>
    <row r="324" ht="15.75" customHeight="1">
      <c r="A324" s="3" t="inlineStr">
        <is>
          <t>PROD_0068</t>
        </is>
      </c>
      <c r="B324" s="3" t="inlineStr">
        <is>
          <t>VAR_1</t>
        </is>
      </c>
      <c r="C324" s="3" t="inlineStr">
        <is>
          <t>Modular Hardware</t>
        </is>
      </c>
      <c r="D324" s="3" t="inlineStr">
        <is>
          <t>Hinges</t>
        </is>
      </c>
      <c r="E324" s="3" t="inlineStr">
        <is>
          <t>Godrej</t>
        </is>
      </c>
      <c r="F324" s="3" t="inlineStr">
        <is>
          <t>Ball Bearing Hinge | 100x75x3 mm | Regular Close</t>
        </is>
      </c>
      <c r="H324" s="3" t="inlineStr">
        <is>
          <t>Material</t>
        </is>
      </c>
      <c r="I324" s="3" t="inlineStr">
        <is>
          <t>Stainless Steel</t>
        </is>
      </c>
      <c r="J324" s="3" t="inlineStr">
        <is>
          <t>Thickness</t>
        </is>
      </c>
      <c r="K324" s="3" t="inlineStr">
        <is>
          <t>4 mm</t>
        </is>
      </c>
      <c r="Q324" s="3" t="inlineStr">
        <is>
          <t>Manufacturer's Warranty</t>
        </is>
      </c>
      <c r="R324" s="3" t="n">
        <v>2703</v>
      </c>
      <c r="Y324" s="3" t="inlineStr">
        <is>
          <t>Godrej_BH_Cut _Size_100x75x3 mm_HInge_SS_2703</t>
        </is>
      </c>
      <c r="Z324" s="3" t="n">
        <v>8302</v>
      </c>
      <c r="AE324" s="3" t="n">
        <v>364</v>
      </c>
      <c r="AF324" s="4" t="n">
        <v>0.5</v>
      </c>
      <c r="AG324" s="3">
        <f>ROUND(AE324-(AE324*AF324),2)</f>
        <v/>
      </c>
      <c r="AH324" s="4" t="n">
        <v>0.18</v>
      </c>
      <c r="AI324" s="3">
        <f>ROUND(AG324+(AG324*AH324),2)</f>
        <v/>
      </c>
      <c r="AJ324" s="4" t="n">
        <v>0.2</v>
      </c>
      <c r="AK324" s="3">
        <f>ROUND(AI324*AJ324,2)</f>
        <v/>
      </c>
      <c r="AL324" s="3">
        <f>AI324+AK324</f>
        <v/>
      </c>
      <c r="AM324" s="3">
        <f>AE324-AL324</f>
        <v/>
      </c>
      <c r="AN324" s="4">
        <f>AM324/AE324</f>
        <v/>
      </c>
      <c r="AO324" s="3" t="inlineStr">
        <is>
          <t>60 mins</t>
        </is>
      </c>
      <c r="AT324" s="3" t="inlineStr">
        <is>
          <t>3 hrs</t>
        </is>
      </c>
    </row>
    <row r="325" ht="15.75" customHeight="1">
      <c r="A325" s="3" t="inlineStr">
        <is>
          <t>PROD_0066</t>
        </is>
      </c>
      <c r="B325" s="3" t="inlineStr">
        <is>
          <t>VAR_2</t>
        </is>
      </c>
      <c r="C325" s="3" t="inlineStr">
        <is>
          <t>Modular Hardware</t>
        </is>
      </c>
      <c r="D325" s="3" t="inlineStr">
        <is>
          <t>Hinges</t>
        </is>
      </c>
      <c r="E325" s="3" t="inlineStr">
        <is>
          <t>Godrej</t>
        </is>
      </c>
      <c r="F325" s="3" t="inlineStr">
        <is>
          <t>Ball Bearing Hinge | 125x75x3 mm | Regular Close</t>
        </is>
      </c>
      <c r="H325" s="3" t="inlineStr">
        <is>
          <t>Material</t>
        </is>
      </c>
      <c r="I325" s="3" t="inlineStr">
        <is>
          <t>Steel</t>
        </is>
      </c>
      <c r="J325" s="3" t="inlineStr">
        <is>
          <t>Thickness</t>
        </is>
      </c>
      <c r="K325" s="3" t="inlineStr">
        <is>
          <t>5 mm</t>
        </is>
      </c>
      <c r="Q325" s="3" t="inlineStr">
        <is>
          <t>Manufacturer's Warranty</t>
        </is>
      </c>
      <c r="R325" s="3" t="n">
        <v>2708</v>
      </c>
      <c r="Y325" s="3" t="inlineStr">
        <is>
          <t>Godrej_BH_Cut _Size_125x75x3 mm_HInge_SS_2708</t>
        </is>
      </c>
      <c r="Z325" s="3" t="n">
        <v>8302</v>
      </c>
      <c r="AE325" s="3" t="n">
        <v>400</v>
      </c>
      <c r="AF325" s="4" t="n">
        <v>0.5</v>
      </c>
      <c r="AG325" s="3">
        <f>ROUND(AE325-(AE325*AF325),2)</f>
        <v/>
      </c>
      <c r="AH325" s="4" t="n">
        <v>0.18</v>
      </c>
      <c r="AI325" s="3">
        <f>ROUND(AG325+(AG325*AH325),2)</f>
        <v/>
      </c>
      <c r="AJ325" s="4" t="n">
        <v>0.2</v>
      </c>
      <c r="AK325" s="3">
        <f>ROUND(AI325*AJ325,2)</f>
        <v/>
      </c>
      <c r="AL325" s="3">
        <f>AI325+AK325</f>
        <v/>
      </c>
      <c r="AM325" s="3">
        <f>AE325-AL325</f>
        <v/>
      </c>
      <c r="AN325" s="4">
        <f>AM325/AE325</f>
        <v/>
      </c>
      <c r="AO325" s="3" t="inlineStr">
        <is>
          <t>60 mins</t>
        </is>
      </c>
      <c r="AT325" s="3" t="inlineStr">
        <is>
          <t>3 hrs</t>
        </is>
      </c>
    </row>
    <row r="326" ht="15.75" customHeight="1">
      <c r="A326" s="3" t="inlineStr">
        <is>
          <t>PROD_0065</t>
        </is>
      </c>
      <c r="B326" s="3" t="inlineStr">
        <is>
          <t>VAR_2</t>
        </is>
      </c>
      <c r="C326" s="3" t="inlineStr">
        <is>
          <t>Modular Hardware</t>
        </is>
      </c>
      <c r="D326" s="3" t="inlineStr">
        <is>
          <t>Hinges</t>
        </is>
      </c>
      <c r="E326" s="3" t="inlineStr">
        <is>
          <t>Godrej</t>
        </is>
      </c>
      <c r="F326" s="3" t="inlineStr">
        <is>
          <t>Ball Bearing Hinge | 125x75x2.5 mm | Regular Close</t>
        </is>
      </c>
      <c r="H326" s="3" t="inlineStr">
        <is>
          <t>Material</t>
        </is>
      </c>
      <c r="I326" s="3" t="inlineStr">
        <is>
          <t>Steel</t>
        </is>
      </c>
      <c r="J326" s="3" t="inlineStr">
        <is>
          <t>Thickness</t>
        </is>
      </c>
      <c r="K326" s="3" t="inlineStr">
        <is>
          <t>5 mm</t>
        </is>
      </c>
      <c r="Q326" s="3" t="inlineStr">
        <is>
          <t>Manufacturer's Warranty</t>
        </is>
      </c>
      <c r="R326" s="3" t="n">
        <v>2711</v>
      </c>
      <c r="Y326" s="3" t="inlineStr">
        <is>
          <t>Godrej_BH_Cut _Size_125x75x2.5 mm_HInge_SS_2711</t>
        </is>
      </c>
      <c r="Z326" s="3" t="n">
        <v>8302</v>
      </c>
      <c r="AE326" s="3" t="n">
        <v>385</v>
      </c>
      <c r="AF326" s="4" t="n">
        <v>0.5</v>
      </c>
      <c r="AG326" s="3">
        <f>ROUND(AE326-(AE326*AF326),2)</f>
        <v/>
      </c>
      <c r="AH326" s="4" t="n">
        <v>0.18</v>
      </c>
      <c r="AI326" s="3">
        <f>ROUND(AG326+(AG326*AH326),2)</f>
        <v/>
      </c>
      <c r="AJ326" s="4" t="n">
        <v>0.2</v>
      </c>
      <c r="AK326" s="3">
        <f>ROUND(AI326*AJ326,2)</f>
        <v/>
      </c>
      <c r="AL326" s="3">
        <f>AI326+AK326</f>
        <v/>
      </c>
      <c r="AM326" s="3">
        <f>AE326-AL326</f>
        <v/>
      </c>
      <c r="AN326" s="4">
        <f>AM326/AE326</f>
        <v/>
      </c>
      <c r="AO326" s="3" t="inlineStr">
        <is>
          <t>60 mins</t>
        </is>
      </c>
      <c r="AT326" s="3" t="inlineStr">
        <is>
          <t>3 hrs</t>
        </is>
      </c>
    </row>
    <row r="327" ht="15.75" customHeight="1">
      <c r="A327" s="3" t="inlineStr">
        <is>
          <t>PROD_0067</t>
        </is>
      </c>
      <c r="B327" s="3" t="inlineStr">
        <is>
          <t>VAR_2</t>
        </is>
      </c>
      <c r="C327" s="3" t="inlineStr">
        <is>
          <t>Modular Hardware</t>
        </is>
      </c>
      <c r="D327" s="3" t="inlineStr">
        <is>
          <t>Hinges</t>
        </is>
      </c>
      <c r="E327" s="3" t="inlineStr">
        <is>
          <t>Godrej</t>
        </is>
      </c>
      <c r="F327" s="3" t="inlineStr">
        <is>
          <t>Ball Bearing Hinge | 100x75x2.5 mm | Regular Close</t>
        </is>
      </c>
      <c r="H327" s="3" t="inlineStr">
        <is>
          <t>Material</t>
        </is>
      </c>
      <c r="I327" s="3" t="inlineStr">
        <is>
          <t>Steel</t>
        </is>
      </c>
      <c r="J327" s="3" t="inlineStr">
        <is>
          <t>Thickness</t>
        </is>
      </c>
      <c r="K327" s="3" t="inlineStr">
        <is>
          <t>4 mm</t>
        </is>
      </c>
      <c r="Q327" s="3" t="inlineStr">
        <is>
          <t>Manufacturer's Warranty</t>
        </is>
      </c>
      <c r="R327" s="3" t="n">
        <v>2712</v>
      </c>
      <c r="Y327" s="3" t="inlineStr">
        <is>
          <t>Godrej_BH_Cut _Size_100x75x2.5 mm_HInge_SS_2712</t>
        </is>
      </c>
      <c r="Z327" s="3" t="n">
        <v>8302</v>
      </c>
      <c r="AE327" s="3" t="n">
        <v>385</v>
      </c>
      <c r="AF327" s="4" t="n">
        <v>0.5</v>
      </c>
      <c r="AG327" s="3">
        <f>ROUND(AE327-(AE327*AF327),2)</f>
        <v/>
      </c>
      <c r="AH327" s="4" t="n">
        <v>0.18</v>
      </c>
      <c r="AI327" s="3">
        <f>ROUND(AG327+(AG327*AH327),2)</f>
        <v/>
      </c>
      <c r="AJ327" s="4" t="n">
        <v>0.2</v>
      </c>
      <c r="AK327" s="3">
        <f>ROUND(AI327*AJ327,2)</f>
        <v/>
      </c>
      <c r="AL327" s="3">
        <f>AI327+AK327</f>
        <v/>
      </c>
      <c r="AM327" s="3">
        <f>AE327-AL327</f>
        <v/>
      </c>
      <c r="AN327" s="4">
        <f>AM327/AE327</f>
        <v/>
      </c>
      <c r="AO327" s="3" t="inlineStr">
        <is>
          <t>60 mins</t>
        </is>
      </c>
      <c r="AT327" s="3" t="inlineStr">
        <is>
          <t>3 hrs</t>
        </is>
      </c>
    </row>
    <row r="328" ht="15.75" customHeight="1">
      <c r="A328" s="3" t="inlineStr">
        <is>
          <t>PROD_0068</t>
        </is>
      </c>
      <c r="B328" s="3" t="inlineStr">
        <is>
          <t>VAR_2</t>
        </is>
      </c>
      <c r="C328" s="3" t="inlineStr">
        <is>
          <t>Modular Hardware</t>
        </is>
      </c>
      <c r="D328" s="3" t="inlineStr">
        <is>
          <t>Hinges</t>
        </is>
      </c>
      <c r="E328" s="3" t="inlineStr">
        <is>
          <t>Godrej</t>
        </is>
      </c>
      <c r="F328" s="3" t="inlineStr">
        <is>
          <t>Ball Bearing Hinge | 100x75x3 mm | Regular Close</t>
        </is>
      </c>
      <c r="H328" s="3" t="inlineStr">
        <is>
          <t>Material</t>
        </is>
      </c>
      <c r="I328" s="3" t="inlineStr">
        <is>
          <t>Steel</t>
        </is>
      </c>
      <c r="J328" s="3" t="inlineStr">
        <is>
          <t>Thickness</t>
        </is>
      </c>
      <c r="K328" s="3" t="inlineStr">
        <is>
          <t>4 mm</t>
        </is>
      </c>
      <c r="Q328" s="3" t="inlineStr">
        <is>
          <t>Manufacturer's Warranty</t>
        </is>
      </c>
      <c r="R328" s="3" t="n">
        <v>2709</v>
      </c>
      <c r="Y328" s="3" t="inlineStr">
        <is>
          <t>Godrej_BH_Cut _Size_100x75x3 mm_HInge_SS_2709</t>
        </is>
      </c>
      <c r="Z328" s="3" t="n">
        <v>8302</v>
      </c>
      <c r="AE328" s="3" t="n">
        <v>348</v>
      </c>
      <c r="AF328" s="4" t="n">
        <v>0.5</v>
      </c>
      <c r="AG328" s="3">
        <f>ROUND(AE328-(AE328*AF328),2)</f>
        <v/>
      </c>
      <c r="AH328" s="4" t="n">
        <v>0.18</v>
      </c>
      <c r="AI328" s="3">
        <f>ROUND(AG328+(AG328*AH328),2)</f>
        <v/>
      </c>
      <c r="AJ328" s="4" t="n">
        <v>0.2</v>
      </c>
      <c r="AK328" s="3">
        <f>ROUND(AI328*AJ328,2)</f>
        <v/>
      </c>
      <c r="AL328" s="3">
        <f>AI328+AK328</f>
        <v/>
      </c>
      <c r="AM328" s="3">
        <f>AE328-AL328</f>
        <v/>
      </c>
      <c r="AN328" s="4">
        <f>AM328/AE328</f>
        <v/>
      </c>
      <c r="AO328" s="3" t="inlineStr">
        <is>
          <t>60 mins</t>
        </is>
      </c>
      <c r="AT328" s="3" t="inlineStr">
        <is>
          <t>3 hrs</t>
        </is>
      </c>
    </row>
    <row r="329" ht="15.75" customHeight="1">
      <c r="A329" s="10" t="inlineStr">
        <is>
          <t>PROD_0069</t>
        </is>
      </c>
      <c r="B329" s="10" t="inlineStr">
        <is>
          <t>VAR_1</t>
        </is>
      </c>
      <c r="C329" s="10" t="inlineStr">
        <is>
          <t>Modular Hardware</t>
        </is>
      </c>
      <c r="D329" s="10" t="inlineStr">
        <is>
          <t>Hinges</t>
        </is>
      </c>
      <c r="E329" s="10" t="inlineStr">
        <is>
          <t>Godrej</t>
        </is>
      </c>
      <c r="F329" s="10" t="inlineStr">
        <is>
          <t>Glossy Slip on Soft Hinge 2 Hole | 105 degree | Soft Close</t>
        </is>
      </c>
      <c r="G329" s="10" t="n"/>
      <c r="H329" s="10" t="inlineStr">
        <is>
          <t>Crank</t>
        </is>
      </c>
      <c r="I329" s="10" t="inlineStr">
        <is>
          <t>15 K</t>
        </is>
      </c>
      <c r="J329" s="10" t="inlineStr">
        <is>
          <t>Board Thickness</t>
        </is>
      </c>
      <c r="K329" s="10" t="inlineStr">
        <is>
          <t>14-20 mm</t>
        </is>
      </c>
      <c r="L329" s="10" t="n"/>
      <c r="M329" s="10" t="n"/>
      <c r="N329" s="10" t="n"/>
      <c r="O329" s="10" t="n"/>
      <c r="P329" s="10" t="n"/>
      <c r="Q329" s="10" t="inlineStr">
        <is>
          <t>Manufacturer's Warranty</t>
        </is>
      </c>
      <c r="R329" s="10" t="n">
        <v>2225</v>
      </c>
      <c r="S329" s="10" t="n">
        <v>2</v>
      </c>
      <c r="T329" s="10" t="n"/>
      <c r="U329" s="10" t="n">
        <v>0.23</v>
      </c>
      <c r="V329" s="10" t="inlineStr">
        <is>
          <t>Mounting Plates</t>
        </is>
      </c>
      <c r="W329" s="10" t="inlineStr">
        <is>
          <t>Application</t>
        </is>
      </c>
      <c r="X329" s="10" t="n"/>
      <c r="Y329" s="10" t="inlineStr">
        <is>
          <t>Godrej_IH_OA_105_degree_15CK_ 2225</t>
        </is>
      </c>
      <c r="Z329" s="10" t="n">
        <v>8302</v>
      </c>
      <c r="AA329" s="10" t="n"/>
      <c r="AB329" s="10" t="n"/>
      <c r="AC329" s="10" t="n">
        <v>1</v>
      </c>
      <c r="AD329" s="10" t="n"/>
      <c r="AE329" s="10" t="n">
        <v>290</v>
      </c>
      <c r="AF329" s="11" t="n">
        <v>0.5</v>
      </c>
      <c r="AG329" s="10">
        <f>ROUND(AE329-(AE329*AF329),2)</f>
        <v/>
      </c>
      <c r="AH329" s="11" t="n">
        <v>0.18</v>
      </c>
      <c r="AI329" s="10">
        <f>ROUND(AG329+(AG329*AH329),2)</f>
        <v/>
      </c>
      <c r="AJ329" s="11" t="n">
        <v>0.2</v>
      </c>
      <c r="AK329" s="10">
        <f>ROUND(AI329*AJ329,2)</f>
        <v/>
      </c>
      <c r="AL329" s="10">
        <f>AI329+AK329</f>
        <v/>
      </c>
      <c r="AM329" s="10">
        <f>AE329-AL329</f>
        <v/>
      </c>
      <c r="AN329" s="11">
        <f>AM329/AE329</f>
        <v/>
      </c>
      <c r="AO329" s="10" t="inlineStr">
        <is>
          <t>60 mins</t>
        </is>
      </c>
      <c r="AP329" s="10" t="n"/>
      <c r="AQ329" s="10" t="inlineStr">
        <is>
          <t>Weight</t>
        </is>
      </c>
      <c r="AR329" s="10" t="n"/>
      <c r="AS329"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29" s="10" t="inlineStr">
        <is>
          <t>Inactive</t>
        </is>
      </c>
    </row>
    <row r="330" ht="15.75" customHeight="1">
      <c r="A330" s="10" t="inlineStr">
        <is>
          <t>PROD_0069</t>
        </is>
      </c>
      <c r="B330" s="10" t="inlineStr">
        <is>
          <t>VAR_2</t>
        </is>
      </c>
      <c r="C330" s="10" t="inlineStr">
        <is>
          <t>Modular Hardware</t>
        </is>
      </c>
      <c r="D330" s="10" t="inlineStr">
        <is>
          <t>Hinges</t>
        </is>
      </c>
      <c r="E330" s="10" t="inlineStr">
        <is>
          <t>Godrej</t>
        </is>
      </c>
      <c r="F330" s="10" t="inlineStr">
        <is>
          <t>Glossy Slip on Soft Hinge 2 Hole | 105 degree | Soft Close</t>
        </is>
      </c>
      <c r="G330" s="10" t="n"/>
      <c r="H330" s="10" t="inlineStr">
        <is>
          <t>Crank</t>
        </is>
      </c>
      <c r="I330" s="10" t="inlineStr">
        <is>
          <t>8 K</t>
        </is>
      </c>
      <c r="J330" s="10" t="inlineStr">
        <is>
          <t>Board Thickness</t>
        </is>
      </c>
      <c r="K330" s="10" t="inlineStr">
        <is>
          <t>14-20 mm</t>
        </is>
      </c>
      <c r="L330" s="10" t="n"/>
      <c r="M330" s="10" t="n"/>
      <c r="N330" s="10" t="n"/>
      <c r="O330" s="10" t="n"/>
      <c r="P330" s="10" t="n"/>
      <c r="Q330" s="10" t="inlineStr">
        <is>
          <t>Manufacturer's Warranty</t>
        </is>
      </c>
      <c r="R330" s="10" t="n">
        <v>2224</v>
      </c>
      <c r="S330" s="10" t="n">
        <v>2</v>
      </c>
      <c r="T330" s="10" t="n"/>
      <c r="U330" s="10" t="n">
        <v>0.23</v>
      </c>
      <c r="V330" s="10" t="inlineStr">
        <is>
          <t>Mounting Plates</t>
        </is>
      </c>
      <c r="W330" s="10" t="inlineStr">
        <is>
          <t>Application</t>
        </is>
      </c>
      <c r="X330" s="10" t="n"/>
      <c r="Y330" s="10" t="inlineStr">
        <is>
          <t>Godrej_IH_OA_105_degree_8CK_2224</t>
        </is>
      </c>
      <c r="Z330" s="10" t="n">
        <v>8302</v>
      </c>
      <c r="AA330" s="10" t="n"/>
      <c r="AB330" s="10" t="n"/>
      <c r="AC330" s="10" t="n">
        <v>1</v>
      </c>
      <c r="AD330" s="10" t="n"/>
      <c r="AE330" s="10" t="n">
        <v>280</v>
      </c>
      <c r="AF330" s="11" t="n">
        <v>0.5</v>
      </c>
      <c r="AG330" s="10">
        <f>ROUND(AE330-(AE330*AF330),2)</f>
        <v/>
      </c>
      <c r="AH330" s="11" t="n">
        <v>0.18</v>
      </c>
      <c r="AI330" s="10">
        <f>ROUND(AG330+(AG330*AH330),2)</f>
        <v/>
      </c>
      <c r="AJ330" s="11" t="n">
        <v>0.2</v>
      </c>
      <c r="AK330" s="10">
        <f>ROUND(AI330*AJ330,2)</f>
        <v/>
      </c>
      <c r="AL330" s="10">
        <f>AI330+AK330</f>
        <v/>
      </c>
      <c r="AM330" s="10">
        <f>AE330-AL330</f>
        <v/>
      </c>
      <c r="AN330" s="11">
        <f>AM330/AE330</f>
        <v/>
      </c>
      <c r="AO330" s="10" t="inlineStr">
        <is>
          <t>60 mins</t>
        </is>
      </c>
      <c r="AP330" s="10" t="n"/>
      <c r="AQ330" s="10" t="inlineStr">
        <is>
          <t>Weight</t>
        </is>
      </c>
      <c r="AR330" s="10" t="n"/>
      <c r="AS330"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30" s="10" t="inlineStr">
        <is>
          <t>Inactive</t>
        </is>
      </c>
    </row>
    <row r="331" ht="15.75" customHeight="1">
      <c r="A331" s="10" t="inlineStr">
        <is>
          <t>PROD_0069</t>
        </is>
      </c>
      <c r="B331" s="10" t="inlineStr">
        <is>
          <t>VAR_3</t>
        </is>
      </c>
      <c r="C331" s="10" t="inlineStr">
        <is>
          <t>Modular Hardware</t>
        </is>
      </c>
      <c r="D331" s="10" t="inlineStr">
        <is>
          <t>Hinges</t>
        </is>
      </c>
      <c r="E331" s="10" t="inlineStr">
        <is>
          <t>Godrej</t>
        </is>
      </c>
      <c r="F331" s="10" t="inlineStr">
        <is>
          <t>Glossy Slip on Soft Hinge 2 Hole | 105 degree | Soft Close</t>
        </is>
      </c>
      <c r="G331" s="10" t="n"/>
      <c r="H331" s="10" t="inlineStr">
        <is>
          <t>Crank</t>
        </is>
      </c>
      <c r="I331" s="10" t="inlineStr">
        <is>
          <t>0 K</t>
        </is>
      </c>
      <c r="J331" s="10" t="inlineStr">
        <is>
          <t>Board Thickness</t>
        </is>
      </c>
      <c r="K331" s="10" t="inlineStr">
        <is>
          <t>14-20 mm</t>
        </is>
      </c>
      <c r="L331" s="10" t="n"/>
      <c r="M331" s="10" t="n"/>
      <c r="N331" s="10" t="n"/>
      <c r="O331" s="10" t="n"/>
      <c r="P331" s="10" t="n"/>
      <c r="Q331" s="10" t="inlineStr">
        <is>
          <t>Manufacturer's Warranty</t>
        </is>
      </c>
      <c r="R331" s="10" t="n">
        <v>2223</v>
      </c>
      <c r="S331" s="10" t="n">
        <v>2</v>
      </c>
      <c r="T331" s="10" t="n"/>
      <c r="U331" s="10" t="n">
        <v>0.23</v>
      </c>
      <c r="V331" s="10" t="inlineStr">
        <is>
          <t>Mounting Plates</t>
        </is>
      </c>
      <c r="W331" s="10" t="inlineStr">
        <is>
          <t>Application</t>
        </is>
      </c>
      <c r="X331" s="10" t="n"/>
      <c r="Y331" s="10" t="inlineStr">
        <is>
          <t>Godrej_IH_OA_105_degree_0CK_ 2223</t>
        </is>
      </c>
      <c r="Z331" s="10" t="n">
        <v>8302</v>
      </c>
      <c r="AA331" s="10" t="n"/>
      <c r="AB331" s="10" t="n"/>
      <c r="AC331" s="10" t="n">
        <v>1</v>
      </c>
      <c r="AD331" s="10" t="n"/>
      <c r="AE331" s="10" t="n">
        <v>270</v>
      </c>
      <c r="AF331" s="11" t="n">
        <v>0.5</v>
      </c>
      <c r="AG331" s="10">
        <f>ROUND(AE331-(AE331*AF331),2)</f>
        <v/>
      </c>
      <c r="AH331" s="11" t="n">
        <v>0.18</v>
      </c>
      <c r="AI331" s="10">
        <f>ROUND(AG331+(AG331*AH331),2)</f>
        <v/>
      </c>
      <c r="AJ331" s="11" t="n">
        <v>0.2</v>
      </c>
      <c r="AK331" s="10">
        <f>ROUND(AI331*AJ331,2)</f>
        <v/>
      </c>
      <c r="AL331" s="10">
        <f>AI331+AK331</f>
        <v/>
      </c>
      <c r="AM331" s="10">
        <f>AE331-AL331</f>
        <v/>
      </c>
      <c r="AN331" s="11">
        <f>AM331/AE331</f>
        <v/>
      </c>
      <c r="AO331" s="10" t="inlineStr">
        <is>
          <t>60 mins</t>
        </is>
      </c>
      <c r="AP331" s="10" t="n"/>
      <c r="AQ331" s="10" t="inlineStr">
        <is>
          <t>Weight</t>
        </is>
      </c>
      <c r="AR331" s="10" t="n"/>
      <c r="AS331"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31" s="10" t="inlineStr">
        <is>
          <t>Inactive</t>
        </is>
      </c>
    </row>
    <row r="332" ht="15.75" customHeight="1">
      <c r="A332" s="10" t="inlineStr">
        <is>
          <t>PROD_0070</t>
        </is>
      </c>
      <c r="B332" s="10" t="inlineStr">
        <is>
          <t>VAR_1</t>
        </is>
      </c>
      <c r="C332" s="10" t="inlineStr">
        <is>
          <t>Modular Hardware</t>
        </is>
      </c>
      <c r="D332" s="10" t="inlineStr">
        <is>
          <t>Hinges</t>
        </is>
      </c>
      <c r="E332" s="10" t="inlineStr">
        <is>
          <t>Godrej</t>
        </is>
      </c>
      <c r="F332" s="10" t="inlineStr">
        <is>
          <t>Glossy Slip on Soft Hinge 4 Hole | 105 degree | Soft Close</t>
        </is>
      </c>
      <c r="G332" s="10" t="n"/>
      <c r="H332" s="10" t="inlineStr">
        <is>
          <t>Crank</t>
        </is>
      </c>
      <c r="I332" s="10" t="inlineStr">
        <is>
          <t>15 K</t>
        </is>
      </c>
      <c r="J332" s="10" t="inlineStr">
        <is>
          <t>Board Thickness</t>
        </is>
      </c>
      <c r="K332" s="10" t="inlineStr">
        <is>
          <t>14-20 mm</t>
        </is>
      </c>
      <c r="L332" s="10" t="n"/>
      <c r="M332" s="10" t="n"/>
      <c r="N332" s="10" t="n"/>
      <c r="O332" s="10" t="n"/>
      <c r="P332" s="10" t="n"/>
      <c r="Q332" s="10" t="inlineStr">
        <is>
          <t>Manufacturer's Warranty</t>
        </is>
      </c>
      <c r="R332" s="10" t="n">
        <v>2226</v>
      </c>
      <c r="S332" s="10" t="n">
        <v>2</v>
      </c>
      <c r="T332" s="10" t="n"/>
      <c r="U332" s="10" t="n">
        <v>0.23</v>
      </c>
      <c r="V332" s="10" t="inlineStr">
        <is>
          <t>Mounting Plates</t>
        </is>
      </c>
      <c r="W332" s="10" t="n"/>
      <c r="X332" s="10" t="n"/>
      <c r="Y332" s="10" t="inlineStr">
        <is>
          <t>Godrej_IH_GSOSH4H_OA_105 degree_15K_2226</t>
        </is>
      </c>
      <c r="Z332" s="10" t="n">
        <v>8302</v>
      </c>
      <c r="AA332" s="10" t="n"/>
      <c r="AB332" s="10" t="n"/>
      <c r="AC332" s="10" t="n">
        <v>1</v>
      </c>
      <c r="AD332" s="10" t="n"/>
      <c r="AE332" s="10" t="n">
        <v>310</v>
      </c>
      <c r="AF332" s="11" t="n">
        <v>0.5</v>
      </c>
      <c r="AG332" s="10">
        <f>ROUND(AE332-(AE332*AF332),2)</f>
        <v/>
      </c>
      <c r="AH332" s="11" t="n">
        <v>0.18</v>
      </c>
      <c r="AI332" s="10">
        <f>ROUND(AG332+(AG332*AH332),2)</f>
        <v/>
      </c>
      <c r="AJ332" s="11" t="n">
        <v>0.2</v>
      </c>
      <c r="AK332" s="10">
        <f>ROUND(AI332*AJ332,2)</f>
        <v/>
      </c>
      <c r="AL332" s="10">
        <f>AI332+AK332</f>
        <v/>
      </c>
      <c r="AM332" s="10">
        <f>AE332-AL332</f>
        <v/>
      </c>
      <c r="AN332" s="11">
        <f>AM332/AE332</f>
        <v/>
      </c>
      <c r="AO332" s="10" t="inlineStr">
        <is>
          <t>60 mins</t>
        </is>
      </c>
      <c r="AP332" s="10" t="n"/>
      <c r="AQ332" s="10" t="inlineStr">
        <is>
          <t>Weight</t>
        </is>
      </c>
      <c r="AR332" s="10" t="n"/>
      <c r="AS332"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32" s="10" t="inlineStr">
        <is>
          <t>Inactive</t>
        </is>
      </c>
    </row>
    <row r="333" ht="15.75" customHeight="1">
      <c r="A333" s="10" t="inlineStr">
        <is>
          <t>PROD_0070</t>
        </is>
      </c>
      <c r="B333" s="10" t="inlineStr">
        <is>
          <t>VAR_2</t>
        </is>
      </c>
      <c r="C333" s="10" t="inlineStr">
        <is>
          <t>Modular Hardware</t>
        </is>
      </c>
      <c r="D333" s="10" t="inlineStr">
        <is>
          <t>Hinges</t>
        </is>
      </c>
      <c r="E333" s="10" t="inlineStr">
        <is>
          <t>Godrej</t>
        </is>
      </c>
      <c r="F333" s="10" t="inlineStr">
        <is>
          <t>Glossy Slip on Soft Hinge 4 Hole | 105 degree | Soft Close</t>
        </is>
      </c>
      <c r="G333" s="10" t="n"/>
      <c r="H333" s="10" t="inlineStr">
        <is>
          <t>Crank</t>
        </is>
      </c>
      <c r="I333" s="10" t="inlineStr">
        <is>
          <t>8 K</t>
        </is>
      </c>
      <c r="J333" s="10" t="inlineStr">
        <is>
          <t>Board Thickness</t>
        </is>
      </c>
      <c r="K333" s="10" t="inlineStr">
        <is>
          <t>14-20 mm</t>
        </is>
      </c>
      <c r="L333" s="10" t="n"/>
      <c r="M333" s="10" t="n"/>
      <c r="N333" s="10" t="n"/>
      <c r="O333" s="10" t="n"/>
      <c r="P333" s="10" t="n"/>
      <c r="Q333" s="10" t="inlineStr">
        <is>
          <t>Manufacturer's Warranty</t>
        </is>
      </c>
      <c r="R333" s="10" t="n">
        <v>2227</v>
      </c>
      <c r="S333" s="10" t="n">
        <v>2</v>
      </c>
      <c r="T333" s="10" t="n"/>
      <c r="U333" s="10" t="n">
        <v>0.23</v>
      </c>
      <c r="V333" s="10" t="inlineStr">
        <is>
          <t>Mounting Plates</t>
        </is>
      </c>
      <c r="W333" s="10" t="n"/>
      <c r="X333" s="10" t="n"/>
      <c r="Y333" s="10" t="inlineStr">
        <is>
          <t>Godrej_IH_GSOSH4H_OA_105 degree_8K_2227</t>
        </is>
      </c>
      <c r="Z333" s="10" t="n">
        <v>8302</v>
      </c>
      <c r="AA333" s="10" t="n"/>
      <c r="AB333" s="10" t="n"/>
      <c r="AC333" s="10" t="n">
        <v>1</v>
      </c>
      <c r="AD333" s="10" t="n"/>
      <c r="AE333" s="10" t="n">
        <v>295</v>
      </c>
      <c r="AF333" s="11" t="n">
        <v>0.5</v>
      </c>
      <c r="AG333" s="10">
        <f>ROUND(AE333-(AE333*AF333),2)</f>
        <v/>
      </c>
      <c r="AH333" s="11" t="n">
        <v>0.18</v>
      </c>
      <c r="AI333" s="10">
        <f>ROUND(AG333+(AG333*AH333),2)</f>
        <v/>
      </c>
      <c r="AJ333" s="11" t="n">
        <v>0.2</v>
      </c>
      <c r="AK333" s="10">
        <f>ROUND(AI333*AJ333,2)</f>
        <v/>
      </c>
      <c r="AL333" s="10">
        <f>AI333+AK333</f>
        <v/>
      </c>
      <c r="AM333" s="10">
        <f>AE333-AL333</f>
        <v/>
      </c>
      <c r="AN333" s="11">
        <f>AM333/AE333</f>
        <v/>
      </c>
      <c r="AO333" s="10" t="inlineStr">
        <is>
          <t>60 mins</t>
        </is>
      </c>
      <c r="AP333" s="10" t="n"/>
      <c r="AQ333" s="10" t="inlineStr">
        <is>
          <t>Weight</t>
        </is>
      </c>
      <c r="AR333" s="10" t="n"/>
      <c r="AS333"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33" s="10" t="inlineStr">
        <is>
          <t>Inactive</t>
        </is>
      </c>
    </row>
    <row r="334" ht="15.75" customHeight="1">
      <c r="A334" s="10" t="inlineStr">
        <is>
          <t>PROD_0070</t>
        </is>
      </c>
      <c r="B334" s="10" t="inlineStr">
        <is>
          <t>VAR_3</t>
        </is>
      </c>
      <c r="C334" s="10" t="inlineStr">
        <is>
          <t>Modular Hardware</t>
        </is>
      </c>
      <c r="D334" s="10" t="inlineStr">
        <is>
          <t>Hinges</t>
        </is>
      </c>
      <c r="E334" s="10" t="inlineStr">
        <is>
          <t>Godrej</t>
        </is>
      </c>
      <c r="F334" s="10" t="inlineStr">
        <is>
          <t>Glossy Slip on Soft Hinge 4 Hole | 105 degree | Soft Close</t>
        </is>
      </c>
      <c r="G334" s="10" t="n"/>
      <c r="H334" s="10" t="inlineStr">
        <is>
          <t>Crank</t>
        </is>
      </c>
      <c r="I334" s="10" t="inlineStr">
        <is>
          <t>0 K</t>
        </is>
      </c>
      <c r="J334" s="10" t="inlineStr">
        <is>
          <t>Board Thickness</t>
        </is>
      </c>
      <c r="K334" s="10" t="inlineStr">
        <is>
          <t>14-20 mm</t>
        </is>
      </c>
      <c r="L334" s="10" t="n"/>
      <c r="M334" s="10" t="n"/>
      <c r="N334" s="10" t="n"/>
      <c r="O334" s="10" t="n"/>
      <c r="P334" s="10" t="n"/>
      <c r="Q334" s="10" t="inlineStr">
        <is>
          <t>Manufacturer's Warranty</t>
        </is>
      </c>
      <c r="R334" s="10" t="n">
        <v>2228</v>
      </c>
      <c r="S334" s="10" t="n">
        <v>2</v>
      </c>
      <c r="T334" s="10" t="n"/>
      <c r="U334" s="10" t="n">
        <v>0.23</v>
      </c>
      <c r="V334" s="10" t="inlineStr">
        <is>
          <t>Mounting Plates</t>
        </is>
      </c>
      <c r="W334" s="10" t="n"/>
      <c r="X334" s="10" t="n"/>
      <c r="Y334" s="10" t="inlineStr">
        <is>
          <t>Godrej_IH_GSOSH4H_OA_105 degree_0K_2228</t>
        </is>
      </c>
      <c r="Z334" s="10" t="n">
        <v>8302</v>
      </c>
      <c r="AA334" s="10" t="n"/>
      <c r="AB334" s="10" t="n"/>
      <c r="AC334" s="10" t="n">
        <v>1</v>
      </c>
      <c r="AD334" s="10" t="n"/>
      <c r="AE334" s="10" t="n">
        <v>285</v>
      </c>
      <c r="AF334" s="11" t="n">
        <v>0.5</v>
      </c>
      <c r="AG334" s="10">
        <f>ROUND(AE334-(AE334*AF334),2)</f>
        <v/>
      </c>
      <c r="AH334" s="11" t="n">
        <v>0.18</v>
      </c>
      <c r="AI334" s="10">
        <f>ROUND(AG334+(AG334*AH334),2)</f>
        <v/>
      </c>
      <c r="AJ334" s="11" t="n">
        <v>0.2</v>
      </c>
      <c r="AK334" s="10">
        <f>ROUND(AI334*AJ334,2)</f>
        <v/>
      </c>
      <c r="AL334" s="10">
        <f>AI334+AK334</f>
        <v/>
      </c>
      <c r="AM334" s="10">
        <f>AE334-AL334</f>
        <v/>
      </c>
      <c r="AN334" s="11">
        <f>AM334/AE334</f>
        <v/>
      </c>
      <c r="AO334" s="10" t="inlineStr">
        <is>
          <t>60 mins</t>
        </is>
      </c>
      <c r="AP334" s="10" t="n"/>
      <c r="AQ334" s="10" t="inlineStr">
        <is>
          <t>Weight</t>
        </is>
      </c>
      <c r="AR334" s="10" t="n"/>
      <c r="AS334"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34" s="10" t="inlineStr">
        <is>
          <t>Inactive</t>
        </is>
      </c>
    </row>
    <row r="335" ht="15.75" customHeight="1">
      <c r="A335" s="10" t="inlineStr">
        <is>
          <t>PROD_0071</t>
        </is>
      </c>
      <c r="B335" s="10" t="inlineStr">
        <is>
          <t>VAR_1</t>
        </is>
      </c>
      <c r="C335" s="10" t="inlineStr">
        <is>
          <t>Modular Hardware</t>
        </is>
      </c>
      <c r="D335" s="10" t="inlineStr">
        <is>
          <t>Hinges</t>
        </is>
      </c>
      <c r="E335" s="10" t="inlineStr">
        <is>
          <t>Godrej</t>
        </is>
      </c>
      <c r="F335" s="10" t="inlineStr">
        <is>
          <t>Nickel Plated Clip on Soft Hinge | 105 degree | Soft Close</t>
        </is>
      </c>
      <c r="G335" s="10" t="n"/>
      <c r="H335" s="10" t="inlineStr">
        <is>
          <t>Crank</t>
        </is>
      </c>
      <c r="I335" s="10" t="inlineStr">
        <is>
          <t>15 K</t>
        </is>
      </c>
      <c r="J335" s="10" t="inlineStr">
        <is>
          <t>Board Thickness</t>
        </is>
      </c>
      <c r="K335" s="10" t="inlineStr">
        <is>
          <t>14-20 mm</t>
        </is>
      </c>
      <c r="L335" s="10" t="n"/>
      <c r="M335" s="10" t="n"/>
      <c r="N335" s="10" t="n"/>
      <c r="O335" s="10" t="n"/>
      <c r="P335" s="10" t="n"/>
      <c r="Q335" s="10" t="inlineStr">
        <is>
          <t>Manufacturer's Warranty</t>
        </is>
      </c>
      <c r="R335" s="10" t="n">
        <v>7218</v>
      </c>
      <c r="S335" s="10" t="n"/>
      <c r="T335" s="10" t="n"/>
      <c r="U335" s="10" t="n"/>
      <c r="V335" s="10" t="n"/>
      <c r="W335" s="10" t="n"/>
      <c r="X335" s="10" t="n"/>
      <c r="Y335" s="10" t="inlineStr">
        <is>
          <t>Godrej_IN_NPCOSH_OA_105 degree_15 K_7218</t>
        </is>
      </c>
      <c r="Z335" s="10" t="n"/>
      <c r="AA335" s="10" t="n"/>
      <c r="AB335" s="10" t="n"/>
      <c r="AC335" s="10" t="n"/>
      <c r="AD335" s="10" t="n"/>
      <c r="AE335" s="10" t="n"/>
      <c r="AF335" s="11" t="n">
        <v>0.5</v>
      </c>
      <c r="AG335" s="10">
        <f>ROUND(AE335-(AE335*AF335),2)</f>
        <v/>
      </c>
      <c r="AH335" s="11" t="n">
        <v>0.18</v>
      </c>
      <c r="AI335" s="10">
        <f>ROUND(AG335+(AG335*AH335),2)</f>
        <v/>
      </c>
      <c r="AJ335" s="11" t="n">
        <v>0.2</v>
      </c>
      <c r="AK335" s="10">
        <f>ROUND(AI335*AJ335,2)</f>
        <v/>
      </c>
      <c r="AL335" s="10">
        <f>AI335+AK335</f>
        <v/>
      </c>
      <c r="AM335" s="10">
        <f>AE335-AL335</f>
        <v/>
      </c>
      <c r="AN335" s="11">
        <f>AM335/AE335</f>
        <v/>
      </c>
      <c r="AO335" s="10" t="inlineStr">
        <is>
          <t>60 mins</t>
        </is>
      </c>
      <c r="AP335" s="10" t="n"/>
      <c r="AQ335" s="10" t="n"/>
      <c r="AR335" s="10" t="n"/>
      <c r="AS335" s="10" t="n"/>
      <c r="AT335" s="10" t="inlineStr">
        <is>
          <t>Inactive</t>
        </is>
      </c>
    </row>
    <row r="336" ht="15.75" customHeight="1">
      <c r="A336" s="10" t="inlineStr">
        <is>
          <t>PROD_0071</t>
        </is>
      </c>
      <c r="B336" s="10" t="inlineStr">
        <is>
          <t>VAR_2</t>
        </is>
      </c>
      <c r="C336" s="10" t="inlineStr">
        <is>
          <t>Modular Hardware</t>
        </is>
      </c>
      <c r="D336" s="10" t="inlineStr">
        <is>
          <t>Hinges</t>
        </is>
      </c>
      <c r="E336" s="10" t="inlineStr">
        <is>
          <t>Godrej</t>
        </is>
      </c>
      <c r="F336" s="10" t="inlineStr">
        <is>
          <t>Nickel Plated Clip on Soft Hinge | 105 degree | Soft Close</t>
        </is>
      </c>
      <c r="G336" s="10" t="n"/>
      <c r="H336" s="10" t="inlineStr">
        <is>
          <t>Crank</t>
        </is>
      </c>
      <c r="I336" s="10" t="inlineStr">
        <is>
          <t>8 K</t>
        </is>
      </c>
      <c r="J336" s="10" t="inlineStr">
        <is>
          <t>Board Thickness</t>
        </is>
      </c>
      <c r="K336" s="10" t="inlineStr">
        <is>
          <t>14-20 mm</t>
        </is>
      </c>
      <c r="L336" s="10" t="n"/>
      <c r="M336" s="10" t="n"/>
      <c r="N336" s="10" t="n"/>
      <c r="O336" s="10" t="n"/>
      <c r="P336" s="10" t="n"/>
      <c r="Q336" s="10" t="inlineStr">
        <is>
          <t>Manufacturer's Warranty</t>
        </is>
      </c>
      <c r="R336" s="10" t="n">
        <v>7217</v>
      </c>
      <c r="S336" s="10" t="n"/>
      <c r="T336" s="10" t="n"/>
      <c r="U336" s="10" t="n"/>
      <c r="V336" s="10" t="n"/>
      <c r="W336" s="10" t="n"/>
      <c r="X336" s="10" t="n"/>
      <c r="Y336" s="10" t="inlineStr">
        <is>
          <t>Godrej_IN_NPCOSH_OA_105 degree_8 K_7217</t>
        </is>
      </c>
      <c r="Z336" s="10" t="n"/>
      <c r="AA336" s="10" t="n"/>
      <c r="AB336" s="10" t="n"/>
      <c r="AC336" s="10" t="n"/>
      <c r="AD336" s="10" t="n"/>
      <c r="AE336" s="10" t="n"/>
      <c r="AF336" s="11" t="n">
        <v>0.5</v>
      </c>
      <c r="AG336" s="10">
        <f>ROUND(AE336-(AE336*AF336),2)</f>
        <v/>
      </c>
      <c r="AH336" s="11" t="n">
        <v>0.18</v>
      </c>
      <c r="AI336" s="10">
        <f>ROUND(AG336+(AG336*AH336),2)</f>
        <v/>
      </c>
      <c r="AJ336" s="11" t="n">
        <v>0.2</v>
      </c>
      <c r="AK336" s="10">
        <f>ROUND(AI336*AJ336,2)</f>
        <v/>
      </c>
      <c r="AL336" s="10">
        <f>AI336+AK336</f>
        <v/>
      </c>
      <c r="AM336" s="10">
        <f>AE336-AL336</f>
        <v/>
      </c>
      <c r="AN336" s="11">
        <f>AM336/AE336</f>
        <v/>
      </c>
      <c r="AO336" s="10" t="inlineStr">
        <is>
          <t>60 mins</t>
        </is>
      </c>
      <c r="AP336" s="10" t="n"/>
      <c r="AQ336" s="10" t="n"/>
      <c r="AR336" s="10" t="n"/>
      <c r="AS336" s="10" t="n"/>
      <c r="AT336" s="10" t="inlineStr">
        <is>
          <t>Inactive</t>
        </is>
      </c>
    </row>
    <row r="337" ht="15.75" customHeight="1">
      <c r="A337" s="10" t="inlineStr">
        <is>
          <t>PROD_0071</t>
        </is>
      </c>
      <c r="B337" s="10" t="inlineStr">
        <is>
          <t>VAR_3</t>
        </is>
      </c>
      <c r="C337" s="10" t="inlineStr">
        <is>
          <t>Modular Hardware</t>
        </is>
      </c>
      <c r="D337" s="10" t="inlineStr">
        <is>
          <t>Hinges</t>
        </is>
      </c>
      <c r="E337" s="10" t="inlineStr">
        <is>
          <t>Godrej</t>
        </is>
      </c>
      <c r="F337" s="10" t="inlineStr">
        <is>
          <t>Nickel Plated Clip on Soft Hinge | 105 degree | Soft Close</t>
        </is>
      </c>
      <c r="G337" s="10" t="n"/>
      <c r="H337" s="10" t="inlineStr">
        <is>
          <t>Crank</t>
        </is>
      </c>
      <c r="I337" s="10" t="inlineStr">
        <is>
          <t>0 K</t>
        </is>
      </c>
      <c r="J337" s="10" t="inlineStr">
        <is>
          <t>Board Thickness</t>
        </is>
      </c>
      <c r="K337" s="10" t="inlineStr">
        <is>
          <t>14-20 mm</t>
        </is>
      </c>
      <c r="L337" s="10" t="n"/>
      <c r="M337" s="10" t="n"/>
      <c r="N337" s="10" t="n"/>
      <c r="O337" s="10" t="n"/>
      <c r="P337" s="10" t="n"/>
      <c r="Q337" s="10" t="inlineStr">
        <is>
          <t>Manufacturer's Warranty</t>
        </is>
      </c>
      <c r="R337" s="10" t="n">
        <v>7216</v>
      </c>
      <c r="S337" s="10" t="n"/>
      <c r="T337" s="10" t="n"/>
      <c r="U337" s="10" t="n"/>
      <c r="V337" s="10" t="n"/>
      <c r="W337" s="10" t="n"/>
      <c r="X337" s="10" t="n"/>
      <c r="Y337" s="10" t="inlineStr">
        <is>
          <t>Godrej_IN_NPCOSH_OA_105 degree_O K_7216</t>
        </is>
      </c>
      <c r="Z337" s="10" t="n"/>
      <c r="AA337" s="10" t="n"/>
      <c r="AB337" s="10" t="n"/>
      <c r="AC337" s="10" t="n"/>
      <c r="AD337" s="10" t="n"/>
      <c r="AE337" s="10" t="n"/>
      <c r="AF337" s="11" t="n">
        <v>0.5</v>
      </c>
      <c r="AG337" s="10">
        <f>ROUND(AE337-(AE337*AF337),2)</f>
        <v/>
      </c>
      <c r="AH337" s="11" t="n">
        <v>0.18</v>
      </c>
      <c r="AI337" s="10">
        <f>ROUND(AG337+(AG337*AH337),2)</f>
        <v/>
      </c>
      <c r="AJ337" s="11" t="n">
        <v>0.2</v>
      </c>
      <c r="AK337" s="10">
        <f>ROUND(AI337*AJ337,2)</f>
        <v/>
      </c>
      <c r="AL337" s="10">
        <f>AI337+AK337</f>
        <v/>
      </c>
      <c r="AM337" s="10">
        <f>AE337-AL337</f>
        <v/>
      </c>
      <c r="AN337" s="11">
        <f>AM337/AE337</f>
        <v/>
      </c>
      <c r="AO337" s="10" t="inlineStr">
        <is>
          <t>60 mins</t>
        </is>
      </c>
      <c r="AP337" s="10" t="n"/>
      <c r="AQ337" s="10" t="n"/>
      <c r="AR337" s="10" t="n"/>
      <c r="AS337" s="10" t="n"/>
      <c r="AT337" s="10" t="inlineStr">
        <is>
          <t>Inactive</t>
        </is>
      </c>
    </row>
    <row r="338" ht="15.75" customHeight="1">
      <c r="A338" s="10" t="inlineStr">
        <is>
          <t>PROD_0072</t>
        </is>
      </c>
      <c r="B338" s="10" t="inlineStr">
        <is>
          <t>VAR_1</t>
        </is>
      </c>
      <c r="C338" s="10" t="inlineStr">
        <is>
          <t>Modular Hardware</t>
        </is>
      </c>
      <c r="D338" s="10" t="inlineStr">
        <is>
          <t>Hinges</t>
        </is>
      </c>
      <c r="E338" s="10" t="inlineStr">
        <is>
          <t>Godrej</t>
        </is>
      </c>
      <c r="F338" s="10" t="inlineStr">
        <is>
          <t>Nickel Plated Clip on Soft Hinge 4 hole | 105 degree | Soft Close</t>
        </is>
      </c>
      <c r="G338" s="10" t="n"/>
      <c r="H338" s="10" t="inlineStr">
        <is>
          <t>Crank</t>
        </is>
      </c>
      <c r="I338" s="10" t="inlineStr">
        <is>
          <t>15 K</t>
        </is>
      </c>
      <c r="J338" s="10" t="inlineStr">
        <is>
          <t>Board Thickness</t>
        </is>
      </c>
      <c r="K338" s="10" t="inlineStr">
        <is>
          <t>14-20 mm</t>
        </is>
      </c>
      <c r="L338" s="10" t="n"/>
      <c r="M338" s="10" t="n"/>
      <c r="N338" s="10" t="n"/>
      <c r="O338" s="10" t="n"/>
      <c r="P338" s="10" t="n"/>
      <c r="Q338" s="10" t="inlineStr">
        <is>
          <t>Manufacturer's Warranty</t>
        </is>
      </c>
      <c r="R338" s="10" t="n">
        <v>4790</v>
      </c>
      <c r="S338" s="10" t="n"/>
      <c r="T338" s="10" t="n"/>
      <c r="U338" s="10" t="n"/>
      <c r="V338" s="10" t="n"/>
      <c r="W338" s="10" t="n"/>
      <c r="X338" s="10" t="n"/>
      <c r="Y338" s="10" t="inlineStr">
        <is>
          <t>Godrej_IN_NPCOSH_OA_105 degree_15 K_4790</t>
        </is>
      </c>
      <c r="Z338" s="10" t="n"/>
      <c r="AA338" s="10" t="n"/>
      <c r="AB338" s="10" t="n"/>
      <c r="AC338" s="10" t="n"/>
      <c r="AD338" s="10" t="n"/>
      <c r="AE338" s="10" t="n"/>
      <c r="AF338" s="11" t="n">
        <v>0.5</v>
      </c>
      <c r="AG338" s="10">
        <f>ROUND(AE338-(AE338*AF338),2)</f>
        <v/>
      </c>
      <c r="AH338" s="11" t="n">
        <v>0.18</v>
      </c>
      <c r="AI338" s="10">
        <f>ROUND(AG338+(AG338*AH338),2)</f>
        <v/>
      </c>
      <c r="AJ338" s="11" t="n">
        <v>0.2</v>
      </c>
      <c r="AK338" s="10">
        <f>ROUND(AI338*AJ338,2)</f>
        <v/>
      </c>
      <c r="AL338" s="10">
        <f>AI338+AK338</f>
        <v/>
      </c>
      <c r="AM338" s="10">
        <f>AE338-AL338</f>
        <v/>
      </c>
      <c r="AN338" s="11">
        <f>AM338/AE338</f>
        <v/>
      </c>
      <c r="AO338" s="10" t="inlineStr">
        <is>
          <t>60 mins</t>
        </is>
      </c>
      <c r="AP338" s="10" t="n"/>
      <c r="AQ338" s="10" t="n"/>
      <c r="AR338" s="10" t="n"/>
      <c r="AS338" s="10" t="n"/>
      <c r="AT338" s="10" t="inlineStr">
        <is>
          <t>Inactive</t>
        </is>
      </c>
    </row>
    <row r="339" ht="15.75" customHeight="1">
      <c r="A339" s="10" t="inlineStr">
        <is>
          <t>PROD_0072</t>
        </is>
      </c>
      <c r="B339" s="10" t="inlineStr">
        <is>
          <t>VAR_2</t>
        </is>
      </c>
      <c r="C339" s="10" t="inlineStr">
        <is>
          <t>Modular Hardware</t>
        </is>
      </c>
      <c r="D339" s="10" t="inlineStr">
        <is>
          <t>Hinges</t>
        </is>
      </c>
      <c r="E339" s="10" t="inlineStr">
        <is>
          <t>Godrej</t>
        </is>
      </c>
      <c r="F339" s="10" t="inlineStr">
        <is>
          <t>Nickel Plated Clip on Soft Hinge 4 hole | 105 degree | Soft Close</t>
        </is>
      </c>
      <c r="G339" s="10" t="n"/>
      <c r="H339" s="10" t="inlineStr">
        <is>
          <t>Crank</t>
        </is>
      </c>
      <c r="I339" s="10" t="inlineStr">
        <is>
          <t>8 K</t>
        </is>
      </c>
      <c r="J339" s="10" t="inlineStr">
        <is>
          <t>Board Thickness</t>
        </is>
      </c>
      <c r="K339" s="10" t="inlineStr">
        <is>
          <t>14-20 mm</t>
        </is>
      </c>
      <c r="L339" s="10" t="n"/>
      <c r="M339" s="10" t="n"/>
      <c r="N339" s="10" t="n"/>
      <c r="O339" s="10" t="n"/>
      <c r="P339" s="10" t="n"/>
      <c r="Q339" s="10" t="inlineStr">
        <is>
          <t>Manufacturer's Warranty</t>
        </is>
      </c>
      <c r="R339" s="10" t="n">
        <v>4789</v>
      </c>
      <c r="S339" s="10" t="n"/>
      <c r="T339" s="10" t="n"/>
      <c r="U339" s="10" t="n"/>
      <c r="V339" s="10" t="n"/>
      <c r="W339" s="10" t="n"/>
      <c r="X339" s="10" t="n"/>
      <c r="Y339" s="10" t="inlineStr">
        <is>
          <t>Godrej_IN_NPCOSH_OA_105 degree_8 K_4789</t>
        </is>
      </c>
      <c r="Z339" s="10" t="n"/>
      <c r="AA339" s="10" t="n"/>
      <c r="AB339" s="10" t="n"/>
      <c r="AC339" s="10" t="n"/>
      <c r="AD339" s="10" t="n"/>
      <c r="AE339" s="10" t="n"/>
      <c r="AF339" s="11" t="n">
        <v>0.5</v>
      </c>
      <c r="AG339" s="10">
        <f>ROUND(AE339-(AE339*AF339),2)</f>
        <v/>
      </c>
      <c r="AH339" s="11" t="n">
        <v>0.18</v>
      </c>
      <c r="AI339" s="10">
        <f>ROUND(AG339+(AG339*AH339),2)</f>
        <v/>
      </c>
      <c r="AJ339" s="11" t="n">
        <v>0.2</v>
      </c>
      <c r="AK339" s="10">
        <f>ROUND(AI339*AJ339,2)</f>
        <v/>
      </c>
      <c r="AL339" s="10">
        <f>AI339+AK339</f>
        <v/>
      </c>
      <c r="AM339" s="10">
        <f>AE339-AL339</f>
        <v/>
      </c>
      <c r="AN339" s="11">
        <f>AM339/AE339</f>
        <v/>
      </c>
      <c r="AO339" s="10" t="inlineStr">
        <is>
          <t>60 mins</t>
        </is>
      </c>
      <c r="AP339" s="10" t="n"/>
      <c r="AQ339" s="10" t="n"/>
      <c r="AR339" s="10" t="n"/>
      <c r="AS339" s="10" t="n"/>
      <c r="AT339" s="10" t="inlineStr">
        <is>
          <t>Inactive</t>
        </is>
      </c>
    </row>
    <row r="340" ht="15.75" customHeight="1">
      <c r="A340" s="10" t="inlineStr">
        <is>
          <t>PROD_0072</t>
        </is>
      </c>
      <c r="B340" s="10" t="inlineStr">
        <is>
          <t>VAR_3</t>
        </is>
      </c>
      <c r="C340" s="10" t="inlineStr">
        <is>
          <t>Modular Hardware</t>
        </is>
      </c>
      <c r="D340" s="10" t="inlineStr">
        <is>
          <t>Hinges</t>
        </is>
      </c>
      <c r="E340" s="10" t="inlineStr">
        <is>
          <t>Godrej</t>
        </is>
      </c>
      <c r="F340" s="10" t="inlineStr">
        <is>
          <t>Nickel Plated Clip on Soft Hinge 4 hole | 105 degree | Soft Close</t>
        </is>
      </c>
      <c r="G340" s="10" t="n"/>
      <c r="H340" s="10" t="inlineStr">
        <is>
          <t>Crank</t>
        </is>
      </c>
      <c r="I340" s="10" t="inlineStr">
        <is>
          <t>0 K</t>
        </is>
      </c>
      <c r="J340" s="10" t="inlineStr">
        <is>
          <t>Board Thickness</t>
        </is>
      </c>
      <c r="K340" s="10" t="inlineStr">
        <is>
          <t>14-20 mm</t>
        </is>
      </c>
      <c r="L340" s="10" t="n"/>
      <c r="M340" s="10" t="n"/>
      <c r="N340" s="10" t="n"/>
      <c r="O340" s="10" t="n"/>
      <c r="P340" s="10" t="n"/>
      <c r="Q340" s="10" t="inlineStr">
        <is>
          <t>Manufacturer's Warranty</t>
        </is>
      </c>
      <c r="R340" s="10" t="n">
        <v>4788</v>
      </c>
      <c r="S340" s="10" t="n"/>
      <c r="T340" s="10" t="n"/>
      <c r="U340" s="10" t="n"/>
      <c r="V340" s="10" t="n"/>
      <c r="W340" s="10" t="n"/>
      <c r="X340" s="10" t="n"/>
      <c r="Y340" s="10" t="inlineStr">
        <is>
          <t>Godrej_IN_NPCOSH_OA_105 degree_0 K_4788</t>
        </is>
      </c>
      <c r="Z340" s="10" t="n"/>
      <c r="AA340" s="10" t="n"/>
      <c r="AB340" s="10" t="n"/>
      <c r="AC340" s="10" t="n"/>
      <c r="AD340" s="10" t="n"/>
      <c r="AE340" s="10" t="n"/>
      <c r="AF340" s="11" t="n">
        <v>0.5</v>
      </c>
      <c r="AG340" s="10">
        <f>ROUND(AE340-(AE340*AF340),2)</f>
        <v/>
      </c>
      <c r="AH340" s="11" t="n">
        <v>0.18</v>
      </c>
      <c r="AI340" s="10">
        <f>ROUND(AG340+(AG340*AH340),2)</f>
        <v/>
      </c>
      <c r="AJ340" s="11" t="n">
        <v>0.2</v>
      </c>
      <c r="AK340" s="10">
        <f>ROUND(AI340*AJ340,2)</f>
        <v/>
      </c>
      <c r="AL340" s="10">
        <f>AI340+AK340</f>
        <v/>
      </c>
      <c r="AM340" s="10">
        <f>AE340-AL340</f>
        <v/>
      </c>
      <c r="AN340" s="11">
        <f>AM340/AE340</f>
        <v/>
      </c>
      <c r="AO340" s="10" t="inlineStr">
        <is>
          <t>60 mins</t>
        </is>
      </c>
      <c r="AP340" s="10" t="n"/>
      <c r="AQ340" s="10" t="n"/>
      <c r="AR340" s="10" t="n"/>
      <c r="AS340" s="10" t="n"/>
      <c r="AT340" s="10" t="inlineStr">
        <is>
          <t>Inactive</t>
        </is>
      </c>
    </row>
    <row r="341" ht="15.75" customHeight="1">
      <c r="A341" s="10" t="inlineStr">
        <is>
          <t>PROD_0073</t>
        </is>
      </c>
      <c r="B341" s="10" t="inlineStr">
        <is>
          <t>VAR_1</t>
        </is>
      </c>
      <c r="C341" s="10" t="inlineStr">
        <is>
          <t>Modular Hardware</t>
        </is>
      </c>
      <c r="D341" s="10" t="inlineStr">
        <is>
          <t>Hinges</t>
        </is>
      </c>
      <c r="E341" s="10" t="inlineStr">
        <is>
          <t>Godrej</t>
        </is>
      </c>
      <c r="F341" s="10" t="inlineStr">
        <is>
          <t>Stainless Steel Clip on Soft Hinge | 105 degree | Soft Close</t>
        </is>
      </c>
      <c r="G341" s="10" t="n"/>
      <c r="H341" s="10" t="inlineStr">
        <is>
          <t>Crank</t>
        </is>
      </c>
      <c r="I341" s="10" t="inlineStr">
        <is>
          <t>15 K</t>
        </is>
      </c>
      <c r="J341" s="10" t="inlineStr">
        <is>
          <t>Board Thickness</t>
        </is>
      </c>
      <c r="K341" s="10" t="inlineStr">
        <is>
          <t>14-20 mm</t>
        </is>
      </c>
      <c r="L341" s="10" t="n"/>
      <c r="M341" s="10" t="n"/>
      <c r="N341" s="10" t="n"/>
      <c r="O341" s="10" t="n"/>
      <c r="P341" s="10" t="n"/>
      <c r="Q341" s="10" t="inlineStr">
        <is>
          <t>Manufacturer's Warranty</t>
        </is>
      </c>
      <c r="R341" s="10" t="n">
        <v>5071</v>
      </c>
      <c r="S341" s="10" t="n"/>
      <c r="T341" s="10" t="n"/>
      <c r="U341" s="10" t="n"/>
      <c r="V341" s="10" t="n"/>
      <c r="W341" s="10" t="n"/>
      <c r="X341" s="10" t="n"/>
      <c r="Y341" s="10" t="inlineStr">
        <is>
          <t>Godrej_IH_SSCOSH_OA_105 degree_15 K_5071</t>
        </is>
      </c>
      <c r="Z341" s="10" t="n"/>
      <c r="AA341" s="10" t="n"/>
      <c r="AB341" s="10" t="n"/>
      <c r="AC341" s="10" t="n"/>
      <c r="AD341" s="10" t="n"/>
      <c r="AE341" s="10" t="n"/>
      <c r="AF341" s="11" t="n">
        <v>0.5</v>
      </c>
      <c r="AG341" s="10">
        <f>ROUND(AE341-(AE341*AF341),2)</f>
        <v/>
      </c>
      <c r="AH341" s="11" t="n">
        <v>0.18</v>
      </c>
      <c r="AI341" s="10">
        <f>ROUND(AG341+(AG341*AH341),2)</f>
        <v/>
      </c>
      <c r="AJ341" s="11" t="n">
        <v>0.2</v>
      </c>
      <c r="AK341" s="10">
        <f>ROUND(AI341*AJ341,2)</f>
        <v/>
      </c>
      <c r="AL341" s="10">
        <f>AI341+AK341</f>
        <v/>
      </c>
      <c r="AM341" s="10">
        <f>AE341-AL341</f>
        <v/>
      </c>
      <c r="AN341" s="11">
        <f>AM341/AE341</f>
        <v/>
      </c>
      <c r="AO341" s="10" t="inlineStr">
        <is>
          <t>60 mins</t>
        </is>
      </c>
      <c r="AP341" s="10" t="n"/>
      <c r="AQ341" s="10" t="n"/>
      <c r="AR341" s="10" t="n"/>
      <c r="AS341" s="10" t="n"/>
      <c r="AT341" s="10" t="inlineStr">
        <is>
          <t>Inactive</t>
        </is>
      </c>
    </row>
    <row r="342" ht="15.75" customHeight="1">
      <c r="A342" s="10" t="inlineStr">
        <is>
          <t>PROD_0073</t>
        </is>
      </c>
      <c r="B342" s="10" t="inlineStr">
        <is>
          <t>VAR_2</t>
        </is>
      </c>
      <c r="C342" s="10" t="inlineStr">
        <is>
          <t>Modular Hardware</t>
        </is>
      </c>
      <c r="D342" s="10" t="inlineStr">
        <is>
          <t>Hinges</t>
        </is>
      </c>
      <c r="E342" s="10" t="inlineStr">
        <is>
          <t>Godrej</t>
        </is>
      </c>
      <c r="F342" s="10" t="inlineStr">
        <is>
          <t>Stainless Steel Clip on Soft Hinge | 105 degree | Soft Close</t>
        </is>
      </c>
      <c r="G342" s="10" t="n"/>
      <c r="H342" s="10" t="inlineStr">
        <is>
          <t>Crank</t>
        </is>
      </c>
      <c r="I342" s="10" t="inlineStr">
        <is>
          <t>8 K</t>
        </is>
      </c>
      <c r="J342" s="10" t="inlineStr">
        <is>
          <t>Board Thickness</t>
        </is>
      </c>
      <c r="K342" s="10" t="inlineStr">
        <is>
          <t>14-20 mm</t>
        </is>
      </c>
      <c r="L342" s="10" t="n"/>
      <c r="M342" s="10" t="n"/>
      <c r="N342" s="10" t="n"/>
      <c r="O342" s="10" t="n"/>
      <c r="P342" s="10" t="n"/>
      <c r="Q342" s="10" t="inlineStr">
        <is>
          <t>Manufacturer's Warranty</t>
        </is>
      </c>
      <c r="R342" s="10" t="n">
        <v>5070</v>
      </c>
      <c r="S342" s="10" t="n"/>
      <c r="T342" s="10" t="n"/>
      <c r="U342" s="10" t="n"/>
      <c r="V342" s="10" t="n"/>
      <c r="W342" s="10" t="n"/>
      <c r="X342" s="10" t="n"/>
      <c r="Y342" s="10" t="inlineStr">
        <is>
          <t>Godrej_IH_SSCOSH_OA_105 degree_8 K_5070</t>
        </is>
      </c>
      <c r="Z342" s="10" t="n"/>
      <c r="AA342" s="10" t="n"/>
      <c r="AB342" s="10" t="n"/>
      <c r="AC342" s="10" t="n"/>
      <c r="AD342" s="10" t="n"/>
      <c r="AE342" s="10" t="n"/>
      <c r="AF342" s="11" t="n">
        <v>0.5</v>
      </c>
      <c r="AG342" s="10">
        <f>ROUND(AE342-(AE342*AF342),2)</f>
        <v/>
      </c>
      <c r="AH342" s="11" t="n">
        <v>0.18</v>
      </c>
      <c r="AI342" s="10">
        <f>ROUND(AG342+(AG342*AH342),2)</f>
        <v/>
      </c>
      <c r="AJ342" s="11" t="n">
        <v>0.2</v>
      </c>
      <c r="AK342" s="10">
        <f>ROUND(AI342*AJ342,2)</f>
        <v/>
      </c>
      <c r="AL342" s="10">
        <f>AI342+AK342</f>
        <v/>
      </c>
      <c r="AM342" s="10">
        <f>AE342-AL342</f>
        <v/>
      </c>
      <c r="AN342" s="11">
        <f>AM342/AE342</f>
        <v/>
      </c>
      <c r="AO342" s="10" t="inlineStr">
        <is>
          <t>60 mins</t>
        </is>
      </c>
      <c r="AP342" s="10" t="n"/>
      <c r="AQ342" s="10" t="n"/>
      <c r="AR342" s="10" t="n"/>
      <c r="AS342" s="10" t="n"/>
      <c r="AT342" s="10" t="inlineStr">
        <is>
          <t>Inactive</t>
        </is>
      </c>
    </row>
    <row r="343" ht="15.75" customHeight="1">
      <c r="A343" s="10" t="inlineStr">
        <is>
          <t>PROD_0073</t>
        </is>
      </c>
      <c r="B343" s="10" t="inlineStr">
        <is>
          <t>VAR_3</t>
        </is>
      </c>
      <c r="C343" s="10" t="inlineStr">
        <is>
          <t>Modular Hardware</t>
        </is>
      </c>
      <c r="D343" s="10" t="inlineStr">
        <is>
          <t>Hinges</t>
        </is>
      </c>
      <c r="E343" s="10" t="inlineStr">
        <is>
          <t>Godrej</t>
        </is>
      </c>
      <c r="F343" s="10" t="inlineStr">
        <is>
          <t>Stainless Steel Clip on Soft Hinge | 105 degree | Soft Close</t>
        </is>
      </c>
      <c r="G343" s="10" t="n"/>
      <c r="H343" s="10" t="inlineStr">
        <is>
          <t>Crank</t>
        </is>
      </c>
      <c r="I343" s="10" t="inlineStr">
        <is>
          <t>0 K</t>
        </is>
      </c>
      <c r="J343" s="10" t="inlineStr">
        <is>
          <t>Board Thickness</t>
        </is>
      </c>
      <c r="K343" s="10" t="inlineStr">
        <is>
          <t>14-20 mm</t>
        </is>
      </c>
      <c r="L343" s="10" t="n"/>
      <c r="M343" s="10" t="n"/>
      <c r="N343" s="10" t="n"/>
      <c r="O343" s="10" t="n"/>
      <c r="P343" s="10" t="n"/>
      <c r="Q343" s="10" t="inlineStr">
        <is>
          <t>Manufacturer's Warranty</t>
        </is>
      </c>
      <c r="R343" s="10" t="n">
        <v>5069</v>
      </c>
      <c r="S343" s="10" t="n"/>
      <c r="T343" s="10" t="n"/>
      <c r="U343" s="10" t="n"/>
      <c r="V343" s="10" t="n"/>
      <c r="W343" s="10" t="n"/>
      <c r="X343" s="10" t="n"/>
      <c r="Y343" s="10" t="inlineStr">
        <is>
          <t>Godrej_IH_SSCOSH_OA_105 degree_0 K_5069</t>
        </is>
      </c>
      <c r="Z343" s="10" t="n"/>
      <c r="AA343" s="10" t="n"/>
      <c r="AB343" s="10" t="n"/>
      <c r="AC343" s="10" t="n"/>
      <c r="AD343" s="10" t="n"/>
      <c r="AE343" s="10" t="n"/>
      <c r="AF343" s="11" t="n">
        <v>0.5</v>
      </c>
      <c r="AG343" s="10">
        <f>ROUND(AE343-(AE343*AF343),2)</f>
        <v/>
      </c>
      <c r="AH343" s="11" t="n">
        <v>0.18</v>
      </c>
      <c r="AI343" s="10">
        <f>ROUND(AG343+(AG343*AH343),2)</f>
        <v/>
      </c>
      <c r="AJ343" s="11" t="n">
        <v>0.2</v>
      </c>
      <c r="AK343" s="10">
        <f>ROUND(AI343*AJ343,2)</f>
        <v/>
      </c>
      <c r="AL343" s="10">
        <f>AI343+AK343</f>
        <v/>
      </c>
      <c r="AM343" s="10">
        <f>AE343-AL343</f>
        <v/>
      </c>
      <c r="AN343" s="11">
        <f>AM343/AE343</f>
        <v/>
      </c>
      <c r="AO343" s="10" t="inlineStr">
        <is>
          <t>60 mins</t>
        </is>
      </c>
      <c r="AP343" s="10" t="n"/>
      <c r="AQ343" s="10" t="n"/>
      <c r="AR343" s="10" t="n"/>
      <c r="AS343" s="10" t="n"/>
      <c r="AT343" s="10" t="inlineStr">
        <is>
          <t>Inactive</t>
        </is>
      </c>
    </row>
    <row r="344" ht="15.75" customHeight="1">
      <c r="A344" s="10" t="inlineStr">
        <is>
          <t>PROD_0074</t>
        </is>
      </c>
      <c r="B344" s="10" t="inlineStr">
        <is>
          <t>VAR_1</t>
        </is>
      </c>
      <c r="C344" s="10" t="inlineStr">
        <is>
          <t>Modular Hardware</t>
        </is>
      </c>
      <c r="D344" s="10" t="inlineStr">
        <is>
          <t>Hinges</t>
        </is>
      </c>
      <c r="E344" s="10" t="inlineStr">
        <is>
          <t>Godrej</t>
        </is>
      </c>
      <c r="F344" s="10" t="inlineStr">
        <is>
          <t>Blind Corner Hinge | 90 degree | Soft Close</t>
        </is>
      </c>
      <c r="G344" s="10" t="n"/>
      <c r="H344" s="10" t="n"/>
      <c r="I344" s="10" t="n"/>
      <c r="J344" s="10" t="inlineStr">
        <is>
          <t>Board Thickness</t>
        </is>
      </c>
      <c r="K344" s="10" t="inlineStr">
        <is>
          <t>15-22 mm</t>
        </is>
      </c>
      <c r="L344" s="10" t="n"/>
      <c r="M344" s="10" t="n"/>
      <c r="N344" s="10" t="n"/>
      <c r="O344" s="10" t="n"/>
      <c r="P344" s="10" t="n"/>
      <c r="Q344" s="10" t="inlineStr">
        <is>
          <t>Manufacturer's Warranty</t>
        </is>
      </c>
      <c r="R344" s="10" t="n">
        <v>7091</v>
      </c>
      <c r="S344" s="10" t="n">
        <v>2</v>
      </c>
      <c r="T344" s="10" t="n"/>
      <c r="U344" s="10" t="n">
        <v>0.23</v>
      </c>
      <c r="V344" s="10" t="inlineStr">
        <is>
          <t>Mounting Plates</t>
        </is>
      </c>
      <c r="W344" s="10" t="n"/>
      <c r="X344" s="10" t="n"/>
      <c r="Y344" s="10" t="inlineStr">
        <is>
          <t>Godrej_IH_BCH_OA_ 90 degree_Crank_7091</t>
        </is>
      </c>
      <c r="Z344" s="10" t="n">
        <v>8302</v>
      </c>
      <c r="AA344" s="10" t="n"/>
      <c r="AB344" s="10" t="n"/>
      <c r="AC344" s="10" t="n">
        <v>1</v>
      </c>
      <c r="AD344" s="10" t="n"/>
      <c r="AE344" s="10" t="n">
        <v>450</v>
      </c>
      <c r="AF344" s="11" t="n">
        <v>0.5</v>
      </c>
      <c r="AG344" s="10">
        <f>ROUND(AE344-(AE344*AF344),2)</f>
        <v/>
      </c>
      <c r="AH344" s="11" t="n">
        <v>0.18</v>
      </c>
      <c r="AI344" s="10">
        <f>ROUND(AG344+(AG344*AH344),2)</f>
        <v/>
      </c>
      <c r="AJ344" s="11" t="n">
        <v>0.2</v>
      </c>
      <c r="AK344" s="10">
        <f>ROUND(AI344*AJ344,2)</f>
        <v/>
      </c>
      <c r="AL344" s="10">
        <f>AI344+AK344</f>
        <v/>
      </c>
      <c r="AM344" s="10">
        <f>AE344-AL344</f>
        <v/>
      </c>
      <c r="AN344" s="11">
        <f>AM344/AE344</f>
        <v/>
      </c>
      <c r="AO344" s="10" t="inlineStr">
        <is>
          <t>60 mins</t>
        </is>
      </c>
      <c r="AP344" s="10" t="n"/>
      <c r="AQ344" s="10" t="inlineStr">
        <is>
          <t>Weight</t>
        </is>
      </c>
      <c r="AR344" s="10" t="n"/>
      <c r="AS344" s="10"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44" s="10" t="inlineStr">
        <is>
          <t>Inactive</t>
        </is>
      </c>
    </row>
    <row r="345" ht="15.75" customHeight="1">
      <c r="A345" s="3" t="inlineStr">
        <is>
          <t>PROD_0075</t>
        </is>
      </c>
      <c r="B345" s="3" t="inlineStr">
        <is>
          <t>VAR_1</t>
        </is>
      </c>
      <c r="C345" s="3" t="inlineStr">
        <is>
          <t>Modular Hardware</t>
        </is>
      </c>
      <c r="D345" s="3" t="inlineStr">
        <is>
          <t>Hinges</t>
        </is>
      </c>
      <c r="E345" s="3" t="inlineStr">
        <is>
          <t>Godrej</t>
        </is>
      </c>
      <c r="F345" s="3" t="inlineStr">
        <is>
          <t>BiFold | 165 degree | Soft Close</t>
        </is>
      </c>
      <c r="J345" s="3" t="inlineStr">
        <is>
          <t>Board Thickness</t>
        </is>
      </c>
      <c r="K345" s="3" t="inlineStr">
        <is>
          <t>15-24 mm</t>
        </is>
      </c>
      <c r="Q345" s="3" t="inlineStr">
        <is>
          <t>Manufacturer's Warranty</t>
        </is>
      </c>
      <c r="R345" s="3" t="n">
        <v>6841</v>
      </c>
      <c r="S345" s="3" t="n">
        <v>2</v>
      </c>
      <c r="U345" s="3" t="n">
        <v>0.23</v>
      </c>
      <c r="V345" s="3" t="inlineStr">
        <is>
          <t>Mounting Plates</t>
        </is>
      </c>
      <c r="Y345" s="3" t="inlineStr">
        <is>
          <t>Godrej_IH_BiFold_OA_90 degree_Crank_6841</t>
        </is>
      </c>
      <c r="Z345" s="3" t="n">
        <v>8302</v>
      </c>
      <c r="AC345" s="3" t="n">
        <v>1</v>
      </c>
      <c r="AE345" s="3" t="n">
        <v>625</v>
      </c>
      <c r="AF345" s="4" t="n">
        <v>0.5</v>
      </c>
      <c r="AG345" s="3">
        <f>ROUND(AE345-(AE345*AF345),2)</f>
        <v/>
      </c>
      <c r="AH345" s="4" t="n">
        <v>0.18</v>
      </c>
      <c r="AI345" s="3">
        <f>ROUND(AG345+(AG345*AH345),2)</f>
        <v/>
      </c>
      <c r="AJ345" s="4" t="n">
        <v>0.2</v>
      </c>
      <c r="AK345" s="3">
        <f>ROUND(AI345*AJ345,2)</f>
        <v/>
      </c>
      <c r="AL345" s="3">
        <f>AI345+AK345</f>
        <v/>
      </c>
      <c r="AM345" s="3">
        <f>AE345-AL345</f>
        <v/>
      </c>
      <c r="AN345" s="4">
        <f>AM345/AE345</f>
        <v/>
      </c>
      <c r="AO345" s="3" t="inlineStr">
        <is>
          <t>60 mins</t>
        </is>
      </c>
      <c r="AQ345" s="3" t="inlineStr">
        <is>
          <t>Weight</t>
        </is>
      </c>
      <c r="AS345"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45" s="3" t="inlineStr">
        <is>
          <t>60 mins</t>
        </is>
      </c>
    </row>
    <row r="346" ht="15.75" customHeight="1">
      <c r="A346" s="3" t="inlineStr">
        <is>
          <t>PROD_0076</t>
        </is>
      </c>
      <c r="B346" s="3" t="inlineStr">
        <is>
          <t>VAR_1</t>
        </is>
      </c>
      <c r="C346" s="3" t="inlineStr">
        <is>
          <t>Modular Hardware</t>
        </is>
      </c>
      <c r="D346" s="3" t="inlineStr">
        <is>
          <t>Hinges</t>
        </is>
      </c>
      <c r="E346" s="3" t="inlineStr">
        <is>
          <t>Godrej</t>
        </is>
      </c>
      <c r="F346" s="3" t="inlineStr">
        <is>
          <t>Soft Close Nickel Plated 4 Hole 3D Hinge | 98 degree | Soft Close</t>
        </is>
      </c>
      <c r="H346" s="3" t="inlineStr">
        <is>
          <t>Crank</t>
        </is>
      </c>
      <c r="I346" s="3" t="inlineStr">
        <is>
          <t>15 K</t>
        </is>
      </c>
      <c r="J346" s="3" t="inlineStr">
        <is>
          <t>Board Thickness</t>
        </is>
      </c>
      <c r="K346" s="3" t="inlineStr">
        <is>
          <t>16-22 mm</t>
        </is>
      </c>
      <c r="Q346" s="3" t="inlineStr">
        <is>
          <t>Manufacturer's Warranty</t>
        </is>
      </c>
      <c r="R346" s="3" t="n">
        <v>2515</v>
      </c>
      <c r="S346" s="3" t="n">
        <v>2</v>
      </c>
      <c r="U346" s="3" t="n">
        <v>0.23</v>
      </c>
      <c r="V346" s="3" t="inlineStr">
        <is>
          <t>Mounting Plates</t>
        </is>
      </c>
      <c r="Y346" s="3" t="inlineStr">
        <is>
          <t>Godrej_IN_SCNP4H_3D_Hinge_OA_ 98 degree Crank_15 K_2508</t>
        </is>
      </c>
      <c r="Z346" s="3" t="n">
        <v>8302</v>
      </c>
      <c r="AC346" s="3" t="n">
        <v>1</v>
      </c>
      <c r="AE346" s="3" t="n">
        <v>370</v>
      </c>
      <c r="AF346" s="4" t="n">
        <v>0.5</v>
      </c>
      <c r="AG346" s="3">
        <f>ROUND(AE346-(AE346*AF346),2)</f>
        <v/>
      </c>
      <c r="AH346" s="4" t="n">
        <v>0.18</v>
      </c>
      <c r="AI346" s="3">
        <f>ROUND(AG346+(AG346*AH346),2)</f>
        <v/>
      </c>
      <c r="AJ346" s="4" t="n">
        <v>0.2</v>
      </c>
      <c r="AK346" s="3">
        <f>ROUND(AI346*AJ346,2)</f>
        <v/>
      </c>
      <c r="AL346" s="3">
        <f>AI346+AK346</f>
        <v/>
      </c>
      <c r="AM346" s="3">
        <f>AE346-AL346</f>
        <v/>
      </c>
      <c r="AN346" s="4">
        <f>AM346/AE346</f>
        <v/>
      </c>
      <c r="AO346" s="3" t="inlineStr">
        <is>
          <t>60 mins</t>
        </is>
      </c>
      <c r="AQ346" s="3" t="inlineStr">
        <is>
          <t>Weight</t>
        </is>
      </c>
      <c r="AS346"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46" s="3" t="inlineStr">
        <is>
          <t>60 mins</t>
        </is>
      </c>
    </row>
    <row r="347" ht="15.75" customHeight="1">
      <c r="A347" s="3" t="inlineStr">
        <is>
          <t>PROD_0076</t>
        </is>
      </c>
      <c r="B347" s="3" t="inlineStr">
        <is>
          <t>VAR_2</t>
        </is>
      </c>
      <c r="C347" s="3" t="inlineStr">
        <is>
          <t>Modular Hardware</t>
        </is>
      </c>
      <c r="D347" s="3" t="inlineStr">
        <is>
          <t>Hinges</t>
        </is>
      </c>
      <c r="E347" s="3" t="inlineStr">
        <is>
          <t>Godrej</t>
        </is>
      </c>
      <c r="F347" s="3" t="inlineStr">
        <is>
          <t>Soft Close Nickel Plated 4 Hole 3D Hinge | 98 degree | Soft Close</t>
        </is>
      </c>
      <c r="H347" s="3" t="inlineStr">
        <is>
          <t>Crank</t>
        </is>
      </c>
      <c r="I347" s="3" t="inlineStr">
        <is>
          <t>8 K</t>
        </is>
      </c>
      <c r="J347" s="3" t="inlineStr">
        <is>
          <t>Board Thickness</t>
        </is>
      </c>
      <c r="K347" s="3" t="inlineStr">
        <is>
          <t>16-22 mm</t>
        </is>
      </c>
      <c r="Q347" s="3" t="inlineStr">
        <is>
          <t>Manufacturer's Warranty</t>
        </is>
      </c>
      <c r="R347" s="3" t="n">
        <v>2514</v>
      </c>
      <c r="S347" s="3" t="n">
        <v>2</v>
      </c>
      <c r="U347" s="3" t="n">
        <v>0.23</v>
      </c>
      <c r="V347" s="3" t="inlineStr">
        <is>
          <t>Mounting Plates</t>
        </is>
      </c>
      <c r="Y347" s="3" t="inlineStr">
        <is>
          <t>Godrej_IN_SCNP4H_3D_Hinge_OA_ 98 degree Crank_8 K_2507</t>
        </is>
      </c>
      <c r="Z347" s="3" t="n">
        <v>8302</v>
      </c>
      <c r="AC347" s="3" t="n">
        <v>1</v>
      </c>
      <c r="AE347" s="3" t="n">
        <v>360</v>
      </c>
      <c r="AF347" s="4" t="n">
        <v>0.5</v>
      </c>
      <c r="AG347" s="3">
        <f>ROUND(AE347-(AE347*AF347),2)</f>
        <v/>
      </c>
      <c r="AH347" s="4" t="n">
        <v>0.18</v>
      </c>
      <c r="AI347" s="3">
        <f>ROUND(AG347+(AG347*AH347),2)</f>
        <v/>
      </c>
      <c r="AJ347" s="4" t="n">
        <v>0.2</v>
      </c>
      <c r="AK347" s="3">
        <f>ROUND(AI347*AJ347,2)</f>
        <v/>
      </c>
      <c r="AL347" s="3">
        <f>AI347+AK347</f>
        <v/>
      </c>
      <c r="AM347" s="3">
        <f>AE347-AL347</f>
        <v/>
      </c>
      <c r="AN347" s="4">
        <f>AM347/AE347</f>
        <v/>
      </c>
      <c r="AO347" s="3" t="inlineStr">
        <is>
          <t>60 mins</t>
        </is>
      </c>
      <c r="AQ347" s="3" t="inlineStr">
        <is>
          <t>Weight</t>
        </is>
      </c>
      <c r="AS347"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47" s="3" t="inlineStr">
        <is>
          <t>60 mins</t>
        </is>
      </c>
    </row>
    <row r="348" ht="15.75" customHeight="1">
      <c r="A348" s="3" t="inlineStr">
        <is>
          <t>PROD_0076</t>
        </is>
      </c>
      <c r="B348" s="3" t="inlineStr">
        <is>
          <t>VAR_3</t>
        </is>
      </c>
      <c r="C348" s="3" t="inlineStr">
        <is>
          <t>Modular Hardware</t>
        </is>
      </c>
      <c r="D348" s="3" t="inlineStr">
        <is>
          <t>Hinges</t>
        </is>
      </c>
      <c r="E348" s="3" t="inlineStr">
        <is>
          <t>Godrej</t>
        </is>
      </c>
      <c r="F348" s="3" t="inlineStr">
        <is>
          <t>Soft Close Nickel Plated 4 Hole 3D Hinge | 98 degree | Soft Close</t>
        </is>
      </c>
      <c r="H348" s="3" t="inlineStr">
        <is>
          <t>Crank</t>
        </is>
      </c>
      <c r="I348" s="3" t="inlineStr">
        <is>
          <t>0 K</t>
        </is>
      </c>
      <c r="J348" s="3" t="inlineStr">
        <is>
          <t>Board Thickness</t>
        </is>
      </c>
      <c r="K348" s="3" t="inlineStr">
        <is>
          <t>16-22 mm</t>
        </is>
      </c>
      <c r="Q348" s="3" t="inlineStr">
        <is>
          <t>Manufacturer's Warranty</t>
        </is>
      </c>
      <c r="R348" s="3" t="n">
        <v>2513</v>
      </c>
      <c r="S348" s="3" t="n">
        <v>2</v>
      </c>
      <c r="U348" s="3" t="n">
        <v>0.23</v>
      </c>
      <c r="V348" s="3" t="inlineStr">
        <is>
          <t>Mounting Plates</t>
        </is>
      </c>
      <c r="Y348" s="3" t="inlineStr">
        <is>
          <t>Godrej_IN_SCNP4H_3D_Hinge_OA_ 98 degree Crank_0 K_2506</t>
        </is>
      </c>
      <c r="Z348" s="3" t="n">
        <v>8302</v>
      </c>
      <c r="AC348" s="3" t="n">
        <v>1</v>
      </c>
      <c r="AE348" s="3" t="n">
        <v>350</v>
      </c>
      <c r="AF348" s="4" t="n">
        <v>0.5</v>
      </c>
      <c r="AG348" s="3">
        <f>ROUND(AE348-(AE348*AF348),2)</f>
        <v/>
      </c>
      <c r="AH348" s="4" t="n">
        <v>0.18</v>
      </c>
      <c r="AI348" s="3">
        <f>ROUND(AG348+(AG348*AH348),2)</f>
        <v/>
      </c>
      <c r="AJ348" s="4" t="n">
        <v>0.2</v>
      </c>
      <c r="AK348" s="3">
        <f>ROUND(AI348*AJ348,2)</f>
        <v/>
      </c>
      <c r="AL348" s="3">
        <f>AI348+AK348</f>
        <v/>
      </c>
      <c r="AM348" s="3">
        <f>AE348-AL348</f>
        <v/>
      </c>
      <c r="AN348" s="4">
        <f>AM348/AE348</f>
        <v/>
      </c>
      <c r="AO348" s="3" t="inlineStr">
        <is>
          <t>60 mins</t>
        </is>
      </c>
      <c r="AQ348" s="3" t="inlineStr">
        <is>
          <t>Weight</t>
        </is>
      </c>
      <c r="AS348"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48" s="3" t="inlineStr">
        <is>
          <t>60 mins</t>
        </is>
      </c>
    </row>
    <row r="349" ht="15.75" customHeight="1">
      <c r="A349" s="10" t="inlineStr">
        <is>
          <t>PROD_0077</t>
        </is>
      </c>
      <c r="B349" s="10" t="inlineStr">
        <is>
          <t>VAR_1</t>
        </is>
      </c>
      <c r="C349" s="10" t="inlineStr">
        <is>
          <t>Modular Hardware</t>
        </is>
      </c>
      <c r="D349" s="10" t="inlineStr">
        <is>
          <t>Hinges</t>
        </is>
      </c>
      <c r="E349" s="10" t="inlineStr">
        <is>
          <t>Godrej</t>
        </is>
      </c>
      <c r="F349" s="10" t="inlineStr">
        <is>
          <t>Thick Door Cabinet Hinge | 105 degree | Regular Close</t>
        </is>
      </c>
      <c r="G349" s="10" t="n"/>
      <c r="H349" s="10" t="inlineStr">
        <is>
          <t>Crank</t>
        </is>
      </c>
      <c r="I349" s="10" t="inlineStr">
        <is>
          <t>15 K</t>
        </is>
      </c>
      <c r="J349" s="10" t="inlineStr">
        <is>
          <t>Board Thickness</t>
        </is>
      </c>
      <c r="K349" s="10" t="inlineStr">
        <is>
          <t>18-32 mm</t>
        </is>
      </c>
      <c r="L349" s="10" t="n"/>
      <c r="M349" s="10" t="n"/>
      <c r="N349" s="10" t="n"/>
      <c r="O349" s="10" t="n"/>
      <c r="P349" s="10" t="n"/>
      <c r="Q349" s="10" t="inlineStr">
        <is>
          <t>Manufacturer's Warranty</t>
        </is>
      </c>
      <c r="R349" s="10" t="n">
        <v>7097</v>
      </c>
      <c r="S349" s="10" t="n"/>
      <c r="T349" s="10" t="n"/>
      <c r="U349" s="10" t="n"/>
      <c r="V349" s="10" t="n"/>
      <c r="W349" s="10" t="n"/>
      <c r="X349" s="10" t="n"/>
      <c r="Y349" s="10" t="inlineStr">
        <is>
          <t>Godrej_IH_RCMTDCH_OA_105 degree_15K_7097</t>
        </is>
      </c>
      <c r="Z349" s="10" t="n">
        <v>8302</v>
      </c>
      <c r="AA349" s="10" t="n"/>
      <c r="AB349" s="10" t="n"/>
      <c r="AC349" s="10" t="n"/>
      <c r="AD349" s="10" t="n"/>
      <c r="AE349" s="10" t="n"/>
      <c r="AF349" s="11" t="n">
        <v>0.5</v>
      </c>
      <c r="AG349" s="10">
        <f>ROUND(AE349-(AE349*AF349),2)</f>
        <v/>
      </c>
      <c r="AH349" s="11" t="n">
        <v>0.18</v>
      </c>
      <c r="AI349" s="10">
        <f>ROUND(AG349+(AG349*AH349),2)</f>
        <v/>
      </c>
      <c r="AJ349" s="11" t="n">
        <v>0.2</v>
      </c>
      <c r="AK349" s="10">
        <f>ROUND(AI349*AJ349,2)</f>
        <v/>
      </c>
      <c r="AL349" s="10">
        <f>AI349+AK349</f>
        <v/>
      </c>
      <c r="AM349" s="10">
        <f>AE349-AL349</f>
        <v/>
      </c>
      <c r="AN349" s="11">
        <f>AM349/AE349</f>
        <v/>
      </c>
      <c r="AO349" s="10" t="inlineStr">
        <is>
          <t>60 mins</t>
        </is>
      </c>
      <c r="AP349" s="10" t="n"/>
      <c r="AQ349" s="10" t="inlineStr">
        <is>
          <t>Weight</t>
        </is>
      </c>
      <c r="AR349" s="10" t="n"/>
      <c r="AS349" s="10" t="n"/>
      <c r="AT349" s="10" t="inlineStr">
        <is>
          <t>Inactive</t>
        </is>
      </c>
    </row>
    <row r="350" ht="15.75" customHeight="1">
      <c r="A350" s="10" t="inlineStr">
        <is>
          <t>PROD_0077</t>
        </is>
      </c>
      <c r="B350" s="10" t="inlineStr">
        <is>
          <t>VAR_2</t>
        </is>
      </c>
      <c r="C350" s="10" t="inlineStr">
        <is>
          <t>Modular Hardware</t>
        </is>
      </c>
      <c r="D350" s="10" t="inlineStr">
        <is>
          <t>Hinges</t>
        </is>
      </c>
      <c r="E350" s="10" t="inlineStr">
        <is>
          <t>Godrej</t>
        </is>
      </c>
      <c r="F350" s="10" t="inlineStr">
        <is>
          <t>Thick Door Cabinet Hinge | 105 degree | Regular Close</t>
        </is>
      </c>
      <c r="G350" s="10" t="n"/>
      <c r="H350" s="10" t="inlineStr">
        <is>
          <t>Crank</t>
        </is>
      </c>
      <c r="I350" s="10" t="inlineStr">
        <is>
          <t>8 K</t>
        </is>
      </c>
      <c r="J350" s="10" t="inlineStr">
        <is>
          <t>Board Thickness</t>
        </is>
      </c>
      <c r="K350" s="10" t="inlineStr">
        <is>
          <t>18-32 mm</t>
        </is>
      </c>
      <c r="L350" s="10" t="n"/>
      <c r="M350" s="10" t="n"/>
      <c r="N350" s="10" t="n"/>
      <c r="O350" s="10" t="n"/>
      <c r="P350" s="10" t="n"/>
      <c r="Q350" s="10" t="inlineStr">
        <is>
          <t>Manufacturer's Warranty</t>
        </is>
      </c>
      <c r="R350" s="10" t="n">
        <v>7096</v>
      </c>
      <c r="S350" s="10" t="n"/>
      <c r="T350" s="10" t="n"/>
      <c r="U350" s="10" t="n"/>
      <c r="V350" s="10" t="n"/>
      <c r="W350" s="10" t="n"/>
      <c r="X350" s="10" t="n"/>
      <c r="Y350" s="10" t="inlineStr">
        <is>
          <t>Godrej_IH_RCMTDCH_OA_105 degree_8K_7096</t>
        </is>
      </c>
      <c r="Z350" s="10" t="n">
        <v>8302</v>
      </c>
      <c r="AA350" s="10" t="n"/>
      <c r="AB350" s="10" t="n"/>
      <c r="AC350" s="10" t="n"/>
      <c r="AD350" s="10" t="n"/>
      <c r="AE350" s="10" t="n"/>
      <c r="AF350" s="11" t="n">
        <v>0.5</v>
      </c>
      <c r="AG350" s="10">
        <f>ROUND(AE350-(AE350*AF350),2)</f>
        <v/>
      </c>
      <c r="AH350" s="11" t="n">
        <v>0.18</v>
      </c>
      <c r="AI350" s="10">
        <f>ROUND(AG350+(AG350*AH350),2)</f>
        <v/>
      </c>
      <c r="AJ350" s="11" t="n">
        <v>0.2</v>
      </c>
      <c r="AK350" s="10">
        <f>ROUND(AI350*AJ350,2)</f>
        <v/>
      </c>
      <c r="AL350" s="10">
        <f>AI350+AK350</f>
        <v/>
      </c>
      <c r="AM350" s="10">
        <f>AE350-AL350</f>
        <v/>
      </c>
      <c r="AN350" s="11">
        <f>AM350/AE350</f>
        <v/>
      </c>
      <c r="AO350" s="10" t="inlineStr">
        <is>
          <t>60 mins</t>
        </is>
      </c>
      <c r="AP350" s="10" t="n"/>
      <c r="AQ350" s="10" t="inlineStr">
        <is>
          <t>Weight</t>
        </is>
      </c>
      <c r="AR350" s="10" t="n"/>
      <c r="AS350" s="10" t="n"/>
      <c r="AT350" s="10" t="inlineStr">
        <is>
          <t>Inactive</t>
        </is>
      </c>
    </row>
    <row r="351" ht="15.75" customHeight="1">
      <c r="A351" s="3" t="inlineStr">
        <is>
          <t>PROD_0078</t>
        </is>
      </c>
      <c r="B351" s="3" t="inlineStr">
        <is>
          <t>VAR_1</t>
        </is>
      </c>
      <c r="C351" s="3" t="inlineStr">
        <is>
          <t>Modular Hardware</t>
        </is>
      </c>
      <c r="D351" s="3" t="inlineStr">
        <is>
          <t>Hinges</t>
        </is>
      </c>
      <c r="E351" s="3" t="inlineStr">
        <is>
          <t>Hafele</t>
        </is>
      </c>
      <c r="F351" s="3" t="inlineStr">
        <is>
          <t>Metalla 3D clip on | 110 degree | Soft Close</t>
        </is>
      </c>
      <c r="H351" s="3" t="inlineStr">
        <is>
          <t>Crank</t>
        </is>
      </c>
      <c r="I351" s="3" t="inlineStr">
        <is>
          <t>0 k</t>
        </is>
      </c>
      <c r="J351" s="3" t="inlineStr">
        <is>
          <t>Board Thickness</t>
        </is>
      </c>
      <c r="K351" s="3" t="inlineStr">
        <is>
          <t>14-24 mm</t>
        </is>
      </c>
      <c r="Q351" s="3" t="inlineStr">
        <is>
          <t>Manufacturer's Warranty</t>
        </is>
      </c>
      <c r="R351" s="3" t="inlineStr">
        <is>
          <t>315..07.135</t>
        </is>
      </c>
      <c r="S351" s="3" t="n">
        <v>2</v>
      </c>
      <c r="U351" s="3" t="n">
        <v>0.23</v>
      </c>
      <c r="V351" s="3" t="inlineStr">
        <is>
          <t>Mounting Plates</t>
        </is>
      </c>
      <c r="Y351" s="3" t="inlineStr">
        <is>
          <t>HAF_IH_SC_MET_CLIP_3D_0K</t>
        </is>
      </c>
      <c r="Z351" s="3" t="n">
        <v>8302</v>
      </c>
      <c r="AC351" s="3" t="n">
        <v>1</v>
      </c>
      <c r="AE351" s="3" t="n">
        <v>513</v>
      </c>
      <c r="AF351" s="4" t="n">
        <v>0.5</v>
      </c>
      <c r="AG351" s="3">
        <f>ROUND(AE351-(AE351*AF351),2)</f>
        <v/>
      </c>
      <c r="AH351" s="4" t="n">
        <v>0.18</v>
      </c>
      <c r="AI351" s="3">
        <f>ROUND(AG351+(AG351*AH351),2)</f>
        <v/>
      </c>
      <c r="AJ351" s="4" t="n">
        <v>0.2</v>
      </c>
      <c r="AK351" s="3">
        <f>ROUND(AI351*AJ351,2)</f>
        <v/>
      </c>
      <c r="AL351" s="3">
        <f>AI351+AK351</f>
        <v/>
      </c>
      <c r="AM351" s="3">
        <f>AE351-AL351</f>
        <v/>
      </c>
      <c r="AN351" s="4">
        <f>AM351/AE351</f>
        <v/>
      </c>
      <c r="AO351" s="3" t="inlineStr">
        <is>
          <t>60 mins</t>
        </is>
      </c>
      <c r="AQ351" s="3" t="inlineStr">
        <is>
          <t>Weight</t>
        </is>
      </c>
      <c r="AS351"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1" s="3" t="inlineStr">
        <is>
          <t>60 mins</t>
        </is>
      </c>
    </row>
    <row r="352" ht="15.75" customHeight="1">
      <c r="A352" s="3" t="inlineStr">
        <is>
          <t>PROD_0078</t>
        </is>
      </c>
      <c r="B352" s="3" t="inlineStr">
        <is>
          <t>VAR_2</t>
        </is>
      </c>
      <c r="C352" s="3" t="inlineStr">
        <is>
          <t>Modular Hardware</t>
        </is>
      </c>
      <c r="D352" s="3" t="inlineStr">
        <is>
          <t>Hinges</t>
        </is>
      </c>
      <c r="E352" s="3" t="inlineStr">
        <is>
          <t>Hafele</t>
        </is>
      </c>
      <c r="F352" s="3" t="inlineStr">
        <is>
          <t>Metalla 3D clip on | 110 degree | Soft Close</t>
        </is>
      </c>
      <c r="H352" s="3" t="inlineStr">
        <is>
          <t>Crank</t>
        </is>
      </c>
      <c r="I352" s="3" t="inlineStr">
        <is>
          <t>8 K</t>
        </is>
      </c>
      <c r="J352" s="3" t="inlineStr">
        <is>
          <t>Board Thickness</t>
        </is>
      </c>
      <c r="K352" s="3" t="inlineStr">
        <is>
          <t>14-24 mm</t>
        </is>
      </c>
      <c r="Q352" s="3" t="inlineStr">
        <is>
          <t>Manufacturer's Warranty</t>
        </is>
      </c>
      <c r="R352" s="3" t="inlineStr">
        <is>
          <t>315.07.136</t>
        </is>
      </c>
      <c r="S352" s="3" t="n">
        <v>2</v>
      </c>
      <c r="U352" s="3" t="n">
        <v>0.23</v>
      </c>
      <c r="V352" s="3" t="inlineStr">
        <is>
          <t>Mounting Plates</t>
        </is>
      </c>
      <c r="Y352" s="3" t="inlineStr">
        <is>
          <t>HAF_IH_SC_MET_CLIP_3D_8K</t>
        </is>
      </c>
      <c r="Z352" s="3" t="n">
        <v>8302</v>
      </c>
      <c r="AC352" s="3" t="n">
        <v>1</v>
      </c>
      <c r="AE352" s="3" t="n">
        <v>516</v>
      </c>
      <c r="AF352" s="4" t="n">
        <v>0.5</v>
      </c>
      <c r="AG352" s="3">
        <f>ROUND(AE352-(AE352*AF352),2)</f>
        <v/>
      </c>
      <c r="AH352" s="4" t="n">
        <v>0.18</v>
      </c>
      <c r="AI352" s="3">
        <f>ROUND(AG352+(AG352*AH352),2)</f>
        <v/>
      </c>
      <c r="AJ352" s="4" t="n">
        <v>0.2</v>
      </c>
      <c r="AK352" s="3">
        <f>ROUND(AI352*AJ352,2)</f>
        <v/>
      </c>
      <c r="AL352" s="3">
        <f>AI352+AK352</f>
        <v/>
      </c>
      <c r="AM352" s="3">
        <f>AE352-AL352</f>
        <v/>
      </c>
      <c r="AN352" s="4">
        <f>AM352/AE352</f>
        <v/>
      </c>
      <c r="AO352" s="3" t="inlineStr">
        <is>
          <t>60 mins</t>
        </is>
      </c>
      <c r="AQ352" s="3" t="inlineStr">
        <is>
          <t>Weight</t>
        </is>
      </c>
      <c r="AS352"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2" s="3" t="inlineStr">
        <is>
          <t>60 mins</t>
        </is>
      </c>
    </row>
    <row r="353" ht="15.75" customHeight="1">
      <c r="A353" s="3" t="inlineStr">
        <is>
          <t>PROD_0078</t>
        </is>
      </c>
      <c r="B353" s="3" t="inlineStr">
        <is>
          <t>VAR_3</t>
        </is>
      </c>
      <c r="C353" s="3" t="inlineStr">
        <is>
          <t>Modular Hardware</t>
        </is>
      </c>
      <c r="D353" s="3" t="inlineStr">
        <is>
          <t>Hinges</t>
        </is>
      </c>
      <c r="E353" s="3" t="inlineStr">
        <is>
          <t>Hafele</t>
        </is>
      </c>
      <c r="F353" s="3" t="inlineStr">
        <is>
          <t>Metalla 3D clip on | 110 degree | Soft Close</t>
        </is>
      </c>
      <c r="H353" s="3" t="inlineStr">
        <is>
          <t>Crank</t>
        </is>
      </c>
      <c r="I353" s="3" t="inlineStr">
        <is>
          <t>15 K</t>
        </is>
      </c>
      <c r="J353" s="3" t="inlineStr">
        <is>
          <t>Board Thickness</t>
        </is>
      </c>
      <c r="K353" s="3" t="inlineStr">
        <is>
          <t>14-24 mm</t>
        </is>
      </c>
      <c r="Q353" s="3" t="inlineStr">
        <is>
          <t>Manufacturer's Warranty</t>
        </is>
      </c>
      <c r="R353" s="3" t="inlineStr">
        <is>
          <t>315.07.137</t>
        </is>
      </c>
      <c r="S353" s="3" t="n">
        <v>2</v>
      </c>
      <c r="U353" s="3" t="n">
        <v>0.23</v>
      </c>
      <c r="V353" s="3" t="inlineStr">
        <is>
          <t>Mounting Plates</t>
        </is>
      </c>
      <c r="Y353" s="3" t="inlineStr">
        <is>
          <t>HAF_IH_SC_MET_CLIP_3D_15K</t>
        </is>
      </c>
      <c r="Z353" s="3" t="n">
        <v>8302</v>
      </c>
      <c r="AC353" s="3" t="n">
        <v>1</v>
      </c>
      <c r="AE353" s="3" t="n">
        <v>540</v>
      </c>
      <c r="AF353" s="4" t="n">
        <v>0.5</v>
      </c>
      <c r="AG353" s="3">
        <f>ROUND(AE353-(AE353*AF353),2)</f>
        <v/>
      </c>
      <c r="AH353" s="4" t="n">
        <v>0.18</v>
      </c>
      <c r="AI353" s="3">
        <f>ROUND(AG353+(AG353*AH353),2)</f>
        <v/>
      </c>
      <c r="AJ353" s="4" t="n">
        <v>0.2</v>
      </c>
      <c r="AK353" s="3">
        <f>ROUND(AI353*AJ353,2)</f>
        <v/>
      </c>
      <c r="AL353" s="3">
        <f>AI353+AK353</f>
        <v/>
      </c>
      <c r="AM353" s="3">
        <f>AE353-AL353</f>
        <v/>
      </c>
      <c r="AN353" s="4">
        <f>AM353/AE353</f>
        <v/>
      </c>
      <c r="AO353" s="3" t="inlineStr">
        <is>
          <t>60 mins</t>
        </is>
      </c>
      <c r="AQ353" s="3" t="inlineStr">
        <is>
          <t>Weight</t>
        </is>
      </c>
      <c r="AS353"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3" s="3" t="inlineStr">
        <is>
          <t>60 mins</t>
        </is>
      </c>
    </row>
    <row r="354" ht="15.75" customHeight="1">
      <c r="A354" s="3" t="inlineStr">
        <is>
          <t>PROD_0079</t>
        </is>
      </c>
      <c r="B354" s="3" t="inlineStr">
        <is>
          <t>VAR_1</t>
        </is>
      </c>
      <c r="C354" s="3" t="inlineStr">
        <is>
          <t>Modular Hardware</t>
        </is>
      </c>
      <c r="D354" s="3" t="inlineStr">
        <is>
          <t>Hinges</t>
        </is>
      </c>
      <c r="E354" s="3" t="inlineStr">
        <is>
          <t>Hafele</t>
        </is>
      </c>
      <c r="F354" s="3" t="inlineStr">
        <is>
          <t>Metalla 2D slide on | 110 degree | Soft Close</t>
        </is>
      </c>
      <c r="H354" s="3" t="inlineStr">
        <is>
          <t>Crank</t>
        </is>
      </c>
      <c r="I354" s="3" t="inlineStr">
        <is>
          <t>0 k</t>
        </is>
      </c>
      <c r="J354" s="3" t="inlineStr">
        <is>
          <t>Board Thickness</t>
        </is>
      </c>
      <c r="K354" s="3" t="inlineStr">
        <is>
          <t>14-24 mm</t>
        </is>
      </c>
      <c r="Q354" s="3" t="inlineStr">
        <is>
          <t>Manufacturer's Warranty</t>
        </is>
      </c>
      <c r="R354" s="3" t="inlineStr">
        <is>
          <t>315.07.132</t>
        </is>
      </c>
      <c r="S354" s="3" t="n">
        <v>2</v>
      </c>
      <c r="U354" s="3" t="n">
        <v>0.23</v>
      </c>
      <c r="V354" s="3" t="inlineStr">
        <is>
          <t>Mounting Plates</t>
        </is>
      </c>
      <c r="Y354" s="3" t="inlineStr">
        <is>
          <t>HAF_IH_SC_MET_SLIDE_3D_0K</t>
        </is>
      </c>
      <c r="Z354" s="3" t="n">
        <v>8302</v>
      </c>
      <c r="AC354" s="3" t="n">
        <v>1</v>
      </c>
      <c r="AE354" s="3" t="n">
        <v>513</v>
      </c>
      <c r="AF354" s="4" t="n">
        <v>0.5</v>
      </c>
      <c r="AG354" s="3">
        <f>ROUND(AE354-(AE354*AF354),2)</f>
        <v/>
      </c>
      <c r="AH354" s="4" t="n">
        <v>0.18</v>
      </c>
      <c r="AI354" s="3">
        <f>ROUND(AG354+(AG354*AH354),2)</f>
        <v/>
      </c>
      <c r="AJ354" s="4" t="n">
        <v>0.2</v>
      </c>
      <c r="AK354" s="3">
        <f>ROUND(AI354*AJ354,2)</f>
        <v/>
      </c>
      <c r="AL354" s="3">
        <f>AI354+AK354</f>
        <v/>
      </c>
      <c r="AM354" s="3">
        <f>AE354-AL354</f>
        <v/>
      </c>
      <c r="AN354" s="4">
        <f>AM354/AE354</f>
        <v/>
      </c>
      <c r="AO354" s="3" t="inlineStr">
        <is>
          <t>60 mins</t>
        </is>
      </c>
      <c r="AQ354" s="3" t="inlineStr">
        <is>
          <t>Weight</t>
        </is>
      </c>
      <c r="AS354"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4" s="3" t="inlineStr">
        <is>
          <t>60 mins</t>
        </is>
      </c>
    </row>
    <row r="355" ht="15.75" customHeight="1">
      <c r="A355" s="3" t="inlineStr">
        <is>
          <t>PROD_0079</t>
        </is>
      </c>
      <c r="B355" s="3" t="inlineStr">
        <is>
          <t>VAR_2</t>
        </is>
      </c>
      <c r="C355" s="3" t="inlineStr">
        <is>
          <t>Modular Hardware</t>
        </is>
      </c>
      <c r="D355" s="3" t="inlineStr">
        <is>
          <t>Hinges</t>
        </is>
      </c>
      <c r="E355" s="3" t="inlineStr">
        <is>
          <t>Hafele</t>
        </is>
      </c>
      <c r="F355" s="3" t="inlineStr">
        <is>
          <t>Metalla 2D slide on | 110 degree | Soft Close</t>
        </is>
      </c>
      <c r="H355" s="3" t="inlineStr">
        <is>
          <t>Crank</t>
        </is>
      </c>
      <c r="I355" s="3" t="inlineStr">
        <is>
          <t>8 K</t>
        </is>
      </c>
      <c r="J355" s="3" t="inlineStr">
        <is>
          <t>Board Thickness</t>
        </is>
      </c>
      <c r="K355" s="3" t="inlineStr">
        <is>
          <t>14-24 mm</t>
        </is>
      </c>
      <c r="Q355" s="3" t="inlineStr">
        <is>
          <t>Manufacturer's Warranty</t>
        </is>
      </c>
      <c r="R355" s="3" t="inlineStr">
        <is>
          <t>315.07.133</t>
        </is>
      </c>
      <c r="S355" s="3" t="n">
        <v>2</v>
      </c>
      <c r="U355" s="3" t="n">
        <v>0.23</v>
      </c>
      <c r="V355" s="3" t="inlineStr">
        <is>
          <t>Mounting Plates</t>
        </is>
      </c>
      <c r="Y355" s="3" t="inlineStr">
        <is>
          <t>HAF_IH_SC_MET_SLIDE_3D_8K</t>
        </is>
      </c>
      <c r="Z355" s="3" t="n">
        <v>8302</v>
      </c>
      <c r="AC355" s="3" t="n">
        <v>1</v>
      </c>
      <c r="AE355" s="3" t="n">
        <v>516</v>
      </c>
      <c r="AF355" s="4" t="n">
        <v>0.5</v>
      </c>
      <c r="AG355" s="3">
        <f>ROUND(AE355-(AE355*AF355),2)</f>
        <v/>
      </c>
      <c r="AH355" s="4" t="n">
        <v>0.18</v>
      </c>
      <c r="AI355" s="3">
        <f>ROUND(AG355+(AG355*AH355),2)</f>
        <v/>
      </c>
      <c r="AJ355" s="4" t="n">
        <v>0.2</v>
      </c>
      <c r="AK355" s="3">
        <f>ROUND(AI355*AJ355,2)</f>
        <v/>
      </c>
      <c r="AL355" s="3">
        <f>AI355+AK355</f>
        <v/>
      </c>
      <c r="AM355" s="3">
        <f>AE355-AL355</f>
        <v/>
      </c>
      <c r="AN355" s="4">
        <f>AM355/AE355</f>
        <v/>
      </c>
      <c r="AO355" s="3" t="inlineStr">
        <is>
          <t>60 mins</t>
        </is>
      </c>
      <c r="AQ355" s="3" t="inlineStr">
        <is>
          <t>Weight</t>
        </is>
      </c>
      <c r="AS355"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5" s="3" t="inlineStr">
        <is>
          <t>60 mins</t>
        </is>
      </c>
    </row>
    <row r="356" ht="15.75" customHeight="1">
      <c r="A356" s="3" t="inlineStr">
        <is>
          <t>PROD_0079</t>
        </is>
      </c>
      <c r="B356" s="3" t="inlineStr">
        <is>
          <t>VAR_3</t>
        </is>
      </c>
      <c r="C356" s="3" t="inlineStr">
        <is>
          <t>Modular Hardware</t>
        </is>
      </c>
      <c r="D356" s="3" t="inlineStr">
        <is>
          <t>Hinges</t>
        </is>
      </c>
      <c r="E356" s="3" t="inlineStr">
        <is>
          <t>Hafele</t>
        </is>
      </c>
      <c r="F356" s="3" t="inlineStr">
        <is>
          <t>Metalla 2D slide on | 110 degree | Soft Close</t>
        </is>
      </c>
      <c r="H356" s="3" t="inlineStr">
        <is>
          <t>Crank</t>
        </is>
      </c>
      <c r="I356" s="3" t="inlineStr">
        <is>
          <t>15 K</t>
        </is>
      </c>
      <c r="J356" s="3" t="inlineStr">
        <is>
          <t>Board Thickness</t>
        </is>
      </c>
      <c r="K356" s="3" t="inlineStr">
        <is>
          <t>14-24 mm</t>
        </is>
      </c>
      <c r="Q356" s="3" t="inlineStr">
        <is>
          <t>Manufacturer's Warranty</t>
        </is>
      </c>
      <c r="R356" s="3" t="inlineStr">
        <is>
          <t>315.07.134</t>
        </is>
      </c>
      <c r="S356" s="3" t="n">
        <v>2</v>
      </c>
      <c r="U356" s="3" t="n">
        <v>0.23</v>
      </c>
      <c r="V356" s="3" t="inlineStr">
        <is>
          <t>Mounting Plates</t>
        </is>
      </c>
      <c r="Y356" s="3" t="inlineStr">
        <is>
          <t>HAF_IH_SC_MET_SLIDE_3D_15K</t>
        </is>
      </c>
      <c r="Z356" s="3" t="n">
        <v>8302</v>
      </c>
      <c r="AC356" s="3" t="n">
        <v>1</v>
      </c>
      <c r="AE356" s="3" t="n">
        <v>540</v>
      </c>
      <c r="AF356" s="4" t="n">
        <v>0.5</v>
      </c>
      <c r="AG356" s="3">
        <f>ROUND(AE356-(AE356*AF356),2)</f>
        <v/>
      </c>
      <c r="AH356" s="4" t="n">
        <v>0.18</v>
      </c>
      <c r="AI356" s="3">
        <f>ROUND(AG356+(AG356*AH356),2)</f>
        <v/>
      </c>
      <c r="AJ356" s="4" t="n">
        <v>0.2</v>
      </c>
      <c r="AK356" s="3">
        <f>ROUND(AI356*AJ356,2)</f>
        <v/>
      </c>
      <c r="AL356" s="3">
        <f>AI356+AK356</f>
        <v/>
      </c>
      <c r="AM356" s="3">
        <f>AE356-AL356</f>
        <v/>
      </c>
      <c r="AN356" s="4">
        <f>AM356/AE356</f>
        <v/>
      </c>
      <c r="AO356" s="3" t="inlineStr">
        <is>
          <t>60 mins</t>
        </is>
      </c>
      <c r="AQ356" s="3" t="inlineStr">
        <is>
          <t>Weight</t>
        </is>
      </c>
      <c r="AS356"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6" s="3" t="inlineStr">
        <is>
          <t>60 mins</t>
        </is>
      </c>
    </row>
    <row r="357" ht="15.75" customHeight="1">
      <c r="A357" s="3" t="inlineStr">
        <is>
          <t>PROD_0080</t>
        </is>
      </c>
      <c r="B357" s="3" t="inlineStr">
        <is>
          <t>VAR_1</t>
        </is>
      </c>
      <c r="C357" s="3" t="inlineStr">
        <is>
          <t>Modular Hardware</t>
        </is>
      </c>
      <c r="D357" s="3" t="inlineStr">
        <is>
          <t>Hinges</t>
        </is>
      </c>
      <c r="E357" s="3" t="inlineStr">
        <is>
          <t>Hafele</t>
        </is>
      </c>
      <c r="F357" s="3" t="inlineStr">
        <is>
          <t>Metalla 510 reverse spring | 110 degree | Normal Close</t>
        </is>
      </c>
      <c r="H357" s="3" t="inlineStr">
        <is>
          <t>Crank</t>
        </is>
      </c>
      <c r="I357" s="3" t="inlineStr">
        <is>
          <t>8 K</t>
        </is>
      </c>
      <c r="J357" s="3" t="inlineStr">
        <is>
          <t>Board Thickness</t>
        </is>
      </c>
      <c r="K357" s="3" t="inlineStr">
        <is>
          <t>14-24 mm</t>
        </is>
      </c>
      <c r="Q357" s="3" t="inlineStr">
        <is>
          <t>Manufacturer's Warranty</t>
        </is>
      </c>
      <c r="R357" s="3" t="inlineStr">
        <is>
          <t>329.19.012</t>
        </is>
      </c>
      <c r="Y357" s="3" t="inlineStr">
        <is>
          <t>HAF_IH_SC_MET_REV_SPR</t>
        </is>
      </c>
      <c r="Z357" s="3" t="n">
        <v>8302</v>
      </c>
      <c r="AC357" s="3" t="n">
        <v>1</v>
      </c>
      <c r="AE357" s="3" t="n">
        <v>1160</v>
      </c>
      <c r="AF357" s="4" t="n">
        <v>0.5</v>
      </c>
      <c r="AG357" s="3">
        <f>ROUND(AE357-(AE357*AF357),2)</f>
        <v/>
      </c>
      <c r="AH357" s="4" t="n">
        <v>0.18</v>
      </c>
      <c r="AI357" s="3">
        <f>ROUND(AG357+(AG357*AH357),2)</f>
        <v/>
      </c>
      <c r="AJ357" s="4" t="n">
        <v>0.2</v>
      </c>
      <c r="AK357" s="3">
        <f>ROUND(AI357*AJ357,2)</f>
        <v/>
      </c>
      <c r="AL357" s="3">
        <f>AI357+AK357</f>
        <v/>
      </c>
      <c r="AM357" s="3">
        <f>AE357-AL357</f>
        <v/>
      </c>
      <c r="AN357" s="4">
        <f>AM357/AE357</f>
        <v/>
      </c>
      <c r="AO357" s="3" t="inlineStr">
        <is>
          <t>60 mins</t>
        </is>
      </c>
      <c r="AQ357" s="3" t="inlineStr">
        <is>
          <t>Weight</t>
        </is>
      </c>
      <c r="AS357"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7" s="3" t="inlineStr">
        <is>
          <t>60 mins</t>
        </is>
      </c>
    </row>
    <row r="358" ht="15.75" customHeight="1">
      <c r="A358" s="3" t="inlineStr">
        <is>
          <t>PROD_0081</t>
        </is>
      </c>
      <c r="B358" s="3" t="inlineStr">
        <is>
          <t>VAR_1</t>
        </is>
      </c>
      <c r="C358" s="3" t="inlineStr">
        <is>
          <t>Modular Hardware</t>
        </is>
      </c>
      <c r="D358" s="3" t="inlineStr">
        <is>
          <t>Hinges</t>
        </is>
      </c>
      <c r="E358" s="3" t="inlineStr">
        <is>
          <t>Hafele</t>
        </is>
      </c>
      <c r="F358" s="3" t="inlineStr">
        <is>
          <t>Square Butt Hinge | 5" x 3" x 3 mm</t>
        </is>
      </c>
      <c r="H358" s="3" t="inlineStr">
        <is>
          <t>Material</t>
        </is>
      </c>
      <c r="I358" s="3" t="inlineStr">
        <is>
          <t>Stainless Steel</t>
        </is>
      </c>
      <c r="J358" s="3" t="inlineStr">
        <is>
          <t>Board Thickness</t>
        </is>
      </c>
      <c r="K358" s="3" t="inlineStr">
        <is>
          <t>14-24 mm</t>
        </is>
      </c>
      <c r="Q358" s="3" t="inlineStr">
        <is>
          <t>Manufacturer's Warranty</t>
        </is>
      </c>
      <c r="R358" s="3" t="inlineStr">
        <is>
          <t xml:space="preserve">926.32.280 </t>
        </is>
      </c>
      <c r="S358" s="3" t="n">
        <v>1</v>
      </c>
      <c r="U358" s="3" t="n">
        <v>0.46</v>
      </c>
      <c r="V358" s="3" t="inlineStr">
        <is>
          <t>Mounting Plates</t>
        </is>
      </c>
      <c r="W358" s="3" t="inlineStr">
        <is>
          <t>Application</t>
        </is>
      </c>
      <c r="X358" s="3" t="inlineStr">
        <is>
          <t>Door &amp; Window</t>
        </is>
      </c>
      <c r="Y358" s="3" t="inlineStr">
        <is>
          <t>HAF_BT_SQ_SS_5_3_3</t>
        </is>
      </c>
      <c r="Z358" s="3" t="n">
        <v>8302</v>
      </c>
      <c r="AC358" s="3" t="n">
        <v>1</v>
      </c>
      <c r="AE358" s="3" t="n">
        <v>860</v>
      </c>
      <c r="AF358" s="4" t="n">
        <v>0.5</v>
      </c>
      <c r="AG358" s="3">
        <f>ROUND(AE358-(AE358*AF358),2)</f>
        <v/>
      </c>
      <c r="AH358" s="4" t="n">
        <v>0.18</v>
      </c>
      <c r="AI358" s="3">
        <f>ROUND(AG358+(AG358*AH358),2)</f>
        <v/>
      </c>
      <c r="AJ358" s="4" t="n">
        <v>0.2</v>
      </c>
      <c r="AK358" s="3">
        <f>ROUND(AI358*AJ358,2)</f>
        <v/>
      </c>
      <c r="AL358" s="3">
        <f>AI358+AK358</f>
        <v/>
      </c>
      <c r="AM358" s="3">
        <f>AE358-AL358</f>
        <v/>
      </c>
      <c r="AN358" s="4">
        <f>AM358/AE358</f>
        <v/>
      </c>
      <c r="AO358" s="3" t="inlineStr">
        <is>
          <t>60 mins</t>
        </is>
      </c>
      <c r="AQ358" s="3" t="inlineStr">
        <is>
          <t>Weight</t>
        </is>
      </c>
      <c r="AS358"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8" s="3" t="inlineStr">
        <is>
          <t>60 mins</t>
        </is>
      </c>
    </row>
    <row r="359" ht="15.75" customHeight="1">
      <c r="A359" s="3" t="inlineStr">
        <is>
          <t>PROD_0082</t>
        </is>
      </c>
      <c r="B359" s="3" t="inlineStr">
        <is>
          <t>VAR_1</t>
        </is>
      </c>
      <c r="C359" s="3" t="inlineStr">
        <is>
          <t>Modular Hardware</t>
        </is>
      </c>
      <c r="D359" s="3" t="inlineStr">
        <is>
          <t>Hinges</t>
        </is>
      </c>
      <c r="E359" s="3" t="inlineStr">
        <is>
          <t>Hafele</t>
        </is>
      </c>
      <c r="F359" s="3" t="inlineStr">
        <is>
          <t>Square Butt Hinge | 4" x 3" x 3 mm</t>
        </is>
      </c>
      <c r="H359" s="3" t="inlineStr">
        <is>
          <t>Material</t>
        </is>
      </c>
      <c r="I359" s="3" t="inlineStr">
        <is>
          <t>Stainless Steel</t>
        </is>
      </c>
      <c r="J359" s="3" t="inlineStr">
        <is>
          <t>Board Thickness</t>
        </is>
      </c>
      <c r="K359" s="3" t="inlineStr">
        <is>
          <t>14-24 mm</t>
        </is>
      </c>
      <c r="Q359" s="3" t="inlineStr">
        <is>
          <t>Manufacturer's Warranty</t>
        </is>
      </c>
      <c r="R359" s="3" t="inlineStr">
        <is>
          <t xml:space="preserve">926.32.160 </t>
        </is>
      </c>
      <c r="S359" s="3" t="n">
        <v>1</v>
      </c>
      <c r="Y359" s="3" t="inlineStr">
        <is>
          <t>HAF_BT_SQ_SS_4_3_3</t>
        </is>
      </c>
      <c r="Z359" s="3" t="n">
        <v>8302</v>
      </c>
      <c r="AC359" s="3" t="n">
        <v>1</v>
      </c>
      <c r="AE359" s="3" t="n">
        <v>655</v>
      </c>
      <c r="AF359" s="4" t="n">
        <v>0.5</v>
      </c>
      <c r="AG359" s="3">
        <f>ROUND(AE359-(AE359*AF359),2)</f>
        <v/>
      </c>
      <c r="AH359" s="4" t="n">
        <v>0.18</v>
      </c>
      <c r="AI359" s="3">
        <f>ROUND(AG359+(AG359*AH359),2)</f>
        <v/>
      </c>
      <c r="AJ359" s="4" t="n">
        <v>0.2</v>
      </c>
      <c r="AK359" s="3">
        <f>ROUND(AI359*AJ359,2)</f>
        <v/>
      </c>
      <c r="AL359" s="3">
        <f>AI359+AK359</f>
        <v/>
      </c>
      <c r="AM359" s="3">
        <f>AE359-AL359</f>
        <v/>
      </c>
      <c r="AN359" s="4">
        <f>AM359/AE359</f>
        <v/>
      </c>
      <c r="AO359" s="3" t="inlineStr">
        <is>
          <t>60 mins</t>
        </is>
      </c>
      <c r="AQ359" s="3" t="inlineStr">
        <is>
          <t>Weight</t>
        </is>
      </c>
      <c r="AS359"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59" s="3" t="inlineStr">
        <is>
          <t>60 mins</t>
        </is>
      </c>
    </row>
    <row r="360" ht="15.75" customHeight="1">
      <c r="A360" s="3" t="inlineStr">
        <is>
          <t>PROD_0083</t>
        </is>
      </c>
      <c r="B360" s="3" t="inlineStr">
        <is>
          <t>VAR_1</t>
        </is>
      </c>
      <c r="C360" s="3" t="inlineStr">
        <is>
          <t>Modular Hardware</t>
        </is>
      </c>
      <c r="D360" s="3" t="inlineStr">
        <is>
          <t>Hinges</t>
        </is>
      </c>
      <c r="E360" s="3" t="inlineStr">
        <is>
          <t>Hafele</t>
        </is>
      </c>
      <c r="F360" s="3" t="inlineStr">
        <is>
          <t>Square Butt Hinge | 5" x 3.5" x 3 mm</t>
        </is>
      </c>
      <c r="H360" s="3" t="inlineStr">
        <is>
          <t>Material</t>
        </is>
      </c>
      <c r="I360" s="3" t="inlineStr">
        <is>
          <t>Stainless Steel</t>
        </is>
      </c>
      <c r="J360" s="3" t="inlineStr">
        <is>
          <t>Board Thickness</t>
        </is>
      </c>
      <c r="K360" s="3" t="inlineStr">
        <is>
          <t>14-24 mm</t>
        </is>
      </c>
      <c r="Q360" s="3" t="inlineStr">
        <is>
          <t>Manufacturer's Warranty</t>
        </is>
      </c>
      <c r="R360" s="3" t="inlineStr">
        <is>
          <t>926.32.290</t>
        </is>
      </c>
      <c r="Y360" s="3" t="inlineStr">
        <is>
          <t>HAF_BT_SQ_SS_5_3.5_3</t>
        </is>
      </c>
      <c r="Z360" s="3" t="n">
        <v>8302</v>
      </c>
      <c r="AC360" s="3" t="n">
        <v>1</v>
      </c>
      <c r="AE360" s="3" t="n">
        <v>940</v>
      </c>
      <c r="AF360" s="4" t="n">
        <v>0.5</v>
      </c>
      <c r="AG360" s="3">
        <f>ROUND(AE360-(AE360*AF360),2)</f>
        <v/>
      </c>
      <c r="AH360" s="4" t="n">
        <v>0.18</v>
      </c>
      <c r="AI360" s="3">
        <f>ROUND(AG360+(AG360*AH360),2)</f>
        <v/>
      </c>
      <c r="AJ360" s="4" t="n">
        <v>0.2</v>
      </c>
      <c r="AK360" s="3">
        <f>ROUND(AI360*AJ360,2)</f>
        <v/>
      </c>
      <c r="AL360" s="3">
        <f>AI360+AK360</f>
        <v/>
      </c>
      <c r="AM360" s="3">
        <f>AE360-AL360</f>
        <v/>
      </c>
      <c r="AN360" s="4">
        <f>AM360/AE360</f>
        <v/>
      </c>
      <c r="AO360" s="3" t="inlineStr">
        <is>
          <t>60 mins</t>
        </is>
      </c>
      <c r="AQ360" s="3" t="inlineStr">
        <is>
          <t>Weight</t>
        </is>
      </c>
      <c r="AS360" s="3" t="inlineStr">
        <is>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is>
      </c>
      <c r="AT360" s="3" t="inlineStr">
        <is>
          <t>60 mins</t>
        </is>
      </c>
    </row>
    <row r="361" ht="15.75" customHeight="1">
      <c r="A361" s="3" t="inlineStr">
        <is>
          <t>PROD_0084</t>
        </is>
      </c>
      <c r="B361" s="3" t="inlineStr">
        <is>
          <t>VAR_1</t>
        </is>
      </c>
      <c r="C361" s="3" t="inlineStr">
        <is>
          <t>Modular Hardware</t>
        </is>
      </c>
      <c r="D361" s="3" t="inlineStr">
        <is>
          <t>Channels</t>
        </is>
      </c>
      <c r="E361" s="3" t="inlineStr">
        <is>
          <t>Hettich</t>
        </is>
      </c>
      <c r="F361" s="3" t="inlineStr">
        <is>
          <t>Telescopic Channels | KA 5632 | Normal Close</t>
        </is>
      </c>
      <c r="H361" s="3" t="inlineStr">
        <is>
          <t>Weight</t>
        </is>
      </c>
      <c r="I361" s="3" t="inlineStr">
        <is>
          <t>45 kg</t>
        </is>
      </c>
      <c r="J361" s="3" t="inlineStr">
        <is>
          <t>Depth</t>
        </is>
      </c>
      <c r="K361" s="3" t="inlineStr">
        <is>
          <t>200 mm</t>
        </is>
      </c>
      <c r="Q361" s="3" t="inlineStr">
        <is>
          <t>Manufacturer's Warranty</t>
        </is>
      </c>
      <c r="R361" s="3" t="n">
        <v>9293321</v>
      </c>
      <c r="S361" s="3" t="n">
        <v>2</v>
      </c>
      <c r="Y361" s="3" t="inlineStr">
        <is>
          <t>HT_TC_RC_5632_IMG1,HT_TC_RC_5632_IMG2</t>
        </is>
      </c>
      <c r="Z361" s="3" t="n">
        <v>8302</v>
      </c>
      <c r="AC361" s="3" t="n">
        <v>1</v>
      </c>
      <c r="AE361" s="3" t="n">
        <v>465</v>
      </c>
      <c r="AF361" s="4" t="n">
        <v>0.5</v>
      </c>
      <c r="AG361" s="3">
        <f>ROUND(AE361-(AE361*AF361),2)</f>
        <v/>
      </c>
      <c r="AH361" s="4" t="n">
        <v>0.18</v>
      </c>
      <c r="AI361" s="3">
        <f>ROUND(AG361+(AG361*AH361),2)</f>
        <v/>
      </c>
      <c r="AJ361" s="4" t="n">
        <v>0.2</v>
      </c>
      <c r="AK361" s="3">
        <f>ROUND(AI361*AJ361,2)</f>
        <v/>
      </c>
      <c r="AL361" s="3">
        <f>AI361+AK361</f>
        <v/>
      </c>
      <c r="AM361" s="3">
        <f>AE361-AL361</f>
        <v/>
      </c>
      <c r="AN361" s="4">
        <f>AM361/AE361</f>
        <v/>
      </c>
      <c r="AO361" s="3" t="inlineStr">
        <is>
          <t>60 mins</t>
        </is>
      </c>
      <c r="AQ361" s="3" t="inlineStr">
        <is>
          <t>Weight</t>
        </is>
      </c>
      <c r="AS361" s="3" t="inlineStr">
        <is>
          <t>This product is a high-performance hardware mechanism used to enable smooth, quiet, and full extension of drawers in furniture.</t>
        </is>
      </c>
      <c r="AT361" s="3" t="inlineStr">
        <is>
          <t>60 mins</t>
        </is>
      </c>
    </row>
    <row r="362" ht="15.75" customHeight="1">
      <c r="A362" s="3" t="inlineStr">
        <is>
          <t>PROD_0084</t>
        </is>
      </c>
      <c r="B362" s="3" t="inlineStr">
        <is>
          <t>VAR_2</t>
        </is>
      </c>
      <c r="C362" s="3" t="inlineStr">
        <is>
          <t>Modular Hardware</t>
        </is>
      </c>
      <c r="D362" s="3" t="inlineStr">
        <is>
          <t>Channels</t>
        </is>
      </c>
      <c r="E362" s="3" t="inlineStr">
        <is>
          <t>Hettich</t>
        </is>
      </c>
      <c r="F362" s="3" t="inlineStr">
        <is>
          <t>Telescopic Channels | KA 5632 | Normal Close</t>
        </is>
      </c>
      <c r="H362" s="3" t="inlineStr">
        <is>
          <t>Weight</t>
        </is>
      </c>
      <c r="I362" s="3" t="inlineStr">
        <is>
          <t>45 kg</t>
        </is>
      </c>
      <c r="J362" s="3" t="inlineStr">
        <is>
          <t>Depth</t>
        </is>
      </c>
      <c r="K362" s="3" t="inlineStr">
        <is>
          <t>250 mm</t>
        </is>
      </c>
      <c r="Q362" s="3" t="inlineStr">
        <is>
          <t>Manufacturer's Warranty</t>
        </is>
      </c>
      <c r="R362" s="3" t="n">
        <v>9215435</v>
      </c>
      <c r="S362" s="3" t="n">
        <v>2</v>
      </c>
      <c r="Y362" s="3" t="inlineStr">
        <is>
          <t>HT_TC_RC_5632_IMG1,HT_TC_RC_5632_IMG2</t>
        </is>
      </c>
      <c r="Z362" s="3" t="n">
        <v>8302</v>
      </c>
      <c r="AC362" s="3" t="n">
        <v>1</v>
      </c>
      <c r="AE362" s="3" t="n">
        <v>465</v>
      </c>
      <c r="AF362" s="4" t="n">
        <v>0.5</v>
      </c>
      <c r="AG362" s="3">
        <f>ROUND(AE362-(AE362*AF362),2)</f>
        <v/>
      </c>
      <c r="AH362" s="4" t="n">
        <v>0.18</v>
      </c>
      <c r="AI362" s="3">
        <f>ROUND(AG362+(AG362*AH362),2)</f>
        <v/>
      </c>
      <c r="AJ362" s="4" t="n">
        <v>0.2</v>
      </c>
      <c r="AK362" s="3">
        <f>ROUND(AI362*AJ362,2)</f>
        <v/>
      </c>
      <c r="AL362" s="3">
        <f>AI362+AK362</f>
        <v/>
      </c>
      <c r="AM362" s="3">
        <f>AE362-AL362</f>
        <v/>
      </c>
      <c r="AN362" s="4">
        <f>AM362/AE362</f>
        <v/>
      </c>
      <c r="AO362" s="3" t="inlineStr">
        <is>
          <t>60 mins</t>
        </is>
      </c>
      <c r="AQ362" s="3" t="inlineStr">
        <is>
          <t>Weight</t>
        </is>
      </c>
      <c r="AS362" s="3" t="inlineStr">
        <is>
          <t>This product is a high-performance hardware mechanism used to enable smooth, quiet, and full extension of drawers in furniture.</t>
        </is>
      </c>
      <c r="AT362" s="3" t="inlineStr">
        <is>
          <t>60 mins</t>
        </is>
      </c>
    </row>
    <row r="363" ht="15.75" customHeight="1">
      <c r="A363" s="3" t="inlineStr">
        <is>
          <t>PROD_0084</t>
        </is>
      </c>
      <c r="B363" s="3" t="inlineStr">
        <is>
          <t>VAR_3</t>
        </is>
      </c>
      <c r="C363" s="3" t="inlineStr">
        <is>
          <t>Modular Hardware</t>
        </is>
      </c>
      <c r="D363" s="3" t="inlineStr">
        <is>
          <t>Channels</t>
        </is>
      </c>
      <c r="E363" s="3" t="inlineStr">
        <is>
          <t>Hettich</t>
        </is>
      </c>
      <c r="F363" s="3" t="inlineStr">
        <is>
          <t>Telescopic Channels | KA 5632 | Normal Close</t>
        </is>
      </c>
      <c r="H363" s="3" t="inlineStr">
        <is>
          <t>Weight</t>
        </is>
      </c>
      <c r="I363" s="3" t="inlineStr">
        <is>
          <t>45 kg</t>
        </is>
      </c>
      <c r="J363" s="3" t="inlineStr">
        <is>
          <t>Depth</t>
        </is>
      </c>
      <c r="K363" s="3" t="inlineStr">
        <is>
          <t>300 mm</t>
        </is>
      </c>
      <c r="Q363" s="3" t="inlineStr">
        <is>
          <t>Manufacturer's Warranty</t>
        </is>
      </c>
      <c r="R363" s="3" t="n">
        <v>9215436</v>
      </c>
      <c r="S363" s="3" t="n">
        <v>2</v>
      </c>
      <c r="Y363" s="3" t="inlineStr">
        <is>
          <t>HT_TC_RC_5632_IMG1,HT_TC_RC_5632_IMG2</t>
        </is>
      </c>
      <c r="Z363" s="3" t="n">
        <v>8302</v>
      </c>
      <c r="AC363" s="3" t="n">
        <v>1</v>
      </c>
      <c r="AE363" s="3" t="n">
        <v>487</v>
      </c>
      <c r="AF363" s="4" t="n">
        <v>0.5</v>
      </c>
      <c r="AG363" s="3">
        <f>ROUND(AE363-(AE363*AF363),2)</f>
        <v/>
      </c>
      <c r="AH363" s="4" t="n">
        <v>0.18</v>
      </c>
      <c r="AI363" s="3">
        <f>ROUND(AG363+(AG363*AH363),2)</f>
        <v/>
      </c>
      <c r="AJ363" s="4" t="n">
        <v>0.2</v>
      </c>
      <c r="AK363" s="3">
        <f>ROUND(AI363*AJ363,2)</f>
        <v/>
      </c>
      <c r="AL363" s="3">
        <f>AI363+AK363</f>
        <v/>
      </c>
      <c r="AM363" s="3">
        <f>AE363-AL363</f>
        <v/>
      </c>
      <c r="AN363" s="4">
        <f>AM363/AE363</f>
        <v/>
      </c>
      <c r="AO363" s="3" t="inlineStr">
        <is>
          <t>60 mins</t>
        </is>
      </c>
      <c r="AQ363" s="3" t="inlineStr">
        <is>
          <t>Weight</t>
        </is>
      </c>
      <c r="AS363" s="3" t="inlineStr">
        <is>
          <t>This product is a high-performance hardware mechanism used to enable smooth, quiet, and full extension of drawers in furniture.</t>
        </is>
      </c>
      <c r="AT363" s="3" t="inlineStr">
        <is>
          <t>60 mins</t>
        </is>
      </c>
    </row>
    <row r="364" ht="15.75" customHeight="1">
      <c r="A364" s="3" t="inlineStr">
        <is>
          <t>PROD_0084</t>
        </is>
      </c>
      <c r="B364" s="3" t="inlineStr">
        <is>
          <t>VAR_4</t>
        </is>
      </c>
      <c r="C364" s="3" t="inlineStr">
        <is>
          <t>Modular Hardware</t>
        </is>
      </c>
      <c r="D364" s="3" t="inlineStr">
        <is>
          <t>Channels</t>
        </is>
      </c>
      <c r="E364" s="3" t="inlineStr">
        <is>
          <t>Hettich</t>
        </is>
      </c>
      <c r="F364" s="3" t="inlineStr">
        <is>
          <t>Telescopic Channels | KA 5632 | Normal Close</t>
        </is>
      </c>
      <c r="H364" s="3" t="inlineStr">
        <is>
          <t>Weight</t>
        </is>
      </c>
      <c r="I364" s="3" t="inlineStr">
        <is>
          <t>45 kg</t>
        </is>
      </c>
      <c r="J364" s="3" t="inlineStr">
        <is>
          <t>Depth</t>
        </is>
      </c>
      <c r="K364" s="3" t="inlineStr">
        <is>
          <t>350 mm</t>
        </is>
      </c>
      <c r="Q364" s="3" t="inlineStr">
        <is>
          <t>Manufacturer's Warranty</t>
        </is>
      </c>
      <c r="R364" s="3" t="n">
        <v>9215437</v>
      </c>
      <c r="S364" s="3" t="n">
        <v>2</v>
      </c>
      <c r="Y364" s="3" t="inlineStr">
        <is>
          <t>HT_TC_RC_5632_IMG1,HT_TC_RC_5632_IMG2</t>
        </is>
      </c>
      <c r="Z364" s="3" t="n">
        <v>8302</v>
      </c>
      <c r="AC364" s="3" t="n">
        <v>1</v>
      </c>
      <c r="AE364" s="3" t="n">
        <v>508</v>
      </c>
      <c r="AF364" s="4" t="n">
        <v>0.5</v>
      </c>
      <c r="AG364" s="3">
        <f>ROUND(AE364-(AE364*AF364),2)</f>
        <v/>
      </c>
      <c r="AH364" s="4" t="n">
        <v>0.18</v>
      </c>
      <c r="AI364" s="3">
        <f>ROUND(AG364+(AG364*AH364),2)</f>
        <v/>
      </c>
      <c r="AJ364" s="4" t="n">
        <v>0.2</v>
      </c>
      <c r="AK364" s="3">
        <f>ROUND(AI364*AJ364,2)</f>
        <v/>
      </c>
      <c r="AL364" s="3">
        <f>AI364+AK364</f>
        <v/>
      </c>
      <c r="AM364" s="3">
        <f>AE364-AL364</f>
        <v/>
      </c>
      <c r="AN364" s="4">
        <f>AM364/AE364</f>
        <v/>
      </c>
      <c r="AO364" s="3" t="inlineStr">
        <is>
          <t>60 mins</t>
        </is>
      </c>
      <c r="AQ364" s="3" t="inlineStr">
        <is>
          <t>Weight</t>
        </is>
      </c>
      <c r="AS364" s="3" t="inlineStr">
        <is>
          <t>This product is a high-performance hardware mechanism used to enable smooth, quiet, and full extension of drawers in furniture.</t>
        </is>
      </c>
      <c r="AT364" s="3" t="inlineStr">
        <is>
          <t>60 mins</t>
        </is>
      </c>
    </row>
    <row r="365" ht="15.75" customHeight="1">
      <c r="A365" s="3" t="inlineStr">
        <is>
          <t>PROD_0084</t>
        </is>
      </c>
      <c r="B365" s="3" t="inlineStr">
        <is>
          <t>VAR_5</t>
        </is>
      </c>
      <c r="C365" s="3" t="inlineStr">
        <is>
          <t>Modular Hardware</t>
        </is>
      </c>
      <c r="D365" s="3" t="inlineStr">
        <is>
          <t>Channels</t>
        </is>
      </c>
      <c r="E365" s="3" t="inlineStr">
        <is>
          <t>Hettich</t>
        </is>
      </c>
      <c r="F365" s="3" t="inlineStr">
        <is>
          <t>Telescopic Channels | KA 5632 | Normal Close</t>
        </is>
      </c>
      <c r="H365" s="3" t="inlineStr">
        <is>
          <t>Weight</t>
        </is>
      </c>
      <c r="I365" s="3" t="inlineStr">
        <is>
          <t>45 kg</t>
        </is>
      </c>
      <c r="J365" s="3" t="inlineStr">
        <is>
          <t>Depth</t>
        </is>
      </c>
      <c r="K365" s="3" t="inlineStr">
        <is>
          <t>400 mm</t>
        </is>
      </c>
      <c r="Q365" s="3" t="inlineStr">
        <is>
          <t>Manufacturer's Warranty</t>
        </is>
      </c>
      <c r="R365" s="3" t="n">
        <v>9209240</v>
      </c>
      <c r="S365" s="3" t="n">
        <v>2</v>
      </c>
      <c r="Y365" s="3" t="inlineStr">
        <is>
          <t>HT_TC_RC_5632_IMG1,HT_TC_RC_5632_IMG2</t>
        </is>
      </c>
      <c r="Z365" s="3" t="n">
        <v>8302</v>
      </c>
      <c r="AC365" s="3" t="n">
        <v>1</v>
      </c>
      <c r="AE365" s="3" t="n">
        <v>529</v>
      </c>
      <c r="AF365" s="4" t="n">
        <v>0.5</v>
      </c>
      <c r="AG365" s="3">
        <f>ROUND(AE365-(AE365*AF365),2)</f>
        <v/>
      </c>
      <c r="AH365" s="4" t="n">
        <v>0.18</v>
      </c>
      <c r="AI365" s="3">
        <f>ROUND(AG365+(AG365*AH365),2)</f>
        <v/>
      </c>
      <c r="AJ365" s="4" t="n">
        <v>0.2</v>
      </c>
      <c r="AK365" s="3">
        <f>ROUND(AI365*AJ365,2)</f>
        <v/>
      </c>
      <c r="AL365" s="3">
        <f>AI365+AK365</f>
        <v/>
      </c>
      <c r="AM365" s="3">
        <f>AE365-AL365</f>
        <v/>
      </c>
      <c r="AN365" s="4">
        <f>AM365/AE365</f>
        <v/>
      </c>
      <c r="AO365" s="3" t="inlineStr">
        <is>
          <t>60 mins</t>
        </is>
      </c>
      <c r="AQ365" s="3" t="inlineStr">
        <is>
          <t>Weight</t>
        </is>
      </c>
      <c r="AS365" s="3" t="inlineStr">
        <is>
          <t>This product is a high-performance hardware mechanism used to enable smooth, quiet, and full extension of drawers in furniture.</t>
        </is>
      </c>
      <c r="AT365" s="3" t="inlineStr">
        <is>
          <t>60 mins</t>
        </is>
      </c>
    </row>
    <row r="366" ht="15.75" customHeight="1">
      <c r="A366" s="3" t="inlineStr">
        <is>
          <t>PROD_0084</t>
        </is>
      </c>
      <c r="B366" s="3" t="inlineStr">
        <is>
          <t>VAR_6</t>
        </is>
      </c>
      <c r="C366" s="3" t="inlineStr">
        <is>
          <t>Modular Hardware</t>
        </is>
      </c>
      <c r="D366" s="3" t="inlineStr">
        <is>
          <t>Channels</t>
        </is>
      </c>
      <c r="E366" s="3" t="inlineStr">
        <is>
          <t>Hettich</t>
        </is>
      </c>
      <c r="F366" s="3" t="inlineStr">
        <is>
          <t>Telescopic Channels | KA 5632 | Normal Close</t>
        </is>
      </c>
      <c r="H366" s="3" t="inlineStr">
        <is>
          <t>Weight</t>
        </is>
      </c>
      <c r="I366" s="3" t="inlineStr">
        <is>
          <t>45 kg</t>
        </is>
      </c>
      <c r="J366" s="3" t="inlineStr">
        <is>
          <t>Depth</t>
        </is>
      </c>
      <c r="K366" s="3" t="inlineStr">
        <is>
          <t>450 mm</t>
        </is>
      </c>
      <c r="Q366" s="3" t="inlineStr">
        <is>
          <t>Manufacturer's Warranty</t>
        </is>
      </c>
      <c r="R366" s="3" t="n">
        <v>9209239</v>
      </c>
      <c r="S366" s="3" t="n">
        <v>2</v>
      </c>
      <c r="Y366" s="3" t="inlineStr">
        <is>
          <t>HT_TC_RC_5632_IMG1,HT_TC_RC_5632_IMG2</t>
        </is>
      </c>
      <c r="Z366" s="3" t="n">
        <v>8302</v>
      </c>
      <c r="AC366" s="3" t="n">
        <v>1</v>
      </c>
      <c r="AE366" s="3" t="n">
        <v>561</v>
      </c>
      <c r="AF366" s="4" t="n">
        <v>0.5</v>
      </c>
      <c r="AG366" s="3">
        <f>ROUND(AE366-(AE366*AF366),2)</f>
        <v/>
      </c>
      <c r="AH366" s="4" t="n">
        <v>0.18</v>
      </c>
      <c r="AI366" s="3">
        <f>ROUND(AG366+(AG366*AH366),2)</f>
        <v/>
      </c>
      <c r="AJ366" s="4" t="n">
        <v>0.2</v>
      </c>
      <c r="AK366" s="3">
        <f>ROUND(AI366*AJ366,2)</f>
        <v/>
      </c>
      <c r="AL366" s="3">
        <f>AI366+AK366</f>
        <v/>
      </c>
      <c r="AM366" s="3">
        <f>AE366-AL366</f>
        <v/>
      </c>
      <c r="AN366" s="4">
        <f>AM366/AE366</f>
        <v/>
      </c>
      <c r="AO366" s="3" t="inlineStr">
        <is>
          <t>60 mins</t>
        </is>
      </c>
      <c r="AQ366" s="3" t="inlineStr">
        <is>
          <t>Weight</t>
        </is>
      </c>
      <c r="AS366" s="3" t="inlineStr">
        <is>
          <t>This product is a high-performance hardware mechanism used to enable smooth, quiet, and full extension of drawers in furniture.</t>
        </is>
      </c>
      <c r="AT366" s="3" t="inlineStr">
        <is>
          <t>60 mins</t>
        </is>
      </c>
    </row>
    <row r="367" ht="15.75" customHeight="1">
      <c r="A367" s="3" t="inlineStr">
        <is>
          <t>PROD_0084</t>
        </is>
      </c>
      <c r="B367" s="3" t="inlineStr">
        <is>
          <t>VAR_7</t>
        </is>
      </c>
      <c r="C367" s="3" t="inlineStr">
        <is>
          <t>Modular Hardware</t>
        </is>
      </c>
      <c r="D367" s="3" t="inlineStr">
        <is>
          <t>Channels</t>
        </is>
      </c>
      <c r="E367" s="3" t="inlineStr">
        <is>
          <t>Hettich</t>
        </is>
      </c>
      <c r="F367" s="3" t="inlineStr">
        <is>
          <t>Telescopic Channels | KA 5632 | Normal Close</t>
        </is>
      </c>
      <c r="H367" s="3" t="inlineStr">
        <is>
          <t>Weight</t>
        </is>
      </c>
      <c r="I367" s="3" t="inlineStr">
        <is>
          <t>45 kg</t>
        </is>
      </c>
      <c r="J367" s="3" t="inlineStr">
        <is>
          <t>Depth</t>
        </is>
      </c>
      <c r="K367" s="3" t="inlineStr">
        <is>
          <t>500 mm</t>
        </is>
      </c>
      <c r="Q367" s="3" t="inlineStr">
        <is>
          <t>Manufacturer's Warranty</t>
        </is>
      </c>
      <c r="R367" s="3" t="n">
        <v>9193319</v>
      </c>
      <c r="S367" s="3" t="n">
        <v>2</v>
      </c>
      <c r="Y367" s="3" t="inlineStr">
        <is>
          <t>HT_TC_RC_5632_IMG1,HT_TC_RC_5632_IMG2</t>
        </is>
      </c>
      <c r="Z367" s="3" t="n">
        <v>8302</v>
      </c>
      <c r="AC367" s="3" t="n">
        <v>1</v>
      </c>
      <c r="AE367" s="3" t="n">
        <v>582</v>
      </c>
      <c r="AF367" s="4" t="n">
        <v>0.5</v>
      </c>
      <c r="AG367" s="3">
        <f>ROUND(AE367-(AE367*AF367),2)</f>
        <v/>
      </c>
      <c r="AH367" s="4" t="n">
        <v>0.18</v>
      </c>
      <c r="AI367" s="3">
        <f>ROUND(AG367+(AG367*AH367),2)</f>
        <v/>
      </c>
      <c r="AJ367" s="4" t="n">
        <v>0.2</v>
      </c>
      <c r="AK367" s="3">
        <f>ROUND(AI367*AJ367,2)</f>
        <v/>
      </c>
      <c r="AL367" s="3">
        <f>AI367+AK367</f>
        <v/>
      </c>
      <c r="AM367" s="3">
        <f>AE367-AL367</f>
        <v/>
      </c>
      <c r="AN367" s="4">
        <f>AM367/AE367</f>
        <v/>
      </c>
      <c r="AO367" s="3" t="inlineStr">
        <is>
          <t>60 mins</t>
        </is>
      </c>
      <c r="AQ367" s="3" t="inlineStr">
        <is>
          <t>Weight</t>
        </is>
      </c>
      <c r="AS367" s="3" t="inlineStr">
        <is>
          <t>This product is a high-performance hardware mechanism used to enable smooth, quiet, and full extension of drawers in furniture.</t>
        </is>
      </c>
      <c r="AT367" s="3" t="inlineStr">
        <is>
          <t>60 mins</t>
        </is>
      </c>
    </row>
    <row r="368" ht="15.75" customHeight="1">
      <c r="A368" s="3" t="inlineStr">
        <is>
          <t>PROD_0085</t>
        </is>
      </c>
      <c r="B368" s="3" t="inlineStr">
        <is>
          <t>VAR_1</t>
        </is>
      </c>
      <c r="C368" s="3" t="inlineStr">
        <is>
          <t>Modular Hardware</t>
        </is>
      </c>
      <c r="D368" s="3" t="inlineStr">
        <is>
          <t>Channels</t>
        </is>
      </c>
      <c r="E368" s="3" t="inlineStr">
        <is>
          <t>Hettich</t>
        </is>
      </c>
      <c r="F368" s="3" t="inlineStr">
        <is>
          <t>Telescopic Channels (Indian) | KA4732 | Soft Close</t>
        </is>
      </c>
      <c r="H368" s="3" t="inlineStr">
        <is>
          <t>Weight</t>
        </is>
      </c>
      <c r="I368" s="3" t="inlineStr">
        <is>
          <t>35 kg</t>
        </is>
      </c>
      <c r="J368" s="3" t="inlineStr">
        <is>
          <t>Depth</t>
        </is>
      </c>
      <c r="K368" s="3" t="inlineStr">
        <is>
          <t>300 mm</t>
        </is>
      </c>
      <c r="Q368" s="3" t="inlineStr">
        <is>
          <t>Manufacturer's Warranty</t>
        </is>
      </c>
      <c r="R368" s="3" t="n">
        <v>9318185</v>
      </c>
      <c r="S368" s="3" t="n">
        <v>2</v>
      </c>
      <c r="Y368" s="3" t="inlineStr">
        <is>
          <t>HT_TC_SC_4732_IMG1,HT_TC_SC_4732_IMG2</t>
        </is>
      </c>
      <c r="Z368" s="3" t="n">
        <v>8302</v>
      </c>
      <c r="AC368" s="3" t="n">
        <v>1</v>
      </c>
      <c r="AE368" s="3" t="n">
        <v>1229</v>
      </c>
      <c r="AF368" s="4" t="n">
        <v>0.5</v>
      </c>
      <c r="AG368" s="3">
        <f>ROUND(AE368-(AE368*AF368),2)</f>
        <v/>
      </c>
      <c r="AH368" s="4" t="n">
        <v>0.18</v>
      </c>
      <c r="AI368" s="3">
        <f>ROUND(AG368+(AG368*AH368),2)</f>
        <v/>
      </c>
      <c r="AJ368" s="4" t="n">
        <v>0.2</v>
      </c>
      <c r="AK368" s="3">
        <f>ROUND(AI368*AJ368,2)</f>
        <v/>
      </c>
      <c r="AL368" s="3">
        <f>AI368+AK368</f>
        <v/>
      </c>
      <c r="AM368" s="3">
        <f>AE368-AL368</f>
        <v/>
      </c>
      <c r="AN368" s="4">
        <f>AM368/AE368</f>
        <v/>
      </c>
      <c r="AO368" s="3" t="inlineStr">
        <is>
          <t>60 mins</t>
        </is>
      </c>
      <c r="AQ368" s="3" t="inlineStr">
        <is>
          <t>Weight</t>
        </is>
      </c>
      <c r="AS368" s="3" t="inlineStr">
        <is>
          <t>This product is a high-performance hardware mechanism used to enable smooth, quiet, and full extension of drawers in furniture.</t>
        </is>
      </c>
      <c r="AT368" s="3" t="inlineStr">
        <is>
          <t>60 mins</t>
        </is>
      </c>
    </row>
    <row r="369" ht="15.75" customHeight="1">
      <c r="A369" s="3" t="inlineStr">
        <is>
          <t>PROD_0085</t>
        </is>
      </c>
      <c r="B369" s="3" t="inlineStr">
        <is>
          <t>VAR_2</t>
        </is>
      </c>
      <c r="C369" s="3" t="inlineStr">
        <is>
          <t>Modular Hardware</t>
        </is>
      </c>
      <c r="D369" s="3" t="inlineStr">
        <is>
          <t>Channels</t>
        </is>
      </c>
      <c r="E369" s="3" t="inlineStr">
        <is>
          <t>Hettich</t>
        </is>
      </c>
      <c r="F369" s="3" t="inlineStr">
        <is>
          <t>Telescopic Channels (Indian) | KA4732 | Soft Close</t>
        </is>
      </c>
      <c r="H369" s="3" t="inlineStr">
        <is>
          <t>Weight</t>
        </is>
      </c>
      <c r="I369" s="3" t="inlineStr">
        <is>
          <t>35 kg</t>
        </is>
      </c>
      <c r="J369" s="3" t="inlineStr">
        <is>
          <t>Depth</t>
        </is>
      </c>
      <c r="K369" s="3" t="inlineStr">
        <is>
          <t>350 mm</t>
        </is>
      </c>
      <c r="Q369" s="3" t="inlineStr">
        <is>
          <t>Manufacturer's Warranty</t>
        </is>
      </c>
      <c r="R369" s="3" t="n">
        <v>9318189</v>
      </c>
      <c r="S369" s="3" t="n">
        <v>2</v>
      </c>
      <c r="Y369" s="3" t="inlineStr">
        <is>
          <t>HT_TC_SC_4732_IMG1,HT_TC_SC_4732_IMG2</t>
        </is>
      </c>
      <c r="Z369" s="3" t="n">
        <v>8302</v>
      </c>
      <c r="AC369" s="3" t="n">
        <v>1</v>
      </c>
      <c r="AE369" s="3" t="n">
        <v>1283</v>
      </c>
      <c r="AF369" s="4" t="n">
        <v>0.5</v>
      </c>
      <c r="AG369" s="3">
        <f>ROUND(AE369-(AE369*AF369),2)</f>
        <v/>
      </c>
      <c r="AH369" s="4" t="n">
        <v>0.18</v>
      </c>
      <c r="AI369" s="3">
        <f>ROUND(AG369+(AG369*AH369),2)</f>
        <v/>
      </c>
      <c r="AJ369" s="4" t="n">
        <v>0.2</v>
      </c>
      <c r="AK369" s="3">
        <f>ROUND(AI369*AJ369,2)</f>
        <v/>
      </c>
      <c r="AL369" s="3">
        <f>AI369+AK369</f>
        <v/>
      </c>
      <c r="AM369" s="3">
        <f>AE369-AL369</f>
        <v/>
      </c>
      <c r="AN369" s="4">
        <f>AM369/AE369</f>
        <v/>
      </c>
      <c r="AO369" s="3" t="inlineStr">
        <is>
          <t>60 mins</t>
        </is>
      </c>
      <c r="AQ369" s="3" t="inlineStr">
        <is>
          <t>Weight</t>
        </is>
      </c>
      <c r="AS369" s="3" t="inlineStr">
        <is>
          <t>This product is a high-performance hardware mechanism used to enable smooth, quiet, and full extension of drawers in furniture.</t>
        </is>
      </c>
      <c r="AT369" s="3" t="inlineStr">
        <is>
          <t>60 mins</t>
        </is>
      </c>
    </row>
    <row r="370" ht="15.75" customHeight="1">
      <c r="A370" s="3" t="inlineStr">
        <is>
          <t>PROD_0085</t>
        </is>
      </c>
      <c r="B370" s="3" t="inlineStr">
        <is>
          <t>VAR_3</t>
        </is>
      </c>
      <c r="C370" s="3" t="inlineStr">
        <is>
          <t>Modular Hardware</t>
        </is>
      </c>
      <c r="D370" s="3" t="inlineStr">
        <is>
          <t>Channels</t>
        </is>
      </c>
      <c r="E370" s="3" t="inlineStr">
        <is>
          <t>Hettich</t>
        </is>
      </c>
      <c r="F370" s="3" t="inlineStr">
        <is>
          <t>Telescopic Channels (Indian) | KA4732 | Soft Close</t>
        </is>
      </c>
      <c r="H370" s="3" t="inlineStr">
        <is>
          <t>Weight</t>
        </is>
      </c>
      <c r="I370" s="3" t="inlineStr">
        <is>
          <t>35 kg</t>
        </is>
      </c>
      <c r="J370" s="3" t="inlineStr">
        <is>
          <t>Depth</t>
        </is>
      </c>
      <c r="K370" s="3" t="inlineStr">
        <is>
          <t>400 mm</t>
        </is>
      </c>
      <c r="Q370" s="3" t="inlineStr">
        <is>
          <t>Manufacturer's Warranty</t>
        </is>
      </c>
      <c r="R370" s="3" t="n">
        <v>9318193</v>
      </c>
      <c r="S370" s="3" t="n">
        <v>2</v>
      </c>
      <c r="Y370" s="3" t="inlineStr">
        <is>
          <t>HT_TC_SC_4732_IMG1,HT_TC_SC_4732_IMG2</t>
        </is>
      </c>
      <c r="Z370" s="3" t="n">
        <v>8302</v>
      </c>
      <c r="AC370" s="3" t="n">
        <v>1</v>
      </c>
      <c r="AE370" s="3" t="n">
        <v>1337</v>
      </c>
      <c r="AF370" s="4" t="n">
        <v>0.5</v>
      </c>
      <c r="AG370" s="3">
        <f>ROUND(AE370-(AE370*AF370),2)</f>
        <v/>
      </c>
      <c r="AH370" s="4" t="n">
        <v>0.18</v>
      </c>
      <c r="AI370" s="3">
        <f>ROUND(AG370+(AG370*AH370),2)</f>
        <v/>
      </c>
      <c r="AJ370" s="4" t="n">
        <v>0.2</v>
      </c>
      <c r="AK370" s="3">
        <f>ROUND(AI370*AJ370,2)</f>
        <v/>
      </c>
      <c r="AL370" s="3">
        <f>AI370+AK370</f>
        <v/>
      </c>
      <c r="AM370" s="3">
        <f>AE370-AL370</f>
        <v/>
      </c>
      <c r="AN370" s="4">
        <f>AM370/AE370</f>
        <v/>
      </c>
      <c r="AO370" s="3" t="inlineStr">
        <is>
          <t>60 mins</t>
        </is>
      </c>
      <c r="AQ370" s="3" t="inlineStr">
        <is>
          <t>Weight</t>
        </is>
      </c>
      <c r="AS370" s="3" t="inlineStr">
        <is>
          <t>This product is a high-performance hardware mechanism used to enable smooth, quiet, and full extension of drawers in furniture.</t>
        </is>
      </c>
      <c r="AT370" s="3" t="inlineStr">
        <is>
          <t>60 mins</t>
        </is>
      </c>
    </row>
    <row r="371" ht="15.75" customHeight="1">
      <c r="A371" s="3" t="inlineStr">
        <is>
          <t>PROD_0085</t>
        </is>
      </c>
      <c r="B371" s="3" t="inlineStr">
        <is>
          <t>VAR_4</t>
        </is>
      </c>
      <c r="C371" s="3" t="inlineStr">
        <is>
          <t>Modular Hardware</t>
        </is>
      </c>
      <c r="D371" s="3" t="inlineStr">
        <is>
          <t>Channels</t>
        </is>
      </c>
      <c r="E371" s="3" t="inlineStr">
        <is>
          <t>Hettich</t>
        </is>
      </c>
      <c r="F371" s="3" t="inlineStr">
        <is>
          <t>Telescopic Channels (Indian) | KA4732 | Soft Close</t>
        </is>
      </c>
      <c r="H371" s="3" t="inlineStr">
        <is>
          <t>Weight</t>
        </is>
      </c>
      <c r="I371" s="3" t="inlineStr">
        <is>
          <t>35 kg</t>
        </is>
      </c>
      <c r="J371" s="3" t="inlineStr">
        <is>
          <t>Depth</t>
        </is>
      </c>
      <c r="K371" s="3" t="inlineStr">
        <is>
          <t>450 mm</t>
        </is>
      </c>
      <c r="Q371" s="3" t="inlineStr">
        <is>
          <t>Manufacturer's Warranty</t>
        </is>
      </c>
      <c r="R371" s="3" t="n">
        <v>9318195</v>
      </c>
      <c r="S371" s="3" t="n">
        <v>2</v>
      </c>
      <c r="Y371" s="3" t="inlineStr">
        <is>
          <t>HT_TC_SC_4732_IMG1,HT_TC_SC_4732_IMG2</t>
        </is>
      </c>
      <c r="Z371" s="3" t="n">
        <v>8302</v>
      </c>
      <c r="AC371" s="3" t="n">
        <v>1</v>
      </c>
      <c r="AE371" s="3" t="n">
        <v>1392</v>
      </c>
      <c r="AF371" s="4" t="n">
        <v>0.5</v>
      </c>
      <c r="AG371" s="3">
        <f>ROUND(AE371-(AE371*AF371),2)</f>
        <v/>
      </c>
      <c r="AH371" s="4" t="n">
        <v>0.18</v>
      </c>
      <c r="AI371" s="3">
        <f>ROUND(AG371+(AG371*AH371),2)</f>
        <v/>
      </c>
      <c r="AJ371" s="4" t="n">
        <v>0.2</v>
      </c>
      <c r="AK371" s="3">
        <f>ROUND(AI371*AJ371,2)</f>
        <v/>
      </c>
      <c r="AL371" s="3">
        <f>AI371+AK371</f>
        <v/>
      </c>
      <c r="AM371" s="3">
        <f>AE371-AL371</f>
        <v/>
      </c>
      <c r="AN371" s="4">
        <f>AM371/AE371</f>
        <v/>
      </c>
      <c r="AO371" s="3" t="inlineStr">
        <is>
          <t>60 mins</t>
        </is>
      </c>
      <c r="AQ371" s="3" t="inlineStr">
        <is>
          <t>Weight</t>
        </is>
      </c>
      <c r="AS371" s="3" t="inlineStr">
        <is>
          <t>This product is a high-performance hardware mechanism used to enable smooth, quiet, and full extension of drawers in furniture.</t>
        </is>
      </c>
      <c r="AT371" s="3" t="inlineStr">
        <is>
          <t>60 mins</t>
        </is>
      </c>
    </row>
    <row r="372" ht="15.75" customHeight="1">
      <c r="A372" s="3" t="inlineStr">
        <is>
          <t>PROD_0085</t>
        </is>
      </c>
      <c r="B372" s="3" t="inlineStr">
        <is>
          <t>VAR_5</t>
        </is>
      </c>
      <c r="C372" s="3" t="inlineStr">
        <is>
          <t>Modular Hardware</t>
        </is>
      </c>
      <c r="D372" s="3" t="inlineStr">
        <is>
          <t>Channels</t>
        </is>
      </c>
      <c r="E372" s="3" t="inlineStr">
        <is>
          <t>Hettich</t>
        </is>
      </c>
      <c r="F372" s="3" t="inlineStr">
        <is>
          <t>Telescopic Channels (Indian) | KA4732 | Soft Close</t>
        </is>
      </c>
      <c r="H372" s="3" t="inlineStr">
        <is>
          <t>Weight</t>
        </is>
      </c>
      <c r="I372" s="3" t="inlineStr">
        <is>
          <t>35 kg</t>
        </is>
      </c>
      <c r="J372" s="3" t="inlineStr">
        <is>
          <t>Depth</t>
        </is>
      </c>
      <c r="K372" s="3" t="inlineStr">
        <is>
          <t>500 mm</t>
        </is>
      </c>
      <c r="Q372" s="3" t="inlineStr">
        <is>
          <t>Manufacturer's Warranty</t>
        </is>
      </c>
      <c r="R372" s="3" t="n">
        <v>9318197</v>
      </c>
      <c r="S372" s="3" t="n">
        <v>2</v>
      </c>
      <c r="Y372" s="3" t="inlineStr">
        <is>
          <t>HT_TC_SC_4732_IMG1,HT_TC_SC_4732_IMG2</t>
        </is>
      </c>
      <c r="Z372" s="3" t="n">
        <v>8302</v>
      </c>
      <c r="AC372" s="3" t="n">
        <v>1</v>
      </c>
      <c r="AE372" s="3" t="n">
        <v>1446</v>
      </c>
      <c r="AF372" s="4" t="n">
        <v>0.5</v>
      </c>
      <c r="AG372" s="3">
        <f>ROUND(AE372-(AE372*AF372),2)</f>
        <v/>
      </c>
      <c r="AH372" s="4" t="n">
        <v>0.18</v>
      </c>
      <c r="AI372" s="3">
        <f>ROUND(AG372+(AG372*AH372),2)</f>
        <v/>
      </c>
      <c r="AJ372" s="4" t="n">
        <v>0.2</v>
      </c>
      <c r="AK372" s="3">
        <f>ROUND(AI372*AJ372,2)</f>
        <v/>
      </c>
      <c r="AL372" s="3">
        <f>AI372+AK372</f>
        <v/>
      </c>
      <c r="AM372" s="3">
        <f>AE372-AL372</f>
        <v/>
      </c>
      <c r="AN372" s="4">
        <f>AM372/AE372</f>
        <v/>
      </c>
      <c r="AO372" s="3" t="inlineStr">
        <is>
          <t>60 mins</t>
        </is>
      </c>
      <c r="AQ372" s="3" t="inlineStr">
        <is>
          <t>Weight</t>
        </is>
      </c>
      <c r="AS372" s="3" t="inlineStr">
        <is>
          <t>This product is a high-performance hardware mechanism used to enable smooth, quiet, and full extension of drawers in furniture.</t>
        </is>
      </c>
      <c r="AT372" s="3" t="inlineStr">
        <is>
          <t>60 mins</t>
        </is>
      </c>
    </row>
    <row r="373" ht="15.75" customHeight="1">
      <c r="A373" s="3" t="inlineStr">
        <is>
          <t>PROD_0086</t>
        </is>
      </c>
      <c r="B373" s="3" t="inlineStr">
        <is>
          <t>VAR_1</t>
        </is>
      </c>
      <c r="C373" s="3" t="inlineStr">
        <is>
          <t>Modular Hardware</t>
        </is>
      </c>
      <c r="D373" s="3" t="inlineStr">
        <is>
          <t>Channels</t>
        </is>
      </c>
      <c r="E373" s="3" t="inlineStr">
        <is>
          <t>Hafele</t>
        </is>
      </c>
      <c r="F373" s="3" t="inlineStr">
        <is>
          <t>Telescopic Channels | SOFT CLOSE TELE RUNNER | Soft Close</t>
        </is>
      </c>
      <c r="H373" s="3" t="inlineStr">
        <is>
          <t>Weight</t>
        </is>
      </c>
      <c r="I373" s="3" t="inlineStr">
        <is>
          <t>30 kg</t>
        </is>
      </c>
      <c r="J373" s="3" t="inlineStr">
        <is>
          <t>Depth</t>
        </is>
      </c>
      <c r="K373" s="3" t="inlineStr">
        <is>
          <t>300 mm</t>
        </is>
      </c>
      <c r="Q373" s="3" t="inlineStr">
        <is>
          <t>Manufacturer's Warranty</t>
        </is>
      </c>
      <c r="R373" s="3" t="inlineStr">
        <is>
          <t>422.02.141</t>
        </is>
      </c>
      <c r="S373" s="3" t="n">
        <v>2</v>
      </c>
      <c r="Y373" s="3" t="inlineStr">
        <is>
          <t>HAF_TC_SC_MATIXRUNNER</t>
        </is>
      </c>
      <c r="Z373" s="3" t="n">
        <v>8302</v>
      </c>
      <c r="AC373" s="3" t="n">
        <v>1</v>
      </c>
      <c r="AE373" s="3" t="n">
        <v>1025</v>
      </c>
      <c r="AF373" s="4" t="n">
        <v>0.5</v>
      </c>
      <c r="AG373" s="3">
        <f>ROUND(AE373-(AE373*AF373),2)</f>
        <v/>
      </c>
      <c r="AH373" s="4" t="n">
        <v>0.18</v>
      </c>
      <c r="AI373" s="3">
        <f>ROUND(AG373+(AG373*AH373),2)</f>
        <v/>
      </c>
      <c r="AJ373" s="4" t="n">
        <v>0.2</v>
      </c>
      <c r="AK373" s="3">
        <f>ROUND(AI373*AJ373,2)</f>
        <v/>
      </c>
      <c r="AL373" s="3">
        <f>AI373+AK373</f>
        <v/>
      </c>
      <c r="AM373" s="3">
        <f>AE373-AL373</f>
        <v/>
      </c>
      <c r="AN373" s="4">
        <f>AM373/AE373</f>
        <v/>
      </c>
      <c r="AO373" s="3" t="inlineStr">
        <is>
          <t>60 mins</t>
        </is>
      </c>
      <c r="AQ373" s="3" t="inlineStr">
        <is>
          <t>Weight</t>
        </is>
      </c>
      <c r="AS373" s="3" t="inlineStr">
        <is>
          <t>This product is a high-performance hardware mechanism used to enable smooth, quiet, and full extension of drawers in furniture.</t>
        </is>
      </c>
      <c r="AT373" s="3" t="inlineStr">
        <is>
          <t>60 mins</t>
        </is>
      </c>
    </row>
    <row r="374" ht="15.75" customHeight="1">
      <c r="A374" s="3" t="inlineStr">
        <is>
          <t>PROD_0086</t>
        </is>
      </c>
      <c r="B374" s="3" t="inlineStr">
        <is>
          <t>VAR_2</t>
        </is>
      </c>
      <c r="C374" s="3" t="inlineStr">
        <is>
          <t>Modular Hardware</t>
        </is>
      </c>
      <c r="D374" s="3" t="inlineStr">
        <is>
          <t>Channels</t>
        </is>
      </c>
      <c r="E374" s="3" t="inlineStr">
        <is>
          <t>Hafele</t>
        </is>
      </c>
      <c r="F374" s="3" t="inlineStr">
        <is>
          <t>Telescopic Channels | SOFT CLOSE TELE RUNNER | Soft Close</t>
        </is>
      </c>
      <c r="H374" s="3" t="inlineStr">
        <is>
          <t>Weight</t>
        </is>
      </c>
      <c r="I374" s="3" t="inlineStr">
        <is>
          <t>30 kg</t>
        </is>
      </c>
      <c r="J374" s="3" t="inlineStr">
        <is>
          <t>Depth</t>
        </is>
      </c>
      <c r="K374" s="3" t="inlineStr">
        <is>
          <t>350 mm</t>
        </is>
      </c>
      <c r="Q374" s="3" t="inlineStr">
        <is>
          <t>Manufacturer's Warranty</t>
        </is>
      </c>
      <c r="R374" s="3" t="inlineStr">
        <is>
          <t>422.02.142</t>
        </is>
      </c>
      <c r="S374" s="3" t="n">
        <v>2</v>
      </c>
      <c r="Y374" s="3" t="inlineStr">
        <is>
          <t>HAF_TC_SC_MATIXRUNNER</t>
        </is>
      </c>
      <c r="Z374" s="3" t="n">
        <v>8302</v>
      </c>
      <c r="AC374" s="3" t="n">
        <v>1</v>
      </c>
      <c r="AE374" s="3" t="n">
        <v>1070</v>
      </c>
      <c r="AF374" s="4" t="n">
        <v>0.5</v>
      </c>
      <c r="AG374" s="3">
        <f>ROUND(AE374-(AE374*AF374),2)</f>
        <v/>
      </c>
      <c r="AH374" s="4" t="n">
        <v>0.18</v>
      </c>
      <c r="AI374" s="3">
        <f>ROUND(AG374+(AG374*AH374),2)</f>
        <v/>
      </c>
      <c r="AJ374" s="4" t="n">
        <v>0.2</v>
      </c>
      <c r="AK374" s="3">
        <f>ROUND(AI374*AJ374,2)</f>
        <v/>
      </c>
      <c r="AL374" s="3">
        <f>AI374+AK374</f>
        <v/>
      </c>
      <c r="AM374" s="3">
        <f>AE374-AL374</f>
        <v/>
      </c>
      <c r="AN374" s="4">
        <f>AM374/AE374</f>
        <v/>
      </c>
      <c r="AO374" s="3" t="inlineStr">
        <is>
          <t>60 mins</t>
        </is>
      </c>
      <c r="AQ374" s="3" t="inlineStr">
        <is>
          <t>Weight</t>
        </is>
      </c>
      <c r="AS374" s="3" t="inlineStr">
        <is>
          <t>This product is a high-performance hardware mechanism used to enable smooth, quiet, and full extension of drawers in furniture.</t>
        </is>
      </c>
      <c r="AT374" s="3" t="inlineStr">
        <is>
          <t>60 mins</t>
        </is>
      </c>
    </row>
    <row r="375" ht="15.75" customHeight="1">
      <c r="A375" s="3" t="inlineStr">
        <is>
          <t>PROD_0086</t>
        </is>
      </c>
      <c r="B375" s="3" t="inlineStr">
        <is>
          <t>VAR_3</t>
        </is>
      </c>
      <c r="C375" s="3" t="inlineStr">
        <is>
          <t>Modular Hardware</t>
        </is>
      </c>
      <c r="D375" s="3" t="inlineStr">
        <is>
          <t>Channels</t>
        </is>
      </c>
      <c r="E375" s="3" t="inlineStr">
        <is>
          <t>Hafele</t>
        </is>
      </c>
      <c r="F375" s="3" t="inlineStr">
        <is>
          <t>Telescopic Channels | SOFT CLOSE TELE RUNNER | Soft Close</t>
        </is>
      </c>
      <c r="H375" s="3" t="inlineStr">
        <is>
          <t>Weight</t>
        </is>
      </c>
      <c r="I375" s="3" t="inlineStr">
        <is>
          <t>30 kg</t>
        </is>
      </c>
      <c r="J375" s="3" t="inlineStr">
        <is>
          <t>Depth</t>
        </is>
      </c>
      <c r="K375" s="3" t="inlineStr">
        <is>
          <t>400 mm</t>
        </is>
      </c>
      <c r="Q375" s="3" t="inlineStr">
        <is>
          <t>Manufacturer's Warranty</t>
        </is>
      </c>
      <c r="R375" s="3" t="inlineStr">
        <is>
          <t>422.02.143</t>
        </is>
      </c>
      <c r="S375" s="3" t="n">
        <v>2</v>
      </c>
      <c r="Y375" s="3" t="inlineStr">
        <is>
          <t>HAF_TC_SC_MATIXRUNNER</t>
        </is>
      </c>
      <c r="Z375" s="3" t="n">
        <v>8302</v>
      </c>
      <c r="AC375" s="3" t="n">
        <v>1</v>
      </c>
      <c r="AE375" s="3" t="n">
        <v>1125</v>
      </c>
      <c r="AF375" s="4" t="n">
        <v>0.5</v>
      </c>
      <c r="AG375" s="3">
        <f>ROUND(AE375-(AE375*AF375),2)</f>
        <v/>
      </c>
      <c r="AH375" s="4" t="n">
        <v>0.18</v>
      </c>
      <c r="AI375" s="3">
        <f>ROUND(AG375+(AG375*AH375),2)</f>
        <v/>
      </c>
      <c r="AJ375" s="4" t="n">
        <v>0.2</v>
      </c>
      <c r="AK375" s="3">
        <f>ROUND(AI375*AJ375,2)</f>
        <v/>
      </c>
      <c r="AL375" s="3">
        <f>AI375+AK375</f>
        <v/>
      </c>
      <c r="AM375" s="3">
        <f>AE375-AL375</f>
        <v/>
      </c>
      <c r="AN375" s="4">
        <f>AM375/AE375</f>
        <v/>
      </c>
      <c r="AO375" s="3" t="inlineStr">
        <is>
          <t>60 mins</t>
        </is>
      </c>
      <c r="AQ375" s="3" t="inlineStr">
        <is>
          <t>Weight</t>
        </is>
      </c>
      <c r="AS375" s="3" t="inlineStr">
        <is>
          <t>This product is a high-performance hardware mechanism used to enable smooth, quiet, and full extension of drawers in furniture.</t>
        </is>
      </c>
      <c r="AT375" s="3" t="inlineStr">
        <is>
          <t>60 mins</t>
        </is>
      </c>
    </row>
    <row r="376" ht="15.75" customHeight="1">
      <c r="A376" s="3" t="inlineStr">
        <is>
          <t>PROD_0086</t>
        </is>
      </c>
      <c r="B376" s="3" t="inlineStr">
        <is>
          <t>VAR_4</t>
        </is>
      </c>
      <c r="C376" s="3" t="inlineStr">
        <is>
          <t>Modular Hardware</t>
        </is>
      </c>
      <c r="D376" s="3" t="inlineStr">
        <is>
          <t>Channels</t>
        </is>
      </c>
      <c r="E376" s="3" t="inlineStr">
        <is>
          <t>Hafele</t>
        </is>
      </c>
      <c r="F376" s="3" t="inlineStr">
        <is>
          <t>Telescopic Channels | SOFT CLOSE TELE RUNNER | Soft Close</t>
        </is>
      </c>
      <c r="H376" s="3" t="inlineStr">
        <is>
          <t>Weight</t>
        </is>
      </c>
      <c r="I376" s="3" t="inlineStr">
        <is>
          <t>30 kg</t>
        </is>
      </c>
      <c r="J376" s="3" t="inlineStr">
        <is>
          <t>Depth</t>
        </is>
      </c>
      <c r="K376" s="3" t="inlineStr">
        <is>
          <t>450 mm</t>
        </is>
      </c>
      <c r="Q376" s="3" t="inlineStr">
        <is>
          <t>Manufacturer's Warranty</t>
        </is>
      </c>
      <c r="R376" s="3" t="inlineStr">
        <is>
          <t>422.02.144</t>
        </is>
      </c>
      <c r="S376" s="3" t="n">
        <v>2</v>
      </c>
      <c r="Y376" s="3" t="inlineStr">
        <is>
          <t>HAF_TC_SC_MATIXRUNNER</t>
        </is>
      </c>
      <c r="Z376" s="3" t="n">
        <v>8302</v>
      </c>
      <c r="AC376" s="3" t="n">
        <v>1</v>
      </c>
      <c r="AE376" s="3" t="n">
        <v>1170</v>
      </c>
      <c r="AF376" s="4" t="n">
        <v>0.5</v>
      </c>
      <c r="AG376" s="3">
        <f>ROUND(AE376-(AE376*AF376),2)</f>
        <v/>
      </c>
      <c r="AH376" s="4" t="n">
        <v>0.18</v>
      </c>
      <c r="AI376" s="3">
        <f>ROUND(AG376+(AG376*AH376),2)</f>
        <v/>
      </c>
      <c r="AJ376" s="4" t="n">
        <v>0.2</v>
      </c>
      <c r="AK376" s="3">
        <f>ROUND(AI376*AJ376,2)</f>
        <v/>
      </c>
      <c r="AL376" s="3">
        <f>AI376+AK376</f>
        <v/>
      </c>
      <c r="AM376" s="3">
        <f>AE376-AL376</f>
        <v/>
      </c>
      <c r="AN376" s="4">
        <f>AM376/AE376</f>
        <v/>
      </c>
      <c r="AO376" s="3" t="inlineStr">
        <is>
          <t>60 mins</t>
        </is>
      </c>
      <c r="AQ376" s="3" t="inlineStr">
        <is>
          <t>Weight</t>
        </is>
      </c>
      <c r="AS376" s="3" t="inlineStr">
        <is>
          <t>This product is a high-performance hardware mechanism used to enable smooth, quiet, and full extension of drawers in furniture.</t>
        </is>
      </c>
      <c r="AT376" s="3" t="inlineStr">
        <is>
          <t>60 mins</t>
        </is>
      </c>
    </row>
    <row r="377" ht="15.75" customHeight="1">
      <c r="A377" s="3" t="inlineStr">
        <is>
          <t>PROD_0086</t>
        </is>
      </c>
      <c r="B377" s="3" t="inlineStr">
        <is>
          <t>VAR_5</t>
        </is>
      </c>
      <c r="C377" s="3" t="inlineStr">
        <is>
          <t>Modular Hardware</t>
        </is>
      </c>
      <c r="D377" s="3" t="inlineStr">
        <is>
          <t>Channels</t>
        </is>
      </c>
      <c r="E377" s="3" t="inlineStr">
        <is>
          <t>Hafele</t>
        </is>
      </c>
      <c r="F377" s="3" t="inlineStr">
        <is>
          <t>Telescopic Channels | SOFT CLOSE TELE RUNNER | Soft Close</t>
        </is>
      </c>
      <c r="H377" s="3" t="inlineStr">
        <is>
          <t>Weight</t>
        </is>
      </c>
      <c r="I377" s="3" t="inlineStr">
        <is>
          <t>30 kg</t>
        </is>
      </c>
      <c r="J377" s="3" t="inlineStr">
        <is>
          <t>Depth</t>
        </is>
      </c>
      <c r="K377" s="3" t="inlineStr">
        <is>
          <t>500 mm</t>
        </is>
      </c>
      <c r="Q377" s="3" t="inlineStr">
        <is>
          <t>Manufacturer's Warranty</t>
        </is>
      </c>
      <c r="R377" s="3" t="inlineStr">
        <is>
          <t>422.02.145</t>
        </is>
      </c>
      <c r="S377" s="3" t="n">
        <v>2</v>
      </c>
      <c r="Y377" s="3" t="inlineStr">
        <is>
          <t>HAF_TC_SC_MATIXRUNNER</t>
        </is>
      </c>
      <c r="Z377" s="3" t="n">
        <v>8302</v>
      </c>
      <c r="AC377" s="3" t="n">
        <v>1</v>
      </c>
      <c r="AE377" s="3" t="n">
        <v>1225</v>
      </c>
      <c r="AF377" s="4" t="n">
        <v>0.5</v>
      </c>
      <c r="AG377" s="3">
        <f>ROUND(AE377-(AE377*AF377),2)</f>
        <v/>
      </c>
      <c r="AH377" s="4" t="n">
        <v>0.18</v>
      </c>
      <c r="AI377" s="3">
        <f>ROUND(AG377+(AG377*AH377),2)</f>
        <v/>
      </c>
      <c r="AJ377" s="4" t="n">
        <v>0.2</v>
      </c>
      <c r="AK377" s="3">
        <f>ROUND(AI377*AJ377,2)</f>
        <v/>
      </c>
      <c r="AL377" s="3">
        <f>AI377+AK377</f>
        <v/>
      </c>
      <c r="AM377" s="3">
        <f>AE377-AL377</f>
        <v/>
      </c>
      <c r="AN377" s="4">
        <f>AM377/AE377</f>
        <v/>
      </c>
      <c r="AO377" s="3" t="inlineStr">
        <is>
          <t>60 mins</t>
        </is>
      </c>
      <c r="AQ377" s="3" t="inlineStr">
        <is>
          <t>Weight</t>
        </is>
      </c>
      <c r="AS377" s="3" t="inlineStr">
        <is>
          <t>This product is a high-performance hardware mechanism used to enable smooth, quiet, and full extension of drawers in furniture.</t>
        </is>
      </c>
      <c r="AT377" s="3" t="inlineStr">
        <is>
          <t>60 mins</t>
        </is>
      </c>
    </row>
    <row r="378" ht="15.75" customHeight="1">
      <c r="A378" s="3" t="inlineStr">
        <is>
          <t>PROD_0087</t>
        </is>
      </c>
      <c r="B378" s="3" t="inlineStr">
        <is>
          <t>VAR_1</t>
        </is>
      </c>
      <c r="C378" s="3" t="inlineStr">
        <is>
          <t>Modular Hardware</t>
        </is>
      </c>
      <c r="D378" s="3" t="inlineStr">
        <is>
          <t>Channels</t>
        </is>
      </c>
      <c r="E378" s="3" t="inlineStr">
        <is>
          <t>Hafele</t>
        </is>
      </c>
      <c r="F378" s="3" t="inlineStr">
        <is>
          <t>Telescopic Channels | Zinc Plated 30 Kg | Regular Close</t>
        </is>
      </c>
      <c r="H378" s="3" t="inlineStr">
        <is>
          <t>Weight</t>
        </is>
      </c>
      <c r="I378" s="3" t="inlineStr">
        <is>
          <t>35 kg</t>
        </is>
      </c>
      <c r="J378" s="3" t="inlineStr">
        <is>
          <t>Depth</t>
        </is>
      </c>
      <c r="K378" s="3" t="inlineStr">
        <is>
          <t>250 mm</t>
        </is>
      </c>
      <c r="Q378" s="3" t="inlineStr">
        <is>
          <t>Manufacturer's Warranty</t>
        </is>
      </c>
      <c r="R378" s="3" t="inlineStr">
        <is>
          <t>422.87.030</t>
        </is>
      </c>
      <c r="S378" s="3" t="n">
        <v>2</v>
      </c>
      <c r="Y378" s="3" t="inlineStr">
        <is>
          <t>HAF_TC_RC_ZINCPLATED</t>
        </is>
      </c>
      <c r="Z378" s="3" t="n">
        <v>8302</v>
      </c>
      <c r="AC378" s="3" t="n">
        <v>1</v>
      </c>
      <c r="AE378" s="3" t="n">
        <v>410</v>
      </c>
      <c r="AF378" s="4" t="n">
        <v>0.5</v>
      </c>
      <c r="AG378" s="3">
        <f>ROUND(AE378-(AE378*AF378),2)</f>
        <v/>
      </c>
      <c r="AH378" s="4" t="n">
        <v>0.18</v>
      </c>
      <c r="AI378" s="3">
        <f>ROUND(AG378+(AG378*AH378),2)</f>
        <v/>
      </c>
      <c r="AJ378" s="4" t="n">
        <v>0.2</v>
      </c>
      <c r="AK378" s="3">
        <f>ROUND(AI378*AJ378,2)</f>
        <v/>
      </c>
      <c r="AL378" s="3">
        <f>AI378+AK378</f>
        <v/>
      </c>
      <c r="AM378" s="3">
        <f>AE378-AL378</f>
        <v/>
      </c>
      <c r="AN378" s="4">
        <f>AM378/AE378</f>
        <v/>
      </c>
      <c r="AO378" s="3" t="inlineStr">
        <is>
          <t>60 mins</t>
        </is>
      </c>
      <c r="AQ378" s="3" t="inlineStr">
        <is>
          <t>Weight</t>
        </is>
      </c>
      <c r="AS378" s="3" t="inlineStr">
        <is>
          <t>Ball Bearing Slides Side Mounted Full Extension Zinc Plated Load This product is a high-performance hardware mechanism used to enable smooth, quiet, and full extension of drawers in furniture.</t>
        </is>
      </c>
      <c r="AT378" s="3" t="inlineStr">
        <is>
          <t>60 mins</t>
        </is>
      </c>
    </row>
    <row r="379" ht="15.75" customHeight="1">
      <c r="A379" s="3" t="inlineStr">
        <is>
          <t>PROD_0087</t>
        </is>
      </c>
      <c r="B379" s="3" t="inlineStr">
        <is>
          <t>VAR_2</t>
        </is>
      </c>
      <c r="C379" s="3" t="inlineStr">
        <is>
          <t>Modular Hardware</t>
        </is>
      </c>
      <c r="D379" s="3" t="inlineStr">
        <is>
          <t>Channels</t>
        </is>
      </c>
      <c r="E379" s="3" t="inlineStr">
        <is>
          <t>Hafele</t>
        </is>
      </c>
      <c r="F379" s="3" t="inlineStr">
        <is>
          <t>Telescopic Channels | Zinc Plated 30 Kg | Regular Close</t>
        </is>
      </c>
      <c r="H379" s="3" t="inlineStr">
        <is>
          <t>Weight</t>
        </is>
      </c>
      <c r="I379" s="3" t="inlineStr">
        <is>
          <t>35 kg</t>
        </is>
      </c>
      <c r="J379" s="3" t="inlineStr">
        <is>
          <t>Depth</t>
        </is>
      </c>
      <c r="K379" s="3" t="inlineStr">
        <is>
          <t>300 mm</t>
        </is>
      </c>
      <c r="Q379" s="3" t="inlineStr">
        <is>
          <t>Manufacturer's Warranty</t>
        </is>
      </c>
      <c r="R379" s="3" t="inlineStr">
        <is>
          <t>422.87.031</t>
        </is>
      </c>
      <c r="S379" s="3" t="n">
        <v>2</v>
      </c>
      <c r="Y379" s="3" t="inlineStr">
        <is>
          <t>HAF_TC_RC_ZINCPLATED</t>
        </is>
      </c>
      <c r="Z379" s="3" t="n">
        <v>8302</v>
      </c>
      <c r="AC379" s="3" t="n">
        <v>1</v>
      </c>
      <c r="AE379" s="3" t="n">
        <v>430</v>
      </c>
      <c r="AF379" s="4" t="n">
        <v>0.5</v>
      </c>
      <c r="AG379" s="3">
        <f>ROUND(AE379-(AE379*AF379),2)</f>
        <v/>
      </c>
      <c r="AH379" s="4" t="n">
        <v>0.18</v>
      </c>
      <c r="AI379" s="3">
        <f>ROUND(AG379+(AG379*AH379),2)</f>
        <v/>
      </c>
      <c r="AJ379" s="4" t="n">
        <v>0.2</v>
      </c>
      <c r="AK379" s="3">
        <f>ROUND(AI379*AJ379,2)</f>
        <v/>
      </c>
      <c r="AL379" s="3">
        <f>AI379+AK379</f>
        <v/>
      </c>
      <c r="AM379" s="3">
        <f>AE379-AL379</f>
        <v/>
      </c>
      <c r="AN379" s="4">
        <f>AM379/AE379</f>
        <v/>
      </c>
      <c r="AO379" s="3" t="inlineStr">
        <is>
          <t>60 mins</t>
        </is>
      </c>
      <c r="AQ379" s="3" t="inlineStr">
        <is>
          <t>Weight</t>
        </is>
      </c>
      <c r="AS379" s="3" t="inlineStr">
        <is>
          <t>Ball Bearing Slides Side Mounted Full Extension Zinc Plated Load This product is a high-performance hardware mechanism used to enable smooth, quiet, and full extension of drawers in furniture.</t>
        </is>
      </c>
      <c r="AT379" s="3" t="inlineStr">
        <is>
          <t>60 mins</t>
        </is>
      </c>
    </row>
    <row r="380" ht="15.75" customHeight="1">
      <c r="A380" s="3" t="inlineStr">
        <is>
          <t>PROD_0087</t>
        </is>
      </c>
      <c r="B380" s="3" t="inlineStr">
        <is>
          <t>VAR_3</t>
        </is>
      </c>
      <c r="C380" s="3" t="inlineStr">
        <is>
          <t>Modular Hardware</t>
        </is>
      </c>
      <c r="D380" s="3" t="inlineStr">
        <is>
          <t>Channels</t>
        </is>
      </c>
      <c r="E380" s="3" t="inlineStr">
        <is>
          <t>Hafele</t>
        </is>
      </c>
      <c r="F380" s="3" t="inlineStr">
        <is>
          <t>Telescopic Channels | Zinc Plated 30 Kg | Regular Close</t>
        </is>
      </c>
      <c r="H380" s="3" t="inlineStr">
        <is>
          <t>Weight</t>
        </is>
      </c>
      <c r="I380" s="3" t="inlineStr">
        <is>
          <t>35 kg</t>
        </is>
      </c>
      <c r="J380" s="3" t="inlineStr">
        <is>
          <t>Depth</t>
        </is>
      </c>
      <c r="K380" s="3" t="inlineStr">
        <is>
          <t>350 mm</t>
        </is>
      </c>
      <c r="Q380" s="3" t="inlineStr">
        <is>
          <t>Manufacturer's Warranty</t>
        </is>
      </c>
      <c r="R380" s="3" t="inlineStr">
        <is>
          <t>422.87.032</t>
        </is>
      </c>
      <c r="S380" s="3" t="n">
        <v>2</v>
      </c>
      <c r="Y380" s="3" t="inlineStr">
        <is>
          <t>HAF_TC_RC_ZINCPLATED</t>
        </is>
      </c>
      <c r="Z380" s="3" t="n">
        <v>8302</v>
      </c>
      <c r="AC380" s="3" t="n">
        <v>1</v>
      </c>
      <c r="AE380" s="3" t="n">
        <v>445</v>
      </c>
      <c r="AF380" s="4" t="n">
        <v>0.5</v>
      </c>
      <c r="AG380" s="3">
        <f>ROUND(AE380-(AE380*AF380),2)</f>
        <v/>
      </c>
      <c r="AH380" s="4" t="n">
        <v>0.18</v>
      </c>
      <c r="AI380" s="3">
        <f>ROUND(AG380+(AG380*AH380),2)</f>
        <v/>
      </c>
      <c r="AJ380" s="4" t="n">
        <v>0.2</v>
      </c>
      <c r="AK380" s="3">
        <f>ROUND(AI380*AJ380,2)</f>
        <v/>
      </c>
      <c r="AL380" s="3">
        <f>AI380+AK380</f>
        <v/>
      </c>
      <c r="AM380" s="3">
        <f>AE380-AL380</f>
        <v/>
      </c>
      <c r="AN380" s="4">
        <f>AM380/AE380</f>
        <v/>
      </c>
      <c r="AO380" s="3" t="inlineStr">
        <is>
          <t>60 mins</t>
        </is>
      </c>
      <c r="AQ380" s="3" t="inlineStr">
        <is>
          <t>Weight</t>
        </is>
      </c>
      <c r="AS380" s="3" t="inlineStr">
        <is>
          <t>Ball Bearing Slides Side Mounted Full Extension Zinc Plated Load This product is a high-performance hardware mechanism used to enable smooth, quiet, and full extension of drawers in furniture.</t>
        </is>
      </c>
      <c r="AT380" s="3" t="inlineStr">
        <is>
          <t>60 mins</t>
        </is>
      </c>
    </row>
    <row r="381" ht="15.75" customHeight="1">
      <c r="A381" s="3" t="inlineStr">
        <is>
          <t>PROD_0087</t>
        </is>
      </c>
      <c r="B381" s="3" t="inlineStr">
        <is>
          <t>VAR_4</t>
        </is>
      </c>
      <c r="C381" s="3" t="inlineStr">
        <is>
          <t>Modular Hardware</t>
        </is>
      </c>
      <c r="D381" s="3" t="inlineStr">
        <is>
          <t>Channels</t>
        </is>
      </c>
      <c r="E381" s="3" t="inlineStr">
        <is>
          <t>Hafele</t>
        </is>
      </c>
      <c r="F381" s="3" t="inlineStr">
        <is>
          <t>Telescopic Channels | Zinc Plated 30 Kg | Regular Close</t>
        </is>
      </c>
      <c r="H381" s="3" t="inlineStr">
        <is>
          <t>Weight</t>
        </is>
      </c>
      <c r="I381" s="3" t="inlineStr">
        <is>
          <t>35 kg</t>
        </is>
      </c>
      <c r="J381" s="3" t="inlineStr">
        <is>
          <t>Depth</t>
        </is>
      </c>
      <c r="K381" s="3" t="inlineStr">
        <is>
          <t>400 mm</t>
        </is>
      </c>
      <c r="Q381" s="3" t="inlineStr">
        <is>
          <t>Manufacturer's Warranty</t>
        </is>
      </c>
      <c r="R381" s="3" t="inlineStr">
        <is>
          <t>422.87.033</t>
        </is>
      </c>
      <c r="S381" s="3" t="n">
        <v>2</v>
      </c>
      <c r="Y381" s="3" t="inlineStr">
        <is>
          <t>HAF_TC_RC_ZINCPLATED</t>
        </is>
      </c>
      <c r="Z381" s="3" t="n">
        <v>8302</v>
      </c>
      <c r="AC381" s="3" t="n">
        <v>1</v>
      </c>
      <c r="AE381" s="3" t="n">
        <v>465</v>
      </c>
      <c r="AF381" s="4" t="n">
        <v>0.5</v>
      </c>
      <c r="AG381" s="3">
        <f>ROUND(AE381-(AE381*AF381),2)</f>
        <v/>
      </c>
      <c r="AH381" s="4" t="n">
        <v>0.18</v>
      </c>
      <c r="AI381" s="3">
        <f>ROUND(AG381+(AG381*AH381),2)</f>
        <v/>
      </c>
      <c r="AJ381" s="4" t="n">
        <v>0.2</v>
      </c>
      <c r="AK381" s="3">
        <f>ROUND(AI381*AJ381,2)</f>
        <v/>
      </c>
      <c r="AL381" s="3">
        <f>AI381+AK381</f>
        <v/>
      </c>
      <c r="AM381" s="3">
        <f>AE381-AL381</f>
        <v/>
      </c>
      <c r="AN381" s="4">
        <f>AM381/AE381</f>
        <v/>
      </c>
      <c r="AO381" s="3" t="inlineStr">
        <is>
          <t>60 mins</t>
        </is>
      </c>
      <c r="AQ381" s="3" t="inlineStr">
        <is>
          <t>Weight</t>
        </is>
      </c>
      <c r="AS381" s="3" t="inlineStr">
        <is>
          <t>Ball Bearing Slides Side Mounted Full Extension Zinc Plated Load This product is a high-performance hardware mechanism used to enable smooth, quiet, and full extension of drawers in furniture.</t>
        </is>
      </c>
      <c r="AT381" s="3" t="inlineStr">
        <is>
          <t>60 mins</t>
        </is>
      </c>
    </row>
    <row r="382" ht="15.75" customHeight="1">
      <c r="A382" s="3" t="inlineStr">
        <is>
          <t>PROD_0087</t>
        </is>
      </c>
      <c r="B382" s="3" t="inlineStr">
        <is>
          <t>VAR_5</t>
        </is>
      </c>
      <c r="C382" s="3" t="inlineStr">
        <is>
          <t>Modular Hardware</t>
        </is>
      </c>
      <c r="D382" s="3" t="inlineStr">
        <is>
          <t>Channels</t>
        </is>
      </c>
      <c r="E382" s="3" t="inlineStr">
        <is>
          <t>Hafele</t>
        </is>
      </c>
      <c r="F382" s="3" t="inlineStr">
        <is>
          <t>Telescopic Channels | Zinc Plated 30 Kg | Regular Close</t>
        </is>
      </c>
      <c r="H382" s="3" t="inlineStr">
        <is>
          <t>Weight</t>
        </is>
      </c>
      <c r="I382" s="3" t="inlineStr">
        <is>
          <t>35 kg</t>
        </is>
      </c>
      <c r="J382" s="3" t="inlineStr">
        <is>
          <t>Depth</t>
        </is>
      </c>
      <c r="K382" s="3" t="inlineStr">
        <is>
          <t>450 mm</t>
        </is>
      </c>
      <c r="Q382" s="3" t="inlineStr">
        <is>
          <t>Manufacturer's Warranty</t>
        </is>
      </c>
      <c r="R382" s="3" t="inlineStr">
        <is>
          <t>422.87.034</t>
        </is>
      </c>
      <c r="S382" s="3" t="n">
        <v>2</v>
      </c>
      <c r="Y382" s="3" t="inlineStr">
        <is>
          <t>HAF_TC_RC_ZINCPLATED</t>
        </is>
      </c>
      <c r="Z382" s="3" t="n">
        <v>8302</v>
      </c>
      <c r="AC382" s="3" t="n">
        <v>1</v>
      </c>
      <c r="AE382" s="3" t="n">
        <v>490</v>
      </c>
      <c r="AF382" s="4" t="n">
        <v>0.5</v>
      </c>
      <c r="AG382" s="3">
        <f>ROUND(AE382-(AE382*AF382),2)</f>
        <v/>
      </c>
      <c r="AH382" s="4" t="n">
        <v>0.18</v>
      </c>
      <c r="AI382" s="3">
        <f>ROUND(AG382+(AG382*AH382),2)</f>
        <v/>
      </c>
      <c r="AJ382" s="4" t="n">
        <v>0.2</v>
      </c>
      <c r="AK382" s="3">
        <f>ROUND(AI382*AJ382,2)</f>
        <v/>
      </c>
      <c r="AL382" s="3">
        <f>AI382+AK382</f>
        <v/>
      </c>
      <c r="AM382" s="3">
        <f>AE382-AL382</f>
        <v/>
      </c>
      <c r="AN382" s="4">
        <f>AM382/AE382</f>
        <v/>
      </c>
      <c r="AO382" s="3" t="inlineStr">
        <is>
          <t>60 mins</t>
        </is>
      </c>
      <c r="AQ382" s="3" t="inlineStr">
        <is>
          <t>Weight</t>
        </is>
      </c>
      <c r="AS382" s="3" t="inlineStr">
        <is>
          <t>Ball Bearing Slides Side Mounted Full Extension Zinc Plated Load This product is a high-performance hardware mechanism used to enable smooth, quiet, and full extension of drawers in furniture.</t>
        </is>
      </c>
      <c r="AT382" s="3" t="inlineStr">
        <is>
          <t>60 mins</t>
        </is>
      </c>
    </row>
    <row r="383" ht="15.75" customHeight="1">
      <c r="A383" s="3" t="inlineStr">
        <is>
          <t>PROD_0087</t>
        </is>
      </c>
      <c r="B383" s="3" t="inlineStr">
        <is>
          <t>VAR_6</t>
        </is>
      </c>
      <c r="C383" s="3" t="inlineStr">
        <is>
          <t>Modular Hardware</t>
        </is>
      </c>
      <c r="D383" s="3" t="inlineStr">
        <is>
          <t>Channels</t>
        </is>
      </c>
      <c r="E383" s="3" t="inlineStr">
        <is>
          <t>Hafele</t>
        </is>
      </c>
      <c r="F383" s="3" t="inlineStr">
        <is>
          <t>Telescopic Channels | Zinc Plated 30 Kg | Regular Close</t>
        </is>
      </c>
      <c r="H383" s="3" t="inlineStr">
        <is>
          <t>Weight</t>
        </is>
      </c>
      <c r="I383" s="3" t="inlineStr">
        <is>
          <t>35 kg</t>
        </is>
      </c>
      <c r="J383" s="3" t="inlineStr">
        <is>
          <t>Depth</t>
        </is>
      </c>
      <c r="K383" s="3" t="inlineStr">
        <is>
          <t>500 mm</t>
        </is>
      </c>
      <c r="Q383" s="3" t="inlineStr">
        <is>
          <t>Manufacturer's Warranty</t>
        </is>
      </c>
      <c r="R383" s="3" t="inlineStr">
        <is>
          <t>422.87.035</t>
        </is>
      </c>
      <c r="S383" s="3" t="n">
        <v>2</v>
      </c>
      <c r="Y383" s="3" t="inlineStr">
        <is>
          <t>HAF_TC_RC_ZINCPLATED</t>
        </is>
      </c>
      <c r="Z383" s="3" t="n">
        <v>8302</v>
      </c>
      <c r="AC383" s="3" t="n">
        <v>1</v>
      </c>
      <c r="AE383" s="3" t="n">
        <v>510</v>
      </c>
      <c r="AF383" s="4" t="n">
        <v>0.5</v>
      </c>
      <c r="AG383" s="3">
        <f>ROUND(AE383-(AE383*AF383),2)</f>
        <v/>
      </c>
      <c r="AH383" s="4" t="n">
        <v>0.18</v>
      </c>
      <c r="AI383" s="3">
        <f>ROUND(AG383+(AG383*AH383),2)</f>
        <v/>
      </c>
      <c r="AJ383" s="4" t="n">
        <v>0.2</v>
      </c>
      <c r="AK383" s="3">
        <f>ROUND(AI383*AJ383,2)</f>
        <v/>
      </c>
      <c r="AL383" s="3">
        <f>AI383+AK383</f>
        <v/>
      </c>
      <c r="AM383" s="3">
        <f>AE383-AL383</f>
        <v/>
      </c>
      <c r="AN383" s="4">
        <f>AM383/AE383</f>
        <v/>
      </c>
      <c r="AO383" s="3" t="inlineStr">
        <is>
          <t>60 mins</t>
        </is>
      </c>
      <c r="AQ383" s="3" t="inlineStr">
        <is>
          <t>Weight</t>
        </is>
      </c>
      <c r="AS383" s="3" t="inlineStr">
        <is>
          <t>Ball Bearing Slides Side Mounted Full Extension Zinc Plated Load This product is a high-performance hardware mechanism used to enable smooth, quiet, and full extension of drawers in furniture.</t>
        </is>
      </c>
      <c r="AT383" s="3" t="inlineStr">
        <is>
          <t>60 mins</t>
        </is>
      </c>
    </row>
    <row r="384" ht="15.75" customHeight="1">
      <c r="A384" s="3" t="inlineStr">
        <is>
          <t>PROD_0088</t>
        </is>
      </c>
      <c r="B384" s="3" t="inlineStr">
        <is>
          <t>VAR_1</t>
        </is>
      </c>
      <c r="C384" s="3" t="inlineStr">
        <is>
          <t>Modular Hardware</t>
        </is>
      </c>
      <c r="D384" s="3" t="inlineStr">
        <is>
          <t>Channels</t>
        </is>
      </c>
      <c r="E384" s="3" t="inlineStr">
        <is>
          <t>Hafele</t>
        </is>
      </c>
      <c r="F384" s="3" t="inlineStr">
        <is>
          <t>Telescopic Channels | Steel Zinc 45 Kg | Regular Close</t>
        </is>
      </c>
      <c r="H384" s="3" t="inlineStr">
        <is>
          <t>Weight</t>
        </is>
      </c>
      <c r="I384" s="3" t="inlineStr">
        <is>
          <t>45 kg</t>
        </is>
      </c>
      <c r="J384" s="3" t="inlineStr">
        <is>
          <t>Depth</t>
        </is>
      </c>
      <c r="K384" s="3" t="inlineStr">
        <is>
          <t>250 mm</t>
        </is>
      </c>
      <c r="Q384" s="3" t="inlineStr">
        <is>
          <t>Manufacturer's Warranty</t>
        </is>
      </c>
      <c r="R384" s="3" t="inlineStr">
        <is>
          <t>422.58.070</t>
        </is>
      </c>
      <c r="S384" s="3" t="n">
        <v>2</v>
      </c>
      <c r="Y384" s="3" t="inlineStr">
        <is>
          <t>HAF_TC_RC_STEEL ZINC</t>
        </is>
      </c>
      <c r="Z384" s="3" t="n">
        <v>8302</v>
      </c>
      <c r="AC384" s="3" t="n">
        <v>1</v>
      </c>
      <c r="AE384" s="3" t="n">
        <v>450</v>
      </c>
      <c r="AF384" s="4" t="n">
        <v>0.5</v>
      </c>
      <c r="AG384" s="3">
        <f>ROUND(AE384-(AE384*AF384),2)</f>
        <v/>
      </c>
      <c r="AH384" s="4" t="n">
        <v>0.18</v>
      </c>
      <c r="AI384" s="3">
        <f>ROUND(AG384+(AG384*AH384),2)</f>
        <v/>
      </c>
      <c r="AJ384" s="4" t="n">
        <v>0.2</v>
      </c>
      <c r="AK384" s="3">
        <f>ROUND(AI384*AJ384,2)</f>
        <v/>
      </c>
      <c r="AL384" s="3">
        <f>AI384+AK384</f>
        <v/>
      </c>
      <c r="AM384" s="3">
        <f>AE384-AL384</f>
        <v/>
      </c>
      <c r="AN384" s="4">
        <f>AM384/AE384</f>
        <v/>
      </c>
      <c r="AO384" s="3" t="inlineStr">
        <is>
          <t>60 mins</t>
        </is>
      </c>
      <c r="AQ384" s="3" t="inlineStr">
        <is>
          <t>Weight</t>
        </is>
      </c>
      <c r="AS384" s="3" t="inlineStr">
        <is>
          <t>Ball Bearing Slides, Side Mounted, Full Extension, Zinc Plated, Load This product is a high-performance hardware mechanism used to enable smooth, quiet, and full extension of drawers in furniture.</t>
        </is>
      </c>
      <c r="AT384" s="3" t="inlineStr">
        <is>
          <t>60 mins</t>
        </is>
      </c>
    </row>
    <row r="385" ht="15.75" customHeight="1">
      <c r="A385" s="3" t="inlineStr">
        <is>
          <t>PROD_0088</t>
        </is>
      </c>
      <c r="B385" s="3" t="inlineStr">
        <is>
          <t>VAR_2</t>
        </is>
      </c>
      <c r="C385" s="3" t="inlineStr">
        <is>
          <t>Modular Hardware</t>
        </is>
      </c>
      <c r="D385" s="3" t="inlineStr">
        <is>
          <t>Channels</t>
        </is>
      </c>
      <c r="E385" s="3" t="inlineStr">
        <is>
          <t>Hafele</t>
        </is>
      </c>
      <c r="F385" s="3" t="inlineStr">
        <is>
          <t>Telescopic Channels | Steel Zinc 45 Kg | Regular Close</t>
        </is>
      </c>
      <c r="H385" s="3" t="inlineStr">
        <is>
          <t>Weight</t>
        </is>
      </c>
      <c r="I385" s="3" t="inlineStr">
        <is>
          <t>45 kg</t>
        </is>
      </c>
      <c r="J385" s="3" t="inlineStr">
        <is>
          <t>Depth</t>
        </is>
      </c>
      <c r="K385" s="3" t="inlineStr">
        <is>
          <t>300 mm</t>
        </is>
      </c>
      <c r="Q385" s="3" t="inlineStr">
        <is>
          <t>Manufacturer's Warranty</t>
        </is>
      </c>
      <c r="R385" s="3" t="inlineStr">
        <is>
          <t>422.58.071</t>
        </is>
      </c>
      <c r="S385" s="3" t="n">
        <v>2</v>
      </c>
      <c r="Y385" s="3" t="inlineStr">
        <is>
          <t>HAF_TC_RC_STEEL ZINC</t>
        </is>
      </c>
      <c r="Z385" s="3" t="n">
        <v>8302</v>
      </c>
      <c r="AC385" s="3" t="n">
        <v>1</v>
      </c>
      <c r="AE385" s="3" t="n">
        <v>475</v>
      </c>
      <c r="AF385" s="4" t="n">
        <v>0.5</v>
      </c>
      <c r="AG385" s="3">
        <f>ROUND(AE385-(AE385*AF385),2)</f>
        <v/>
      </c>
      <c r="AH385" s="4" t="n">
        <v>0.18</v>
      </c>
      <c r="AI385" s="3">
        <f>ROUND(AG385+(AG385*AH385),2)</f>
        <v/>
      </c>
      <c r="AJ385" s="4" t="n">
        <v>0.2</v>
      </c>
      <c r="AK385" s="3">
        <f>ROUND(AI385*AJ385,2)</f>
        <v/>
      </c>
      <c r="AL385" s="3">
        <f>AI385+AK385</f>
        <v/>
      </c>
      <c r="AM385" s="3">
        <f>AE385-AL385</f>
        <v/>
      </c>
      <c r="AN385" s="4">
        <f>AM385/AE385</f>
        <v/>
      </c>
      <c r="AO385" s="3" t="inlineStr">
        <is>
          <t>60 mins</t>
        </is>
      </c>
      <c r="AQ385" s="3" t="inlineStr">
        <is>
          <t>Weight</t>
        </is>
      </c>
      <c r="AS385" s="3" t="inlineStr">
        <is>
          <t>Ball Bearing Slides, Side Mounted, Full Extension, Zinc Plated, Load This product is a high-performance hardware mechanism used to enable smooth, quiet, and full extension of drawers in furniture.</t>
        </is>
      </c>
      <c r="AT385" s="3" t="inlineStr">
        <is>
          <t>60 mins</t>
        </is>
      </c>
    </row>
    <row r="386" ht="15.75" customHeight="1">
      <c r="A386" s="3" t="inlineStr">
        <is>
          <t>PROD_0088</t>
        </is>
      </c>
      <c r="B386" s="3" t="inlineStr">
        <is>
          <t>VAR_3</t>
        </is>
      </c>
      <c r="C386" s="3" t="inlineStr">
        <is>
          <t>Modular Hardware</t>
        </is>
      </c>
      <c r="D386" s="3" t="inlineStr">
        <is>
          <t>Channels</t>
        </is>
      </c>
      <c r="E386" s="3" t="inlineStr">
        <is>
          <t>Hafele</t>
        </is>
      </c>
      <c r="F386" s="3" t="inlineStr">
        <is>
          <t>Telescopic Channels | Steel Zinc 45 Kg | Regular Close</t>
        </is>
      </c>
      <c r="H386" s="3" t="inlineStr">
        <is>
          <t>Weight</t>
        </is>
      </c>
      <c r="I386" s="3" t="inlineStr">
        <is>
          <t>45 kg</t>
        </is>
      </c>
      <c r="J386" s="3" t="inlineStr">
        <is>
          <t>Depth</t>
        </is>
      </c>
      <c r="K386" s="3" t="inlineStr">
        <is>
          <t>350 mm</t>
        </is>
      </c>
      <c r="Q386" s="3" t="inlineStr">
        <is>
          <t>Manufacturer's Warranty</t>
        </is>
      </c>
      <c r="R386" s="3" t="inlineStr">
        <is>
          <t>422.58.072</t>
        </is>
      </c>
      <c r="S386" s="3" t="n">
        <v>2</v>
      </c>
      <c r="Y386" s="3" t="inlineStr">
        <is>
          <t>HAF_TC_RC_STEEL ZINC</t>
        </is>
      </c>
      <c r="Z386" s="3" t="n">
        <v>8302</v>
      </c>
      <c r="AC386" s="3" t="n">
        <v>1</v>
      </c>
      <c r="AE386" s="3" t="n">
        <v>495</v>
      </c>
      <c r="AF386" s="4" t="n">
        <v>0.5</v>
      </c>
      <c r="AG386" s="3">
        <f>ROUND(AE386-(AE386*AF386),2)</f>
        <v/>
      </c>
      <c r="AH386" s="4" t="n">
        <v>0.18</v>
      </c>
      <c r="AI386" s="3">
        <f>ROUND(AG386+(AG386*AH386),2)</f>
        <v/>
      </c>
      <c r="AJ386" s="4" t="n">
        <v>0.2</v>
      </c>
      <c r="AK386" s="3">
        <f>ROUND(AI386*AJ386,2)</f>
        <v/>
      </c>
      <c r="AL386" s="3">
        <f>AI386+AK386</f>
        <v/>
      </c>
      <c r="AM386" s="3">
        <f>AE386-AL386</f>
        <v/>
      </c>
      <c r="AN386" s="4">
        <f>AM386/AE386</f>
        <v/>
      </c>
      <c r="AO386" s="3" t="inlineStr">
        <is>
          <t>60 mins</t>
        </is>
      </c>
      <c r="AQ386" s="3" t="inlineStr">
        <is>
          <t>Weight</t>
        </is>
      </c>
      <c r="AS386" s="3" t="inlineStr">
        <is>
          <t>Ball Bearing Slides, Side Mounted, Full Extension, Zinc Plated, Load This product is a high-performance hardware mechanism used to enable smooth, quiet, and full extension of drawers in furniture.</t>
        </is>
      </c>
      <c r="AT386" s="3" t="inlineStr">
        <is>
          <t>60 mins</t>
        </is>
      </c>
    </row>
    <row r="387" ht="15.75" customHeight="1">
      <c r="A387" s="3" t="inlineStr">
        <is>
          <t>PROD_0088</t>
        </is>
      </c>
      <c r="B387" s="3" t="inlineStr">
        <is>
          <t>VAR_4</t>
        </is>
      </c>
      <c r="C387" s="3" t="inlineStr">
        <is>
          <t>Modular Hardware</t>
        </is>
      </c>
      <c r="D387" s="3" t="inlineStr">
        <is>
          <t>Channels</t>
        </is>
      </c>
      <c r="E387" s="3" t="inlineStr">
        <is>
          <t>Hafele</t>
        </is>
      </c>
      <c r="F387" s="3" t="inlineStr">
        <is>
          <t>Telescopic Channels | Steel Zinc 45 Kg | Regular Close</t>
        </is>
      </c>
      <c r="H387" s="3" t="inlineStr">
        <is>
          <t>Weight</t>
        </is>
      </c>
      <c r="I387" s="3" t="inlineStr">
        <is>
          <t>45 kg</t>
        </is>
      </c>
      <c r="J387" s="3" t="inlineStr">
        <is>
          <t>Depth</t>
        </is>
      </c>
      <c r="K387" s="3" t="inlineStr">
        <is>
          <t>400 mm</t>
        </is>
      </c>
      <c r="Q387" s="3" t="inlineStr">
        <is>
          <t>Manufacturer's Warranty</t>
        </is>
      </c>
      <c r="R387" s="3" t="inlineStr">
        <is>
          <t>422.58.073</t>
        </is>
      </c>
      <c r="S387" s="3" t="n">
        <v>2</v>
      </c>
      <c r="Y387" s="3" t="inlineStr">
        <is>
          <t>HAF_TC_RC_STEEL ZINC</t>
        </is>
      </c>
      <c r="Z387" s="3" t="n">
        <v>8302</v>
      </c>
      <c r="AC387" s="3" t="n">
        <v>1</v>
      </c>
      <c r="AE387" s="3" t="n">
        <v>515</v>
      </c>
      <c r="AF387" s="4" t="n">
        <v>0.5</v>
      </c>
      <c r="AG387" s="3">
        <f>ROUND(AE387-(AE387*AF387),2)</f>
        <v/>
      </c>
      <c r="AH387" s="4" t="n">
        <v>0.18</v>
      </c>
      <c r="AI387" s="3">
        <f>ROUND(AG387+(AG387*AH387),2)</f>
        <v/>
      </c>
      <c r="AJ387" s="4" t="n">
        <v>0.2</v>
      </c>
      <c r="AK387" s="3">
        <f>ROUND(AI387*AJ387,2)</f>
        <v/>
      </c>
      <c r="AL387" s="3">
        <f>AI387+AK387</f>
        <v/>
      </c>
      <c r="AM387" s="3">
        <f>AE387-AL387</f>
        <v/>
      </c>
      <c r="AN387" s="4">
        <f>AM387/AE387</f>
        <v/>
      </c>
      <c r="AO387" s="3" t="inlineStr">
        <is>
          <t>60 mins</t>
        </is>
      </c>
      <c r="AQ387" s="3" t="inlineStr">
        <is>
          <t>Weight</t>
        </is>
      </c>
      <c r="AS387" s="3" t="inlineStr">
        <is>
          <t>Ball Bearing Slides, Side Mounted, Full Extension, Zinc Plated, Load This product is a high-performance hardware mechanism used to enable smooth, quiet, and full extension of drawers in furniture.</t>
        </is>
      </c>
      <c r="AT387" s="3" t="inlineStr">
        <is>
          <t>60 mins</t>
        </is>
      </c>
    </row>
    <row r="388" ht="15.75" customHeight="1">
      <c r="A388" s="3" t="inlineStr">
        <is>
          <t>PROD_0088</t>
        </is>
      </c>
      <c r="B388" s="3" t="inlineStr">
        <is>
          <t>VAR_5</t>
        </is>
      </c>
      <c r="C388" s="3" t="inlineStr">
        <is>
          <t>Modular Hardware</t>
        </is>
      </c>
      <c r="D388" s="3" t="inlineStr">
        <is>
          <t>Channels</t>
        </is>
      </c>
      <c r="E388" s="3" t="inlineStr">
        <is>
          <t>Hafele</t>
        </is>
      </c>
      <c r="F388" s="3" t="inlineStr">
        <is>
          <t>Telescopic Channels | Steel Zinc 45 Kg | Regular Close</t>
        </is>
      </c>
      <c r="H388" s="3" t="inlineStr">
        <is>
          <t>Weight</t>
        </is>
      </c>
      <c r="I388" s="3" t="inlineStr">
        <is>
          <t>45 kg</t>
        </is>
      </c>
      <c r="J388" s="3" t="inlineStr">
        <is>
          <t>Depth</t>
        </is>
      </c>
      <c r="K388" s="3" t="inlineStr">
        <is>
          <t>450 mm</t>
        </is>
      </c>
      <c r="Q388" s="3" t="inlineStr">
        <is>
          <t>Manufacturer's Warranty</t>
        </is>
      </c>
      <c r="R388" s="3" t="inlineStr">
        <is>
          <t>422.58.074</t>
        </is>
      </c>
      <c r="S388" s="3" t="n">
        <v>2</v>
      </c>
      <c r="Y388" s="3" t="inlineStr">
        <is>
          <t>HAF_TC_RC_STEEL ZINC</t>
        </is>
      </c>
      <c r="Z388" s="3" t="n">
        <v>8302</v>
      </c>
      <c r="AC388" s="3" t="n">
        <v>1</v>
      </c>
      <c r="AE388" s="3" t="n">
        <v>545</v>
      </c>
      <c r="AF388" s="4" t="n">
        <v>0.5</v>
      </c>
      <c r="AG388" s="3">
        <f>ROUND(AE388-(AE388*AF388),2)</f>
        <v/>
      </c>
      <c r="AH388" s="4" t="n">
        <v>0.18</v>
      </c>
      <c r="AI388" s="3">
        <f>ROUND(AG388+(AG388*AH388),2)</f>
        <v/>
      </c>
      <c r="AJ388" s="4" t="n">
        <v>0.2</v>
      </c>
      <c r="AK388" s="3">
        <f>ROUND(AI388*AJ388,2)</f>
        <v/>
      </c>
      <c r="AL388" s="3">
        <f>AI388+AK388</f>
        <v/>
      </c>
      <c r="AM388" s="3">
        <f>AE388-AL388</f>
        <v/>
      </c>
      <c r="AN388" s="4">
        <f>AM388/AE388</f>
        <v/>
      </c>
      <c r="AO388" s="3" t="inlineStr">
        <is>
          <t>60 mins</t>
        </is>
      </c>
      <c r="AQ388" s="3" t="inlineStr">
        <is>
          <t>Weight</t>
        </is>
      </c>
      <c r="AS388" s="3" t="inlineStr">
        <is>
          <t>Ball Bearing Slides, Side Mounted, Full Extension, Zinc Plated, Load This product is a high-performance hardware mechanism used to enable smooth, quiet, and full extension of drawers in furniture.</t>
        </is>
      </c>
      <c r="AT388" s="3" t="inlineStr">
        <is>
          <t>60 mins</t>
        </is>
      </c>
    </row>
    <row r="389" ht="15.75" customHeight="1">
      <c r="A389" s="3" t="inlineStr">
        <is>
          <t>PROD_0088</t>
        </is>
      </c>
      <c r="B389" s="3" t="inlineStr">
        <is>
          <t>VAR_6</t>
        </is>
      </c>
      <c r="C389" s="3" t="inlineStr">
        <is>
          <t>Modular Hardware</t>
        </is>
      </c>
      <c r="D389" s="3" t="inlineStr">
        <is>
          <t>Channels</t>
        </is>
      </c>
      <c r="E389" s="3" t="inlineStr">
        <is>
          <t>Hafele</t>
        </is>
      </c>
      <c r="F389" s="3" t="inlineStr">
        <is>
          <t>Telescopic Channels | Steel Zinc 45 Kg | Regular Close</t>
        </is>
      </c>
      <c r="H389" s="3" t="inlineStr">
        <is>
          <t>Weight</t>
        </is>
      </c>
      <c r="I389" s="3" t="inlineStr">
        <is>
          <t>45 kg</t>
        </is>
      </c>
      <c r="J389" s="3" t="inlineStr">
        <is>
          <t>Depth</t>
        </is>
      </c>
      <c r="K389" s="3" t="inlineStr">
        <is>
          <t>500 mm</t>
        </is>
      </c>
      <c r="Q389" s="3" t="inlineStr">
        <is>
          <t>Manufacturer's Warranty</t>
        </is>
      </c>
      <c r="R389" s="3" t="inlineStr">
        <is>
          <t>422.58.075</t>
        </is>
      </c>
      <c r="S389" s="3" t="n">
        <v>2</v>
      </c>
      <c r="Y389" s="3" t="inlineStr">
        <is>
          <t>HAF_TC_RC_STEEL ZINC</t>
        </is>
      </c>
      <c r="Z389" s="3" t="n">
        <v>8302</v>
      </c>
      <c r="AC389" s="3" t="n">
        <v>1</v>
      </c>
      <c r="AE389" s="3" t="n">
        <v>565</v>
      </c>
      <c r="AF389" s="4" t="n">
        <v>0.5</v>
      </c>
      <c r="AG389" s="3">
        <f>ROUND(AE389-(AE389*AF389),2)</f>
        <v/>
      </c>
      <c r="AH389" s="4" t="n">
        <v>0.18</v>
      </c>
      <c r="AI389" s="3">
        <f>ROUND(AG389+(AG389*AH389),2)</f>
        <v/>
      </c>
      <c r="AJ389" s="4" t="n">
        <v>0.2</v>
      </c>
      <c r="AK389" s="3">
        <f>ROUND(AI389*AJ389,2)</f>
        <v/>
      </c>
      <c r="AL389" s="3">
        <f>AI389+AK389</f>
        <v/>
      </c>
      <c r="AM389" s="3">
        <f>AE389-AL389</f>
        <v/>
      </c>
      <c r="AN389" s="4">
        <f>AM389/AE389</f>
        <v/>
      </c>
      <c r="AO389" s="3" t="inlineStr">
        <is>
          <t>60 mins</t>
        </is>
      </c>
      <c r="AQ389" s="3" t="inlineStr">
        <is>
          <t>Weight</t>
        </is>
      </c>
      <c r="AS389" s="3" t="inlineStr">
        <is>
          <t>Ball Bearing Slides, Side Mounted, Full Extension, Zinc Plated, Load This product is a high-performance hardware mechanism used to enable smooth, quiet, and full extension of drawers in furniture.</t>
        </is>
      </c>
      <c r="AT389" s="3" t="inlineStr">
        <is>
          <t>60 mins</t>
        </is>
      </c>
    </row>
    <row r="390" ht="15.75" customHeight="1">
      <c r="A390" s="13" t="inlineStr">
        <is>
          <t>PROD_0089</t>
        </is>
      </c>
      <c r="B390" s="13" t="inlineStr">
        <is>
          <t>VAR_1</t>
        </is>
      </c>
      <c r="C390" s="13" t="inlineStr">
        <is>
          <t>Modular Hardware</t>
        </is>
      </c>
      <c r="D390" s="13" t="inlineStr">
        <is>
          <t>Channels</t>
        </is>
      </c>
      <c r="E390" s="13" t="inlineStr">
        <is>
          <t>Hafele</t>
        </is>
      </c>
      <c r="F390" s="13" t="inlineStr">
        <is>
          <t>Telescopic Channels | Steel 40 Kg | Soft Close</t>
        </is>
      </c>
      <c r="G390" s="13" t="n"/>
      <c r="H390" s="13" t="inlineStr">
        <is>
          <t>Weight</t>
        </is>
      </c>
      <c r="I390" s="13" t="inlineStr">
        <is>
          <t>40 kg</t>
        </is>
      </c>
      <c r="J390" s="13" t="inlineStr">
        <is>
          <t>Depth</t>
        </is>
      </c>
      <c r="K390" s="13" t="inlineStr">
        <is>
          <t>300 mm</t>
        </is>
      </c>
      <c r="L390" s="13" t="n"/>
      <c r="M390" s="13" t="n"/>
      <c r="N390" s="13" t="n"/>
      <c r="O390" s="13" t="n"/>
      <c r="P390" s="13" t="n"/>
      <c r="Q390" s="13" t="inlineStr">
        <is>
          <t>Manufacturer's Warranty</t>
        </is>
      </c>
      <c r="R390" s="13" t="inlineStr">
        <is>
          <t>432.02.191</t>
        </is>
      </c>
      <c r="S390" s="13" t="n">
        <v>2</v>
      </c>
      <c r="T390" s="13" t="n"/>
      <c r="U390" s="13" t="n"/>
      <c r="V390" s="13" t="n"/>
      <c r="W390" s="13" t="n"/>
      <c r="X390" s="13" t="n"/>
      <c r="Y390" s="13" t="inlineStr">
        <is>
          <t>HAF_TC_SC_STEEL</t>
        </is>
      </c>
      <c r="Z390" s="13" t="n">
        <v>8302</v>
      </c>
      <c r="AA390" s="13" t="n"/>
      <c r="AB390" s="13" t="n"/>
      <c r="AC390" s="13" t="n">
        <v>1</v>
      </c>
      <c r="AD390" s="13" t="n"/>
      <c r="AE390" s="13" t="n">
        <v>2435</v>
      </c>
      <c r="AF390" s="14" t="n">
        <v>0.5</v>
      </c>
      <c r="AG390" s="13">
        <f>ROUND(AE390-(AE390*AF390),2)</f>
        <v/>
      </c>
      <c r="AH390" s="14" t="n">
        <v>0.18</v>
      </c>
      <c r="AI390" s="13">
        <f>ROUND(AG390+(AG390*AH390),2)</f>
        <v/>
      </c>
      <c r="AJ390" s="14" t="n">
        <v>0.2</v>
      </c>
      <c r="AK390" s="13">
        <f>ROUND(AI390*AJ390,2)</f>
        <v/>
      </c>
      <c r="AL390" s="13">
        <f>AI390+AK390</f>
        <v/>
      </c>
      <c r="AM390" s="13">
        <f>AE390-AL390</f>
        <v/>
      </c>
      <c r="AN390" s="14">
        <f>AM390/AE390</f>
        <v/>
      </c>
      <c r="AO390" s="13" t="inlineStr">
        <is>
          <t>60 mins</t>
        </is>
      </c>
      <c r="AP390" s="13" t="n"/>
      <c r="AQ390" s="3" t="inlineStr">
        <is>
          <t>Weight</t>
        </is>
      </c>
      <c r="AR390" s="13" t="n"/>
      <c r="AS390" s="3" t="inlineStr">
        <is>
          <t>Ball Bearing Slides, Side Mounted, Full Extension, Zinc Plated, Load This product is a high-performance hardware mechanism used to enable smooth, quiet, and full extension of drawers in furniture.</t>
        </is>
      </c>
      <c r="AT390" s="13" t="inlineStr">
        <is>
          <t>Inactive</t>
        </is>
      </c>
    </row>
    <row r="391" ht="15.75" customHeight="1">
      <c r="A391" s="13" t="inlineStr">
        <is>
          <t>PROD_0089</t>
        </is>
      </c>
      <c r="B391" s="13" t="inlineStr">
        <is>
          <t>VAR_2</t>
        </is>
      </c>
      <c r="C391" s="13" t="inlineStr">
        <is>
          <t>Modular Hardware</t>
        </is>
      </c>
      <c r="D391" s="13" t="inlineStr">
        <is>
          <t>Channels</t>
        </is>
      </c>
      <c r="E391" s="13" t="inlineStr">
        <is>
          <t>Hafele</t>
        </is>
      </c>
      <c r="F391" s="13" t="inlineStr">
        <is>
          <t>Telescopic Channels | Steel 40 Kg | Soft Close</t>
        </is>
      </c>
      <c r="G391" s="13" t="n"/>
      <c r="H391" s="13" t="inlineStr">
        <is>
          <t>Weight</t>
        </is>
      </c>
      <c r="I391" s="13" t="inlineStr">
        <is>
          <t>40 kg</t>
        </is>
      </c>
      <c r="J391" s="13" t="inlineStr">
        <is>
          <t>Depth</t>
        </is>
      </c>
      <c r="K391" s="13" t="inlineStr">
        <is>
          <t>350 mm</t>
        </is>
      </c>
      <c r="L391" s="13" t="n"/>
      <c r="M391" s="13" t="n"/>
      <c r="N391" s="13" t="n"/>
      <c r="O391" s="13" t="n"/>
      <c r="P391" s="13" t="n"/>
      <c r="Q391" s="13" t="inlineStr">
        <is>
          <t>Manufacturer's Warranty</t>
        </is>
      </c>
      <c r="R391" s="13" t="inlineStr">
        <is>
          <t>432.02.192</t>
        </is>
      </c>
      <c r="S391" s="13" t="n">
        <v>2</v>
      </c>
      <c r="T391" s="13" t="n"/>
      <c r="U391" s="13" t="n"/>
      <c r="V391" s="13" t="n"/>
      <c r="W391" s="13" t="n"/>
      <c r="X391" s="13" t="n"/>
      <c r="Y391" s="13" t="inlineStr">
        <is>
          <t>HAF_TC_SC_STEEL</t>
        </is>
      </c>
      <c r="Z391" s="13" t="n">
        <v>8302</v>
      </c>
      <c r="AA391" s="13" t="n"/>
      <c r="AB391" s="13" t="n"/>
      <c r="AC391" s="13" t="n">
        <v>1</v>
      </c>
      <c r="AD391" s="13" t="n"/>
      <c r="AE391" s="13" t="n">
        <v>2435</v>
      </c>
      <c r="AF391" s="14" t="n">
        <v>0.5</v>
      </c>
      <c r="AG391" s="13">
        <f>ROUND(AE391-(AE391*AF391),2)</f>
        <v/>
      </c>
      <c r="AH391" s="14" t="n">
        <v>0.18</v>
      </c>
      <c r="AI391" s="13">
        <f>ROUND(AG391+(AG391*AH391),2)</f>
        <v/>
      </c>
      <c r="AJ391" s="14" t="n">
        <v>0.2</v>
      </c>
      <c r="AK391" s="13">
        <f>ROUND(AI391*AJ391,2)</f>
        <v/>
      </c>
      <c r="AL391" s="13">
        <f>AI391+AK391</f>
        <v/>
      </c>
      <c r="AM391" s="13">
        <f>AE391-AL391</f>
        <v/>
      </c>
      <c r="AN391" s="14">
        <f>AM391/AE391</f>
        <v/>
      </c>
      <c r="AO391" s="13" t="inlineStr">
        <is>
          <t>60 mins</t>
        </is>
      </c>
      <c r="AP391" s="13" t="n"/>
      <c r="AQ391" s="3" t="inlineStr">
        <is>
          <t>Weight</t>
        </is>
      </c>
      <c r="AR391" s="13" t="n"/>
      <c r="AS391" s="3" t="inlineStr">
        <is>
          <t>Ball Bearing Slides, Side Mounted, Full Extension, Zinc Plated, Load This product is a high-performance hardware mechanism used to enable smooth, quiet, and full extension of drawers in furniture.</t>
        </is>
      </c>
      <c r="AT391" s="13" t="inlineStr">
        <is>
          <t>Inactive</t>
        </is>
      </c>
    </row>
    <row r="392" ht="15.75" customHeight="1">
      <c r="A392" s="13" t="inlineStr">
        <is>
          <t>PROD_0089</t>
        </is>
      </c>
      <c r="B392" s="13" t="inlineStr">
        <is>
          <t>VAR_3</t>
        </is>
      </c>
      <c r="C392" s="13" t="inlineStr">
        <is>
          <t>Modular Hardware</t>
        </is>
      </c>
      <c r="D392" s="13" t="inlineStr">
        <is>
          <t>Channels</t>
        </is>
      </c>
      <c r="E392" s="13" t="inlineStr">
        <is>
          <t>Hafele</t>
        </is>
      </c>
      <c r="F392" s="13" t="inlineStr">
        <is>
          <t>Telescopic Channels | Steel 40 Kg | Soft Close</t>
        </is>
      </c>
      <c r="G392" s="13" t="n"/>
      <c r="H392" s="13" t="inlineStr">
        <is>
          <t>Weight</t>
        </is>
      </c>
      <c r="I392" s="13" t="inlineStr">
        <is>
          <t>40 kg</t>
        </is>
      </c>
      <c r="J392" s="13" t="inlineStr">
        <is>
          <t>Depth</t>
        </is>
      </c>
      <c r="K392" s="13" t="inlineStr">
        <is>
          <t>400 mm</t>
        </is>
      </c>
      <c r="L392" s="13" t="n"/>
      <c r="M392" s="13" t="n"/>
      <c r="N392" s="13" t="n"/>
      <c r="O392" s="13" t="n"/>
      <c r="P392" s="13" t="n"/>
      <c r="Q392" s="13" t="inlineStr">
        <is>
          <t>Manufacturer's Warranty</t>
        </is>
      </c>
      <c r="R392" s="13" t="inlineStr">
        <is>
          <t>432.02.193</t>
        </is>
      </c>
      <c r="S392" s="13" t="n">
        <v>2</v>
      </c>
      <c r="T392" s="13" t="n"/>
      <c r="U392" s="13" t="n"/>
      <c r="V392" s="13" t="n"/>
      <c r="W392" s="13" t="n"/>
      <c r="X392" s="13" t="n"/>
      <c r="Y392" s="13" t="inlineStr">
        <is>
          <t>HAF_TC_SC_STEEL</t>
        </is>
      </c>
      <c r="Z392" s="13" t="n">
        <v>8302</v>
      </c>
      <c r="AA392" s="13" t="n"/>
      <c r="AB392" s="13" t="n"/>
      <c r="AC392" s="13" t="n">
        <v>1</v>
      </c>
      <c r="AD392" s="13" t="n"/>
      <c r="AE392" s="13" t="n">
        <v>2575</v>
      </c>
      <c r="AF392" s="14" t="n">
        <v>0.5</v>
      </c>
      <c r="AG392" s="13">
        <f>ROUND(AE392-(AE392*AF392),2)</f>
        <v/>
      </c>
      <c r="AH392" s="14" t="n">
        <v>0.18</v>
      </c>
      <c r="AI392" s="13">
        <f>ROUND(AG392+(AG392*AH392),2)</f>
        <v/>
      </c>
      <c r="AJ392" s="14" t="n">
        <v>0.2</v>
      </c>
      <c r="AK392" s="13">
        <f>ROUND(AI392*AJ392,2)</f>
        <v/>
      </c>
      <c r="AL392" s="13">
        <f>AI392+AK392</f>
        <v/>
      </c>
      <c r="AM392" s="13">
        <f>AE392-AL392</f>
        <v/>
      </c>
      <c r="AN392" s="14">
        <f>AM392/AE392</f>
        <v/>
      </c>
      <c r="AO392" s="13" t="inlineStr">
        <is>
          <t>60 mins</t>
        </is>
      </c>
      <c r="AP392" s="13" t="n"/>
      <c r="AQ392" s="3" t="inlineStr">
        <is>
          <t>Weight</t>
        </is>
      </c>
      <c r="AR392" s="13" t="n"/>
      <c r="AS392" s="3" t="inlineStr">
        <is>
          <t>Ball Bearing Slides, Side Mounted, Full Extension, Zinc Plated, Load This product is a high-performance hardware mechanism used to enable smooth, quiet, and full extension of drawers in furniture.</t>
        </is>
      </c>
      <c r="AT392" s="13" t="inlineStr">
        <is>
          <t>Inactive</t>
        </is>
      </c>
    </row>
    <row r="393" ht="15.75" customHeight="1">
      <c r="A393" s="13" t="inlineStr">
        <is>
          <t>PROD_0089</t>
        </is>
      </c>
      <c r="B393" s="13" t="inlineStr">
        <is>
          <t>VAR_4</t>
        </is>
      </c>
      <c r="C393" s="13" t="inlineStr">
        <is>
          <t>Modular Hardware</t>
        </is>
      </c>
      <c r="D393" s="13" t="inlineStr">
        <is>
          <t>Channels</t>
        </is>
      </c>
      <c r="E393" s="13" t="inlineStr">
        <is>
          <t>Hafele</t>
        </is>
      </c>
      <c r="F393" s="13" t="inlineStr">
        <is>
          <t>Telescopic Channels | Steel 40 Kg | Soft Close</t>
        </is>
      </c>
      <c r="G393" s="13" t="n"/>
      <c r="H393" s="13" t="inlineStr">
        <is>
          <t>Weight</t>
        </is>
      </c>
      <c r="I393" s="13" t="inlineStr">
        <is>
          <t>40 kg</t>
        </is>
      </c>
      <c r="J393" s="13" t="inlineStr">
        <is>
          <t>Depth</t>
        </is>
      </c>
      <c r="K393" s="13" t="inlineStr">
        <is>
          <t>450 mm</t>
        </is>
      </c>
      <c r="L393" s="13" t="n"/>
      <c r="M393" s="13" t="n"/>
      <c r="N393" s="13" t="n"/>
      <c r="O393" s="13" t="n"/>
      <c r="P393" s="13" t="n"/>
      <c r="Q393" s="13" t="inlineStr">
        <is>
          <t>Manufacturer's Warranty</t>
        </is>
      </c>
      <c r="R393" s="13" t="inlineStr">
        <is>
          <t>432.02.194</t>
        </is>
      </c>
      <c r="S393" s="13" t="n">
        <v>2</v>
      </c>
      <c r="T393" s="13" t="n"/>
      <c r="U393" s="13" t="n"/>
      <c r="V393" s="13" t="n"/>
      <c r="W393" s="13" t="n"/>
      <c r="X393" s="13" t="n"/>
      <c r="Y393" s="13" t="inlineStr">
        <is>
          <t>HAF_TC_SC_STEEL</t>
        </is>
      </c>
      <c r="Z393" s="13" t="n">
        <v>8302</v>
      </c>
      <c r="AA393" s="13" t="n"/>
      <c r="AB393" s="13" t="n"/>
      <c r="AC393" s="13" t="n">
        <v>1</v>
      </c>
      <c r="AD393" s="13" t="n"/>
      <c r="AE393" s="13" t="n">
        <v>2575</v>
      </c>
      <c r="AF393" s="14" t="n">
        <v>0.5</v>
      </c>
      <c r="AG393" s="13">
        <f>ROUND(AE393-(AE393*AF393),2)</f>
        <v/>
      </c>
      <c r="AH393" s="14" t="n">
        <v>0.18</v>
      </c>
      <c r="AI393" s="13">
        <f>ROUND(AG393+(AG393*AH393),2)</f>
        <v/>
      </c>
      <c r="AJ393" s="14" t="n">
        <v>0.2</v>
      </c>
      <c r="AK393" s="13">
        <f>ROUND(AI393*AJ393,2)</f>
        <v/>
      </c>
      <c r="AL393" s="13">
        <f>AI393+AK393</f>
        <v/>
      </c>
      <c r="AM393" s="13">
        <f>AE393-AL393</f>
        <v/>
      </c>
      <c r="AN393" s="14">
        <f>AM393/AE393</f>
        <v/>
      </c>
      <c r="AO393" s="13" t="inlineStr">
        <is>
          <t>60 mins</t>
        </is>
      </c>
      <c r="AP393" s="13" t="n"/>
      <c r="AQ393" s="3" t="inlineStr">
        <is>
          <t>Weight</t>
        </is>
      </c>
      <c r="AR393" s="13" t="n"/>
      <c r="AS393" s="3" t="inlineStr">
        <is>
          <t>Ball Bearing Slides, Side Mounted, Full Extension, Zinc Plated, Load This product is a high-performance hardware mechanism used to enable smooth, quiet, and full extension of drawers in furniture.</t>
        </is>
      </c>
      <c r="AT393" s="13" t="inlineStr">
        <is>
          <t>Inactive</t>
        </is>
      </c>
    </row>
    <row r="394" ht="15.75" customHeight="1">
      <c r="A394" s="13" t="inlineStr">
        <is>
          <t>PROD_0089</t>
        </is>
      </c>
      <c r="B394" s="13" t="inlineStr">
        <is>
          <t>VAR_5</t>
        </is>
      </c>
      <c r="C394" s="13" t="inlineStr">
        <is>
          <t>Modular Hardware</t>
        </is>
      </c>
      <c r="D394" s="13" t="inlineStr">
        <is>
          <t>Channels</t>
        </is>
      </c>
      <c r="E394" s="13" t="inlineStr">
        <is>
          <t>Hafele</t>
        </is>
      </c>
      <c r="F394" s="13" t="inlineStr">
        <is>
          <t>Telescopic Channels | Steel 40 Kg | Soft Close</t>
        </is>
      </c>
      <c r="G394" s="13" t="n"/>
      <c r="H394" s="13" t="inlineStr">
        <is>
          <t>Weight</t>
        </is>
      </c>
      <c r="I394" s="13" t="inlineStr">
        <is>
          <t>40 kg</t>
        </is>
      </c>
      <c r="J394" s="13" t="inlineStr">
        <is>
          <t>Depth</t>
        </is>
      </c>
      <c r="K394" s="13" t="inlineStr">
        <is>
          <t>500 mm</t>
        </is>
      </c>
      <c r="L394" s="13" t="n"/>
      <c r="M394" s="13" t="n"/>
      <c r="N394" s="13" t="n"/>
      <c r="O394" s="13" t="n"/>
      <c r="P394" s="13" t="n"/>
      <c r="Q394" s="13" t="inlineStr">
        <is>
          <t>Manufacturer's Warranty</t>
        </is>
      </c>
      <c r="R394" s="13" t="inlineStr">
        <is>
          <t>432.02.195</t>
        </is>
      </c>
      <c r="S394" s="13" t="n">
        <v>2</v>
      </c>
      <c r="T394" s="13" t="n"/>
      <c r="U394" s="13" t="n"/>
      <c r="V394" s="13" t="n"/>
      <c r="W394" s="13" t="n"/>
      <c r="X394" s="13" t="n"/>
      <c r="Y394" s="13" t="inlineStr">
        <is>
          <t>HAF_TC_SC_STEEL</t>
        </is>
      </c>
      <c r="Z394" s="13" t="n">
        <v>8302</v>
      </c>
      <c r="AA394" s="13" t="n"/>
      <c r="AB394" s="13" t="n"/>
      <c r="AC394" s="13" t="n">
        <v>1</v>
      </c>
      <c r="AD394" s="13" t="n"/>
      <c r="AE394" s="13" t="n">
        <v>2575</v>
      </c>
      <c r="AF394" s="14" t="n">
        <v>0.5</v>
      </c>
      <c r="AG394" s="13">
        <f>ROUND(AE394-(AE394*AF394),2)</f>
        <v/>
      </c>
      <c r="AH394" s="14" t="n">
        <v>0.18</v>
      </c>
      <c r="AI394" s="13">
        <f>ROUND(AG394+(AG394*AH394),2)</f>
        <v/>
      </c>
      <c r="AJ394" s="14" t="n">
        <v>0.2</v>
      </c>
      <c r="AK394" s="13">
        <f>ROUND(AI394*AJ394,2)</f>
        <v/>
      </c>
      <c r="AL394" s="13">
        <f>AI394+AK394</f>
        <v/>
      </c>
      <c r="AM394" s="13">
        <f>AE394-AL394</f>
        <v/>
      </c>
      <c r="AN394" s="14">
        <f>AM394/AE394</f>
        <v/>
      </c>
      <c r="AO394" s="13" t="inlineStr">
        <is>
          <t>60 mins</t>
        </is>
      </c>
      <c r="AP394" s="13" t="n"/>
      <c r="AQ394" s="3" t="inlineStr">
        <is>
          <t>Weight</t>
        </is>
      </c>
      <c r="AR394" s="13" t="n"/>
      <c r="AS394" s="3" t="inlineStr">
        <is>
          <t>Ball Bearing Slides, Side Mounted, Full Extension, Zinc Plated, Load This product is a high-performance hardware mechanism used to enable smooth, quiet, and full extension of drawers in furniture.</t>
        </is>
      </c>
      <c r="AT394" s="13" t="inlineStr">
        <is>
          <t>Inactive</t>
        </is>
      </c>
    </row>
    <row r="395" ht="15.75" customHeight="1">
      <c r="A395" s="3" t="inlineStr">
        <is>
          <t>PROD_0090</t>
        </is>
      </c>
      <c r="B395" s="3" t="inlineStr">
        <is>
          <t>VAR_1</t>
        </is>
      </c>
      <c r="C395" s="3" t="inlineStr">
        <is>
          <t>Modular Hardware</t>
        </is>
      </c>
      <c r="D395" s="3" t="inlineStr">
        <is>
          <t>Channels</t>
        </is>
      </c>
      <c r="E395" s="3" t="inlineStr">
        <is>
          <t>Hafele</t>
        </is>
      </c>
      <c r="F395" s="3" t="inlineStr">
        <is>
          <t>Matrix UM 35 |  Full Extension Runner | Soft Close</t>
        </is>
      </c>
      <c r="H395" s="3" t="inlineStr">
        <is>
          <t>Weight</t>
        </is>
      </c>
      <c r="I395" s="3" t="inlineStr">
        <is>
          <t>35 kg</t>
        </is>
      </c>
      <c r="J395" s="3" t="inlineStr">
        <is>
          <t>Depth</t>
        </is>
      </c>
      <c r="K395" s="3" t="inlineStr">
        <is>
          <t>300 mm</t>
        </is>
      </c>
      <c r="Q395" s="3" t="inlineStr">
        <is>
          <t>Manufacturer's Warranty</t>
        </is>
      </c>
      <c r="R395" s="3" t="inlineStr">
        <is>
          <t>433.09.531</t>
        </is>
      </c>
      <c r="S395" s="3" t="n">
        <v>2</v>
      </c>
      <c r="Y395" s="3" t="inlineStr">
        <is>
          <t>HAF_TC_SC_MATRIX35</t>
        </is>
      </c>
      <c r="Z395" s="3" t="n">
        <v>8302</v>
      </c>
      <c r="AC395" s="3" t="n">
        <v>1</v>
      </c>
      <c r="AE395" s="3" t="n">
        <v>2435</v>
      </c>
      <c r="AF395" s="4" t="n">
        <v>0.5</v>
      </c>
      <c r="AG395" s="3">
        <f>ROUND(AE395-(AE395*AF395),2)</f>
        <v/>
      </c>
      <c r="AH395" s="4" t="n">
        <v>0.18</v>
      </c>
      <c r="AI395" s="3">
        <f>ROUND(AG395+(AG395*AH395),2)</f>
        <v/>
      </c>
      <c r="AJ395" s="4" t="n">
        <v>0.2</v>
      </c>
      <c r="AK395" s="3">
        <f>ROUND(AI395*AJ395,2)</f>
        <v/>
      </c>
      <c r="AL395" s="3">
        <f>AI395+AK395</f>
        <v/>
      </c>
      <c r="AM395" s="3">
        <f>AE395-AL395</f>
        <v/>
      </c>
      <c r="AN395" s="4">
        <f>AM395/AE395</f>
        <v/>
      </c>
      <c r="AO395" s="3" t="inlineStr">
        <is>
          <t>60 mins</t>
        </is>
      </c>
      <c r="AQ395" s="3" t="inlineStr">
        <is>
          <t>Weight</t>
        </is>
      </c>
      <c r="AS395" s="3" t="inlineStr">
        <is>
          <t>This product is a high-performance hardware mechanism used to enable smooth, quiet, and full extension of drawers in furniture.</t>
        </is>
      </c>
      <c r="AT395" s="3" t="inlineStr">
        <is>
          <t>60 mins</t>
        </is>
      </c>
    </row>
    <row r="396" ht="15.75" customHeight="1">
      <c r="A396" s="3" t="inlineStr">
        <is>
          <t>PROD_0090</t>
        </is>
      </c>
      <c r="B396" s="3" t="inlineStr">
        <is>
          <t>VAR_2</t>
        </is>
      </c>
      <c r="C396" s="3" t="inlineStr">
        <is>
          <t>Modular Hardware</t>
        </is>
      </c>
      <c r="D396" s="3" t="inlineStr">
        <is>
          <t>Channels</t>
        </is>
      </c>
      <c r="E396" s="3" t="inlineStr">
        <is>
          <t>Hafele</t>
        </is>
      </c>
      <c r="F396" s="3" t="inlineStr">
        <is>
          <t>Matrix UM 35 |  Full Extension Runner | Soft Close</t>
        </is>
      </c>
      <c r="H396" s="3" t="inlineStr">
        <is>
          <t>Weight</t>
        </is>
      </c>
      <c r="I396" s="3" t="inlineStr">
        <is>
          <t>35 kg</t>
        </is>
      </c>
      <c r="J396" s="3" t="inlineStr">
        <is>
          <t>Depth</t>
        </is>
      </c>
      <c r="K396" s="3" t="inlineStr">
        <is>
          <t>350 mm</t>
        </is>
      </c>
      <c r="Q396" s="3" t="inlineStr">
        <is>
          <t>Manufacturer's Warranty</t>
        </is>
      </c>
      <c r="R396" s="3" t="inlineStr">
        <is>
          <t>433.09.532</t>
        </is>
      </c>
      <c r="S396" s="3" t="n">
        <v>2</v>
      </c>
      <c r="Y396" s="3" t="inlineStr">
        <is>
          <t>HAF_TC_SC_MATRIX35</t>
        </is>
      </c>
      <c r="Z396" s="3" t="n">
        <v>8302</v>
      </c>
      <c r="AC396" s="3" t="n">
        <v>1</v>
      </c>
      <c r="AE396" s="3" t="n">
        <v>2435</v>
      </c>
      <c r="AF396" s="4" t="n">
        <v>0.5</v>
      </c>
      <c r="AG396" s="3">
        <f>ROUND(AE396-(AE396*AF396),2)</f>
        <v/>
      </c>
      <c r="AH396" s="4" t="n">
        <v>0.18</v>
      </c>
      <c r="AI396" s="3">
        <f>ROUND(AG396+(AG396*AH396),2)</f>
        <v/>
      </c>
      <c r="AJ396" s="4" t="n">
        <v>0.2</v>
      </c>
      <c r="AK396" s="3">
        <f>ROUND(AI396*AJ396,2)</f>
        <v/>
      </c>
      <c r="AL396" s="3">
        <f>AI396+AK396</f>
        <v/>
      </c>
      <c r="AM396" s="3">
        <f>AE396-AL396</f>
        <v/>
      </c>
      <c r="AN396" s="4">
        <f>AM396/AE396</f>
        <v/>
      </c>
      <c r="AO396" s="3" t="inlineStr">
        <is>
          <t>60 mins</t>
        </is>
      </c>
      <c r="AQ396" s="3" t="inlineStr">
        <is>
          <t>Weight</t>
        </is>
      </c>
      <c r="AS396" s="3" t="inlineStr">
        <is>
          <t>This product is a high-performance hardware mechanism used to enable smooth, quiet, and full extension of drawers in furniture.</t>
        </is>
      </c>
      <c r="AT396" s="3" t="inlineStr">
        <is>
          <t>60 mins</t>
        </is>
      </c>
    </row>
    <row r="397" ht="15.75" customHeight="1">
      <c r="A397" s="3" t="inlineStr">
        <is>
          <t>PROD_0090</t>
        </is>
      </c>
      <c r="B397" s="3" t="inlineStr">
        <is>
          <t>VAR_3</t>
        </is>
      </c>
      <c r="C397" s="3" t="inlineStr">
        <is>
          <t>Modular Hardware</t>
        </is>
      </c>
      <c r="D397" s="3" t="inlineStr">
        <is>
          <t>Channels</t>
        </is>
      </c>
      <c r="E397" s="3" t="inlineStr">
        <is>
          <t>Hafele</t>
        </is>
      </c>
      <c r="F397" s="3" t="inlineStr">
        <is>
          <t>Matrix UM 35 |  Full Extension Runner | Soft Close</t>
        </is>
      </c>
      <c r="H397" s="3" t="inlineStr">
        <is>
          <t>Weight</t>
        </is>
      </c>
      <c r="I397" s="3" t="inlineStr">
        <is>
          <t>35 kg</t>
        </is>
      </c>
      <c r="J397" s="3" t="inlineStr">
        <is>
          <t>Depth</t>
        </is>
      </c>
      <c r="K397" s="3" t="inlineStr">
        <is>
          <t>400 mm</t>
        </is>
      </c>
      <c r="Q397" s="3" t="inlineStr">
        <is>
          <t>Manufacturer's Warranty</t>
        </is>
      </c>
      <c r="R397" s="3" t="inlineStr">
        <is>
          <t>433.09.533</t>
        </is>
      </c>
      <c r="S397" s="3" t="n">
        <v>2</v>
      </c>
      <c r="Y397" s="3" t="inlineStr">
        <is>
          <t>HAF_TC_SC_MATRIX35</t>
        </is>
      </c>
      <c r="Z397" s="3" t="n">
        <v>8302</v>
      </c>
      <c r="AC397" s="3" t="n">
        <v>1</v>
      </c>
      <c r="AE397" s="3" t="n">
        <v>2575</v>
      </c>
      <c r="AF397" s="4" t="n">
        <v>0.5</v>
      </c>
      <c r="AG397" s="3">
        <f>ROUND(AE397-(AE397*AF397),2)</f>
        <v/>
      </c>
      <c r="AH397" s="4" t="n">
        <v>0.18</v>
      </c>
      <c r="AI397" s="3">
        <f>ROUND(AG397+(AG397*AH397),2)</f>
        <v/>
      </c>
      <c r="AJ397" s="4" t="n">
        <v>0.2</v>
      </c>
      <c r="AK397" s="3">
        <f>ROUND(AI397*AJ397,2)</f>
        <v/>
      </c>
      <c r="AL397" s="3">
        <f>AI397+AK397</f>
        <v/>
      </c>
      <c r="AM397" s="3">
        <f>AE397-AL397</f>
        <v/>
      </c>
      <c r="AN397" s="4">
        <f>AM397/AE397</f>
        <v/>
      </c>
      <c r="AO397" s="3" t="inlineStr">
        <is>
          <t>60 mins</t>
        </is>
      </c>
      <c r="AQ397" s="3" t="inlineStr">
        <is>
          <t>Weight</t>
        </is>
      </c>
      <c r="AS397" s="3" t="inlineStr">
        <is>
          <t>This product is a high-performance hardware mechanism used to enable smooth, quiet, and full extension of drawers in furniture.</t>
        </is>
      </c>
      <c r="AT397" s="3" t="inlineStr">
        <is>
          <t>60 mins</t>
        </is>
      </c>
    </row>
    <row r="398" ht="15.75" customHeight="1">
      <c r="A398" s="3" t="inlineStr">
        <is>
          <t>PROD_0090</t>
        </is>
      </c>
      <c r="B398" s="3" t="inlineStr">
        <is>
          <t>VAR_4</t>
        </is>
      </c>
      <c r="C398" s="3" t="inlineStr">
        <is>
          <t>Modular Hardware</t>
        </is>
      </c>
      <c r="D398" s="3" t="inlineStr">
        <is>
          <t>Channels</t>
        </is>
      </c>
      <c r="E398" s="3" t="inlineStr">
        <is>
          <t>Hafele</t>
        </is>
      </c>
      <c r="F398" s="3" t="inlineStr">
        <is>
          <t>Matrix UM 35 |  Full Extension Runner | Soft Close</t>
        </is>
      </c>
      <c r="H398" s="3" t="inlineStr">
        <is>
          <t>Weight</t>
        </is>
      </c>
      <c r="I398" s="3" t="inlineStr">
        <is>
          <t>35 kg</t>
        </is>
      </c>
      <c r="J398" s="3" t="inlineStr">
        <is>
          <t>Depth</t>
        </is>
      </c>
      <c r="K398" s="3" t="inlineStr">
        <is>
          <t>450 mm</t>
        </is>
      </c>
      <c r="Q398" s="3" t="inlineStr">
        <is>
          <t>Manufacturer's Warranty</t>
        </is>
      </c>
      <c r="R398" s="3" t="inlineStr">
        <is>
          <t>433.09.534</t>
        </is>
      </c>
      <c r="S398" s="3" t="n">
        <v>2</v>
      </c>
      <c r="Y398" s="3" t="inlineStr">
        <is>
          <t>HAF_TC_SC_MATRIX35</t>
        </is>
      </c>
      <c r="Z398" s="3" t="n">
        <v>8302</v>
      </c>
      <c r="AC398" s="3" t="n">
        <v>1</v>
      </c>
      <c r="AE398" s="3" t="n">
        <v>2575</v>
      </c>
      <c r="AF398" s="4" t="n">
        <v>0.5</v>
      </c>
      <c r="AG398" s="3">
        <f>ROUND(AE398-(AE398*AF398),2)</f>
        <v/>
      </c>
      <c r="AH398" s="4" t="n">
        <v>0.18</v>
      </c>
      <c r="AI398" s="3">
        <f>ROUND(AG398+(AG398*AH398),2)</f>
        <v/>
      </c>
      <c r="AJ398" s="4" t="n">
        <v>0.2</v>
      </c>
      <c r="AK398" s="3">
        <f>ROUND(AI398*AJ398,2)</f>
        <v/>
      </c>
      <c r="AL398" s="3">
        <f>AI398+AK398</f>
        <v/>
      </c>
      <c r="AM398" s="3">
        <f>AE398-AL398</f>
        <v/>
      </c>
      <c r="AN398" s="4">
        <f>AM398/AE398</f>
        <v/>
      </c>
      <c r="AO398" s="3" t="inlineStr">
        <is>
          <t>60 mins</t>
        </is>
      </c>
      <c r="AQ398" s="3" t="inlineStr">
        <is>
          <t>Weight</t>
        </is>
      </c>
      <c r="AS398" s="3" t="inlineStr">
        <is>
          <t>This product is a high-performance hardware mechanism used to enable smooth, quiet, and full extension of drawers in furniture.</t>
        </is>
      </c>
      <c r="AT398" s="3" t="inlineStr">
        <is>
          <t>60 mins</t>
        </is>
      </c>
    </row>
    <row r="399" ht="15.75" customHeight="1">
      <c r="A399" s="3" t="inlineStr">
        <is>
          <t>PROD_0090</t>
        </is>
      </c>
      <c r="B399" s="3" t="inlineStr">
        <is>
          <t>VAR_5</t>
        </is>
      </c>
      <c r="C399" s="3" t="inlineStr">
        <is>
          <t>Modular Hardware</t>
        </is>
      </c>
      <c r="D399" s="3" t="inlineStr">
        <is>
          <t>Channels</t>
        </is>
      </c>
      <c r="E399" s="3" t="inlineStr">
        <is>
          <t>Hafele</t>
        </is>
      </c>
      <c r="F399" s="3" t="inlineStr">
        <is>
          <t>Matrix UM 35 |  Full Extension Runner | Soft Close</t>
        </is>
      </c>
      <c r="H399" s="3" t="inlineStr">
        <is>
          <t>Weight</t>
        </is>
      </c>
      <c r="I399" s="3" t="inlineStr">
        <is>
          <t>35 kg</t>
        </is>
      </c>
      <c r="J399" s="3" t="inlineStr">
        <is>
          <t>Depth</t>
        </is>
      </c>
      <c r="K399" s="3" t="inlineStr">
        <is>
          <t>500 mm</t>
        </is>
      </c>
      <c r="Q399" s="3" t="inlineStr">
        <is>
          <t>Manufacturer's Warranty</t>
        </is>
      </c>
      <c r="R399" s="3" t="inlineStr">
        <is>
          <t>433.09.535</t>
        </is>
      </c>
      <c r="S399" s="3" t="n">
        <v>2</v>
      </c>
      <c r="Y399" s="3" t="inlineStr">
        <is>
          <t>HAF_TC_SC_MATRIX35</t>
        </is>
      </c>
      <c r="Z399" s="3" t="n">
        <v>8302</v>
      </c>
      <c r="AC399" s="3" t="n">
        <v>1</v>
      </c>
      <c r="AE399" s="3" t="n">
        <v>2575</v>
      </c>
      <c r="AF399" s="4" t="n">
        <v>0.5</v>
      </c>
      <c r="AG399" s="3">
        <f>ROUND(AE399-(AE399*AF399),2)</f>
        <v/>
      </c>
      <c r="AH399" s="4" t="n">
        <v>0.18</v>
      </c>
      <c r="AI399" s="3">
        <f>ROUND(AG399+(AG399*AH399),2)</f>
        <v/>
      </c>
      <c r="AJ399" s="4" t="n">
        <v>0.2</v>
      </c>
      <c r="AK399" s="3">
        <f>ROUND(AI399*AJ399,2)</f>
        <v/>
      </c>
      <c r="AL399" s="3">
        <f>AI399+AK399</f>
        <v/>
      </c>
      <c r="AM399" s="3">
        <f>AE399-AL399</f>
        <v/>
      </c>
      <c r="AN399" s="4">
        <f>AM399/AE399</f>
        <v/>
      </c>
      <c r="AO399" s="3" t="inlineStr">
        <is>
          <t>60 mins</t>
        </is>
      </c>
      <c r="AQ399" s="3" t="inlineStr">
        <is>
          <t>Weight</t>
        </is>
      </c>
      <c r="AS399" s="3" t="inlineStr">
        <is>
          <t>This product is a high-performance hardware mechanism used to enable smooth, quiet, and full extension of drawers in furniture.</t>
        </is>
      </c>
      <c r="AT399" s="3" t="inlineStr">
        <is>
          <t>60 mins</t>
        </is>
      </c>
    </row>
    <row r="400" ht="15.75" customHeight="1">
      <c r="A400" s="3" t="inlineStr">
        <is>
          <t>PROD_0091</t>
        </is>
      </c>
      <c r="B400" s="3" t="inlineStr">
        <is>
          <t>VAR_1</t>
        </is>
      </c>
      <c r="C400" s="3" t="inlineStr">
        <is>
          <t>Modular Hardware</t>
        </is>
      </c>
      <c r="D400" s="3" t="inlineStr">
        <is>
          <t>Channels</t>
        </is>
      </c>
      <c r="E400" s="3" t="inlineStr">
        <is>
          <t>Inox</t>
        </is>
      </c>
      <c r="F400" s="3" t="inlineStr">
        <is>
          <t>Telescopic Channel | Zinc Plated | Regular Close</t>
        </is>
      </c>
      <c r="H400" s="3" t="inlineStr">
        <is>
          <t>Weight</t>
        </is>
      </c>
      <c r="I400" s="3" t="inlineStr">
        <is>
          <t>45 kg</t>
        </is>
      </c>
      <c r="J400" s="3" t="inlineStr">
        <is>
          <t>Depth</t>
        </is>
      </c>
      <c r="K400" s="3" t="inlineStr">
        <is>
          <t>250 mm</t>
        </is>
      </c>
      <c r="Q400" s="3" t="inlineStr">
        <is>
          <t>Manufacturer's Warranty</t>
        </is>
      </c>
      <c r="R400" s="3" t="inlineStr">
        <is>
          <t>C6.04.250</t>
        </is>
      </c>
      <c r="S400" s="3" t="n">
        <v>2</v>
      </c>
      <c r="Y400" s="3" t="inlineStr">
        <is>
          <t>INOX_TC_ZINCPLATED_45KG</t>
        </is>
      </c>
      <c r="Z400" s="3" t="n">
        <v>8302</v>
      </c>
      <c r="AC400" s="3" t="n">
        <v>1</v>
      </c>
      <c r="AE400" s="3" t="n">
        <v>359</v>
      </c>
      <c r="AF400" s="4" t="n">
        <v>0.5</v>
      </c>
      <c r="AG400" s="3">
        <f>ROUND(AE400-(AE400*AF400),2)</f>
        <v/>
      </c>
      <c r="AH400" s="4" t="n">
        <v>0.18</v>
      </c>
      <c r="AI400" s="3">
        <f>ROUND(AG400+(AG400*AH400),2)</f>
        <v/>
      </c>
      <c r="AJ400" s="4" t="n">
        <v>0.2</v>
      </c>
      <c r="AK400" s="3">
        <f>ROUND(AI400*AJ400,2)</f>
        <v/>
      </c>
      <c r="AL400" s="3">
        <f>AI400+AK400</f>
        <v/>
      </c>
      <c r="AM400" s="3">
        <f>AE400-AL400</f>
        <v/>
      </c>
      <c r="AN400" s="4">
        <f>AM400/AE400</f>
        <v/>
      </c>
      <c r="AO400" s="3" t="inlineStr">
        <is>
          <t>60 mins</t>
        </is>
      </c>
      <c r="AQ400" s="3" t="inlineStr">
        <is>
          <t>Weight</t>
        </is>
      </c>
      <c r="AS400" s="3" t="inlineStr">
        <is>
          <t>This product is a high-performance hardware mechanism used to enable smooth, quiet, and full extension of drawers in furniture.</t>
        </is>
      </c>
      <c r="AT400" s="3" t="inlineStr">
        <is>
          <t>60 mins</t>
        </is>
      </c>
    </row>
    <row r="401" ht="15.75" customHeight="1">
      <c r="A401" s="3" t="inlineStr">
        <is>
          <t>PROD_0091</t>
        </is>
      </c>
      <c r="B401" s="3" t="inlineStr">
        <is>
          <t>VAR_2</t>
        </is>
      </c>
      <c r="C401" s="3" t="inlineStr">
        <is>
          <t>Modular Hardware</t>
        </is>
      </c>
      <c r="D401" s="3" t="inlineStr">
        <is>
          <t>Channels</t>
        </is>
      </c>
      <c r="E401" s="3" t="inlineStr">
        <is>
          <t>Inox</t>
        </is>
      </c>
      <c r="F401" s="3" t="inlineStr">
        <is>
          <t>Telescopic Channel | Zinc Plated | Regular Close</t>
        </is>
      </c>
      <c r="H401" s="3" t="inlineStr">
        <is>
          <t>Weight</t>
        </is>
      </c>
      <c r="I401" s="3" t="inlineStr">
        <is>
          <t>45 kg</t>
        </is>
      </c>
      <c r="J401" s="3" t="inlineStr">
        <is>
          <t>Depth</t>
        </is>
      </c>
      <c r="K401" s="3" t="inlineStr">
        <is>
          <t>300 mm</t>
        </is>
      </c>
      <c r="Q401" s="3" t="inlineStr">
        <is>
          <t>Manufacturer's Warranty</t>
        </is>
      </c>
      <c r="R401" s="3" t="inlineStr">
        <is>
          <t>C6.04.300</t>
        </is>
      </c>
      <c r="Y401" s="3" t="inlineStr">
        <is>
          <t>INOX_TC_ZINCPLATED_45KG</t>
        </is>
      </c>
      <c r="Z401" s="3" t="n">
        <v>8302</v>
      </c>
      <c r="AC401" s="3" t="n">
        <v>1</v>
      </c>
      <c r="AE401" s="3" t="n">
        <v>429</v>
      </c>
      <c r="AF401" s="4" t="n">
        <v>0.5</v>
      </c>
      <c r="AG401" s="3">
        <f>ROUND(AE401-(AE401*AF401),2)</f>
        <v/>
      </c>
      <c r="AH401" s="4" t="n">
        <v>0.18</v>
      </c>
      <c r="AI401" s="3">
        <f>ROUND(AG401+(AG401*AH401),2)</f>
        <v/>
      </c>
      <c r="AJ401" s="4" t="n">
        <v>0.2</v>
      </c>
      <c r="AK401" s="3">
        <f>ROUND(AI401*AJ401,2)</f>
        <v/>
      </c>
      <c r="AL401" s="3">
        <f>AI401+AK401</f>
        <v/>
      </c>
      <c r="AM401" s="3">
        <f>AE401-AL401</f>
        <v/>
      </c>
      <c r="AN401" s="4">
        <f>AM401/AE401</f>
        <v/>
      </c>
      <c r="AO401" s="3" t="inlineStr">
        <is>
          <t>60 mins</t>
        </is>
      </c>
      <c r="AQ401" s="3" t="inlineStr">
        <is>
          <t>Weight</t>
        </is>
      </c>
      <c r="AS401" s="3" t="inlineStr">
        <is>
          <t>This product is a high-performance hardware mechanism used to enable smooth, quiet, and full extension of drawers in furniture.</t>
        </is>
      </c>
      <c r="AT401" s="3" t="inlineStr">
        <is>
          <t>60 mins</t>
        </is>
      </c>
    </row>
    <row r="402" ht="15.75" customHeight="1">
      <c r="A402" s="3" t="inlineStr">
        <is>
          <t>PROD_0091</t>
        </is>
      </c>
      <c r="B402" s="3" t="inlineStr">
        <is>
          <t>VAR_3</t>
        </is>
      </c>
      <c r="C402" s="3" t="inlineStr">
        <is>
          <t>Modular Hardware</t>
        </is>
      </c>
      <c r="D402" s="3" t="inlineStr">
        <is>
          <t>Channels</t>
        </is>
      </c>
      <c r="E402" s="3" t="inlineStr">
        <is>
          <t>Inox</t>
        </is>
      </c>
      <c r="F402" s="3" t="inlineStr">
        <is>
          <t>Telescopic Channel | Zinc Plated | Regular Close</t>
        </is>
      </c>
      <c r="H402" s="3" t="inlineStr">
        <is>
          <t>Weight</t>
        </is>
      </c>
      <c r="I402" s="3" t="inlineStr">
        <is>
          <t>45 kg</t>
        </is>
      </c>
      <c r="J402" s="3" t="inlineStr">
        <is>
          <t>Depth</t>
        </is>
      </c>
      <c r="K402" s="3" t="inlineStr">
        <is>
          <t>350 mm</t>
        </is>
      </c>
      <c r="Q402" s="3" t="inlineStr">
        <is>
          <t>Manufacturer's Warranty</t>
        </is>
      </c>
      <c r="R402" s="3" t="inlineStr">
        <is>
          <t>C6.04.350</t>
        </is>
      </c>
      <c r="Y402" s="3" t="inlineStr">
        <is>
          <t>INOX_TC_ZINCPLATED_45KG</t>
        </is>
      </c>
      <c r="Z402" s="3" t="n">
        <v>8302</v>
      </c>
      <c r="AC402" s="3" t="n">
        <v>1</v>
      </c>
      <c r="AE402" s="3" t="n">
        <v>499</v>
      </c>
      <c r="AF402" s="4" t="n">
        <v>0.5</v>
      </c>
      <c r="AG402" s="3">
        <f>ROUND(AE402-(AE402*AF402),2)</f>
        <v/>
      </c>
      <c r="AH402" s="4" t="n">
        <v>0.18</v>
      </c>
      <c r="AI402" s="3">
        <f>ROUND(AG402+(AG402*AH402),2)</f>
        <v/>
      </c>
      <c r="AJ402" s="4" t="n">
        <v>0.2</v>
      </c>
      <c r="AK402" s="3">
        <f>ROUND(AI402*AJ402,2)</f>
        <v/>
      </c>
      <c r="AL402" s="3">
        <f>AI402+AK402</f>
        <v/>
      </c>
      <c r="AM402" s="3">
        <f>AE402-AL402</f>
        <v/>
      </c>
      <c r="AN402" s="4">
        <f>AM402/AE402</f>
        <v/>
      </c>
      <c r="AO402" s="3" t="inlineStr">
        <is>
          <t>60 mins</t>
        </is>
      </c>
      <c r="AQ402" s="3" t="inlineStr">
        <is>
          <t>Weight</t>
        </is>
      </c>
      <c r="AS402" s="3" t="inlineStr">
        <is>
          <t>This product is a high-performance hardware mechanism used to enable smooth, quiet, and full extension of drawers in furniture.</t>
        </is>
      </c>
      <c r="AT402" s="3" t="inlineStr">
        <is>
          <t>60 mins</t>
        </is>
      </c>
    </row>
    <row r="403" ht="15.75" customHeight="1">
      <c r="A403" s="3" t="inlineStr">
        <is>
          <t>PROD_0091</t>
        </is>
      </c>
      <c r="B403" s="3" t="inlineStr">
        <is>
          <t>VAR_4</t>
        </is>
      </c>
      <c r="C403" s="3" t="inlineStr">
        <is>
          <t>Modular Hardware</t>
        </is>
      </c>
      <c r="D403" s="3" t="inlineStr">
        <is>
          <t>Channels</t>
        </is>
      </c>
      <c r="E403" s="3" t="inlineStr">
        <is>
          <t>Inox</t>
        </is>
      </c>
      <c r="F403" s="3" t="inlineStr">
        <is>
          <t>Telescopic Channel | Zinc Plated | Regular Close</t>
        </is>
      </c>
      <c r="H403" s="3" t="inlineStr">
        <is>
          <t>Weight</t>
        </is>
      </c>
      <c r="I403" s="3" t="inlineStr">
        <is>
          <t>45 kg</t>
        </is>
      </c>
      <c r="J403" s="3" t="inlineStr">
        <is>
          <t>Depth</t>
        </is>
      </c>
      <c r="K403" s="3" t="inlineStr">
        <is>
          <t>400 mm</t>
        </is>
      </c>
      <c r="Q403" s="3" t="inlineStr">
        <is>
          <t>Manufacturer's Warranty</t>
        </is>
      </c>
      <c r="R403" s="3" t="inlineStr">
        <is>
          <t>C6.04.400</t>
        </is>
      </c>
      <c r="Y403" s="3" t="inlineStr">
        <is>
          <t>INOX_TC_ZINCPLATED_45KG</t>
        </is>
      </c>
      <c r="Z403" s="3" t="n">
        <v>8302</v>
      </c>
      <c r="AC403" s="3" t="n">
        <v>1</v>
      </c>
      <c r="AE403" s="3" t="n">
        <v>569</v>
      </c>
      <c r="AF403" s="4" t="n">
        <v>0.5</v>
      </c>
      <c r="AG403" s="3">
        <f>ROUND(AE403-(AE403*AF403),2)</f>
        <v/>
      </c>
      <c r="AH403" s="4" t="n">
        <v>0.18</v>
      </c>
      <c r="AI403" s="3">
        <f>ROUND(AG403+(AG403*AH403),2)</f>
        <v/>
      </c>
      <c r="AJ403" s="4" t="n">
        <v>0.2</v>
      </c>
      <c r="AK403" s="3">
        <f>ROUND(AI403*AJ403,2)</f>
        <v/>
      </c>
      <c r="AL403" s="3">
        <f>AI403+AK403</f>
        <v/>
      </c>
      <c r="AM403" s="3">
        <f>AE403-AL403</f>
        <v/>
      </c>
      <c r="AN403" s="4">
        <f>AM403/AE403</f>
        <v/>
      </c>
      <c r="AO403" s="3" t="inlineStr">
        <is>
          <t>60 mins</t>
        </is>
      </c>
      <c r="AQ403" s="3" t="inlineStr">
        <is>
          <t>Weight</t>
        </is>
      </c>
      <c r="AS403" s="3" t="inlineStr">
        <is>
          <t>This product is a high-performance hardware mechanism used to enable smooth, quiet, and full extension of drawers in furniture.</t>
        </is>
      </c>
      <c r="AT403" s="3" t="inlineStr">
        <is>
          <t>60 mins</t>
        </is>
      </c>
    </row>
    <row r="404" ht="15.75" customHeight="1">
      <c r="A404" s="3" t="inlineStr">
        <is>
          <t>PROD_0091</t>
        </is>
      </c>
      <c r="B404" s="3" t="inlineStr">
        <is>
          <t>VAR_5</t>
        </is>
      </c>
      <c r="C404" s="3" t="inlineStr">
        <is>
          <t>Modular Hardware</t>
        </is>
      </c>
      <c r="D404" s="3" t="inlineStr">
        <is>
          <t>Channels</t>
        </is>
      </c>
      <c r="E404" s="3" t="inlineStr">
        <is>
          <t>Inox</t>
        </is>
      </c>
      <c r="F404" s="3" t="inlineStr">
        <is>
          <t>Telescopic Channel | Zinc Plated | Regular Close</t>
        </is>
      </c>
      <c r="H404" s="3" t="inlineStr">
        <is>
          <t>Weight</t>
        </is>
      </c>
      <c r="I404" s="3" t="inlineStr">
        <is>
          <t>45 kg</t>
        </is>
      </c>
      <c r="J404" s="3" t="inlineStr">
        <is>
          <t>Depth</t>
        </is>
      </c>
      <c r="K404" s="3" t="inlineStr">
        <is>
          <t>450 mm</t>
        </is>
      </c>
      <c r="Q404" s="3" t="inlineStr">
        <is>
          <t>Manufacturer's Warranty</t>
        </is>
      </c>
      <c r="R404" s="3" t="inlineStr">
        <is>
          <t>C6.04.450</t>
        </is>
      </c>
      <c r="Y404" s="3" t="inlineStr">
        <is>
          <t>INOX_TC_ZINCPLATED_45KG</t>
        </is>
      </c>
      <c r="Z404" s="3" t="n">
        <v>8302</v>
      </c>
      <c r="AC404" s="3" t="n">
        <v>1</v>
      </c>
      <c r="AE404" s="3" t="n">
        <v>639</v>
      </c>
      <c r="AF404" s="4" t="n">
        <v>0.5</v>
      </c>
      <c r="AG404" s="3">
        <f>ROUND(AE404-(AE404*AF404),2)</f>
        <v/>
      </c>
      <c r="AH404" s="4" t="n">
        <v>0.18</v>
      </c>
      <c r="AI404" s="3">
        <f>ROUND(AG404+(AG404*AH404),2)</f>
        <v/>
      </c>
      <c r="AJ404" s="4" t="n">
        <v>0.2</v>
      </c>
      <c r="AK404" s="3">
        <f>ROUND(AI404*AJ404,2)</f>
        <v/>
      </c>
      <c r="AL404" s="3">
        <f>AI404+AK404</f>
        <v/>
      </c>
      <c r="AM404" s="3">
        <f>AE404-AL404</f>
        <v/>
      </c>
      <c r="AN404" s="4">
        <f>AM404/AE404</f>
        <v/>
      </c>
      <c r="AO404" s="3" t="inlineStr">
        <is>
          <t>60 mins</t>
        </is>
      </c>
      <c r="AQ404" s="3" t="inlineStr">
        <is>
          <t>Weight</t>
        </is>
      </c>
      <c r="AS404" s="3" t="inlineStr">
        <is>
          <t>This product is a high-performance hardware mechanism used to enable smooth, quiet, and full extension of drawers in furniture.</t>
        </is>
      </c>
      <c r="AT404" s="3" t="inlineStr">
        <is>
          <t>60 mins</t>
        </is>
      </c>
    </row>
    <row r="405" ht="15.75" customHeight="1">
      <c r="A405" s="3" t="inlineStr">
        <is>
          <t>PROD_0091</t>
        </is>
      </c>
      <c r="B405" s="3" t="inlineStr">
        <is>
          <t>VAR_6</t>
        </is>
      </c>
      <c r="C405" s="3" t="inlineStr">
        <is>
          <t>Modular Hardware</t>
        </is>
      </c>
      <c r="D405" s="3" t="inlineStr">
        <is>
          <t>Channels</t>
        </is>
      </c>
      <c r="E405" s="3" t="inlineStr">
        <is>
          <t>Inox</t>
        </is>
      </c>
      <c r="F405" s="3" t="inlineStr">
        <is>
          <t>Telescopic Channel | Zinc Plated | Regular Close</t>
        </is>
      </c>
      <c r="H405" s="3" t="inlineStr">
        <is>
          <t>Weight</t>
        </is>
      </c>
      <c r="I405" s="3" t="inlineStr">
        <is>
          <t>45 kg</t>
        </is>
      </c>
      <c r="J405" s="3" t="inlineStr">
        <is>
          <t>Depth</t>
        </is>
      </c>
      <c r="K405" s="3" t="inlineStr">
        <is>
          <t>500 mm</t>
        </is>
      </c>
      <c r="Q405" s="3" t="inlineStr">
        <is>
          <t>Manufacturer's Warranty</t>
        </is>
      </c>
      <c r="R405" s="3" t="inlineStr">
        <is>
          <t>C6.04.500</t>
        </is>
      </c>
      <c r="Y405" s="3" t="inlineStr">
        <is>
          <t>INOX_TC_ZINCPLATED_45KG</t>
        </is>
      </c>
      <c r="Z405" s="3" t="n">
        <v>8302</v>
      </c>
      <c r="AC405" s="3" t="n">
        <v>1</v>
      </c>
      <c r="AE405" s="3" t="n">
        <v>709</v>
      </c>
      <c r="AF405" s="4" t="n">
        <v>0.5</v>
      </c>
      <c r="AG405" s="3">
        <f>ROUND(AE405-(AE405*AF405),2)</f>
        <v/>
      </c>
      <c r="AH405" s="4" t="n">
        <v>0.18</v>
      </c>
      <c r="AI405" s="3">
        <f>ROUND(AG405+(AG405*AH405),2)</f>
        <v/>
      </c>
      <c r="AJ405" s="4" t="n">
        <v>0.2</v>
      </c>
      <c r="AK405" s="3">
        <f>ROUND(AI405*AJ405,2)</f>
        <v/>
      </c>
      <c r="AL405" s="3">
        <f>AI405+AK405</f>
        <v/>
      </c>
      <c r="AM405" s="3">
        <f>AE405-AL405</f>
        <v/>
      </c>
      <c r="AN405" s="4">
        <f>AM405/AE405</f>
        <v/>
      </c>
      <c r="AO405" s="3" t="inlineStr">
        <is>
          <t>60 mins</t>
        </is>
      </c>
      <c r="AQ405" s="3" t="inlineStr">
        <is>
          <t>Weight</t>
        </is>
      </c>
      <c r="AS405" s="3" t="inlineStr">
        <is>
          <t>This product is a high-performance hardware mechanism used to enable smooth, quiet, and full extension of drawers in furniture.</t>
        </is>
      </c>
      <c r="AT405" s="3" t="inlineStr">
        <is>
          <t>60 mins</t>
        </is>
      </c>
    </row>
    <row r="406" ht="15.75" customHeight="1">
      <c r="A406" s="3" t="inlineStr">
        <is>
          <t>PROD_0091</t>
        </is>
      </c>
      <c r="B406" s="3" t="inlineStr">
        <is>
          <t>VAR_7</t>
        </is>
      </c>
      <c r="C406" s="3" t="inlineStr">
        <is>
          <t>Modular Hardware</t>
        </is>
      </c>
      <c r="D406" s="3" t="inlineStr">
        <is>
          <t>Channels</t>
        </is>
      </c>
      <c r="E406" s="3" t="inlineStr">
        <is>
          <t>Inox</t>
        </is>
      </c>
      <c r="F406" s="3" t="inlineStr">
        <is>
          <t>Telescopic Channel | Zinc Plated | Regular Close</t>
        </is>
      </c>
      <c r="H406" s="3" t="inlineStr">
        <is>
          <t>Weight</t>
        </is>
      </c>
      <c r="I406" s="3" t="inlineStr">
        <is>
          <t>45 kg</t>
        </is>
      </c>
      <c r="J406" s="3" t="inlineStr">
        <is>
          <t>Depth</t>
        </is>
      </c>
      <c r="K406" s="3" t="inlineStr">
        <is>
          <t>550 mm</t>
        </is>
      </c>
      <c r="Q406" s="3" t="inlineStr">
        <is>
          <t>Manufacturer's Warranty</t>
        </is>
      </c>
      <c r="R406" s="3" t="inlineStr">
        <is>
          <t>C6.04.550</t>
        </is>
      </c>
      <c r="Y406" s="3" t="inlineStr">
        <is>
          <t>INOX_TC_ZINCPLATED_45KG</t>
        </is>
      </c>
      <c r="Z406" s="3" t="n">
        <v>8302</v>
      </c>
      <c r="AC406" s="3" t="n">
        <v>1</v>
      </c>
      <c r="AE406" s="3" t="n">
        <v>789</v>
      </c>
      <c r="AF406" s="4" t="n">
        <v>0.5</v>
      </c>
      <c r="AG406" s="3">
        <f>ROUND(AE406-(AE406*AF406),2)</f>
        <v/>
      </c>
      <c r="AH406" s="4" t="n">
        <v>0.18</v>
      </c>
      <c r="AI406" s="3">
        <f>ROUND(AG406+(AG406*AH406),2)</f>
        <v/>
      </c>
      <c r="AJ406" s="4" t="n">
        <v>0.2</v>
      </c>
      <c r="AK406" s="3">
        <f>ROUND(AI406*AJ406,2)</f>
        <v/>
      </c>
      <c r="AL406" s="3">
        <f>AI406+AK406</f>
        <v/>
      </c>
      <c r="AM406" s="3">
        <f>AE406-AL406</f>
        <v/>
      </c>
      <c r="AN406" s="4">
        <f>AM406/AE406</f>
        <v/>
      </c>
      <c r="AO406" s="3" t="inlineStr">
        <is>
          <t>60 mins</t>
        </is>
      </c>
      <c r="AQ406" s="3" t="inlineStr">
        <is>
          <t>Weight</t>
        </is>
      </c>
      <c r="AS406" s="3" t="inlineStr">
        <is>
          <t>This product is a high-performance hardware mechanism used to enable smooth, quiet, and full extension of drawers in furniture.</t>
        </is>
      </c>
      <c r="AT406" s="3" t="inlineStr">
        <is>
          <t>60 mins</t>
        </is>
      </c>
    </row>
    <row r="407" ht="15.75" customHeight="1">
      <c r="A407" s="3" t="inlineStr">
        <is>
          <t>PROD_0091</t>
        </is>
      </c>
      <c r="B407" s="3" t="inlineStr">
        <is>
          <t>VAR_8</t>
        </is>
      </c>
      <c r="C407" s="3" t="inlineStr">
        <is>
          <t>Modular Hardware</t>
        </is>
      </c>
      <c r="D407" s="3" t="inlineStr">
        <is>
          <t>Channels</t>
        </is>
      </c>
      <c r="E407" s="3" t="inlineStr">
        <is>
          <t>Inox</t>
        </is>
      </c>
      <c r="F407" s="3" t="inlineStr">
        <is>
          <t>Telescopic Channel | Zinc Plated | Regular Close</t>
        </is>
      </c>
      <c r="H407" s="3" t="inlineStr">
        <is>
          <t>Weight</t>
        </is>
      </c>
      <c r="I407" s="3" t="inlineStr">
        <is>
          <t>45 kg</t>
        </is>
      </c>
      <c r="J407" s="3" t="inlineStr">
        <is>
          <t>Depth</t>
        </is>
      </c>
      <c r="K407" s="3" t="inlineStr">
        <is>
          <t>600 mm</t>
        </is>
      </c>
      <c r="Q407" s="3" t="inlineStr">
        <is>
          <t>Manufacturer's Warranty</t>
        </is>
      </c>
      <c r="R407" s="3" t="inlineStr">
        <is>
          <t>C6.04.600</t>
        </is>
      </c>
      <c r="Y407" s="3" t="inlineStr">
        <is>
          <t>INOX_TC_ZINCPLATED_45KG</t>
        </is>
      </c>
      <c r="Z407" s="3" t="n">
        <v>8302</v>
      </c>
      <c r="AC407" s="3" t="n">
        <v>1</v>
      </c>
      <c r="AE407" s="3" t="n">
        <v>849</v>
      </c>
      <c r="AF407" s="4" t="n">
        <v>0.5</v>
      </c>
      <c r="AG407" s="3">
        <f>ROUND(AE407-(AE407*AF407),2)</f>
        <v/>
      </c>
      <c r="AH407" s="4" t="n">
        <v>0.18</v>
      </c>
      <c r="AI407" s="3">
        <f>ROUND(AG407+(AG407*AH407),2)</f>
        <v/>
      </c>
      <c r="AJ407" s="4" t="n">
        <v>0.2</v>
      </c>
      <c r="AK407" s="3">
        <f>ROUND(AI407*AJ407,2)</f>
        <v/>
      </c>
      <c r="AL407" s="3">
        <f>AI407+AK407</f>
        <v/>
      </c>
      <c r="AM407" s="3">
        <f>AE407-AL407</f>
        <v/>
      </c>
      <c r="AN407" s="4">
        <f>AM407/AE407</f>
        <v/>
      </c>
      <c r="AO407" s="3" t="inlineStr">
        <is>
          <t>60 mins</t>
        </is>
      </c>
      <c r="AQ407" s="3" t="inlineStr">
        <is>
          <t>Weight</t>
        </is>
      </c>
      <c r="AS407" s="3" t="inlineStr">
        <is>
          <t>This product is a high-performance hardware mechanism used to enable smooth, quiet, and full extension of drawers in furniture.</t>
        </is>
      </c>
      <c r="AT407" s="3" t="inlineStr">
        <is>
          <t>60 mins</t>
        </is>
      </c>
    </row>
    <row r="408" ht="15.75" customHeight="1">
      <c r="A408" s="3" t="inlineStr">
        <is>
          <t>PROD_0091</t>
        </is>
      </c>
      <c r="B408" s="3" t="inlineStr">
        <is>
          <t>VAR_9</t>
        </is>
      </c>
      <c r="C408" s="3" t="inlineStr">
        <is>
          <t>Modular Hardware</t>
        </is>
      </c>
      <c r="D408" s="3" t="inlineStr">
        <is>
          <t>Channels</t>
        </is>
      </c>
      <c r="E408" s="3" t="inlineStr">
        <is>
          <t>Inox</t>
        </is>
      </c>
      <c r="F408" s="3" t="inlineStr">
        <is>
          <t>Telescopic Channel | Zinc Plated | Regular Close</t>
        </is>
      </c>
      <c r="H408" s="3" t="inlineStr">
        <is>
          <t>Weight</t>
        </is>
      </c>
      <c r="I408" s="3" t="inlineStr">
        <is>
          <t>35 kg</t>
        </is>
      </c>
      <c r="J408" s="3" t="inlineStr">
        <is>
          <t>Depth</t>
        </is>
      </c>
      <c r="K408" s="3" t="inlineStr">
        <is>
          <t>250 mm</t>
        </is>
      </c>
      <c r="Q408" s="3" t="inlineStr">
        <is>
          <t>Manufacturer's Warranty</t>
        </is>
      </c>
      <c r="R408" s="3" t="inlineStr">
        <is>
          <t>C6.04.250AS</t>
        </is>
      </c>
      <c r="Y408" s="3" t="inlineStr">
        <is>
          <t>INOX_TC_ZINCPLATED_35KG</t>
        </is>
      </c>
      <c r="Z408" s="3" t="n">
        <v>8302</v>
      </c>
      <c r="AC408" s="3" t="n">
        <v>1</v>
      </c>
      <c r="AE408" s="3" t="n">
        <v>299</v>
      </c>
      <c r="AF408" s="4" t="n">
        <v>0.5</v>
      </c>
      <c r="AG408" s="3">
        <f>ROUND(AE408-(AE408*AF408),2)</f>
        <v/>
      </c>
      <c r="AH408" s="4" t="n">
        <v>0.18</v>
      </c>
      <c r="AI408" s="3">
        <f>ROUND(AG408+(AG408*AH408),2)</f>
        <v/>
      </c>
      <c r="AJ408" s="4" t="n">
        <v>0.2</v>
      </c>
      <c r="AK408" s="3">
        <f>ROUND(AI408*AJ408,2)</f>
        <v/>
      </c>
      <c r="AL408" s="3">
        <f>AI408+AK408</f>
        <v/>
      </c>
      <c r="AM408" s="3">
        <f>AE408-AL408</f>
        <v/>
      </c>
      <c r="AN408" s="4">
        <f>AM408/AE408</f>
        <v/>
      </c>
      <c r="AO408" s="3" t="inlineStr">
        <is>
          <t>60 mins</t>
        </is>
      </c>
      <c r="AQ408" s="3" t="inlineStr">
        <is>
          <t>Weight</t>
        </is>
      </c>
      <c r="AS408" s="3" t="inlineStr">
        <is>
          <t>This product is a high-performance hardware mechanism used to enable smooth, quiet, and full extension of drawers in furniture.</t>
        </is>
      </c>
      <c r="AT408" s="3" t="inlineStr">
        <is>
          <t>60 mins</t>
        </is>
      </c>
    </row>
    <row r="409" ht="15.75" customHeight="1">
      <c r="A409" s="3" t="inlineStr">
        <is>
          <t>PROD_0091</t>
        </is>
      </c>
      <c r="B409" s="3" t="inlineStr">
        <is>
          <t>VAR_10</t>
        </is>
      </c>
      <c r="C409" s="3" t="inlineStr">
        <is>
          <t>Modular Hardware</t>
        </is>
      </c>
      <c r="D409" s="3" t="inlineStr">
        <is>
          <t>Channels</t>
        </is>
      </c>
      <c r="E409" s="3" t="inlineStr">
        <is>
          <t>Inox</t>
        </is>
      </c>
      <c r="F409" s="3" t="inlineStr">
        <is>
          <t>Telescopic Channel | Zinc Plated | Regular Close</t>
        </is>
      </c>
      <c r="H409" s="3" t="inlineStr">
        <is>
          <t>Weight</t>
        </is>
      </c>
      <c r="I409" s="3" t="inlineStr">
        <is>
          <t>35 kg</t>
        </is>
      </c>
      <c r="J409" s="3" t="inlineStr">
        <is>
          <t>Depth</t>
        </is>
      </c>
      <c r="K409" s="3" t="inlineStr">
        <is>
          <t>300 mm</t>
        </is>
      </c>
      <c r="Q409" s="3" t="inlineStr">
        <is>
          <t>Manufacturer's Warranty</t>
        </is>
      </c>
      <c r="R409" s="3" t="inlineStr">
        <is>
          <t>C6.04.300AS</t>
        </is>
      </c>
      <c r="Y409" s="3" t="inlineStr">
        <is>
          <t>INOX_TC_ZINCPLATED_35KG</t>
        </is>
      </c>
      <c r="Z409" s="3" t="n">
        <v>8302</v>
      </c>
      <c r="AC409" s="3" t="n">
        <v>1</v>
      </c>
      <c r="AE409" s="3" t="n">
        <v>359</v>
      </c>
      <c r="AF409" s="4" t="n">
        <v>0.5</v>
      </c>
      <c r="AG409" s="3">
        <f>ROUND(AE409-(AE409*AF409),2)</f>
        <v/>
      </c>
      <c r="AH409" s="4" t="n">
        <v>0.18</v>
      </c>
      <c r="AI409" s="3">
        <f>ROUND(AG409+(AG409*AH409),2)</f>
        <v/>
      </c>
      <c r="AJ409" s="4" t="n">
        <v>0.2</v>
      </c>
      <c r="AK409" s="3">
        <f>ROUND(AI409*AJ409,2)</f>
        <v/>
      </c>
      <c r="AL409" s="3">
        <f>AI409+AK409</f>
        <v/>
      </c>
      <c r="AM409" s="3">
        <f>AE409-AL409</f>
        <v/>
      </c>
      <c r="AN409" s="4">
        <f>AM409/AE409</f>
        <v/>
      </c>
      <c r="AO409" s="3" t="inlineStr">
        <is>
          <t>60 mins</t>
        </is>
      </c>
      <c r="AQ409" s="3" t="inlineStr">
        <is>
          <t>Weight</t>
        </is>
      </c>
      <c r="AS409" s="3" t="inlineStr">
        <is>
          <t>This product is a high-performance hardware mechanism used to enable smooth, quiet, and full extension of drawers in furniture.</t>
        </is>
      </c>
      <c r="AT409" s="3" t="inlineStr">
        <is>
          <t>60 mins</t>
        </is>
      </c>
    </row>
    <row r="410" ht="15.75" customHeight="1">
      <c r="A410" s="3" t="inlineStr">
        <is>
          <t>PROD_0091</t>
        </is>
      </c>
      <c r="B410" s="3" t="inlineStr">
        <is>
          <t>VAR_11</t>
        </is>
      </c>
      <c r="C410" s="3" t="inlineStr">
        <is>
          <t>Modular Hardware</t>
        </is>
      </c>
      <c r="D410" s="3" t="inlineStr">
        <is>
          <t>Channels</t>
        </is>
      </c>
      <c r="E410" s="3" t="inlineStr">
        <is>
          <t>Inox</t>
        </is>
      </c>
      <c r="F410" s="3" t="inlineStr">
        <is>
          <t>Telescopic Channel | Zinc Plated | Regular Close</t>
        </is>
      </c>
      <c r="H410" s="3" t="inlineStr">
        <is>
          <t>Weight</t>
        </is>
      </c>
      <c r="I410" s="3" t="inlineStr">
        <is>
          <t>35 kg</t>
        </is>
      </c>
      <c r="J410" s="3" t="inlineStr">
        <is>
          <t>Depth</t>
        </is>
      </c>
      <c r="K410" s="3" t="inlineStr">
        <is>
          <t>350 mm</t>
        </is>
      </c>
      <c r="Q410" s="3" t="inlineStr">
        <is>
          <t>Manufacturer's Warranty</t>
        </is>
      </c>
      <c r="R410" s="3" t="inlineStr">
        <is>
          <t>C6.04.350AS</t>
        </is>
      </c>
      <c r="Y410" s="3" t="inlineStr">
        <is>
          <t>INOX_TC_ZINCPLATED_35KG</t>
        </is>
      </c>
      <c r="Z410" s="3" t="n">
        <v>8302</v>
      </c>
      <c r="AC410" s="3" t="n">
        <v>1</v>
      </c>
      <c r="AE410" s="3" t="n">
        <v>419</v>
      </c>
      <c r="AF410" s="4" t="n">
        <v>0.5</v>
      </c>
      <c r="AG410" s="3">
        <f>ROUND(AE410-(AE410*AF410),2)</f>
        <v/>
      </c>
      <c r="AH410" s="4" t="n">
        <v>0.18</v>
      </c>
      <c r="AI410" s="3">
        <f>ROUND(AG410+(AG410*AH410),2)</f>
        <v/>
      </c>
      <c r="AJ410" s="4" t="n">
        <v>0.2</v>
      </c>
      <c r="AK410" s="3">
        <f>ROUND(AI410*AJ410,2)</f>
        <v/>
      </c>
      <c r="AL410" s="3">
        <f>AI410+AK410</f>
        <v/>
      </c>
      <c r="AM410" s="3">
        <f>AE410-AL410</f>
        <v/>
      </c>
      <c r="AN410" s="4">
        <f>AM410/AE410</f>
        <v/>
      </c>
      <c r="AO410" s="3" t="inlineStr">
        <is>
          <t>60 mins</t>
        </is>
      </c>
      <c r="AQ410" s="3" t="inlineStr">
        <is>
          <t>Weight</t>
        </is>
      </c>
      <c r="AS410" s="3" t="inlineStr">
        <is>
          <t>This product is a high-performance hardware mechanism used to enable smooth, quiet, and full extension of drawers in furniture.</t>
        </is>
      </c>
      <c r="AT410" s="3" t="inlineStr">
        <is>
          <t>60 mins</t>
        </is>
      </c>
    </row>
    <row r="411" ht="15.75" customHeight="1">
      <c r="A411" s="3" t="inlineStr">
        <is>
          <t>PROD_0091</t>
        </is>
      </c>
      <c r="B411" s="3" t="inlineStr">
        <is>
          <t>VAR_12</t>
        </is>
      </c>
      <c r="C411" s="3" t="inlineStr">
        <is>
          <t>Modular Hardware</t>
        </is>
      </c>
      <c r="D411" s="3" t="inlineStr">
        <is>
          <t>Channels</t>
        </is>
      </c>
      <c r="E411" s="3" t="inlineStr">
        <is>
          <t>Inox</t>
        </is>
      </c>
      <c r="F411" s="3" t="inlineStr">
        <is>
          <t>Telescopic Channel | Zinc Plated | Regular Close</t>
        </is>
      </c>
      <c r="H411" s="3" t="inlineStr">
        <is>
          <t>Weight</t>
        </is>
      </c>
      <c r="I411" s="3" t="inlineStr">
        <is>
          <t>35 kg</t>
        </is>
      </c>
      <c r="J411" s="3" t="inlineStr">
        <is>
          <t>Depth</t>
        </is>
      </c>
      <c r="K411" s="3" t="inlineStr">
        <is>
          <t>400 mm</t>
        </is>
      </c>
      <c r="Q411" s="3" t="inlineStr">
        <is>
          <t>Manufacturer's Warranty</t>
        </is>
      </c>
      <c r="R411" s="3" t="inlineStr">
        <is>
          <t>C6.04.400AS</t>
        </is>
      </c>
      <c r="Y411" s="3" t="inlineStr">
        <is>
          <t>INOX_TC_ZINCPLATED_35KG</t>
        </is>
      </c>
      <c r="Z411" s="3" t="n">
        <v>8302</v>
      </c>
      <c r="AC411" s="3" t="n">
        <v>1</v>
      </c>
      <c r="AE411" s="3" t="n">
        <v>478</v>
      </c>
      <c r="AF411" s="4" t="n">
        <v>0.5</v>
      </c>
      <c r="AG411" s="3">
        <f>ROUND(AE411-(AE411*AF411),2)</f>
        <v/>
      </c>
      <c r="AH411" s="4" t="n">
        <v>0.18</v>
      </c>
      <c r="AI411" s="3">
        <f>ROUND(AG411+(AG411*AH411),2)</f>
        <v/>
      </c>
      <c r="AJ411" s="4" t="n">
        <v>0.2</v>
      </c>
      <c r="AK411" s="3">
        <f>ROUND(AI411*AJ411,2)</f>
        <v/>
      </c>
      <c r="AL411" s="3">
        <f>AI411+AK411</f>
        <v/>
      </c>
      <c r="AM411" s="3">
        <f>AE411-AL411</f>
        <v/>
      </c>
      <c r="AN411" s="4">
        <f>AM411/AE411</f>
        <v/>
      </c>
      <c r="AO411" s="3" t="inlineStr">
        <is>
          <t>60 mins</t>
        </is>
      </c>
      <c r="AQ411" s="3" t="inlineStr">
        <is>
          <t>Weight</t>
        </is>
      </c>
      <c r="AS411" s="3" t="inlineStr">
        <is>
          <t>This product is a high-performance hardware mechanism used to enable smooth, quiet, and full extension of drawers in furniture.</t>
        </is>
      </c>
      <c r="AT411" s="3" t="inlineStr">
        <is>
          <t>60 mins</t>
        </is>
      </c>
    </row>
    <row r="412" ht="15.75" customHeight="1">
      <c r="A412" s="3" t="inlineStr">
        <is>
          <t>PROD_0091</t>
        </is>
      </c>
      <c r="B412" s="3" t="inlineStr">
        <is>
          <t>VAR_13</t>
        </is>
      </c>
      <c r="C412" s="3" t="inlineStr">
        <is>
          <t>Modular Hardware</t>
        </is>
      </c>
      <c r="D412" s="3" t="inlineStr">
        <is>
          <t>Channels</t>
        </is>
      </c>
      <c r="E412" s="3" t="inlineStr">
        <is>
          <t>Inox</t>
        </is>
      </c>
      <c r="F412" s="3" t="inlineStr">
        <is>
          <t>Telescopic Channel | Zinc Plated | Regular Close</t>
        </is>
      </c>
      <c r="H412" s="3" t="inlineStr">
        <is>
          <t>Weight</t>
        </is>
      </c>
      <c r="I412" s="3" t="inlineStr">
        <is>
          <t>35 kg</t>
        </is>
      </c>
      <c r="J412" s="3" t="inlineStr">
        <is>
          <t>Depth</t>
        </is>
      </c>
      <c r="K412" s="3" t="inlineStr">
        <is>
          <t>450 mm</t>
        </is>
      </c>
      <c r="Q412" s="3" t="inlineStr">
        <is>
          <t>Manufacturer's Warranty</t>
        </is>
      </c>
      <c r="R412" s="3" t="inlineStr">
        <is>
          <t>C6.04.450AS</t>
        </is>
      </c>
      <c r="Y412" s="3" t="inlineStr">
        <is>
          <t>INOX_TC_ZINCPLATED_35KG</t>
        </is>
      </c>
      <c r="Z412" s="3" t="n">
        <v>8302</v>
      </c>
      <c r="AC412" s="3" t="n">
        <v>1</v>
      </c>
      <c r="AE412" s="3" t="n">
        <v>538</v>
      </c>
      <c r="AF412" s="4" t="n">
        <v>0.5</v>
      </c>
      <c r="AG412" s="3">
        <f>ROUND(AE412-(AE412*AF412),2)</f>
        <v/>
      </c>
      <c r="AH412" s="4" t="n">
        <v>0.18</v>
      </c>
      <c r="AI412" s="3">
        <f>ROUND(AG412+(AG412*AH412),2)</f>
        <v/>
      </c>
      <c r="AJ412" s="4" t="n">
        <v>0.2</v>
      </c>
      <c r="AK412" s="3">
        <f>ROUND(AI412*AJ412,2)</f>
        <v/>
      </c>
      <c r="AL412" s="3">
        <f>AI412+AK412</f>
        <v/>
      </c>
      <c r="AM412" s="3">
        <f>AE412-AL412</f>
        <v/>
      </c>
      <c r="AN412" s="4">
        <f>AM412/AE412</f>
        <v/>
      </c>
      <c r="AO412" s="3" t="inlineStr">
        <is>
          <t>60 mins</t>
        </is>
      </c>
      <c r="AQ412" s="3" t="inlineStr">
        <is>
          <t>Weight</t>
        </is>
      </c>
      <c r="AS412" s="3" t="inlineStr">
        <is>
          <t>This product is a high-performance hardware mechanism used to enable smooth, quiet, and full extension of drawers in furniture.</t>
        </is>
      </c>
      <c r="AT412" s="3" t="inlineStr">
        <is>
          <t>60 mins</t>
        </is>
      </c>
    </row>
    <row r="413" ht="15.75" customHeight="1">
      <c r="A413" s="3" t="inlineStr">
        <is>
          <t>PROD_0091</t>
        </is>
      </c>
      <c r="B413" s="3" t="inlineStr">
        <is>
          <t>VAR_14</t>
        </is>
      </c>
      <c r="C413" s="3" t="inlineStr">
        <is>
          <t>Modular Hardware</t>
        </is>
      </c>
      <c r="D413" s="3" t="inlineStr">
        <is>
          <t>Channels</t>
        </is>
      </c>
      <c r="E413" s="3" t="inlineStr">
        <is>
          <t>Inox</t>
        </is>
      </c>
      <c r="F413" s="3" t="inlineStr">
        <is>
          <t>Telescopic Channel | Zinc Plated | Regular Close</t>
        </is>
      </c>
      <c r="H413" s="3" t="inlineStr">
        <is>
          <t>Weight</t>
        </is>
      </c>
      <c r="I413" s="3" t="inlineStr">
        <is>
          <t>35 kg</t>
        </is>
      </c>
      <c r="J413" s="3" t="inlineStr">
        <is>
          <t>Depth</t>
        </is>
      </c>
      <c r="K413" s="3" t="inlineStr">
        <is>
          <t>500 mm</t>
        </is>
      </c>
      <c r="Q413" s="3" t="inlineStr">
        <is>
          <t>Manufacturer's Warranty</t>
        </is>
      </c>
      <c r="R413" s="3" t="inlineStr">
        <is>
          <t>C6.04.500AS</t>
        </is>
      </c>
      <c r="Y413" s="3" t="inlineStr">
        <is>
          <t>INOX_TC_ZINCPLATED_35KG</t>
        </is>
      </c>
      <c r="Z413" s="3" t="n">
        <v>8302</v>
      </c>
      <c r="AC413" s="3" t="n">
        <v>1</v>
      </c>
      <c r="AE413" s="3" t="n">
        <v>598</v>
      </c>
      <c r="AF413" s="4" t="n">
        <v>0.5</v>
      </c>
      <c r="AG413" s="3">
        <f>ROUND(AE413-(AE413*AF413),2)</f>
        <v/>
      </c>
      <c r="AH413" s="4" t="n">
        <v>0.18</v>
      </c>
      <c r="AI413" s="3">
        <f>ROUND(AG413+(AG413*AH413),2)</f>
        <v/>
      </c>
      <c r="AJ413" s="4" t="n">
        <v>0.2</v>
      </c>
      <c r="AK413" s="3">
        <f>ROUND(AI413*AJ413,2)</f>
        <v/>
      </c>
      <c r="AL413" s="3">
        <f>AI413+AK413</f>
        <v/>
      </c>
      <c r="AM413" s="3">
        <f>AE413-AL413</f>
        <v/>
      </c>
      <c r="AN413" s="4">
        <f>AM413/AE413</f>
        <v/>
      </c>
      <c r="AO413" s="3" t="inlineStr">
        <is>
          <t>60 mins</t>
        </is>
      </c>
      <c r="AQ413" s="3" t="inlineStr">
        <is>
          <t>Weight</t>
        </is>
      </c>
      <c r="AS413" s="3" t="inlineStr">
        <is>
          <t>This product is a high-performance hardware mechanism used to enable smooth, quiet, and full extension of drawers in furniture.</t>
        </is>
      </c>
      <c r="AT413" s="3" t="inlineStr">
        <is>
          <t>60 mins</t>
        </is>
      </c>
    </row>
    <row r="414" ht="15.75" customHeight="1">
      <c r="A414" s="3" t="inlineStr">
        <is>
          <t>PROD_0091</t>
        </is>
      </c>
      <c r="B414" s="3" t="inlineStr">
        <is>
          <t>VAR_15</t>
        </is>
      </c>
      <c r="C414" s="3" t="inlineStr">
        <is>
          <t>Modular Hardware</t>
        </is>
      </c>
      <c r="D414" s="3" t="inlineStr">
        <is>
          <t>Channels</t>
        </is>
      </c>
      <c r="E414" s="3" t="inlineStr">
        <is>
          <t>Inox</t>
        </is>
      </c>
      <c r="F414" s="3" t="inlineStr">
        <is>
          <t>Telescopic Channel | Zinc Plated | Regular Close</t>
        </is>
      </c>
      <c r="H414" s="3" t="inlineStr">
        <is>
          <t>Weight</t>
        </is>
      </c>
      <c r="I414" s="3" t="inlineStr">
        <is>
          <t>35 kg</t>
        </is>
      </c>
      <c r="J414" s="3" t="inlineStr">
        <is>
          <t>Depth</t>
        </is>
      </c>
      <c r="K414" s="3" t="inlineStr">
        <is>
          <t>550 mm</t>
        </is>
      </c>
      <c r="Q414" s="3" t="inlineStr">
        <is>
          <t>Manufacturer's Warranty</t>
        </is>
      </c>
      <c r="R414" s="3" t="inlineStr">
        <is>
          <t>C6.04.550AS</t>
        </is>
      </c>
      <c r="Y414" s="3" t="inlineStr">
        <is>
          <t>INOX_TC_ZINCPLATED_35KG</t>
        </is>
      </c>
      <c r="Z414" s="3" t="n">
        <v>8302</v>
      </c>
      <c r="AC414" s="3" t="n">
        <v>1</v>
      </c>
      <c r="AE414" s="3" t="n">
        <v>666</v>
      </c>
      <c r="AF414" s="4" t="n">
        <v>0.5</v>
      </c>
      <c r="AG414" s="3">
        <f>ROUND(AE414-(AE414*AF414),2)</f>
        <v/>
      </c>
      <c r="AH414" s="4" t="n">
        <v>0.18</v>
      </c>
      <c r="AI414" s="3">
        <f>ROUND(AG414+(AG414*AH414),2)</f>
        <v/>
      </c>
      <c r="AJ414" s="4" t="n">
        <v>0.2</v>
      </c>
      <c r="AK414" s="3">
        <f>ROUND(AI414*AJ414,2)</f>
        <v/>
      </c>
      <c r="AL414" s="3">
        <f>AI414+AK414</f>
        <v/>
      </c>
      <c r="AM414" s="3">
        <f>AE414-AL414</f>
        <v/>
      </c>
      <c r="AN414" s="4">
        <f>AM414/AE414</f>
        <v/>
      </c>
      <c r="AO414" s="3" t="inlineStr">
        <is>
          <t>60 mins</t>
        </is>
      </c>
      <c r="AQ414" s="3" t="inlineStr">
        <is>
          <t>Weight</t>
        </is>
      </c>
      <c r="AS414" s="3" t="inlineStr">
        <is>
          <t>This product is a high-performance hardware mechanism used to enable smooth, quiet, and full extension of drawers in furniture.</t>
        </is>
      </c>
      <c r="AT414" s="3" t="inlineStr">
        <is>
          <t>60 mins</t>
        </is>
      </c>
    </row>
    <row r="415" ht="15.75" customHeight="1">
      <c r="A415" s="3" t="inlineStr">
        <is>
          <t>PROD_0091</t>
        </is>
      </c>
      <c r="B415" s="3" t="inlineStr">
        <is>
          <t>VAR_16</t>
        </is>
      </c>
      <c r="C415" s="3" t="inlineStr">
        <is>
          <t>Modular Hardware</t>
        </is>
      </c>
      <c r="D415" s="3" t="inlineStr">
        <is>
          <t>Channels</t>
        </is>
      </c>
      <c r="E415" s="3" t="inlineStr">
        <is>
          <t>Inox</t>
        </is>
      </c>
      <c r="F415" s="3" t="inlineStr">
        <is>
          <t>Telescopic Channel | Zinc Plated | Regular Close</t>
        </is>
      </c>
      <c r="H415" s="3" t="inlineStr">
        <is>
          <t>Weight</t>
        </is>
      </c>
      <c r="I415" s="3" t="inlineStr">
        <is>
          <t>35 kg</t>
        </is>
      </c>
      <c r="J415" s="3" t="inlineStr">
        <is>
          <t>Depth</t>
        </is>
      </c>
      <c r="K415" s="3" t="inlineStr">
        <is>
          <t>600 mm</t>
        </is>
      </c>
      <c r="Q415" s="3" t="inlineStr">
        <is>
          <t>Manufacturer's Warranty</t>
        </is>
      </c>
      <c r="R415" s="3" t="inlineStr">
        <is>
          <t>C6.04.550AS</t>
        </is>
      </c>
      <c r="Y415" s="3" t="inlineStr">
        <is>
          <t>INOX_TC_ZINCPLATED_35KG</t>
        </is>
      </c>
      <c r="Z415" s="3" t="n">
        <v>8302</v>
      </c>
      <c r="AC415" s="3" t="n">
        <v>1</v>
      </c>
      <c r="AE415" s="3" t="n">
        <v>777</v>
      </c>
      <c r="AF415" s="4" t="n">
        <v>0.5</v>
      </c>
      <c r="AG415" s="3">
        <f>ROUND(AE415-(AE415*AF415),2)</f>
        <v/>
      </c>
      <c r="AH415" s="4" t="n">
        <v>0.18</v>
      </c>
      <c r="AI415" s="3">
        <f>ROUND(AG415+(AG415*AH415),2)</f>
        <v/>
      </c>
      <c r="AJ415" s="4" t="n">
        <v>0.2</v>
      </c>
      <c r="AK415" s="3">
        <f>ROUND(AI415*AJ415,2)</f>
        <v/>
      </c>
      <c r="AL415" s="3">
        <f>AI415+AK415</f>
        <v/>
      </c>
      <c r="AM415" s="3">
        <f>AE415-AL415</f>
        <v/>
      </c>
      <c r="AN415" s="4">
        <f>AM415/AE415</f>
        <v/>
      </c>
      <c r="AO415" s="3" t="inlineStr">
        <is>
          <t>60 mins</t>
        </is>
      </c>
      <c r="AQ415" s="3" t="inlineStr">
        <is>
          <t>Weight</t>
        </is>
      </c>
      <c r="AS415" s="3" t="inlineStr">
        <is>
          <t>This product is a high-performance hardware mechanism used to enable smooth, quiet, and full extension of drawers in furniture.</t>
        </is>
      </c>
      <c r="AT415" s="3" t="inlineStr">
        <is>
          <t>60 mins</t>
        </is>
      </c>
    </row>
    <row r="416" ht="15.75" customHeight="1">
      <c r="A416" s="3" t="inlineStr">
        <is>
          <t>PROD_0092</t>
        </is>
      </c>
      <c r="B416" s="3" t="inlineStr">
        <is>
          <t>VAR_1</t>
        </is>
      </c>
      <c r="C416" s="3" t="inlineStr">
        <is>
          <t>Modular Hardware</t>
        </is>
      </c>
      <c r="D416" s="3" t="inlineStr">
        <is>
          <t>Channels</t>
        </is>
      </c>
      <c r="E416" s="3" t="inlineStr">
        <is>
          <t>Inox</t>
        </is>
      </c>
      <c r="F416" s="3" t="inlineStr">
        <is>
          <t>Telescopic Channel | Zinc Plated | Soft Close</t>
        </is>
      </c>
      <c r="H416" s="3" t="inlineStr">
        <is>
          <t>Weight</t>
        </is>
      </c>
      <c r="I416" s="3" t="inlineStr">
        <is>
          <t>45 kg</t>
        </is>
      </c>
      <c r="J416" s="3" t="inlineStr">
        <is>
          <t>Depth</t>
        </is>
      </c>
      <c r="K416" s="3" t="inlineStr">
        <is>
          <t>250 mm</t>
        </is>
      </c>
      <c r="Q416" s="3" t="inlineStr">
        <is>
          <t>Manufacturer's Warranty</t>
        </is>
      </c>
      <c r="R416" s="3" t="inlineStr">
        <is>
          <t>C6.05.250</t>
        </is>
      </c>
      <c r="Y416" s="3" t="inlineStr">
        <is>
          <t>INOX_TC_ZINCPLATED_FE_SC_45KG_250</t>
        </is>
      </c>
      <c r="Z416" s="3" t="n">
        <v>8302</v>
      </c>
      <c r="AC416" s="3" t="n">
        <v>1</v>
      </c>
      <c r="AE416" s="3" t="n">
        <v>679</v>
      </c>
      <c r="AF416" s="4" t="n">
        <v>0.5</v>
      </c>
      <c r="AG416" s="3">
        <f>ROUND(AE416-(AE416*AF416),2)</f>
        <v/>
      </c>
      <c r="AH416" s="4" t="n">
        <v>0.18</v>
      </c>
      <c r="AI416" s="3">
        <f>ROUND(AG416+(AG416*AH416),2)</f>
        <v/>
      </c>
      <c r="AJ416" s="4" t="n">
        <v>0.2</v>
      </c>
      <c r="AK416" s="3">
        <f>ROUND(AI416*AJ416,2)</f>
        <v/>
      </c>
      <c r="AL416" s="3">
        <f>AI416+AK416</f>
        <v/>
      </c>
      <c r="AM416" s="3">
        <f>AE416-AL416</f>
        <v/>
      </c>
      <c r="AN416" s="4">
        <f>AM416/AE416</f>
        <v/>
      </c>
      <c r="AO416" s="3" t="inlineStr">
        <is>
          <t>60 mins</t>
        </is>
      </c>
      <c r="AQ416" s="3" t="inlineStr">
        <is>
          <t>Weight</t>
        </is>
      </c>
      <c r="AS416" s="3" t="inlineStr">
        <is>
          <t>This product is a high-performance hardware mechanism used to enable smooth, quiet, and full extension of drawers in furniture.</t>
        </is>
      </c>
      <c r="AT416" s="3" t="inlineStr">
        <is>
          <t>60 mins</t>
        </is>
      </c>
    </row>
    <row r="417" ht="15.75" customHeight="1">
      <c r="A417" s="3" t="inlineStr">
        <is>
          <t>PROD_0092</t>
        </is>
      </c>
      <c r="B417" s="3" t="inlineStr">
        <is>
          <t>VAR_2</t>
        </is>
      </c>
      <c r="C417" s="3" t="inlineStr">
        <is>
          <t>Modular Hardware</t>
        </is>
      </c>
      <c r="D417" s="3" t="inlineStr">
        <is>
          <t>Channels</t>
        </is>
      </c>
      <c r="E417" s="3" t="inlineStr">
        <is>
          <t>Inox</t>
        </is>
      </c>
      <c r="F417" s="3" t="inlineStr">
        <is>
          <t>Telescopic Channel | Zinc Plated | Soft Close</t>
        </is>
      </c>
      <c r="H417" s="3" t="inlineStr">
        <is>
          <t>Weight</t>
        </is>
      </c>
      <c r="I417" s="3" t="inlineStr">
        <is>
          <t>45 kg</t>
        </is>
      </c>
      <c r="J417" s="3" t="inlineStr">
        <is>
          <t>Depth</t>
        </is>
      </c>
      <c r="K417" s="3" t="inlineStr">
        <is>
          <t>300 mm</t>
        </is>
      </c>
      <c r="Q417" s="3" t="inlineStr">
        <is>
          <t>Manufacturer's Warranty</t>
        </is>
      </c>
      <c r="R417" s="3" t="inlineStr">
        <is>
          <t>C6.05.300</t>
        </is>
      </c>
      <c r="Y417" s="3" t="inlineStr">
        <is>
          <t>INOX_TC_ZINCPLATED_FE_SC_45KG_300</t>
        </is>
      </c>
      <c r="Z417" s="3" t="n">
        <v>8302</v>
      </c>
      <c r="AC417" s="3" t="n">
        <v>1</v>
      </c>
      <c r="AE417" s="3" t="n">
        <v>799</v>
      </c>
      <c r="AF417" s="4" t="n">
        <v>0.5</v>
      </c>
      <c r="AG417" s="3">
        <f>ROUND(AE417-(AE417*AF417),2)</f>
        <v/>
      </c>
      <c r="AH417" s="4" t="n">
        <v>0.18</v>
      </c>
      <c r="AI417" s="3">
        <f>ROUND(AG417+(AG417*AH417),2)</f>
        <v/>
      </c>
      <c r="AJ417" s="4" t="n">
        <v>0.2</v>
      </c>
      <c r="AK417" s="3">
        <f>ROUND(AI417*AJ417,2)</f>
        <v/>
      </c>
      <c r="AL417" s="3">
        <f>AI417+AK417</f>
        <v/>
      </c>
      <c r="AM417" s="3">
        <f>AE417-AL417</f>
        <v/>
      </c>
      <c r="AN417" s="4">
        <f>AM417/AE417</f>
        <v/>
      </c>
      <c r="AO417" s="3" t="inlineStr">
        <is>
          <t>60 mins</t>
        </is>
      </c>
      <c r="AQ417" s="3" t="inlineStr">
        <is>
          <t>Weight</t>
        </is>
      </c>
      <c r="AS417" s="3" t="inlineStr">
        <is>
          <t>This product is a high-performance hardware mechanism used to enable smooth, quiet, and full extension of drawers in furniture.</t>
        </is>
      </c>
      <c r="AT417" s="3" t="inlineStr">
        <is>
          <t>60 mins</t>
        </is>
      </c>
    </row>
    <row r="418" ht="15.75" customHeight="1">
      <c r="A418" s="3" t="inlineStr">
        <is>
          <t>PROD_0092</t>
        </is>
      </c>
      <c r="B418" s="3" t="inlineStr">
        <is>
          <t>VAR_3</t>
        </is>
      </c>
      <c r="C418" s="3" t="inlineStr">
        <is>
          <t>Modular Hardware</t>
        </is>
      </c>
      <c r="D418" s="3" t="inlineStr">
        <is>
          <t>Channels</t>
        </is>
      </c>
      <c r="E418" s="3" t="inlineStr">
        <is>
          <t>Inox</t>
        </is>
      </c>
      <c r="F418" s="3" t="inlineStr">
        <is>
          <t>Telescopic Channel | Zinc Plated | Soft Close</t>
        </is>
      </c>
      <c r="H418" s="3" t="inlineStr">
        <is>
          <t>Weight</t>
        </is>
      </c>
      <c r="I418" s="3" t="inlineStr">
        <is>
          <t>45 kg</t>
        </is>
      </c>
      <c r="J418" s="3" t="inlineStr">
        <is>
          <t>Depth</t>
        </is>
      </c>
      <c r="K418" s="3" t="inlineStr">
        <is>
          <t>350 mm</t>
        </is>
      </c>
      <c r="Q418" s="3" t="inlineStr">
        <is>
          <t>Manufacturer's Warranty</t>
        </is>
      </c>
      <c r="R418" s="3" t="inlineStr">
        <is>
          <t>C6.05.350</t>
        </is>
      </c>
      <c r="Y418" s="3" t="inlineStr">
        <is>
          <t>INOX_TC_ZINCPLATED_FE_SC_45KG_350</t>
        </is>
      </c>
      <c r="Z418" s="3" t="n">
        <v>8302</v>
      </c>
      <c r="AC418" s="3" t="n">
        <v>1</v>
      </c>
      <c r="AE418" s="3" t="n">
        <v>936</v>
      </c>
      <c r="AF418" s="4" t="n">
        <v>0.5</v>
      </c>
      <c r="AG418" s="3">
        <f>ROUND(AE418-(AE418*AF418),2)</f>
        <v/>
      </c>
      <c r="AH418" s="4" t="n">
        <v>0.18</v>
      </c>
      <c r="AI418" s="3">
        <f>ROUND(AG418+(AG418*AH418),2)</f>
        <v/>
      </c>
      <c r="AJ418" s="4" t="n">
        <v>0.2</v>
      </c>
      <c r="AK418" s="3">
        <f>ROUND(AI418*AJ418,2)</f>
        <v/>
      </c>
      <c r="AL418" s="3">
        <f>AI418+AK418</f>
        <v/>
      </c>
      <c r="AM418" s="3">
        <f>AE418-AL418</f>
        <v/>
      </c>
      <c r="AN418" s="4">
        <f>AM418/AE418</f>
        <v/>
      </c>
      <c r="AO418" s="3" t="inlineStr">
        <is>
          <t>60 mins</t>
        </is>
      </c>
      <c r="AQ418" s="3" t="inlineStr">
        <is>
          <t>Weight</t>
        </is>
      </c>
      <c r="AS418" s="3" t="inlineStr">
        <is>
          <t>This product is a high-performance hardware mechanism used to enable smooth, quiet, and full extension of drawers in furniture.</t>
        </is>
      </c>
      <c r="AT418" s="3" t="inlineStr">
        <is>
          <t>60 mins</t>
        </is>
      </c>
    </row>
    <row r="419" ht="15.75" customHeight="1">
      <c r="A419" s="3" t="inlineStr">
        <is>
          <t>PROD_0092</t>
        </is>
      </c>
      <c r="B419" s="3" t="inlineStr">
        <is>
          <t>VAR_4</t>
        </is>
      </c>
      <c r="C419" s="3" t="inlineStr">
        <is>
          <t>Modular Hardware</t>
        </is>
      </c>
      <c r="D419" s="3" t="inlineStr">
        <is>
          <t>Channels</t>
        </is>
      </c>
      <c r="E419" s="3" t="inlineStr">
        <is>
          <t>Inox</t>
        </is>
      </c>
      <c r="F419" s="3" t="inlineStr">
        <is>
          <t>Telescopic Channel | Zinc Plated | Soft Close</t>
        </is>
      </c>
      <c r="H419" s="3" t="inlineStr">
        <is>
          <t>Weight</t>
        </is>
      </c>
      <c r="I419" s="3" t="inlineStr">
        <is>
          <t>45 kg</t>
        </is>
      </c>
      <c r="J419" s="3" t="inlineStr">
        <is>
          <t>Depth</t>
        </is>
      </c>
      <c r="K419" s="3" t="inlineStr">
        <is>
          <t>400 mm</t>
        </is>
      </c>
      <c r="Q419" s="3" t="inlineStr">
        <is>
          <t>Manufacturer's Warranty</t>
        </is>
      </c>
      <c r="R419" s="3" t="inlineStr">
        <is>
          <t>C6.05.400</t>
        </is>
      </c>
      <c r="Y419" s="3" t="inlineStr">
        <is>
          <t>INOX_TC_ZINCPLATED_FE_SC_45KG_400</t>
        </is>
      </c>
      <c r="Z419" s="3" t="n">
        <v>8302</v>
      </c>
      <c r="AC419" s="3" t="n">
        <v>1</v>
      </c>
      <c r="AE419" s="3" t="n">
        <v>1009</v>
      </c>
      <c r="AF419" s="4" t="n">
        <v>0.5</v>
      </c>
      <c r="AG419" s="3">
        <f>ROUND(AE419-(AE419*AF419),2)</f>
        <v/>
      </c>
      <c r="AH419" s="4" t="n">
        <v>0.18</v>
      </c>
      <c r="AI419" s="3">
        <f>ROUND(AG419+(AG419*AH419),2)</f>
        <v/>
      </c>
      <c r="AJ419" s="4" t="n">
        <v>0.2</v>
      </c>
      <c r="AK419" s="3">
        <f>ROUND(AI419*AJ419,2)</f>
        <v/>
      </c>
      <c r="AL419" s="3">
        <f>AI419+AK419</f>
        <v/>
      </c>
      <c r="AM419" s="3">
        <f>AE419-AL419</f>
        <v/>
      </c>
      <c r="AN419" s="4">
        <f>AM419/AE419</f>
        <v/>
      </c>
      <c r="AO419" s="3" t="inlineStr">
        <is>
          <t>60 mins</t>
        </is>
      </c>
      <c r="AQ419" s="3" t="inlineStr">
        <is>
          <t>Weight</t>
        </is>
      </c>
      <c r="AS419" s="3" t="inlineStr">
        <is>
          <t>This product is a high-performance hardware mechanism used to enable smooth, quiet, and full extension of drawers in furniture.</t>
        </is>
      </c>
      <c r="AT419" s="3" t="inlineStr">
        <is>
          <t>60 mins</t>
        </is>
      </c>
    </row>
    <row r="420" ht="15.75" customHeight="1">
      <c r="A420" s="3" t="inlineStr">
        <is>
          <t>PROD_0092</t>
        </is>
      </c>
      <c r="B420" s="3" t="inlineStr">
        <is>
          <t>VAR_5</t>
        </is>
      </c>
      <c r="C420" s="3" t="inlineStr">
        <is>
          <t>Modular Hardware</t>
        </is>
      </c>
      <c r="D420" s="3" t="inlineStr">
        <is>
          <t>Channels</t>
        </is>
      </c>
      <c r="E420" s="3" t="inlineStr">
        <is>
          <t>Inox</t>
        </is>
      </c>
      <c r="F420" s="3" t="inlineStr">
        <is>
          <t>Telescopic Channel | Zinc Plated | Soft Close</t>
        </is>
      </c>
      <c r="H420" s="3" t="inlineStr">
        <is>
          <t>Weight</t>
        </is>
      </c>
      <c r="I420" s="3" t="inlineStr">
        <is>
          <t>45 kg</t>
        </is>
      </c>
      <c r="J420" s="3" t="inlineStr">
        <is>
          <t>Depth</t>
        </is>
      </c>
      <c r="K420" s="3" t="inlineStr">
        <is>
          <t>450 mm</t>
        </is>
      </c>
      <c r="Q420" s="3" t="inlineStr">
        <is>
          <t>Manufacturer's Warranty</t>
        </is>
      </c>
      <c r="R420" s="3" t="inlineStr">
        <is>
          <t>C6.05.450</t>
        </is>
      </c>
      <c r="Y420" s="3" t="inlineStr">
        <is>
          <t>INOX_TC_ZINCPLATED_FE_SC_45KG_450</t>
        </is>
      </c>
      <c r="Z420" s="3" t="n">
        <v>8302</v>
      </c>
      <c r="AC420" s="3" t="n">
        <v>1</v>
      </c>
      <c r="AE420" s="3" t="n">
        <v>1089</v>
      </c>
      <c r="AF420" s="4" t="n">
        <v>0.5</v>
      </c>
      <c r="AG420" s="3">
        <f>ROUND(AE420-(AE420*AF420),2)</f>
        <v/>
      </c>
      <c r="AH420" s="4" t="n">
        <v>0.18</v>
      </c>
      <c r="AI420" s="3">
        <f>ROUND(AG420+(AG420*AH420),2)</f>
        <v/>
      </c>
      <c r="AJ420" s="4" t="n">
        <v>0.2</v>
      </c>
      <c r="AK420" s="3">
        <f>ROUND(AI420*AJ420,2)</f>
        <v/>
      </c>
      <c r="AL420" s="3">
        <f>AI420+AK420</f>
        <v/>
      </c>
      <c r="AM420" s="3">
        <f>AE420-AL420</f>
        <v/>
      </c>
      <c r="AN420" s="4">
        <f>AM420/AE420</f>
        <v/>
      </c>
      <c r="AO420" s="3" t="inlineStr">
        <is>
          <t>60 mins</t>
        </is>
      </c>
      <c r="AQ420" s="3" t="inlineStr">
        <is>
          <t>Weight</t>
        </is>
      </c>
      <c r="AS420" s="3" t="inlineStr">
        <is>
          <t>This product is a high-performance hardware mechanism used to enable smooth, quiet, and full extension of drawers in furniture.</t>
        </is>
      </c>
      <c r="AT420" s="3" t="inlineStr">
        <is>
          <t>60 mins</t>
        </is>
      </c>
    </row>
    <row r="421" ht="15.75" customHeight="1">
      <c r="A421" s="3" t="inlineStr">
        <is>
          <t>PROD_0092</t>
        </is>
      </c>
      <c r="B421" s="3" t="inlineStr">
        <is>
          <t>VAR_6</t>
        </is>
      </c>
      <c r="C421" s="3" t="inlineStr">
        <is>
          <t>Modular Hardware</t>
        </is>
      </c>
      <c r="D421" s="3" t="inlineStr">
        <is>
          <t>Channels</t>
        </is>
      </c>
      <c r="E421" s="3" t="inlineStr">
        <is>
          <t>Inox</t>
        </is>
      </c>
      <c r="F421" s="3" t="inlineStr">
        <is>
          <t>Telescopic Channel | Zinc Plated | Soft Close</t>
        </is>
      </c>
      <c r="H421" s="3" t="inlineStr">
        <is>
          <t>Weight</t>
        </is>
      </c>
      <c r="I421" s="3" t="inlineStr">
        <is>
          <t>45 kg</t>
        </is>
      </c>
      <c r="J421" s="3" t="inlineStr">
        <is>
          <t>Depth</t>
        </is>
      </c>
      <c r="K421" s="3" t="inlineStr">
        <is>
          <t>500 mm</t>
        </is>
      </c>
      <c r="Q421" s="3" t="inlineStr">
        <is>
          <t>Manufacturer's Warranty</t>
        </is>
      </c>
      <c r="R421" s="3" t="inlineStr">
        <is>
          <t>C6.05.500</t>
        </is>
      </c>
      <c r="Y421" s="3" t="inlineStr">
        <is>
          <t>INOX_TC_ZINCPLATED_FE_SC_45KG_500</t>
        </is>
      </c>
      <c r="Z421" s="3" t="n">
        <v>8302</v>
      </c>
      <c r="AC421" s="3" t="n">
        <v>1</v>
      </c>
      <c r="AE421" s="3" t="n">
        <v>1089</v>
      </c>
      <c r="AF421" s="4" t="n">
        <v>0.5</v>
      </c>
      <c r="AG421" s="3">
        <f>ROUND(AE421-(AE421*AF421),2)</f>
        <v/>
      </c>
      <c r="AH421" s="4" t="n">
        <v>0.18</v>
      </c>
      <c r="AI421" s="3">
        <f>ROUND(AG421+(AG421*AH421),2)</f>
        <v/>
      </c>
      <c r="AJ421" s="4" t="n">
        <v>0.2</v>
      </c>
      <c r="AK421" s="3">
        <f>ROUND(AI421*AJ421,2)</f>
        <v/>
      </c>
      <c r="AL421" s="3">
        <f>AI421+AK421</f>
        <v/>
      </c>
      <c r="AM421" s="3">
        <f>AE421-AL421</f>
        <v/>
      </c>
      <c r="AN421" s="4">
        <f>AM421/AE421</f>
        <v/>
      </c>
      <c r="AO421" s="3" t="inlineStr">
        <is>
          <t>60 mins</t>
        </is>
      </c>
      <c r="AQ421" s="3" t="inlineStr">
        <is>
          <t>Weight</t>
        </is>
      </c>
      <c r="AS421" s="3" t="inlineStr">
        <is>
          <t>This product is a high-performance hardware mechanism used to enable smooth, quiet, and full extension of drawers in furniture.</t>
        </is>
      </c>
      <c r="AT421" s="3" t="inlineStr">
        <is>
          <t>60 mins</t>
        </is>
      </c>
    </row>
    <row r="422" ht="15.75" customHeight="1">
      <c r="A422" s="3" t="inlineStr">
        <is>
          <t>PROD_0092</t>
        </is>
      </c>
      <c r="B422" s="3" t="inlineStr">
        <is>
          <t>VAR_7</t>
        </is>
      </c>
      <c r="C422" s="3" t="inlineStr">
        <is>
          <t>Modular Hardware</t>
        </is>
      </c>
      <c r="D422" s="3" t="inlineStr">
        <is>
          <t>Channels</t>
        </is>
      </c>
      <c r="E422" s="3" t="inlineStr">
        <is>
          <t>Inox</t>
        </is>
      </c>
      <c r="F422" s="3" t="inlineStr">
        <is>
          <t>Telescopic Channel | Zinc Plated | Soft Close</t>
        </is>
      </c>
      <c r="H422" s="3" t="inlineStr">
        <is>
          <t>Weight</t>
        </is>
      </c>
      <c r="I422" s="3" t="inlineStr">
        <is>
          <t>45 kg</t>
        </is>
      </c>
      <c r="J422" s="3" t="inlineStr">
        <is>
          <t>Depth</t>
        </is>
      </c>
      <c r="K422" s="3" t="inlineStr">
        <is>
          <t>550 mm</t>
        </is>
      </c>
      <c r="Q422" s="3" t="inlineStr">
        <is>
          <t>Manufacturer's Warranty</t>
        </is>
      </c>
      <c r="R422" s="3" t="inlineStr">
        <is>
          <t>C6.05.550</t>
        </is>
      </c>
      <c r="Y422" s="3" t="inlineStr">
        <is>
          <t>INOX_TC_ZINCPLATED_FE_SC_45KG_550</t>
        </is>
      </c>
      <c r="Z422" s="3" t="n">
        <v>8302</v>
      </c>
      <c r="AC422" s="3" t="n">
        <v>1</v>
      </c>
      <c r="AE422" s="3" t="n">
        <v>1179</v>
      </c>
      <c r="AF422" s="4" t="n">
        <v>0.5</v>
      </c>
      <c r="AG422" s="3">
        <f>ROUND(AE422-(AE422*AF422),2)</f>
        <v/>
      </c>
      <c r="AH422" s="4" t="n">
        <v>0.18</v>
      </c>
      <c r="AI422" s="3">
        <f>ROUND(AG422+(AG422*AH422),2)</f>
        <v/>
      </c>
      <c r="AJ422" s="4" t="n">
        <v>0.2</v>
      </c>
      <c r="AK422" s="3">
        <f>ROUND(AI422*AJ422,2)</f>
        <v/>
      </c>
      <c r="AL422" s="3">
        <f>AI422+AK422</f>
        <v/>
      </c>
      <c r="AM422" s="3">
        <f>AE422-AL422</f>
        <v/>
      </c>
      <c r="AN422" s="4">
        <f>AM422/AE422</f>
        <v/>
      </c>
      <c r="AO422" s="3" t="inlineStr">
        <is>
          <t>60 mins</t>
        </is>
      </c>
      <c r="AQ422" s="3" t="inlineStr">
        <is>
          <t>Weight</t>
        </is>
      </c>
      <c r="AS422" s="3" t="inlineStr">
        <is>
          <t>This product is a high-performance hardware mechanism used to enable smooth, quiet, and full extension of drawers in furniture.</t>
        </is>
      </c>
      <c r="AT422" s="3" t="inlineStr">
        <is>
          <t>60 mins</t>
        </is>
      </c>
    </row>
    <row r="423" ht="15.75" customHeight="1">
      <c r="A423" s="3" t="inlineStr">
        <is>
          <t>PROD_0092</t>
        </is>
      </c>
      <c r="B423" s="3" t="inlineStr">
        <is>
          <t>VAR_8</t>
        </is>
      </c>
      <c r="C423" s="3" t="inlineStr">
        <is>
          <t>Modular Hardware</t>
        </is>
      </c>
      <c r="D423" s="3" t="inlineStr">
        <is>
          <t>Channels</t>
        </is>
      </c>
      <c r="E423" s="3" t="inlineStr">
        <is>
          <t>Inox</t>
        </is>
      </c>
      <c r="F423" s="3" t="inlineStr">
        <is>
          <t>Telescopic Channel | Zinc Plated | Soft Close</t>
        </is>
      </c>
      <c r="H423" s="3" t="inlineStr">
        <is>
          <t>Weight</t>
        </is>
      </c>
      <c r="I423" s="3" t="inlineStr">
        <is>
          <t>45 kg</t>
        </is>
      </c>
      <c r="J423" s="3" t="inlineStr">
        <is>
          <t>Depth</t>
        </is>
      </c>
      <c r="K423" s="3" t="inlineStr">
        <is>
          <t>600 mm</t>
        </is>
      </c>
      <c r="Q423" s="3" t="inlineStr">
        <is>
          <t>Manufacturer's Warranty</t>
        </is>
      </c>
      <c r="R423" s="3" t="inlineStr">
        <is>
          <t>C6.05.600</t>
        </is>
      </c>
      <c r="Y423" s="3" t="inlineStr">
        <is>
          <t>INOX_TC_ZINCPLATED_FE_SC_45KG_600</t>
        </is>
      </c>
      <c r="Z423" s="3" t="n">
        <v>8302</v>
      </c>
      <c r="AC423" s="3" t="n">
        <v>1</v>
      </c>
      <c r="AE423" s="3" t="n">
        <v>1179</v>
      </c>
      <c r="AF423" s="4" t="n">
        <v>0.5</v>
      </c>
      <c r="AG423" s="3">
        <f>ROUND(AE423-(AE423*AF423),2)</f>
        <v/>
      </c>
      <c r="AH423" s="4" t="n">
        <v>0.18</v>
      </c>
      <c r="AI423" s="3">
        <f>ROUND(AG423+(AG423*AH423),2)</f>
        <v/>
      </c>
      <c r="AJ423" s="4" t="n">
        <v>0.2</v>
      </c>
      <c r="AK423" s="3">
        <f>ROUND(AI423*AJ423,2)</f>
        <v/>
      </c>
      <c r="AL423" s="3">
        <f>AI423+AK423</f>
        <v/>
      </c>
      <c r="AM423" s="3">
        <f>AE423-AL423</f>
        <v/>
      </c>
      <c r="AN423" s="4">
        <f>AM423/AE423</f>
        <v/>
      </c>
      <c r="AO423" s="3" t="inlineStr">
        <is>
          <t>60 mins</t>
        </is>
      </c>
      <c r="AQ423" s="3" t="inlineStr">
        <is>
          <t>Weight</t>
        </is>
      </c>
      <c r="AS423" s="3" t="inlineStr">
        <is>
          <t>This product is a high-performance hardware mechanism used to enable smooth, quiet, and full extension of drawers in furniture.</t>
        </is>
      </c>
      <c r="AT423" s="3" t="inlineStr">
        <is>
          <t>60 mins</t>
        </is>
      </c>
    </row>
    <row r="424" ht="15.75" customHeight="1">
      <c r="A424" s="3" t="inlineStr">
        <is>
          <t>PROD_0093</t>
        </is>
      </c>
      <c r="B424" s="3" t="inlineStr">
        <is>
          <t>VAR_1</t>
        </is>
      </c>
      <c r="C424" s="3" t="inlineStr">
        <is>
          <t>Modular Hardware</t>
        </is>
      </c>
      <c r="D424" s="3" t="inlineStr">
        <is>
          <t>Drawers &amp; Pullout</t>
        </is>
      </c>
      <c r="E424" s="3" t="inlineStr">
        <is>
          <t>Hettich</t>
        </is>
      </c>
      <c r="F424" s="3" t="inlineStr">
        <is>
          <t>Innotech | Full Extension</t>
        </is>
      </c>
      <c r="H424" s="3" t="inlineStr">
        <is>
          <t>Weight</t>
        </is>
      </c>
      <c r="I424" s="3" t="inlineStr">
        <is>
          <t>25 kg</t>
        </is>
      </c>
      <c r="J424" s="3" t="inlineStr">
        <is>
          <t>Depth</t>
        </is>
      </c>
      <c r="K424" s="3" t="inlineStr">
        <is>
          <t>470 mm</t>
        </is>
      </c>
      <c r="L424" s="3" t="inlineStr">
        <is>
          <t>Drawer Height</t>
        </is>
      </c>
      <c r="M424" s="3" t="inlineStr">
        <is>
          <t>70 mm</t>
        </is>
      </c>
      <c r="Q424" s="3" t="inlineStr">
        <is>
          <t>Manufacturer's Warranty</t>
        </is>
      </c>
      <c r="R424" s="3" t="n">
        <v>9243085</v>
      </c>
      <c r="S424" s="3" t="n">
        <v>1</v>
      </c>
      <c r="Y424" s="3" t="inlineStr">
        <is>
          <t>HT_DP_INNOTECH_470MM_70MM</t>
        </is>
      </c>
      <c r="Z424" s="3" t="n">
        <v>8302</v>
      </c>
      <c r="AC424" s="3" t="n">
        <v>1</v>
      </c>
      <c r="AE424" s="3" t="n">
        <v>5904</v>
      </c>
      <c r="AF424" s="4" t="n">
        <v>0.59</v>
      </c>
      <c r="AG424" s="3">
        <f>ROUND(AE424-(AE424*AF424),2)</f>
        <v/>
      </c>
      <c r="AH424" s="4" t="n">
        <v>0.18</v>
      </c>
      <c r="AI424" s="3">
        <f>ROUND(AG424+(AG424*AH424),2)</f>
        <v/>
      </c>
      <c r="AJ424" s="4" t="n">
        <v>0.2</v>
      </c>
      <c r="AK424" s="3">
        <f>ROUND(AI424*AJ424,2)</f>
        <v/>
      </c>
      <c r="AL424" s="3">
        <f>AI424+AK424</f>
        <v/>
      </c>
      <c r="AM424" s="3">
        <f>AE424-AL424</f>
        <v/>
      </c>
      <c r="AN424" s="4">
        <f>AM424/AE424</f>
        <v/>
      </c>
      <c r="AO424" s="3" t="inlineStr">
        <is>
          <t>60 mins</t>
        </is>
      </c>
      <c r="AQ424" s="3" t="inlineStr">
        <is>
          <t>Weight</t>
        </is>
      </c>
      <c r="AS424" s="3" t="inlineStr">
        <is>
          <t>This product is a high-performance hardware mechanism used to enable smooth, quiet, and full extension of drawers in furniture.</t>
        </is>
      </c>
      <c r="AT424" s="3" t="inlineStr">
        <is>
          <t>60 mins</t>
        </is>
      </c>
    </row>
    <row r="425" ht="15.75" customHeight="1">
      <c r="A425" s="3" t="inlineStr">
        <is>
          <t>PROD_0093</t>
        </is>
      </c>
      <c r="B425" s="3" t="inlineStr">
        <is>
          <t>VAR_2</t>
        </is>
      </c>
      <c r="C425" s="3" t="inlineStr">
        <is>
          <t>Modular Hardware</t>
        </is>
      </c>
      <c r="D425" s="3" t="inlineStr">
        <is>
          <t>Drawers &amp; Pullout</t>
        </is>
      </c>
      <c r="E425" s="3" t="inlineStr">
        <is>
          <t>Hettich</t>
        </is>
      </c>
      <c r="F425" s="3" t="inlineStr">
        <is>
          <t>Innotech | Full Extension</t>
        </is>
      </c>
      <c r="H425" s="3" t="inlineStr">
        <is>
          <t>Weight</t>
        </is>
      </c>
      <c r="I425" s="3" t="inlineStr">
        <is>
          <t>25 kg</t>
        </is>
      </c>
      <c r="J425" s="3" t="inlineStr">
        <is>
          <t>Depth</t>
        </is>
      </c>
      <c r="K425" s="3" t="inlineStr">
        <is>
          <t>470 mm</t>
        </is>
      </c>
      <c r="L425" s="3" t="inlineStr">
        <is>
          <t>Drawer Height</t>
        </is>
      </c>
      <c r="M425" s="3" t="inlineStr">
        <is>
          <t>144 mm</t>
        </is>
      </c>
      <c r="Q425" s="3" t="inlineStr">
        <is>
          <t>Manufacturer's Warranty</t>
        </is>
      </c>
      <c r="R425" s="3" t="n">
        <v>9243093</v>
      </c>
      <c r="S425" s="3" t="n">
        <v>1</v>
      </c>
      <c r="Y425" s="3" t="inlineStr">
        <is>
          <t>HT_DP_INNOTECH_470MM_144MM</t>
        </is>
      </c>
      <c r="Z425" s="3" t="n">
        <v>8302</v>
      </c>
      <c r="AC425" s="3" t="n">
        <v>1</v>
      </c>
      <c r="AE425" s="3" t="n">
        <v>6834</v>
      </c>
      <c r="AF425" s="4" t="n">
        <v>0.59</v>
      </c>
      <c r="AG425" s="3">
        <f>ROUND(AE425-(AE425*AF425),2)</f>
        <v/>
      </c>
      <c r="AH425" s="4" t="n">
        <v>0.18</v>
      </c>
      <c r="AI425" s="3">
        <f>ROUND(AG425+(AG425*AH425),2)</f>
        <v/>
      </c>
      <c r="AJ425" s="4" t="n">
        <v>0.2</v>
      </c>
      <c r="AK425" s="3">
        <f>ROUND(AI425*AJ425,2)</f>
        <v/>
      </c>
      <c r="AL425" s="3">
        <f>AI425+AK425</f>
        <v/>
      </c>
      <c r="AM425" s="3">
        <f>AE425-AL425</f>
        <v/>
      </c>
      <c r="AN425" s="4">
        <f>AM425/AE425</f>
        <v/>
      </c>
      <c r="AO425" s="3" t="inlineStr">
        <is>
          <t>60 mins</t>
        </is>
      </c>
      <c r="AQ425" s="3" t="inlineStr">
        <is>
          <t>Weight</t>
        </is>
      </c>
      <c r="AS425" s="3" t="inlineStr">
        <is>
          <t>This product is a high-performance hardware mechanism used to enable smooth, quiet, and full extension of drawers in furniture.</t>
        </is>
      </c>
      <c r="AT425" s="3" t="inlineStr">
        <is>
          <t>60 mins</t>
        </is>
      </c>
    </row>
    <row r="426" ht="15.75" customHeight="1">
      <c r="A426" s="3" t="inlineStr">
        <is>
          <t>PROD_0093</t>
        </is>
      </c>
      <c r="B426" s="3" t="inlineStr">
        <is>
          <t>VAR_3</t>
        </is>
      </c>
      <c r="C426" s="3" t="inlineStr">
        <is>
          <t>Modular Hardware</t>
        </is>
      </c>
      <c r="D426" s="3" t="inlineStr">
        <is>
          <t>Drawers &amp; Pullout</t>
        </is>
      </c>
      <c r="E426" s="3" t="inlineStr">
        <is>
          <t>Hettich</t>
        </is>
      </c>
      <c r="F426" s="3" t="inlineStr">
        <is>
          <t>Innotech | Full Extension</t>
        </is>
      </c>
      <c r="H426" s="3" t="inlineStr">
        <is>
          <t>Weight</t>
        </is>
      </c>
      <c r="I426" s="3" t="inlineStr">
        <is>
          <t>25 kg</t>
        </is>
      </c>
      <c r="J426" s="3" t="inlineStr">
        <is>
          <t>Depth</t>
        </is>
      </c>
      <c r="K426" s="3" t="inlineStr">
        <is>
          <t>470 mm</t>
        </is>
      </c>
      <c r="L426" s="3" t="inlineStr">
        <is>
          <t>Drawer Height</t>
        </is>
      </c>
      <c r="M426" s="3" t="inlineStr">
        <is>
          <t>176 mm</t>
        </is>
      </c>
      <c r="Q426" s="3" t="inlineStr">
        <is>
          <t>Manufacturer's Warranty</t>
        </is>
      </c>
      <c r="R426" s="3" t="n">
        <v>9346352</v>
      </c>
      <c r="S426" s="3" t="n">
        <v>1</v>
      </c>
      <c r="Y426" s="3" t="inlineStr">
        <is>
          <t>HT_DP_INNOTECH_470MM_176MM</t>
        </is>
      </c>
      <c r="Z426" s="3" t="n">
        <v>8302</v>
      </c>
      <c r="AC426" s="3" t="n">
        <v>1</v>
      </c>
      <c r="AE426" s="3" t="n">
        <v>7562</v>
      </c>
      <c r="AF426" s="4" t="n">
        <v>0.59</v>
      </c>
      <c r="AG426" s="3">
        <f>ROUND(AE426-(AE426*AF426),2)</f>
        <v/>
      </c>
      <c r="AH426" s="4" t="n">
        <v>0.18</v>
      </c>
      <c r="AI426" s="3">
        <f>ROUND(AG426+(AG426*AH426),2)</f>
        <v/>
      </c>
      <c r="AJ426" s="4" t="n">
        <v>0.2</v>
      </c>
      <c r="AK426" s="3">
        <f>ROUND(AI426*AJ426,2)</f>
        <v/>
      </c>
      <c r="AL426" s="3">
        <f>AI426+AK426</f>
        <v/>
      </c>
      <c r="AM426" s="3">
        <f>AE426-AL426</f>
        <v/>
      </c>
      <c r="AN426" s="4">
        <f>AM426/AE426</f>
        <v/>
      </c>
      <c r="AO426" s="3" t="inlineStr">
        <is>
          <t>60 mins</t>
        </is>
      </c>
      <c r="AQ426" s="3" t="inlineStr">
        <is>
          <t>Weight</t>
        </is>
      </c>
      <c r="AS426" s="3" t="inlineStr">
        <is>
          <t>This product is a high-performance hardware mechanism used to enable smooth, quiet, and full extension of drawers in furniture.</t>
        </is>
      </c>
      <c r="AT426" s="3" t="inlineStr">
        <is>
          <t>60 mins</t>
        </is>
      </c>
    </row>
    <row r="427" ht="15.75" customHeight="1">
      <c r="A427" s="3" t="inlineStr">
        <is>
          <t>PROD_0094</t>
        </is>
      </c>
      <c r="B427" s="3" t="inlineStr">
        <is>
          <t>VAR_1</t>
        </is>
      </c>
      <c r="C427" s="3" t="inlineStr">
        <is>
          <t>Modular Hardware</t>
        </is>
      </c>
      <c r="D427" s="3" t="inlineStr">
        <is>
          <t>Drawers &amp; Pullout</t>
        </is>
      </c>
      <c r="E427" s="3" t="inlineStr">
        <is>
          <t>Inox</t>
        </is>
      </c>
      <c r="F427" s="3" t="inlineStr">
        <is>
          <t>Silent Drawer System | Square EDS w/o rail</t>
        </is>
      </c>
      <c r="J427" s="3" t="inlineStr">
        <is>
          <t>Depth</t>
        </is>
      </c>
      <c r="K427" s="3" t="inlineStr">
        <is>
          <t>300 mm</t>
        </is>
      </c>
      <c r="L427" s="3" t="inlineStr">
        <is>
          <t>Drawer Height</t>
        </is>
      </c>
      <c r="M427" s="3" t="inlineStr">
        <is>
          <t>80 mm</t>
        </is>
      </c>
      <c r="Q427" s="3" t="inlineStr">
        <is>
          <t>Manufacturer's Warranty</t>
        </is>
      </c>
      <c r="R427" s="3" t="inlineStr">
        <is>
          <t>J11.01.300</t>
        </is>
      </c>
      <c r="S427" s="3" t="n">
        <v>1</v>
      </c>
      <c r="Y427" s="3" t="inlineStr">
        <is>
          <t>INOX_SDS_SQUARE_EDS_WO_RAIL_300MM</t>
        </is>
      </c>
      <c r="Z427" s="3" t="n">
        <v>8302</v>
      </c>
      <c r="AC427" s="3" t="n">
        <v>1</v>
      </c>
      <c r="AE427" s="3" t="n">
        <v>3099</v>
      </c>
      <c r="AF427" s="4" t="n">
        <v>0.5</v>
      </c>
      <c r="AG427" s="3">
        <f>ROUND(AE427-(AE427*AF427),2)</f>
        <v/>
      </c>
      <c r="AH427" s="4" t="n">
        <v>0.18</v>
      </c>
      <c r="AI427" s="3">
        <f>ROUND(AG427+(AG427*AH427),2)</f>
        <v/>
      </c>
      <c r="AJ427" s="4" t="n">
        <v>0.2</v>
      </c>
      <c r="AK427" s="3">
        <f>ROUND(AI427*AJ427,2)</f>
        <v/>
      </c>
      <c r="AL427" s="3">
        <f>AI427+AK427</f>
        <v/>
      </c>
      <c r="AM427" s="3">
        <f>AE427-AL427</f>
        <v/>
      </c>
      <c r="AN427" s="4">
        <f>AM427/AE427</f>
        <v/>
      </c>
      <c r="AO427" s="3" t="inlineStr">
        <is>
          <t>60 mins</t>
        </is>
      </c>
      <c r="AQ427" s="3" t="inlineStr">
        <is>
          <t>Weight</t>
        </is>
      </c>
      <c r="AS427" s="3" t="inlineStr">
        <is>
          <t>This product is a high-performance hardware mechanism used to enable smooth, quiet, and full extension of drawers in furniture.</t>
        </is>
      </c>
      <c r="AT427" s="3" t="inlineStr">
        <is>
          <t>60 mins</t>
        </is>
      </c>
    </row>
    <row r="428" ht="15.75" customHeight="1">
      <c r="A428" s="3" t="inlineStr">
        <is>
          <t>PROD_0094</t>
        </is>
      </c>
      <c r="B428" s="3" t="inlineStr">
        <is>
          <t>VAR_2</t>
        </is>
      </c>
      <c r="C428" s="3" t="inlineStr">
        <is>
          <t>Modular Hardware</t>
        </is>
      </c>
      <c r="D428" s="3" t="inlineStr">
        <is>
          <t>Drawers &amp; Pullout</t>
        </is>
      </c>
      <c r="E428" s="3" t="inlineStr">
        <is>
          <t>Inox</t>
        </is>
      </c>
      <c r="F428" s="3" t="inlineStr">
        <is>
          <t>Silent Drawer System | Square EDS w/o rail</t>
        </is>
      </c>
      <c r="J428" s="3" t="inlineStr">
        <is>
          <t>Depth</t>
        </is>
      </c>
      <c r="K428" s="3" t="inlineStr">
        <is>
          <t>350 mm</t>
        </is>
      </c>
      <c r="L428" s="3" t="inlineStr">
        <is>
          <t>Drawer Height</t>
        </is>
      </c>
      <c r="M428" s="3" t="inlineStr">
        <is>
          <t>80 mm</t>
        </is>
      </c>
      <c r="Q428" s="3" t="inlineStr">
        <is>
          <t>Manufacturer's Warranty</t>
        </is>
      </c>
      <c r="R428" s="3" t="inlineStr">
        <is>
          <t>J11.01.350</t>
        </is>
      </c>
      <c r="Y428" s="3" t="inlineStr">
        <is>
          <t>INOX_SDS_SQUARE_EDS_WO_RAIL_350MM</t>
        </is>
      </c>
      <c r="Z428" s="3" t="n">
        <v>8302</v>
      </c>
      <c r="AC428" s="3" t="n">
        <v>1</v>
      </c>
      <c r="AE428" s="3" t="n">
        <v>3199</v>
      </c>
      <c r="AF428" s="4" t="n">
        <v>0.5</v>
      </c>
      <c r="AG428" s="3">
        <f>ROUND(AE428-(AE428*AF428),2)</f>
        <v/>
      </c>
      <c r="AH428" s="4" t="n">
        <v>0.18</v>
      </c>
      <c r="AI428" s="3">
        <f>ROUND(AG428+(AG428*AH428),2)</f>
        <v/>
      </c>
      <c r="AJ428" s="4" t="n">
        <v>0.2</v>
      </c>
      <c r="AK428" s="3">
        <f>ROUND(AI428*AJ428,2)</f>
        <v/>
      </c>
      <c r="AL428" s="3">
        <f>AI428+AK428</f>
        <v/>
      </c>
      <c r="AM428" s="3">
        <f>AE428-AL428</f>
        <v/>
      </c>
      <c r="AN428" s="4">
        <f>AM428/AE428</f>
        <v/>
      </c>
      <c r="AO428" s="3" t="inlineStr">
        <is>
          <t>60 mins</t>
        </is>
      </c>
      <c r="AQ428" s="3" t="inlineStr">
        <is>
          <t>Weight</t>
        </is>
      </c>
      <c r="AS428" s="3" t="inlineStr">
        <is>
          <t>This product is a high-performance hardware mechanism used to enable smooth, quiet, and full extension of drawers in furniture.</t>
        </is>
      </c>
      <c r="AT428" s="3" t="inlineStr">
        <is>
          <t>60 mins</t>
        </is>
      </c>
    </row>
    <row r="429" ht="15.75" customHeight="1">
      <c r="A429" s="3" t="inlineStr">
        <is>
          <t>PROD_0094</t>
        </is>
      </c>
      <c r="B429" s="3" t="inlineStr">
        <is>
          <t>VAR_3</t>
        </is>
      </c>
      <c r="C429" s="3" t="inlineStr">
        <is>
          <t>Modular Hardware</t>
        </is>
      </c>
      <c r="D429" s="3" t="inlineStr">
        <is>
          <t>Drawers &amp; Pullout</t>
        </is>
      </c>
      <c r="E429" s="3" t="inlineStr">
        <is>
          <t>Inox</t>
        </is>
      </c>
      <c r="F429" s="3" t="inlineStr">
        <is>
          <t>Silent Drawer System | Square EDS w/o rail</t>
        </is>
      </c>
      <c r="J429" s="3" t="inlineStr">
        <is>
          <t>Depth</t>
        </is>
      </c>
      <c r="K429" s="3" t="inlineStr">
        <is>
          <t>400 mm</t>
        </is>
      </c>
      <c r="L429" s="3" t="inlineStr">
        <is>
          <t>Drawer Height</t>
        </is>
      </c>
      <c r="M429" s="3" t="inlineStr">
        <is>
          <t>80 mm</t>
        </is>
      </c>
      <c r="Q429" s="3" t="inlineStr">
        <is>
          <t>Manufacturer's Warranty</t>
        </is>
      </c>
      <c r="R429" s="3" t="inlineStr">
        <is>
          <t>J11.01.400</t>
        </is>
      </c>
      <c r="Y429" s="3" t="inlineStr">
        <is>
          <t>INOX_SDS_SQUARE_EDS_WO_RAIL_400MM</t>
        </is>
      </c>
      <c r="Z429" s="3" t="n">
        <v>8302</v>
      </c>
      <c r="AC429" s="3" t="n">
        <v>1</v>
      </c>
      <c r="AE429" s="3" t="n">
        <v>3299</v>
      </c>
      <c r="AF429" s="4" t="n">
        <v>0.5</v>
      </c>
      <c r="AG429" s="3">
        <f>ROUND(AE429-(AE429*AF429),2)</f>
        <v/>
      </c>
      <c r="AH429" s="4" t="n">
        <v>0.18</v>
      </c>
      <c r="AI429" s="3">
        <f>ROUND(AG429+(AG429*AH429),2)</f>
        <v/>
      </c>
      <c r="AJ429" s="4" t="n">
        <v>0.2</v>
      </c>
      <c r="AK429" s="3">
        <f>ROUND(AI429*AJ429,2)</f>
        <v/>
      </c>
      <c r="AL429" s="3">
        <f>AI429+AK429</f>
        <v/>
      </c>
      <c r="AM429" s="3">
        <f>AE429-AL429</f>
        <v/>
      </c>
      <c r="AN429" s="4">
        <f>AM429/AE429</f>
        <v/>
      </c>
      <c r="AO429" s="3" t="inlineStr">
        <is>
          <t>60 mins</t>
        </is>
      </c>
      <c r="AQ429" s="3" t="inlineStr">
        <is>
          <t>Weight</t>
        </is>
      </c>
      <c r="AS429" s="3" t="inlineStr">
        <is>
          <t>This product is a high-performance hardware mechanism used to enable smooth, quiet, and full extension of drawers in furniture.</t>
        </is>
      </c>
      <c r="AT429" s="3" t="inlineStr">
        <is>
          <t>60 mins</t>
        </is>
      </c>
    </row>
    <row r="430" ht="15.75" customHeight="1">
      <c r="A430" s="3" t="inlineStr">
        <is>
          <t>PROD_0094</t>
        </is>
      </c>
      <c r="B430" s="3" t="inlineStr">
        <is>
          <t>VAR_4</t>
        </is>
      </c>
      <c r="C430" s="3" t="inlineStr">
        <is>
          <t>Modular Hardware</t>
        </is>
      </c>
      <c r="D430" s="3" t="inlineStr">
        <is>
          <t>Drawers &amp; Pullout</t>
        </is>
      </c>
      <c r="E430" s="3" t="inlineStr">
        <is>
          <t>Inox</t>
        </is>
      </c>
      <c r="F430" s="3" t="inlineStr">
        <is>
          <t>Silent Drawer System | Square EDS w/o rail</t>
        </is>
      </c>
      <c r="J430" s="3" t="inlineStr">
        <is>
          <t>Depth</t>
        </is>
      </c>
      <c r="K430" s="3" t="inlineStr">
        <is>
          <t>450 mm</t>
        </is>
      </c>
      <c r="L430" s="3" t="inlineStr">
        <is>
          <t>Drawer Height</t>
        </is>
      </c>
      <c r="M430" s="3" t="inlineStr">
        <is>
          <t>80 mm</t>
        </is>
      </c>
      <c r="Q430" s="3" t="inlineStr">
        <is>
          <t>Manufacturer's Warranty</t>
        </is>
      </c>
      <c r="R430" s="3" t="inlineStr">
        <is>
          <t>J11.01.450</t>
        </is>
      </c>
      <c r="Y430" s="3" t="inlineStr">
        <is>
          <t>INOX_SDS_SQUARE_EDS_WO_RAIL_450MM</t>
        </is>
      </c>
      <c r="Z430" s="3" t="n">
        <v>8302</v>
      </c>
      <c r="AC430" s="3" t="n">
        <v>1</v>
      </c>
      <c r="AE430" s="3" t="n">
        <v>3399</v>
      </c>
      <c r="AF430" s="4" t="n">
        <v>0.5</v>
      </c>
      <c r="AG430" s="3">
        <f>ROUND(AE430-(AE430*AF430),2)</f>
        <v/>
      </c>
      <c r="AH430" s="4" t="n">
        <v>0.18</v>
      </c>
      <c r="AI430" s="3">
        <f>ROUND(AG430+(AG430*AH430),2)</f>
        <v/>
      </c>
      <c r="AJ430" s="4" t="n">
        <v>0.2</v>
      </c>
      <c r="AK430" s="3">
        <f>ROUND(AI430*AJ430,2)</f>
        <v/>
      </c>
      <c r="AL430" s="3">
        <f>AI430+AK430</f>
        <v/>
      </c>
      <c r="AM430" s="3">
        <f>AE430-AL430</f>
        <v/>
      </c>
      <c r="AN430" s="4">
        <f>AM430/AE430</f>
        <v/>
      </c>
      <c r="AO430" s="3" t="inlineStr">
        <is>
          <t>60 mins</t>
        </is>
      </c>
      <c r="AQ430" s="3" t="inlineStr">
        <is>
          <t>Weight</t>
        </is>
      </c>
      <c r="AS430" s="3" t="inlineStr">
        <is>
          <t>This product is a high-performance hardware mechanism used to enable smooth, quiet, and full extension of drawers in furniture.</t>
        </is>
      </c>
      <c r="AT430" s="3" t="inlineStr">
        <is>
          <t>60 mins</t>
        </is>
      </c>
    </row>
    <row r="431" ht="15.75" customHeight="1">
      <c r="A431" s="3" t="inlineStr">
        <is>
          <t>PROD_0094</t>
        </is>
      </c>
      <c r="B431" s="3" t="inlineStr">
        <is>
          <t>VAR_5</t>
        </is>
      </c>
      <c r="C431" s="3" t="inlineStr">
        <is>
          <t>Modular Hardware</t>
        </is>
      </c>
      <c r="D431" s="3" t="inlineStr">
        <is>
          <t>Drawers &amp; Pullout</t>
        </is>
      </c>
      <c r="E431" s="3" t="inlineStr">
        <is>
          <t>Inox</t>
        </is>
      </c>
      <c r="F431" s="3" t="inlineStr">
        <is>
          <t>Silent Drawer System | Square EDS w/o rail</t>
        </is>
      </c>
      <c r="J431" s="3" t="inlineStr">
        <is>
          <t>Depth</t>
        </is>
      </c>
      <c r="K431" s="3" t="inlineStr">
        <is>
          <t>500 mm</t>
        </is>
      </c>
      <c r="L431" s="3" t="inlineStr">
        <is>
          <t>Drawer Height</t>
        </is>
      </c>
      <c r="M431" s="3" t="inlineStr">
        <is>
          <t>80 mm</t>
        </is>
      </c>
      <c r="Q431" s="3" t="inlineStr">
        <is>
          <t>Manufacturer's Warranty</t>
        </is>
      </c>
      <c r="R431" s="3" t="inlineStr">
        <is>
          <t>J11.01.500</t>
        </is>
      </c>
      <c r="Y431" s="3" t="inlineStr">
        <is>
          <t>INOX_SDS_SQUARE_EDS_WO_RAIL_500MM</t>
        </is>
      </c>
      <c r="Z431" s="3" t="n">
        <v>8302</v>
      </c>
      <c r="AC431" s="3" t="n">
        <v>1</v>
      </c>
      <c r="AE431" s="3" t="n">
        <v>3499</v>
      </c>
      <c r="AF431" s="4" t="n">
        <v>0.5</v>
      </c>
      <c r="AG431" s="3">
        <f>ROUND(AE431-(AE431*AF431),2)</f>
        <v/>
      </c>
      <c r="AH431" s="4" t="n">
        <v>0.18</v>
      </c>
      <c r="AI431" s="3">
        <f>ROUND(AG431+(AG431*AH431),2)</f>
        <v/>
      </c>
      <c r="AJ431" s="4" t="n">
        <v>0.2</v>
      </c>
      <c r="AK431" s="3">
        <f>ROUND(AI431*AJ431,2)</f>
        <v/>
      </c>
      <c r="AL431" s="3">
        <f>AI431+AK431</f>
        <v/>
      </c>
      <c r="AM431" s="3">
        <f>AE431-AL431</f>
        <v/>
      </c>
      <c r="AN431" s="4">
        <f>AM431/AE431</f>
        <v/>
      </c>
      <c r="AO431" s="3" t="inlineStr">
        <is>
          <t>60 mins</t>
        </is>
      </c>
      <c r="AQ431" s="3" t="inlineStr">
        <is>
          <t>Weight</t>
        </is>
      </c>
      <c r="AS431" s="3" t="inlineStr">
        <is>
          <t>This product is a high-performance hardware mechanism used to enable smooth, quiet, and full extension of drawers in furniture.</t>
        </is>
      </c>
      <c r="AT431" s="3" t="inlineStr">
        <is>
          <t>60 mins</t>
        </is>
      </c>
    </row>
    <row r="432" ht="15.75" customHeight="1">
      <c r="A432" s="3" t="inlineStr">
        <is>
          <t>PROD_0094</t>
        </is>
      </c>
      <c r="B432" s="3" t="inlineStr">
        <is>
          <t>VAR_6</t>
        </is>
      </c>
      <c r="C432" s="3" t="inlineStr">
        <is>
          <t>Modular Hardware</t>
        </is>
      </c>
      <c r="D432" s="3" t="inlineStr">
        <is>
          <t>Drawers &amp; Pullout</t>
        </is>
      </c>
      <c r="E432" s="3" t="inlineStr">
        <is>
          <t>Inox</t>
        </is>
      </c>
      <c r="F432" s="3" t="inlineStr">
        <is>
          <t>Silent Drawer System | Square EDS w/o rail</t>
        </is>
      </c>
      <c r="J432" s="3" t="inlineStr">
        <is>
          <t>Depth</t>
        </is>
      </c>
      <c r="K432" s="3" t="inlineStr">
        <is>
          <t>550 mm</t>
        </is>
      </c>
      <c r="L432" s="3" t="inlineStr">
        <is>
          <t>Drawer Height</t>
        </is>
      </c>
      <c r="M432" s="3" t="inlineStr">
        <is>
          <t>80 mm</t>
        </is>
      </c>
      <c r="Q432" s="3" t="inlineStr">
        <is>
          <t>Manufacturer's Warranty</t>
        </is>
      </c>
      <c r="R432" s="3" t="inlineStr">
        <is>
          <t>J11.01.550</t>
        </is>
      </c>
      <c r="Y432" s="3" t="inlineStr">
        <is>
          <t>INOX_SDS_SQUARE_EDS_WO_RAIL_550MM</t>
        </is>
      </c>
      <c r="Z432" s="3" t="n">
        <v>8302</v>
      </c>
      <c r="AC432" s="3" t="n">
        <v>1</v>
      </c>
      <c r="AE432" s="3" t="n">
        <v>3699</v>
      </c>
      <c r="AF432" s="4" t="n">
        <v>0.5</v>
      </c>
      <c r="AG432" s="3">
        <f>ROUND(AE432-(AE432*AF432),2)</f>
        <v/>
      </c>
      <c r="AH432" s="4" t="n">
        <v>0.18</v>
      </c>
      <c r="AI432" s="3">
        <f>ROUND(AG432+(AG432*AH432),2)</f>
        <v/>
      </c>
      <c r="AJ432" s="4" t="n">
        <v>0.2</v>
      </c>
      <c r="AK432" s="3">
        <f>ROUND(AI432*AJ432,2)</f>
        <v/>
      </c>
      <c r="AL432" s="3">
        <f>AI432+AK432</f>
        <v/>
      </c>
      <c r="AM432" s="3">
        <f>AE432-AL432</f>
        <v/>
      </c>
      <c r="AN432" s="4">
        <f>AM432/AE432</f>
        <v/>
      </c>
      <c r="AO432" s="3" t="inlineStr">
        <is>
          <t>60 mins</t>
        </is>
      </c>
      <c r="AQ432" s="3" t="inlineStr">
        <is>
          <t>Weight</t>
        </is>
      </c>
      <c r="AS432" s="3" t="inlineStr">
        <is>
          <t>This product is a high-performance hardware mechanism used to enable smooth, quiet, and full extension of drawers in furniture.</t>
        </is>
      </c>
      <c r="AT432" s="3" t="inlineStr">
        <is>
          <t>60 mins</t>
        </is>
      </c>
    </row>
    <row r="433" ht="15.75" customHeight="1">
      <c r="A433" s="3" t="inlineStr">
        <is>
          <t>PROD_0095</t>
        </is>
      </c>
      <c r="B433" s="3" t="inlineStr">
        <is>
          <t>VAR_1</t>
        </is>
      </c>
      <c r="C433" s="3" t="inlineStr">
        <is>
          <t>Modular Hardware</t>
        </is>
      </c>
      <c r="D433" s="3" t="inlineStr">
        <is>
          <t>Drawers &amp; Pullout</t>
        </is>
      </c>
      <c r="E433" s="3" t="inlineStr">
        <is>
          <t>Inox</t>
        </is>
      </c>
      <c r="F433" s="3" t="inlineStr">
        <is>
          <t>Silent Drawer System | Square EDS with rail</t>
        </is>
      </c>
      <c r="J433" s="3" t="inlineStr">
        <is>
          <t>Depth</t>
        </is>
      </c>
      <c r="K433" s="3" t="inlineStr">
        <is>
          <t>300 mm</t>
        </is>
      </c>
      <c r="L433" s="3" t="inlineStr">
        <is>
          <t>Drawer Height</t>
        </is>
      </c>
      <c r="M433" s="3" t="inlineStr">
        <is>
          <t>130 mm</t>
        </is>
      </c>
      <c r="Q433" s="3" t="inlineStr">
        <is>
          <t>Manufacturer's Warranty</t>
        </is>
      </c>
      <c r="R433" s="3" t="inlineStr">
        <is>
          <t>J11.02.300</t>
        </is>
      </c>
      <c r="Y433" s="3" t="inlineStr">
        <is>
          <t>INOX_SDS_SQUARE_EDS_W_RAIL_300MM</t>
        </is>
      </c>
      <c r="Z433" s="3" t="n">
        <v>8302</v>
      </c>
      <c r="AC433" s="3" t="n">
        <v>1</v>
      </c>
      <c r="AE433" s="3" t="n">
        <v>3699</v>
      </c>
      <c r="AF433" s="4" t="n">
        <v>0.5</v>
      </c>
      <c r="AG433" s="3">
        <f>ROUND(AE433-(AE433*AF433),2)</f>
        <v/>
      </c>
      <c r="AH433" s="4" t="n">
        <v>0.18</v>
      </c>
      <c r="AI433" s="3">
        <f>ROUND(AG433+(AG433*AH433),2)</f>
        <v/>
      </c>
      <c r="AJ433" s="4" t="n">
        <v>0.2</v>
      </c>
      <c r="AK433" s="3">
        <f>ROUND(AI433*AJ433,2)</f>
        <v/>
      </c>
      <c r="AL433" s="3">
        <f>AI433+AK433</f>
        <v/>
      </c>
      <c r="AM433" s="3">
        <f>AE433-AL433</f>
        <v/>
      </c>
      <c r="AN433" s="4">
        <f>AM433/AE433</f>
        <v/>
      </c>
      <c r="AO433" s="3" t="inlineStr">
        <is>
          <t>60 mins</t>
        </is>
      </c>
      <c r="AQ433" s="3" t="inlineStr">
        <is>
          <t>Weight</t>
        </is>
      </c>
      <c r="AS433" s="3" t="inlineStr">
        <is>
          <t>This product is a high-performance hardware mechanism used to enable smooth, quiet, and full extension of drawers in furniture.</t>
        </is>
      </c>
      <c r="AT433" s="3" t="inlineStr">
        <is>
          <t>60 mins</t>
        </is>
      </c>
    </row>
    <row r="434" ht="15.75" customHeight="1">
      <c r="A434" s="3" t="inlineStr">
        <is>
          <t>PROD_0095</t>
        </is>
      </c>
      <c r="B434" s="3" t="inlineStr">
        <is>
          <t>VAR_2</t>
        </is>
      </c>
      <c r="C434" s="3" t="inlineStr">
        <is>
          <t>Modular Hardware</t>
        </is>
      </c>
      <c r="D434" s="3" t="inlineStr">
        <is>
          <t>Drawers &amp; Pullout</t>
        </is>
      </c>
      <c r="E434" s="3" t="inlineStr">
        <is>
          <t>Inox</t>
        </is>
      </c>
      <c r="F434" s="3" t="inlineStr">
        <is>
          <t>Silent Drawer System | Square EDS with rail</t>
        </is>
      </c>
      <c r="J434" s="3" t="inlineStr">
        <is>
          <t>Depth</t>
        </is>
      </c>
      <c r="K434" s="3" t="inlineStr">
        <is>
          <t>350 mm</t>
        </is>
      </c>
      <c r="L434" s="3" t="inlineStr">
        <is>
          <t>Drawer Height</t>
        </is>
      </c>
      <c r="M434" s="3" t="inlineStr">
        <is>
          <t>130 mm</t>
        </is>
      </c>
      <c r="Q434" s="3" t="inlineStr">
        <is>
          <t>Manufacturer's Warranty</t>
        </is>
      </c>
      <c r="R434" s="3" t="inlineStr">
        <is>
          <t>J11.02.350</t>
        </is>
      </c>
      <c r="Y434" s="3" t="inlineStr">
        <is>
          <t>INOX_SDS_SQUARE_EDS_W_RAIL_350MM</t>
        </is>
      </c>
      <c r="Z434" s="3" t="n">
        <v>8302</v>
      </c>
      <c r="AC434" s="3" t="n">
        <v>1</v>
      </c>
      <c r="AE434" s="3" t="n">
        <v>3799</v>
      </c>
      <c r="AF434" s="4" t="n">
        <v>0.5</v>
      </c>
      <c r="AG434" s="3">
        <f>ROUND(AE434-(AE434*AF434),2)</f>
        <v/>
      </c>
      <c r="AH434" s="4" t="n">
        <v>0.18</v>
      </c>
      <c r="AI434" s="3">
        <f>ROUND(AG434+(AG434*AH434),2)</f>
        <v/>
      </c>
      <c r="AJ434" s="4" t="n">
        <v>0.2</v>
      </c>
      <c r="AK434" s="3">
        <f>ROUND(AI434*AJ434,2)</f>
        <v/>
      </c>
      <c r="AL434" s="3">
        <f>AI434+AK434</f>
        <v/>
      </c>
      <c r="AM434" s="3">
        <f>AE434-AL434</f>
        <v/>
      </c>
      <c r="AN434" s="4">
        <f>AM434/AE434</f>
        <v/>
      </c>
      <c r="AO434" s="3" t="inlineStr">
        <is>
          <t>60 mins</t>
        </is>
      </c>
      <c r="AQ434" s="3" t="inlineStr">
        <is>
          <t>Weight</t>
        </is>
      </c>
      <c r="AS434" s="3" t="inlineStr">
        <is>
          <t>This product is a high-performance hardware mechanism used to enable smooth, quiet, and full extension of drawers in furniture.</t>
        </is>
      </c>
      <c r="AT434" s="3" t="inlineStr">
        <is>
          <t>60 mins</t>
        </is>
      </c>
    </row>
    <row r="435" ht="15.75" customHeight="1">
      <c r="A435" s="3" t="inlineStr">
        <is>
          <t>PROD_0095</t>
        </is>
      </c>
      <c r="B435" s="3" t="inlineStr">
        <is>
          <t>VAR_3</t>
        </is>
      </c>
      <c r="C435" s="3" t="inlineStr">
        <is>
          <t>Modular Hardware</t>
        </is>
      </c>
      <c r="D435" s="3" t="inlineStr">
        <is>
          <t>Drawers &amp; Pullout</t>
        </is>
      </c>
      <c r="E435" s="3" t="inlineStr">
        <is>
          <t>Inox</t>
        </is>
      </c>
      <c r="F435" s="3" t="inlineStr">
        <is>
          <t>Silent Drawer System | Square EDS with rail</t>
        </is>
      </c>
      <c r="J435" s="3" t="inlineStr">
        <is>
          <t>Depth</t>
        </is>
      </c>
      <c r="K435" s="3" t="inlineStr">
        <is>
          <t>400 mm</t>
        </is>
      </c>
      <c r="L435" s="3" t="inlineStr">
        <is>
          <t>Drawer Height</t>
        </is>
      </c>
      <c r="M435" s="3" t="inlineStr">
        <is>
          <t>130 mm</t>
        </is>
      </c>
      <c r="Q435" s="3" t="inlineStr">
        <is>
          <t>Manufacturer's Warranty</t>
        </is>
      </c>
      <c r="R435" s="3" t="inlineStr">
        <is>
          <t>J11.02.400</t>
        </is>
      </c>
      <c r="Y435" s="3" t="inlineStr">
        <is>
          <t>INOX_SDS_SQUARE_EDS_W_RAIL_400MM</t>
        </is>
      </c>
      <c r="Z435" s="3" t="n">
        <v>8302</v>
      </c>
      <c r="AC435" s="3" t="n">
        <v>1</v>
      </c>
      <c r="AE435" s="3" t="n">
        <v>3899</v>
      </c>
      <c r="AF435" s="4" t="n">
        <v>0.5</v>
      </c>
      <c r="AG435" s="3">
        <f>ROUND(AE435-(AE435*AF435),2)</f>
        <v/>
      </c>
      <c r="AH435" s="4" t="n">
        <v>0.18</v>
      </c>
      <c r="AI435" s="3">
        <f>ROUND(AG435+(AG435*AH435),2)</f>
        <v/>
      </c>
      <c r="AJ435" s="4" t="n">
        <v>0.2</v>
      </c>
      <c r="AK435" s="3">
        <f>ROUND(AI435*AJ435,2)</f>
        <v/>
      </c>
      <c r="AL435" s="3">
        <f>AI435+AK435</f>
        <v/>
      </c>
      <c r="AM435" s="3">
        <f>AE435-AL435</f>
        <v/>
      </c>
      <c r="AN435" s="4">
        <f>AM435/AE435</f>
        <v/>
      </c>
      <c r="AO435" s="3" t="inlineStr">
        <is>
          <t>60 mins</t>
        </is>
      </c>
      <c r="AQ435" s="3" t="inlineStr">
        <is>
          <t>Weight</t>
        </is>
      </c>
      <c r="AS435" s="3" t="inlineStr">
        <is>
          <t>This product is a high-performance hardware mechanism used to enable smooth, quiet, and full extension of drawers in furniture.</t>
        </is>
      </c>
      <c r="AT435" s="3" t="inlineStr">
        <is>
          <t>60 mins</t>
        </is>
      </c>
    </row>
    <row r="436" ht="15.75" customHeight="1">
      <c r="A436" s="3" t="inlineStr">
        <is>
          <t>PROD_0095</t>
        </is>
      </c>
      <c r="B436" s="3" t="inlineStr">
        <is>
          <t>VAR_4</t>
        </is>
      </c>
      <c r="C436" s="3" t="inlineStr">
        <is>
          <t>Modular Hardware</t>
        </is>
      </c>
      <c r="D436" s="3" t="inlineStr">
        <is>
          <t>Drawers &amp; Pullout</t>
        </is>
      </c>
      <c r="E436" s="3" t="inlineStr">
        <is>
          <t>Inox</t>
        </is>
      </c>
      <c r="F436" s="3" t="inlineStr">
        <is>
          <t>Silent Drawer System | Square EDS with rail</t>
        </is>
      </c>
      <c r="J436" s="3" t="inlineStr">
        <is>
          <t>Depth</t>
        </is>
      </c>
      <c r="K436" s="3" t="inlineStr">
        <is>
          <t>450 mm</t>
        </is>
      </c>
      <c r="L436" s="3" t="inlineStr">
        <is>
          <t>Drawer Height</t>
        </is>
      </c>
      <c r="M436" s="3" t="inlineStr">
        <is>
          <t>130 mm</t>
        </is>
      </c>
      <c r="Q436" s="3" t="inlineStr">
        <is>
          <t>Manufacturer's Warranty</t>
        </is>
      </c>
      <c r="R436" s="3" t="inlineStr">
        <is>
          <t>J11.02.450</t>
        </is>
      </c>
      <c r="Y436" s="3" t="inlineStr">
        <is>
          <t>INOX_SDS_SQUARE_EDS_W_RAIL_450MM</t>
        </is>
      </c>
      <c r="Z436" s="3" t="n">
        <v>8302</v>
      </c>
      <c r="AC436" s="3" t="n">
        <v>1</v>
      </c>
      <c r="AE436" s="3" t="n">
        <v>3999</v>
      </c>
      <c r="AF436" s="4" t="n">
        <v>0.5</v>
      </c>
      <c r="AG436" s="3">
        <f>ROUND(AE436-(AE436*AF436),2)</f>
        <v/>
      </c>
      <c r="AH436" s="4" t="n">
        <v>0.18</v>
      </c>
      <c r="AI436" s="3">
        <f>ROUND(AG436+(AG436*AH436),2)</f>
        <v/>
      </c>
      <c r="AJ436" s="4" t="n">
        <v>0.2</v>
      </c>
      <c r="AK436" s="3">
        <f>ROUND(AI436*AJ436,2)</f>
        <v/>
      </c>
      <c r="AL436" s="3">
        <f>AI436+AK436</f>
        <v/>
      </c>
      <c r="AM436" s="3">
        <f>AE436-AL436</f>
        <v/>
      </c>
      <c r="AN436" s="4">
        <f>AM436/AE436</f>
        <v/>
      </c>
      <c r="AO436" s="3" t="inlineStr">
        <is>
          <t>60 mins</t>
        </is>
      </c>
      <c r="AQ436" s="3" t="inlineStr">
        <is>
          <t>Weight</t>
        </is>
      </c>
      <c r="AS436" s="3" t="inlineStr">
        <is>
          <t>This product is a high-performance hardware mechanism used to enable smooth, quiet, and full extension of drawers in furniture.</t>
        </is>
      </c>
      <c r="AT436" s="3" t="inlineStr">
        <is>
          <t>60 mins</t>
        </is>
      </c>
    </row>
    <row r="437" ht="15.75" customHeight="1">
      <c r="A437" s="3" t="inlineStr">
        <is>
          <t>PROD_0095</t>
        </is>
      </c>
      <c r="B437" s="3" t="inlineStr">
        <is>
          <t>VAR_5</t>
        </is>
      </c>
      <c r="C437" s="3" t="inlineStr">
        <is>
          <t>Modular Hardware</t>
        </is>
      </c>
      <c r="D437" s="3" t="inlineStr">
        <is>
          <t>Drawers &amp; Pullout</t>
        </is>
      </c>
      <c r="E437" s="3" t="inlineStr">
        <is>
          <t>Inox</t>
        </is>
      </c>
      <c r="F437" s="3" t="inlineStr">
        <is>
          <t>Silent Drawer System | Square EDS with rail</t>
        </is>
      </c>
      <c r="J437" s="3" t="inlineStr">
        <is>
          <t>Depth</t>
        </is>
      </c>
      <c r="K437" s="3" t="inlineStr">
        <is>
          <t>500 mm</t>
        </is>
      </c>
      <c r="L437" s="3" t="inlineStr">
        <is>
          <t>Drawer Height</t>
        </is>
      </c>
      <c r="M437" s="3" t="inlineStr">
        <is>
          <t>130 mm</t>
        </is>
      </c>
      <c r="Q437" s="3" t="inlineStr">
        <is>
          <t>Manufacturer's Warranty</t>
        </is>
      </c>
      <c r="R437" s="3" t="inlineStr">
        <is>
          <t>J11.02.500</t>
        </is>
      </c>
      <c r="Y437" s="3" t="inlineStr">
        <is>
          <t>INOX_SDS_SQUARE_EDS_W_RAIL_500MM</t>
        </is>
      </c>
      <c r="Z437" s="3" t="n">
        <v>8302</v>
      </c>
      <c r="AC437" s="3" t="n">
        <v>1</v>
      </c>
      <c r="AE437" s="3" t="n">
        <v>4099</v>
      </c>
      <c r="AF437" s="4" t="n">
        <v>0.5</v>
      </c>
      <c r="AG437" s="3">
        <f>ROUND(AE437-(AE437*AF437),2)</f>
        <v/>
      </c>
      <c r="AH437" s="4" t="n">
        <v>0.18</v>
      </c>
      <c r="AI437" s="3">
        <f>ROUND(AG437+(AG437*AH437),2)</f>
        <v/>
      </c>
      <c r="AJ437" s="4" t="n">
        <v>0.2</v>
      </c>
      <c r="AK437" s="3">
        <f>ROUND(AI437*AJ437,2)</f>
        <v/>
      </c>
      <c r="AL437" s="3">
        <f>AI437+AK437</f>
        <v/>
      </c>
      <c r="AM437" s="3">
        <f>AE437-AL437</f>
        <v/>
      </c>
      <c r="AN437" s="4">
        <f>AM437/AE437</f>
        <v/>
      </c>
      <c r="AO437" s="3" t="inlineStr">
        <is>
          <t>60 mins</t>
        </is>
      </c>
      <c r="AQ437" s="3" t="inlineStr">
        <is>
          <t>Weight</t>
        </is>
      </c>
      <c r="AS437" s="3" t="inlineStr">
        <is>
          <t>This product is a high-performance hardware mechanism used to enable smooth, quiet, and full extension of drawers in furniture.</t>
        </is>
      </c>
      <c r="AT437" s="3" t="inlineStr">
        <is>
          <t>60 mins</t>
        </is>
      </c>
    </row>
    <row r="438" ht="15.75" customHeight="1">
      <c r="A438" s="3" t="inlineStr">
        <is>
          <t>PROD_0095</t>
        </is>
      </c>
      <c r="B438" s="3" t="inlineStr">
        <is>
          <t>VAR_6</t>
        </is>
      </c>
      <c r="C438" s="3" t="inlineStr">
        <is>
          <t>Modular Hardware</t>
        </is>
      </c>
      <c r="D438" s="3" t="inlineStr">
        <is>
          <t>Drawers &amp; Pullout</t>
        </is>
      </c>
      <c r="E438" s="3" t="inlineStr">
        <is>
          <t>Inox</t>
        </is>
      </c>
      <c r="F438" s="3" t="inlineStr">
        <is>
          <t>Silent Drawer System | Square EDS with rail</t>
        </is>
      </c>
      <c r="J438" s="3" t="inlineStr">
        <is>
          <t>Depth</t>
        </is>
      </c>
      <c r="K438" s="3" t="inlineStr">
        <is>
          <t>550 mm</t>
        </is>
      </c>
      <c r="L438" s="3" t="inlineStr">
        <is>
          <t>Drawer Height</t>
        </is>
      </c>
      <c r="M438" s="3" t="inlineStr">
        <is>
          <t>130 mm</t>
        </is>
      </c>
      <c r="Q438" s="3" t="inlineStr">
        <is>
          <t>Manufacturer's Warranty</t>
        </is>
      </c>
      <c r="R438" s="3" t="inlineStr">
        <is>
          <t>J11.02.550</t>
        </is>
      </c>
      <c r="Y438" s="3" t="inlineStr">
        <is>
          <t>INOX_SDS_SQUARE_EDS_W_RAIL_550MM</t>
        </is>
      </c>
      <c r="Z438" s="3" t="n">
        <v>8302</v>
      </c>
      <c r="AC438" s="3" t="n">
        <v>1</v>
      </c>
      <c r="AE438" s="3" t="n">
        <v>4299</v>
      </c>
      <c r="AF438" s="4" t="n">
        <v>0.5</v>
      </c>
      <c r="AG438" s="3">
        <f>ROUND(AE438-(AE438*AF438),2)</f>
        <v/>
      </c>
      <c r="AH438" s="4" t="n">
        <v>0.18</v>
      </c>
      <c r="AI438" s="3">
        <f>ROUND(AG438+(AG438*AH438),2)</f>
        <v/>
      </c>
      <c r="AJ438" s="4" t="n">
        <v>0.2</v>
      </c>
      <c r="AK438" s="3">
        <f>ROUND(AI438*AJ438,2)</f>
        <v/>
      </c>
      <c r="AL438" s="3">
        <f>AI438+AK438</f>
        <v/>
      </c>
      <c r="AM438" s="3">
        <f>AE438-AL438</f>
        <v/>
      </c>
      <c r="AN438" s="4">
        <f>AM438/AE438</f>
        <v/>
      </c>
      <c r="AO438" s="3" t="inlineStr">
        <is>
          <t>60 mins</t>
        </is>
      </c>
      <c r="AQ438" s="3" t="inlineStr">
        <is>
          <t>Weight</t>
        </is>
      </c>
      <c r="AS438" s="3" t="inlineStr">
        <is>
          <t>This product is a high-performance hardware mechanism used to enable smooth, quiet, and full extension of drawers in furniture.</t>
        </is>
      </c>
      <c r="AT438" s="3" t="inlineStr">
        <is>
          <t>60 mins</t>
        </is>
      </c>
    </row>
    <row r="439" ht="15.75" customHeight="1">
      <c r="A439" s="3" t="inlineStr">
        <is>
          <t>PROD_0096</t>
        </is>
      </c>
      <c r="B439" s="3" t="inlineStr">
        <is>
          <t>VAR_1</t>
        </is>
      </c>
      <c r="C439" s="3" t="inlineStr">
        <is>
          <t>Modular Hardware</t>
        </is>
      </c>
      <c r="D439" s="3" t="inlineStr">
        <is>
          <t>Drawers &amp; Pullout</t>
        </is>
      </c>
      <c r="E439" s="3" t="inlineStr">
        <is>
          <t>Inox</t>
        </is>
      </c>
      <c r="F439" s="3" t="inlineStr">
        <is>
          <t>Silent Drawer System | Square EDS with High Rail</t>
        </is>
      </c>
      <c r="J439" s="3" t="inlineStr">
        <is>
          <t>Depth</t>
        </is>
      </c>
      <c r="K439" s="3" t="inlineStr">
        <is>
          <t>400 mm</t>
        </is>
      </c>
      <c r="L439" s="3" t="inlineStr">
        <is>
          <t>Drawer Height</t>
        </is>
      </c>
      <c r="M439" s="3" t="inlineStr">
        <is>
          <t>190 mm</t>
        </is>
      </c>
      <c r="Q439" s="3" t="inlineStr">
        <is>
          <t>Manufacturer's Warranty</t>
        </is>
      </c>
      <c r="R439" s="3" t="inlineStr">
        <is>
          <t>J11.03.400</t>
        </is>
      </c>
      <c r="Y439" s="3" t="inlineStr">
        <is>
          <t>INOX_SDS_SQUARE_EDS_WH_RAIL_400MM</t>
        </is>
      </c>
      <c r="Z439" s="3" t="n">
        <v>8302</v>
      </c>
      <c r="AC439" s="3" t="n">
        <v>1</v>
      </c>
      <c r="AE439" s="3" t="n">
        <v>4499</v>
      </c>
      <c r="AF439" s="4" t="n">
        <v>0.5</v>
      </c>
      <c r="AG439" s="3">
        <f>ROUND(AE439-(AE439*AF439),2)</f>
        <v/>
      </c>
      <c r="AH439" s="4" t="n">
        <v>0.18</v>
      </c>
      <c r="AI439" s="3">
        <f>ROUND(AG439+(AG439*AH439),2)</f>
        <v/>
      </c>
      <c r="AJ439" s="4" t="n">
        <v>0.2</v>
      </c>
      <c r="AK439" s="3">
        <f>ROUND(AI439*AJ439,2)</f>
        <v/>
      </c>
      <c r="AL439" s="3">
        <f>AI439+AK439</f>
        <v/>
      </c>
      <c r="AM439" s="3">
        <f>AE439-AL439</f>
        <v/>
      </c>
      <c r="AN439" s="4">
        <f>AM439/AE439</f>
        <v/>
      </c>
      <c r="AO439" s="3" t="inlineStr">
        <is>
          <t>60 mins</t>
        </is>
      </c>
      <c r="AQ439" s="3" t="inlineStr">
        <is>
          <t>Weight</t>
        </is>
      </c>
      <c r="AS439" s="3" t="inlineStr">
        <is>
          <t>This product is a high-performance hardware mechanism used to enable smooth, quiet, and full extension of drawers in furniture.</t>
        </is>
      </c>
      <c r="AT439" s="3" t="inlineStr">
        <is>
          <t>60 mins</t>
        </is>
      </c>
    </row>
    <row r="440" ht="15.75" customHeight="1">
      <c r="A440" s="3" t="inlineStr">
        <is>
          <t>PROD_0096</t>
        </is>
      </c>
      <c r="B440" s="3" t="inlineStr">
        <is>
          <t>VAR_2</t>
        </is>
      </c>
      <c r="C440" s="3" t="inlineStr">
        <is>
          <t>Modular Hardware</t>
        </is>
      </c>
      <c r="D440" s="3" t="inlineStr">
        <is>
          <t>Drawers &amp; Pullout</t>
        </is>
      </c>
      <c r="E440" s="3" t="inlineStr">
        <is>
          <t>Inox</t>
        </is>
      </c>
      <c r="F440" s="3" t="inlineStr">
        <is>
          <t>Silent Drawer System | Square EDS with High Rail</t>
        </is>
      </c>
      <c r="J440" s="3" t="inlineStr">
        <is>
          <t>Depth</t>
        </is>
      </c>
      <c r="K440" s="3" t="inlineStr">
        <is>
          <t>450 mm</t>
        </is>
      </c>
      <c r="L440" s="3" t="inlineStr">
        <is>
          <t>Drawer Height</t>
        </is>
      </c>
      <c r="M440" s="3" t="inlineStr">
        <is>
          <t>190 mm</t>
        </is>
      </c>
      <c r="Q440" s="3" t="inlineStr">
        <is>
          <t>Manufacturer's Warranty</t>
        </is>
      </c>
      <c r="R440" s="3" t="inlineStr">
        <is>
          <t>J11.03.450</t>
        </is>
      </c>
      <c r="Y440" s="3" t="inlineStr">
        <is>
          <t>INOX_SDS_SQUARE_EDS_WH_RAIL_450MM</t>
        </is>
      </c>
      <c r="Z440" s="3" t="n">
        <v>8302</v>
      </c>
      <c r="AC440" s="3" t="n">
        <v>1</v>
      </c>
      <c r="AE440" s="3" t="n">
        <v>4599</v>
      </c>
      <c r="AF440" s="4" t="n">
        <v>0.5</v>
      </c>
      <c r="AG440" s="3">
        <f>ROUND(AE440-(AE440*AF440),2)</f>
        <v/>
      </c>
      <c r="AH440" s="4" t="n">
        <v>0.18</v>
      </c>
      <c r="AI440" s="3">
        <f>ROUND(AG440+(AG440*AH440),2)</f>
        <v/>
      </c>
      <c r="AJ440" s="4" t="n">
        <v>0.2</v>
      </c>
      <c r="AK440" s="3">
        <f>ROUND(AI440*AJ440,2)</f>
        <v/>
      </c>
      <c r="AL440" s="3">
        <f>AI440+AK440</f>
        <v/>
      </c>
      <c r="AM440" s="3">
        <f>AE440-AL440</f>
        <v/>
      </c>
      <c r="AN440" s="4">
        <f>AM440/AE440</f>
        <v/>
      </c>
      <c r="AO440" s="3" t="inlineStr">
        <is>
          <t>60 mins</t>
        </is>
      </c>
      <c r="AQ440" s="3" t="inlineStr">
        <is>
          <t>Weight</t>
        </is>
      </c>
      <c r="AS440" s="3" t="inlineStr">
        <is>
          <t>This product is a high-performance hardware mechanism used to enable smooth, quiet, and full extension of drawers in furniture.</t>
        </is>
      </c>
      <c r="AT440" s="3" t="inlineStr">
        <is>
          <t>60 mins</t>
        </is>
      </c>
    </row>
    <row r="441" ht="15.75" customHeight="1">
      <c r="A441" s="3" t="inlineStr">
        <is>
          <t>PROD_0096</t>
        </is>
      </c>
      <c r="B441" s="3" t="inlineStr">
        <is>
          <t>VAR_3</t>
        </is>
      </c>
      <c r="C441" s="3" t="inlineStr">
        <is>
          <t>Modular Hardware</t>
        </is>
      </c>
      <c r="D441" s="3" t="inlineStr">
        <is>
          <t>Drawers &amp; Pullout</t>
        </is>
      </c>
      <c r="E441" s="3" t="inlineStr">
        <is>
          <t>Inox</t>
        </is>
      </c>
      <c r="F441" s="3" t="inlineStr">
        <is>
          <t>Silent Drawer System | Square EDS with High Rail</t>
        </is>
      </c>
      <c r="J441" s="3" t="inlineStr">
        <is>
          <t>Depth</t>
        </is>
      </c>
      <c r="K441" s="3" t="inlineStr">
        <is>
          <t>500 mm</t>
        </is>
      </c>
      <c r="L441" s="3" t="inlineStr">
        <is>
          <t>Drawer Height</t>
        </is>
      </c>
      <c r="M441" s="3" t="inlineStr">
        <is>
          <t>190 mm</t>
        </is>
      </c>
      <c r="Q441" s="3" t="inlineStr">
        <is>
          <t>Manufacturer's Warranty</t>
        </is>
      </c>
      <c r="R441" s="3" t="inlineStr">
        <is>
          <t>J11.03.500</t>
        </is>
      </c>
      <c r="Y441" s="3" t="inlineStr">
        <is>
          <t>INOX_SDS_SQUARE_EDS_WH_RAIL_500MM</t>
        </is>
      </c>
      <c r="Z441" s="3" t="n">
        <v>8302</v>
      </c>
      <c r="AC441" s="3" t="n">
        <v>1</v>
      </c>
      <c r="AE441" s="3" t="n">
        <v>4699</v>
      </c>
      <c r="AF441" s="4" t="n">
        <v>0.5</v>
      </c>
      <c r="AG441" s="3">
        <f>ROUND(AE441-(AE441*AF441),2)</f>
        <v/>
      </c>
      <c r="AH441" s="4" t="n">
        <v>0.18</v>
      </c>
      <c r="AI441" s="3">
        <f>ROUND(AG441+(AG441*AH441),2)</f>
        <v/>
      </c>
      <c r="AJ441" s="4" t="n">
        <v>0.2</v>
      </c>
      <c r="AK441" s="3">
        <f>ROUND(AI441*AJ441,2)</f>
        <v/>
      </c>
      <c r="AL441" s="3">
        <f>AI441+AK441</f>
        <v/>
      </c>
      <c r="AM441" s="3">
        <f>AE441-AL441</f>
        <v/>
      </c>
      <c r="AN441" s="4">
        <f>AM441/AE441</f>
        <v/>
      </c>
      <c r="AO441" s="3" t="inlineStr">
        <is>
          <t>60 mins</t>
        </is>
      </c>
      <c r="AQ441" s="3" t="inlineStr">
        <is>
          <t>Weight</t>
        </is>
      </c>
      <c r="AS441" s="3" t="inlineStr">
        <is>
          <t>This product is a high-performance hardware mechanism used to enable smooth, quiet, and full extension of drawers in furniture.</t>
        </is>
      </c>
      <c r="AT441" s="3" t="inlineStr">
        <is>
          <t>60 mins</t>
        </is>
      </c>
    </row>
    <row r="442" ht="15.75" customHeight="1">
      <c r="A442" s="3" t="inlineStr">
        <is>
          <t>PROD_0096</t>
        </is>
      </c>
      <c r="B442" s="3" t="inlineStr">
        <is>
          <t>VAR_4</t>
        </is>
      </c>
      <c r="C442" s="3" t="inlineStr">
        <is>
          <t>Modular Hardware</t>
        </is>
      </c>
      <c r="D442" s="3" t="inlineStr">
        <is>
          <t>Drawers &amp; Pullout</t>
        </is>
      </c>
      <c r="E442" s="3" t="inlineStr">
        <is>
          <t>Inox</t>
        </is>
      </c>
      <c r="F442" s="3" t="inlineStr">
        <is>
          <t>Silent Drawer System | Square EDS with High Rail</t>
        </is>
      </c>
      <c r="J442" s="3" t="inlineStr">
        <is>
          <t>Depth</t>
        </is>
      </c>
      <c r="K442" s="3" t="inlineStr">
        <is>
          <t>550 mm</t>
        </is>
      </c>
      <c r="L442" s="3" t="inlineStr">
        <is>
          <t>Drawer Height</t>
        </is>
      </c>
      <c r="M442" s="3" t="inlineStr">
        <is>
          <t>190 mm</t>
        </is>
      </c>
      <c r="Q442" s="3" t="inlineStr">
        <is>
          <t>Manufacturer's Warranty</t>
        </is>
      </c>
      <c r="R442" s="3" t="inlineStr">
        <is>
          <t>J11.03.550</t>
        </is>
      </c>
      <c r="Y442" s="3" t="inlineStr">
        <is>
          <t>INOX_SDS_SQUARE_EDS_WH_RAIL_550MM</t>
        </is>
      </c>
      <c r="Z442" s="3" t="n">
        <v>8302</v>
      </c>
      <c r="AC442" s="3" t="n">
        <v>1</v>
      </c>
      <c r="AE442" s="3" t="n">
        <v>4899</v>
      </c>
      <c r="AF442" s="4" t="n">
        <v>0.5</v>
      </c>
      <c r="AG442" s="3">
        <f>ROUND(AE442-(AE442*AF442),2)</f>
        <v/>
      </c>
      <c r="AH442" s="4" t="n">
        <v>0.18</v>
      </c>
      <c r="AI442" s="3">
        <f>ROUND(AG442+(AG442*AH442),2)</f>
        <v/>
      </c>
      <c r="AJ442" s="4" t="n">
        <v>0.2</v>
      </c>
      <c r="AK442" s="3">
        <f>ROUND(AI442*AJ442,2)</f>
        <v/>
      </c>
      <c r="AL442" s="3">
        <f>AI442+AK442</f>
        <v/>
      </c>
      <c r="AM442" s="3">
        <f>AE442-AL442</f>
        <v/>
      </c>
      <c r="AN442" s="4">
        <f>AM442/AE442</f>
        <v/>
      </c>
      <c r="AO442" s="3" t="inlineStr">
        <is>
          <t>60 mins</t>
        </is>
      </c>
      <c r="AQ442" s="3" t="inlineStr">
        <is>
          <t>Weight</t>
        </is>
      </c>
      <c r="AS442" s="3" t="inlineStr">
        <is>
          <t>This product is a high-performance hardware mechanism used to enable smooth, quiet, and full extension of drawers in furniture.</t>
        </is>
      </c>
      <c r="AT442" s="3" t="inlineStr">
        <is>
          <t>60 mins</t>
        </is>
      </c>
    </row>
    <row r="443" ht="15.75" customHeight="1">
      <c r="A443" s="3" t="inlineStr">
        <is>
          <t>PROD_0097</t>
        </is>
      </c>
      <c r="B443" s="3" t="inlineStr">
        <is>
          <t>VAR_1</t>
        </is>
      </c>
      <c r="C443" s="3" t="inlineStr">
        <is>
          <t>Modular Hardware</t>
        </is>
      </c>
      <c r="D443" s="3" t="inlineStr">
        <is>
          <t>Drawers &amp; Pullout</t>
        </is>
      </c>
      <c r="E443" s="3" t="inlineStr">
        <is>
          <t>Inox</t>
        </is>
      </c>
      <c r="F443" s="3" t="inlineStr">
        <is>
          <t>Silent Drawer System | Square EDS with Double Rail</t>
        </is>
      </c>
      <c r="J443" s="3" t="inlineStr">
        <is>
          <t>Depth</t>
        </is>
      </c>
      <c r="K443" s="3" t="inlineStr">
        <is>
          <t>500 mm</t>
        </is>
      </c>
      <c r="L443" s="3" t="inlineStr">
        <is>
          <t>Drawer Height</t>
        </is>
      </c>
      <c r="M443" s="3" t="inlineStr">
        <is>
          <t>190 mm</t>
        </is>
      </c>
      <c r="Q443" s="3" t="inlineStr">
        <is>
          <t>Manufacturer's Warranty</t>
        </is>
      </c>
      <c r="R443" s="3" t="inlineStr">
        <is>
          <t>J11.04.500</t>
        </is>
      </c>
      <c r="Y443" s="3" t="inlineStr">
        <is>
          <t>INOX_SDS_Square_EDS with DR_DH_190MM_DL500MM_J11.04.500</t>
        </is>
      </c>
      <c r="Z443" s="3" t="n">
        <v>8302</v>
      </c>
      <c r="AC443" s="3" t="n">
        <v>1</v>
      </c>
      <c r="AF443" s="4" t="n">
        <v>0.5</v>
      </c>
      <c r="AG443" s="3">
        <f>ROUND(AE443-(AE443*AF443),2)</f>
        <v/>
      </c>
      <c r="AH443" s="4" t="n">
        <v>0.18</v>
      </c>
      <c r="AI443" s="3">
        <f>ROUND(AG443+(AG443*AH443),2)</f>
        <v/>
      </c>
      <c r="AJ443" s="4" t="n">
        <v>0.2</v>
      </c>
      <c r="AK443" s="3">
        <f>ROUND(AI443*AJ443,2)</f>
        <v/>
      </c>
      <c r="AL443" s="3">
        <f>AI443+AK443</f>
        <v/>
      </c>
      <c r="AM443" s="3">
        <f>AE443-AL443</f>
        <v/>
      </c>
      <c r="AN443" s="4">
        <f>AM443/AE443</f>
        <v/>
      </c>
      <c r="AO443" s="3" t="inlineStr">
        <is>
          <t>60 mins</t>
        </is>
      </c>
      <c r="AQ443" s="3" t="inlineStr">
        <is>
          <t>Weight</t>
        </is>
      </c>
      <c r="AS443" s="3" t="inlineStr">
        <is>
          <t>This product is a high-performance hardware mechanism used to enable smooth, quiet, and full extension of drawers in furniture.</t>
        </is>
      </c>
      <c r="AT443" s="3" t="inlineStr">
        <is>
          <t>60 mins</t>
        </is>
      </c>
    </row>
    <row r="444" ht="15.75" customHeight="1">
      <c r="A444" s="3" t="inlineStr">
        <is>
          <t>PROD_0098</t>
        </is>
      </c>
      <c r="B444" s="3" t="inlineStr">
        <is>
          <t>VAR_1</t>
        </is>
      </c>
      <c r="C444" s="3" t="inlineStr">
        <is>
          <t>Modular Hardware</t>
        </is>
      </c>
      <c r="D444" s="3" t="inlineStr">
        <is>
          <t>Pistons &amp; Shocker</t>
        </is>
      </c>
      <c r="E444" s="3" t="inlineStr">
        <is>
          <t>Hettich</t>
        </is>
      </c>
      <c r="F444" s="3" t="inlineStr">
        <is>
          <t>Pneumatic Pump Set</t>
        </is>
      </c>
      <c r="H444" s="3" t="inlineStr">
        <is>
          <t>Force</t>
        </is>
      </c>
      <c r="I444" s="3" t="inlineStr">
        <is>
          <t>80 N</t>
        </is>
      </c>
      <c r="Q444" s="3" t="inlineStr">
        <is>
          <t>Manufacturer's Warranty</t>
        </is>
      </c>
      <c r="R444" s="3" t="n">
        <v>9079593</v>
      </c>
      <c r="Y444" s="3" t="inlineStr">
        <is>
          <t>HT_PPS_80N</t>
        </is>
      </c>
      <c r="Z444" s="3" t="n">
        <v>8302</v>
      </c>
      <c r="AC444" s="3" t="n">
        <v>1</v>
      </c>
      <c r="AE444" s="3" t="n">
        <v>390</v>
      </c>
      <c r="AF444" s="4" t="n">
        <v>0.5</v>
      </c>
      <c r="AG444" s="3">
        <f>ROUND(AE444-(AE444*AF444),2)</f>
        <v/>
      </c>
      <c r="AH444" s="4" t="n">
        <v>0.18</v>
      </c>
      <c r="AI444" s="3">
        <f>ROUND(AG444+(AG444*AH444),2)</f>
        <v/>
      </c>
      <c r="AJ444" s="4" t="n">
        <v>0.2</v>
      </c>
      <c r="AK444" s="3">
        <f>ROUND(AI444*AJ444,2)</f>
        <v/>
      </c>
      <c r="AL444" s="3">
        <f>AI444+AK444</f>
        <v/>
      </c>
      <c r="AM444" s="3">
        <f>AE444-AL444</f>
        <v/>
      </c>
      <c r="AN444" s="4">
        <f>AM444/AE444</f>
        <v/>
      </c>
      <c r="AO444" s="3" t="inlineStr">
        <is>
          <t>60 mins</t>
        </is>
      </c>
      <c r="AQ444" s="3" t="inlineStr">
        <is>
          <t>Weight</t>
        </is>
      </c>
      <c r="AS444" s="3" t="inlineStr">
        <is>
          <t>The item is widely used in modern kitchens to provide smooth, controlled, and automatic motion for cabinetry and functional fixtures</t>
        </is>
      </c>
      <c r="AT444" s="3" t="inlineStr">
        <is>
          <t>60 mins</t>
        </is>
      </c>
    </row>
    <row r="445" ht="15.75" customHeight="1">
      <c r="A445" s="3" t="inlineStr">
        <is>
          <t>PROD_0099</t>
        </is>
      </c>
      <c r="B445" s="3" t="inlineStr">
        <is>
          <t>VAR_1</t>
        </is>
      </c>
      <c r="C445" s="3" t="inlineStr">
        <is>
          <t>Modular Hardware</t>
        </is>
      </c>
      <c r="D445" s="3" t="inlineStr">
        <is>
          <t>Pistons &amp; Shocker</t>
        </is>
      </c>
      <c r="E445" s="3" t="inlineStr">
        <is>
          <t>Dorset</t>
        </is>
      </c>
      <c r="F445" s="3" t="inlineStr">
        <is>
          <t>Gas Piston Lift</t>
        </is>
      </c>
      <c r="H445" s="3" t="inlineStr">
        <is>
          <t>Force</t>
        </is>
      </c>
      <c r="I445" s="3" t="inlineStr">
        <is>
          <t>80 N</t>
        </is>
      </c>
      <c r="Q445" s="3" t="inlineStr">
        <is>
          <t>Manufacturer's Warranty</t>
        </is>
      </c>
      <c r="R445" s="3" t="inlineStr">
        <is>
          <t>GP80N</t>
        </is>
      </c>
      <c r="Y445" s="3" t="inlineStr">
        <is>
          <t>Dorset_GPL_Force</t>
        </is>
      </c>
      <c r="Z445" s="3" t="n">
        <v>8302</v>
      </c>
      <c r="AC445" s="3" t="n">
        <v>1</v>
      </c>
      <c r="AE445" s="3" t="n">
        <v>325</v>
      </c>
      <c r="AF445" s="4" t="n">
        <v>0.37</v>
      </c>
      <c r="AG445" s="3">
        <f>ROUND(AE445-(AE445*AF445),2)</f>
        <v/>
      </c>
      <c r="AH445" s="4" t="n">
        <v>0.18</v>
      </c>
      <c r="AI445" s="3">
        <f>ROUND(AG445+(AG445*AH445),2)</f>
        <v/>
      </c>
      <c r="AJ445" s="4" t="n">
        <v>0.2</v>
      </c>
      <c r="AK445" s="3">
        <f>ROUND(AI445*AJ445,2)</f>
        <v/>
      </c>
      <c r="AL445" s="3">
        <f>AI445+AK445</f>
        <v/>
      </c>
      <c r="AM445" s="3">
        <f>AE445-AL445</f>
        <v/>
      </c>
      <c r="AN445" s="4">
        <f>AM445/AE445</f>
        <v/>
      </c>
      <c r="AO445" s="3" t="inlineStr">
        <is>
          <t>60 mins</t>
        </is>
      </c>
      <c r="AQ445" s="3" t="inlineStr">
        <is>
          <t>Weight</t>
        </is>
      </c>
      <c r="AS445" s="3" t="inlineStr">
        <is>
          <t>The item is widely used in modern kitchens to provide smooth, controlled, and automatic motion for cabinetry and functional fixtures</t>
        </is>
      </c>
      <c r="AT445" s="3" t="inlineStr">
        <is>
          <t>60 mins</t>
        </is>
      </c>
    </row>
    <row r="446" ht="15.75" customHeight="1">
      <c r="A446" s="3" t="inlineStr">
        <is>
          <t>PROD_0099</t>
        </is>
      </c>
      <c r="B446" s="3" t="inlineStr">
        <is>
          <t>VAR_2</t>
        </is>
      </c>
      <c r="C446" s="3" t="inlineStr">
        <is>
          <t>Modular Hardware</t>
        </is>
      </c>
      <c r="D446" s="3" t="inlineStr">
        <is>
          <t>Pistons &amp; Shocker</t>
        </is>
      </c>
      <c r="E446" s="3" t="inlineStr">
        <is>
          <t>Dorset</t>
        </is>
      </c>
      <c r="F446" s="3" t="inlineStr">
        <is>
          <t>Gas Piston Lift</t>
        </is>
      </c>
      <c r="H446" s="3" t="inlineStr">
        <is>
          <t>Force</t>
        </is>
      </c>
      <c r="I446" s="3" t="inlineStr">
        <is>
          <t>100 N</t>
        </is>
      </c>
      <c r="Q446" s="3" t="inlineStr">
        <is>
          <t>Manufacturer's Warranty</t>
        </is>
      </c>
      <c r="R446" s="3" t="inlineStr">
        <is>
          <t>GP100N</t>
        </is>
      </c>
      <c r="Y446" s="3" t="inlineStr">
        <is>
          <t>Dorset_GPL_Force</t>
        </is>
      </c>
      <c r="Z446" s="3" t="n">
        <v>8302</v>
      </c>
      <c r="AC446" s="3" t="n">
        <v>1</v>
      </c>
      <c r="AE446" s="3" t="n">
        <v>325</v>
      </c>
      <c r="AF446" s="4" t="n">
        <v>0.37</v>
      </c>
      <c r="AG446" s="3">
        <f>ROUND(AE446-(AE446*AF446),2)</f>
        <v/>
      </c>
      <c r="AH446" s="4" t="n">
        <v>0.18</v>
      </c>
      <c r="AI446" s="3">
        <f>ROUND(AG446+(AG446*AH446),2)</f>
        <v/>
      </c>
      <c r="AJ446" s="4" t="n">
        <v>0.2</v>
      </c>
      <c r="AK446" s="3">
        <f>ROUND(AI446*AJ446,2)</f>
        <v/>
      </c>
      <c r="AL446" s="3">
        <f>AI446+AK446</f>
        <v/>
      </c>
      <c r="AM446" s="3">
        <f>AE446-AL446</f>
        <v/>
      </c>
      <c r="AN446" s="4">
        <f>AM446/AE446</f>
        <v/>
      </c>
      <c r="AO446" s="3" t="inlineStr">
        <is>
          <t>60 mins</t>
        </is>
      </c>
      <c r="AQ446" s="3" t="inlineStr">
        <is>
          <t>Weight</t>
        </is>
      </c>
      <c r="AS446" s="3" t="inlineStr">
        <is>
          <t>The item is widely used in modern kitchens to provide smooth, controlled, and automatic motion for cabinetry and functional fixtures</t>
        </is>
      </c>
      <c r="AT446" s="3" t="inlineStr">
        <is>
          <t>60 mins</t>
        </is>
      </c>
    </row>
    <row r="447" ht="15.75" customHeight="1">
      <c r="A447" s="3" t="inlineStr">
        <is>
          <t>PROD_0099</t>
        </is>
      </c>
      <c r="B447" s="3" t="inlineStr">
        <is>
          <t>VAR_3</t>
        </is>
      </c>
      <c r="C447" s="3" t="inlineStr">
        <is>
          <t>Modular Hardware</t>
        </is>
      </c>
      <c r="D447" s="3" t="inlineStr">
        <is>
          <t>Pistons &amp; Shocker</t>
        </is>
      </c>
      <c r="E447" s="3" t="inlineStr">
        <is>
          <t>Dorset</t>
        </is>
      </c>
      <c r="F447" s="3" t="inlineStr">
        <is>
          <t>Gas Piston Lift</t>
        </is>
      </c>
      <c r="H447" s="3" t="inlineStr">
        <is>
          <t>Force</t>
        </is>
      </c>
      <c r="I447" s="3" t="inlineStr">
        <is>
          <t>120 N</t>
        </is>
      </c>
      <c r="Q447" s="3" t="inlineStr">
        <is>
          <t>Manufacturer's Warranty</t>
        </is>
      </c>
      <c r="R447" s="3" t="inlineStr">
        <is>
          <t>GP120N</t>
        </is>
      </c>
      <c r="Y447" s="3" t="inlineStr">
        <is>
          <t>Dorset_GPL_Force</t>
        </is>
      </c>
      <c r="Z447" s="3" t="n">
        <v>8302</v>
      </c>
      <c r="AC447" s="3" t="n">
        <v>1</v>
      </c>
      <c r="AE447" s="3" t="n">
        <v>325</v>
      </c>
      <c r="AF447" s="4" t="n">
        <v>0.37</v>
      </c>
      <c r="AG447" s="3">
        <f>ROUND(AE447-(AE447*AF447),2)</f>
        <v/>
      </c>
      <c r="AH447" s="4" t="n">
        <v>0.18</v>
      </c>
      <c r="AI447" s="3">
        <f>ROUND(AG447+(AG447*AH447),2)</f>
        <v/>
      </c>
      <c r="AJ447" s="4" t="n">
        <v>0.2</v>
      </c>
      <c r="AK447" s="3">
        <f>ROUND(AI447*AJ447,2)</f>
        <v/>
      </c>
      <c r="AL447" s="3">
        <f>AI447+AK447</f>
        <v/>
      </c>
      <c r="AM447" s="3">
        <f>AE447-AL447</f>
        <v/>
      </c>
      <c r="AN447" s="4">
        <f>AM447/AE447</f>
        <v/>
      </c>
      <c r="AO447" s="3" t="inlineStr">
        <is>
          <t>60 mins</t>
        </is>
      </c>
      <c r="AQ447" s="3" t="inlineStr">
        <is>
          <t>Weight</t>
        </is>
      </c>
      <c r="AS447" s="3" t="inlineStr">
        <is>
          <t>The item is widely used in modern kitchens to provide smooth, controlled, and automatic motion for cabinetry and functional fixtures</t>
        </is>
      </c>
      <c r="AT447" s="3" t="inlineStr">
        <is>
          <t>60 mins</t>
        </is>
      </c>
    </row>
    <row r="448" ht="15.75" customHeight="1">
      <c r="A448" s="3" t="inlineStr">
        <is>
          <t>PROD_0100</t>
        </is>
      </c>
      <c r="B448" s="3" t="inlineStr">
        <is>
          <t>VAR_1</t>
        </is>
      </c>
      <c r="C448" s="3" t="inlineStr">
        <is>
          <t>Modular Hardware</t>
        </is>
      </c>
      <c r="D448" s="3" t="inlineStr">
        <is>
          <t>Pistons &amp; Shocker</t>
        </is>
      </c>
      <c r="E448" s="3" t="inlineStr">
        <is>
          <t>Inox</t>
        </is>
      </c>
      <c r="F448" s="3" t="inlineStr">
        <is>
          <t>Lift up fitting</t>
        </is>
      </c>
      <c r="H448" s="3" t="inlineStr">
        <is>
          <t>Force</t>
        </is>
      </c>
      <c r="I448" s="3" t="inlineStr">
        <is>
          <t>50 N</t>
        </is>
      </c>
      <c r="Q448" s="3" t="inlineStr">
        <is>
          <t>Manufacturer's Warranty</t>
        </is>
      </c>
      <c r="R448" s="3" t="inlineStr">
        <is>
          <t>K2.05.600</t>
        </is>
      </c>
      <c r="S448" s="3" t="n">
        <v>1</v>
      </c>
      <c r="Y448" s="3" t="inlineStr">
        <is>
          <t>INOX_Lift_up_fitting</t>
        </is>
      </c>
      <c r="Z448" s="3" t="n">
        <v>8302</v>
      </c>
      <c r="AC448" s="3" t="n">
        <v>1</v>
      </c>
      <c r="AE448" s="3" t="n">
        <v>279</v>
      </c>
      <c r="AF448" s="4" t="n">
        <v>0.5</v>
      </c>
      <c r="AG448" s="3">
        <f>ROUND(AE448-(AE448*AF448),2)</f>
        <v/>
      </c>
      <c r="AH448" s="4" t="n">
        <v>0.18</v>
      </c>
      <c r="AI448" s="3">
        <f>ROUND(AG448+(AG448*AH448),2)</f>
        <v/>
      </c>
      <c r="AJ448" s="4" t="n">
        <v>0.2</v>
      </c>
      <c r="AK448" s="3">
        <f>ROUND(AI448*AJ448,2)</f>
        <v/>
      </c>
      <c r="AL448" s="3">
        <f>AI448+AK448</f>
        <v/>
      </c>
      <c r="AM448" s="3">
        <f>AE448-AL448</f>
        <v/>
      </c>
      <c r="AN448" s="4">
        <f>AM448/AE448</f>
        <v/>
      </c>
      <c r="AO448" s="3" t="inlineStr">
        <is>
          <t>60 mins</t>
        </is>
      </c>
      <c r="AQ448" s="3" t="inlineStr">
        <is>
          <t>Weight</t>
        </is>
      </c>
      <c r="AS448" s="3" t="inlineStr">
        <is>
          <t>The item is widely used in modern kitchens to provide smooth, controlled, and automatic motion for cabinetry and functional fixtures</t>
        </is>
      </c>
      <c r="AT448" s="3" t="inlineStr">
        <is>
          <t>60 mins</t>
        </is>
      </c>
    </row>
    <row r="449" ht="15.75" customHeight="1">
      <c r="A449" s="3" t="inlineStr">
        <is>
          <t>PROD_0100</t>
        </is>
      </c>
      <c r="B449" s="3" t="inlineStr">
        <is>
          <t>VAR_2</t>
        </is>
      </c>
      <c r="C449" s="3" t="inlineStr">
        <is>
          <t>Modular Hardware</t>
        </is>
      </c>
      <c r="D449" s="3" t="inlineStr">
        <is>
          <t>Pistons &amp; Shocker</t>
        </is>
      </c>
      <c r="E449" s="3" t="inlineStr">
        <is>
          <t>Inox</t>
        </is>
      </c>
      <c r="F449" s="3" t="inlineStr">
        <is>
          <t>Lift up fitting</t>
        </is>
      </c>
      <c r="H449" s="3" t="inlineStr">
        <is>
          <t>Force</t>
        </is>
      </c>
      <c r="I449" s="3" t="inlineStr">
        <is>
          <t>100 N</t>
        </is>
      </c>
      <c r="Q449" s="3" t="inlineStr">
        <is>
          <t>Manufacturer's Warranty</t>
        </is>
      </c>
      <c r="R449" s="3" t="inlineStr">
        <is>
          <t>K2.05.601</t>
        </is>
      </c>
      <c r="S449" s="3" t="n">
        <v>1</v>
      </c>
      <c r="Y449" s="3" t="inlineStr">
        <is>
          <t>INOX_Lift_up_fitting</t>
        </is>
      </c>
      <c r="Z449" s="3" t="n">
        <v>8302</v>
      </c>
      <c r="AC449" s="3" t="n">
        <v>1</v>
      </c>
      <c r="AE449" s="3" t="n">
        <v>279</v>
      </c>
      <c r="AF449" s="4" t="n">
        <v>0.5</v>
      </c>
      <c r="AG449" s="3">
        <f>ROUND(AE449-(AE449*AF449),2)</f>
        <v/>
      </c>
      <c r="AH449" s="4" t="n">
        <v>0.18</v>
      </c>
      <c r="AI449" s="3">
        <f>ROUND(AG449+(AG449*AH449),2)</f>
        <v/>
      </c>
      <c r="AJ449" s="4" t="n">
        <v>0.2</v>
      </c>
      <c r="AK449" s="3">
        <f>ROUND(AI449*AJ449,2)</f>
        <v/>
      </c>
      <c r="AL449" s="3">
        <f>AI449+AK449</f>
        <v/>
      </c>
      <c r="AM449" s="3">
        <f>AE449-AL449</f>
        <v/>
      </c>
      <c r="AN449" s="4">
        <f>AM449/AE449</f>
        <v/>
      </c>
      <c r="AO449" s="3" t="inlineStr">
        <is>
          <t>60 mins</t>
        </is>
      </c>
      <c r="AQ449" s="3" t="inlineStr">
        <is>
          <t>Weight</t>
        </is>
      </c>
      <c r="AS449" s="3" t="inlineStr">
        <is>
          <t>The item is widely used in modern kitchens to provide smooth, controlled, and automatic motion for cabinetry and functional fixtures</t>
        </is>
      </c>
      <c r="AT449" s="3" t="inlineStr">
        <is>
          <t>60 mins</t>
        </is>
      </c>
    </row>
    <row r="450" ht="15.75" customHeight="1">
      <c r="A450" s="3" t="inlineStr">
        <is>
          <t>PROD_0100</t>
        </is>
      </c>
      <c r="B450" s="3" t="inlineStr">
        <is>
          <t>VAR_3</t>
        </is>
      </c>
      <c r="C450" s="3" t="inlineStr">
        <is>
          <t>Modular Hardware</t>
        </is>
      </c>
      <c r="D450" s="3" t="inlineStr">
        <is>
          <t>Pistons &amp; Shocker</t>
        </is>
      </c>
      <c r="E450" s="3" t="inlineStr">
        <is>
          <t>Inox</t>
        </is>
      </c>
      <c r="F450" s="3" t="inlineStr">
        <is>
          <t>Lift up fitting</t>
        </is>
      </c>
      <c r="H450" s="3" t="inlineStr">
        <is>
          <t>Force</t>
        </is>
      </c>
      <c r="I450" s="3" t="inlineStr">
        <is>
          <t>150 N</t>
        </is>
      </c>
      <c r="Q450" s="3" t="inlineStr">
        <is>
          <t>Manufacturer's Warranty</t>
        </is>
      </c>
      <c r="R450" s="3" t="inlineStr">
        <is>
          <t>K2.05.602</t>
        </is>
      </c>
      <c r="S450" s="3" t="n">
        <v>1</v>
      </c>
      <c r="Y450" s="3" t="inlineStr">
        <is>
          <t>INOX_Lift_up_fitting</t>
        </is>
      </c>
      <c r="Z450" s="3" t="n">
        <v>8302</v>
      </c>
      <c r="AC450" s="3" t="n">
        <v>1</v>
      </c>
      <c r="AE450" s="3" t="n">
        <v>279</v>
      </c>
      <c r="AF450" s="4" t="n">
        <v>0.5</v>
      </c>
      <c r="AG450" s="3">
        <f>ROUND(AE450-(AE450*AF450),2)</f>
        <v/>
      </c>
      <c r="AH450" s="4" t="n">
        <v>0.18</v>
      </c>
      <c r="AI450" s="3">
        <f>ROUND(AG450+(AG450*AH450),2)</f>
        <v/>
      </c>
      <c r="AJ450" s="4" t="n">
        <v>0.2</v>
      </c>
      <c r="AK450" s="3">
        <f>ROUND(AI450*AJ450,2)</f>
        <v/>
      </c>
      <c r="AL450" s="3">
        <f>AI450+AK450</f>
        <v/>
      </c>
      <c r="AM450" s="3">
        <f>AE450-AL450</f>
        <v/>
      </c>
      <c r="AN450" s="4">
        <f>AM450/AE450</f>
        <v/>
      </c>
      <c r="AO450" s="3" t="inlineStr">
        <is>
          <t>60 mins</t>
        </is>
      </c>
      <c r="AQ450" s="3" t="inlineStr">
        <is>
          <t>Weight</t>
        </is>
      </c>
      <c r="AS450" s="3" t="inlineStr">
        <is>
          <t>The item is widely used in modern kitchens to provide smooth, controlled, and automatic motion for cabinetry and functional fixtures</t>
        </is>
      </c>
      <c r="AT450" s="3" t="inlineStr">
        <is>
          <t>60 mins</t>
        </is>
      </c>
    </row>
    <row r="451" ht="15.75" customHeight="1">
      <c r="A451" s="3" t="inlineStr">
        <is>
          <t>PROD_0101</t>
        </is>
      </c>
      <c r="B451" s="3" t="inlineStr">
        <is>
          <t>VAR_1</t>
        </is>
      </c>
      <c r="C451" s="3" t="inlineStr">
        <is>
          <t>Modular Hardware</t>
        </is>
      </c>
      <c r="D451" s="3" t="inlineStr">
        <is>
          <t>Pistons &amp; Shocker</t>
        </is>
      </c>
      <c r="E451" s="3" t="inlineStr">
        <is>
          <t>Hafele</t>
        </is>
      </c>
      <c r="F451" s="3" t="inlineStr">
        <is>
          <t>Lift up mechanism</t>
        </is>
      </c>
      <c r="H451" s="3" t="inlineStr">
        <is>
          <t>Force</t>
        </is>
      </c>
      <c r="I451" s="3" t="inlineStr">
        <is>
          <t>80 N</t>
        </is>
      </c>
      <c r="Q451" s="3" t="inlineStr">
        <is>
          <t>Manufacturer's Warranty</t>
        </is>
      </c>
      <c r="R451" s="3" t="inlineStr">
        <is>
          <t>372.00.702</t>
        </is>
      </c>
      <c r="S451" s="3" t="n">
        <v>1</v>
      </c>
      <c r="Y451" s="3" t="inlineStr">
        <is>
          <t>Hafele_Lift_up_mechanism</t>
        </is>
      </c>
      <c r="Z451" s="3" t="n">
        <v>8302</v>
      </c>
      <c r="AC451" s="3" t="n">
        <v>1</v>
      </c>
      <c r="AE451" s="3" t="n">
        <v>2324</v>
      </c>
      <c r="AF451" s="4" t="n">
        <v>0.5</v>
      </c>
      <c r="AG451" s="3">
        <f>ROUND(AE451-(AE451*AF451),2)</f>
        <v/>
      </c>
      <c r="AH451" s="4" t="n">
        <v>0.18</v>
      </c>
      <c r="AI451" s="3">
        <f>ROUND(AG451+(AG451*AH451),2)</f>
        <v/>
      </c>
      <c r="AJ451" s="4" t="n">
        <v>0.2</v>
      </c>
      <c r="AK451" s="3">
        <f>ROUND(AI451*AJ451,2)</f>
        <v/>
      </c>
      <c r="AL451" s="3">
        <f>AI451+AK451</f>
        <v/>
      </c>
      <c r="AM451" s="3">
        <f>AE451-AL451</f>
        <v/>
      </c>
      <c r="AN451" s="4">
        <f>AM451/AE451</f>
        <v/>
      </c>
      <c r="AO451" s="3" t="inlineStr">
        <is>
          <t>60 mins</t>
        </is>
      </c>
      <c r="AQ451" s="3" t="inlineStr">
        <is>
          <t>Weight</t>
        </is>
      </c>
      <c r="AS451" s="3" t="inlineStr">
        <is>
          <t>The item is widely used in modern kitchens to provide smooth, controlled, and automatic motion for cabinetry and functional fixtures</t>
        </is>
      </c>
      <c r="AT451" s="3" t="inlineStr">
        <is>
          <t>60 mins</t>
        </is>
      </c>
    </row>
    <row r="452" ht="15.75" customHeight="1">
      <c r="A452" s="3" t="inlineStr">
        <is>
          <t>PROD_0101</t>
        </is>
      </c>
      <c r="B452" s="3" t="inlineStr">
        <is>
          <t>VAR_2</t>
        </is>
      </c>
      <c r="C452" s="3" t="inlineStr">
        <is>
          <t>Modular Hardware</t>
        </is>
      </c>
      <c r="D452" s="3" t="inlineStr">
        <is>
          <t>Pistons &amp; Shocker</t>
        </is>
      </c>
      <c r="E452" s="3" t="inlineStr">
        <is>
          <t>Hafele</t>
        </is>
      </c>
      <c r="F452" s="3" t="inlineStr">
        <is>
          <t>Lift up mechanism</t>
        </is>
      </c>
      <c r="H452" s="3" t="inlineStr">
        <is>
          <t>Force</t>
        </is>
      </c>
      <c r="I452" s="3" t="inlineStr">
        <is>
          <t>100 N</t>
        </is>
      </c>
      <c r="Q452" s="3" t="inlineStr">
        <is>
          <t>Manufacturer's Warranty</t>
        </is>
      </c>
      <c r="R452" s="3" t="inlineStr">
        <is>
          <t>372.00.703</t>
        </is>
      </c>
      <c r="S452" s="3" t="n">
        <v>1</v>
      </c>
      <c r="Y452" s="3" t="inlineStr">
        <is>
          <t>Hafele_Lift_up_mechanism</t>
        </is>
      </c>
      <c r="Z452" s="3" t="n">
        <v>8302</v>
      </c>
      <c r="AC452" s="3" t="n">
        <v>1</v>
      </c>
      <c r="AE452" s="3" t="n">
        <v>2324</v>
      </c>
      <c r="AF452" s="4" t="n">
        <v>0.5</v>
      </c>
      <c r="AG452" s="3">
        <f>ROUND(AE452-(AE452*AF452),2)</f>
        <v/>
      </c>
      <c r="AH452" s="4" t="n">
        <v>0.18</v>
      </c>
      <c r="AI452" s="3">
        <f>ROUND(AG452+(AG452*AH452),2)</f>
        <v/>
      </c>
      <c r="AJ452" s="4" t="n">
        <v>0.2</v>
      </c>
      <c r="AK452" s="3">
        <f>ROUND(AI452*AJ452,2)</f>
        <v/>
      </c>
      <c r="AL452" s="3">
        <f>AI452+AK452</f>
        <v/>
      </c>
      <c r="AM452" s="3">
        <f>AE452-AL452</f>
        <v/>
      </c>
      <c r="AN452" s="4">
        <f>AM452/AE452</f>
        <v/>
      </c>
      <c r="AO452" s="3" t="inlineStr">
        <is>
          <t>60 mins</t>
        </is>
      </c>
      <c r="AQ452" s="3" t="inlineStr">
        <is>
          <t>Weight</t>
        </is>
      </c>
      <c r="AS452" s="3" t="inlineStr">
        <is>
          <t>The item is widely used in modern kitchens to provide smooth, controlled, and automatic motion for cabinetry and functional fixtures</t>
        </is>
      </c>
      <c r="AT452" s="3" t="inlineStr">
        <is>
          <t>60 mins</t>
        </is>
      </c>
    </row>
    <row r="453" ht="15.75" customHeight="1">
      <c r="A453" s="3" t="inlineStr">
        <is>
          <t>PROD_0101</t>
        </is>
      </c>
      <c r="B453" s="3" t="inlineStr">
        <is>
          <t>VAR_3</t>
        </is>
      </c>
      <c r="C453" s="3" t="inlineStr">
        <is>
          <t>Modular Hardware</t>
        </is>
      </c>
      <c r="D453" s="3" t="inlineStr">
        <is>
          <t>Pistons &amp; Shocker</t>
        </is>
      </c>
      <c r="E453" s="3" t="inlineStr">
        <is>
          <t>Hafele</t>
        </is>
      </c>
      <c r="F453" s="3" t="inlineStr">
        <is>
          <t>Lift up mechanism</t>
        </is>
      </c>
      <c r="H453" s="3" t="inlineStr">
        <is>
          <t>Force</t>
        </is>
      </c>
      <c r="I453" s="3" t="inlineStr">
        <is>
          <t>120 N</t>
        </is>
      </c>
      <c r="Q453" s="3" t="inlineStr">
        <is>
          <t>Manufacturer's Warranty</t>
        </is>
      </c>
      <c r="R453" s="3" t="inlineStr">
        <is>
          <t>372.00.707</t>
        </is>
      </c>
      <c r="S453" s="3" t="n">
        <v>1</v>
      </c>
      <c r="Y453" s="3" t="inlineStr">
        <is>
          <t>Hafele_Lift_up_mechanism</t>
        </is>
      </c>
      <c r="Z453" s="3" t="n">
        <v>8302</v>
      </c>
      <c r="AC453" s="3" t="n">
        <v>1</v>
      </c>
      <c r="AE453" s="3" t="n">
        <v>3173</v>
      </c>
      <c r="AF453" s="4" t="n">
        <v>0.5</v>
      </c>
      <c r="AG453" s="3">
        <f>ROUND(AE453-(AE453*AF453),2)</f>
        <v/>
      </c>
      <c r="AH453" s="4" t="n">
        <v>0.18</v>
      </c>
      <c r="AI453" s="3">
        <f>ROUND(AG453+(AG453*AH453),2)</f>
        <v/>
      </c>
      <c r="AJ453" s="4" t="n">
        <v>0.2</v>
      </c>
      <c r="AK453" s="3">
        <f>ROUND(AI453*AJ453,2)</f>
        <v/>
      </c>
      <c r="AL453" s="3">
        <f>AI453+AK453</f>
        <v/>
      </c>
      <c r="AM453" s="3">
        <f>AE453-AL453</f>
        <v/>
      </c>
      <c r="AN453" s="4">
        <f>AM453/AE453</f>
        <v/>
      </c>
      <c r="AO453" s="3" t="inlineStr">
        <is>
          <t>60 mins</t>
        </is>
      </c>
      <c r="AQ453" s="3" t="inlineStr">
        <is>
          <t>Weight</t>
        </is>
      </c>
      <c r="AS453" s="3" t="inlineStr">
        <is>
          <t>The item is widely used in modern kitchens to provide smooth, controlled, and automatic motion for cabinetry and functional fixtures</t>
        </is>
      </c>
      <c r="AT453" s="3" t="inlineStr">
        <is>
          <t>60 mins</t>
        </is>
      </c>
    </row>
    <row r="454" ht="15.75" customHeight="1">
      <c r="A454" s="3" t="inlineStr">
        <is>
          <t>PROD_0102</t>
        </is>
      </c>
      <c r="B454" s="3" t="inlineStr">
        <is>
          <t>VAR_1</t>
        </is>
      </c>
      <c r="C454" s="3" t="inlineStr">
        <is>
          <t>Modular Hardware</t>
        </is>
      </c>
      <c r="D454" s="3" t="inlineStr">
        <is>
          <t>Wardrobe Sliding System</t>
        </is>
      </c>
      <c r="E454" s="3" t="inlineStr">
        <is>
          <t>Hettich</t>
        </is>
      </c>
      <c r="F454" s="3" t="inlineStr">
        <is>
          <t>WingLine L | Right Side</t>
        </is>
      </c>
      <c r="H454" s="3" t="inlineStr">
        <is>
          <t>Door Weight</t>
        </is>
      </c>
      <c r="I454" s="3" t="inlineStr">
        <is>
          <t>25 kg</t>
        </is>
      </c>
      <c r="J454" s="3" t="inlineStr">
        <is>
          <t>Door Count</t>
        </is>
      </c>
      <c r="K454" s="3" t="n">
        <v>2</v>
      </c>
      <c r="L454" s="3" t="inlineStr">
        <is>
          <t>Size</t>
        </is>
      </c>
      <c r="M454" s="3" t="inlineStr">
        <is>
          <t>2400 mm X 50 mm</t>
        </is>
      </c>
      <c r="Q454" s="3" t="inlineStr">
        <is>
          <t>Manufacturer's Warranty</t>
        </is>
      </c>
      <c r="R454" s="3" t="n">
        <v>9237890</v>
      </c>
      <c r="Y454" s="3" t="inlineStr">
        <is>
          <t>HT_WL_L_folding_door _system_right_side</t>
        </is>
      </c>
      <c r="Z454" s="3" t="n">
        <v>8302</v>
      </c>
      <c r="AC454" s="3" t="n">
        <v>1</v>
      </c>
      <c r="AE454" s="3" t="n">
        <v>17676</v>
      </c>
      <c r="AF454" s="4" t="n">
        <v>0.5</v>
      </c>
      <c r="AG454" s="3">
        <f>ROUND(AE454-(AE454*AF454),2)</f>
        <v/>
      </c>
      <c r="AH454" s="4" t="n">
        <v>0.18</v>
      </c>
      <c r="AI454" s="3">
        <f>ROUND(AG454+(AG454*AH454),2)</f>
        <v/>
      </c>
      <c r="AJ454" s="4" t="n">
        <v>0.2</v>
      </c>
      <c r="AK454" s="3">
        <f>ROUND(AI454*AJ454,2)</f>
        <v/>
      </c>
      <c r="AL454" s="3">
        <f>AI454+AK454</f>
        <v/>
      </c>
      <c r="AM454" s="3">
        <f>AE454-AL454</f>
        <v/>
      </c>
      <c r="AN454" s="4">
        <f>AM454/AE454</f>
        <v/>
      </c>
      <c r="AO454" s="3" t="inlineStr">
        <is>
          <t>60 mins</t>
        </is>
      </c>
      <c r="AQ454" s="3" t="inlineStr">
        <is>
          <t>Weight</t>
        </is>
      </c>
      <c r="AS454" s="3" t="inlineStr">
        <is>
          <t>This product runs on mechanisms that allow doors to move horizontally on tracks, primarily designed to save space, enhance aesthetics with a minimalist look, and provide easy access to clothing in tight areas</t>
        </is>
      </c>
      <c r="AT454" s="3" t="inlineStr">
        <is>
          <t>On Demand</t>
        </is>
      </c>
    </row>
    <row r="455" ht="15.75" customHeight="1">
      <c r="A455" s="3" t="inlineStr">
        <is>
          <t>PROD_0103</t>
        </is>
      </c>
      <c r="B455" s="3" t="inlineStr">
        <is>
          <t>VAR_1</t>
        </is>
      </c>
      <c r="C455" s="3" t="inlineStr">
        <is>
          <t>Modular Hardware</t>
        </is>
      </c>
      <c r="D455" s="3" t="inlineStr">
        <is>
          <t>Wardrobe Sliding System</t>
        </is>
      </c>
      <c r="E455" s="3" t="inlineStr">
        <is>
          <t>Hettich</t>
        </is>
      </c>
      <c r="F455" s="3" t="inlineStr">
        <is>
          <t>WingLine L | Left Side</t>
        </is>
      </c>
      <c r="H455" s="3" t="inlineStr">
        <is>
          <t>Door Weight</t>
        </is>
      </c>
      <c r="I455" s="3" t="inlineStr">
        <is>
          <t>25 kg</t>
        </is>
      </c>
      <c r="J455" s="3" t="inlineStr">
        <is>
          <t>Door Count</t>
        </is>
      </c>
      <c r="K455" s="3" t="n">
        <v>2</v>
      </c>
      <c r="L455" s="3" t="inlineStr">
        <is>
          <t>Size</t>
        </is>
      </c>
      <c r="M455" s="3" t="inlineStr">
        <is>
          <t>2400 mm X 50 mm</t>
        </is>
      </c>
      <c r="Q455" s="3" t="inlineStr">
        <is>
          <t>Manufacturer's Warranty</t>
        </is>
      </c>
      <c r="R455" s="3" t="n">
        <v>9237852</v>
      </c>
      <c r="Y455" s="3" t="inlineStr">
        <is>
          <t>HT_WL_L_folding_door _system_Lift_Side</t>
        </is>
      </c>
      <c r="Z455" s="3" t="n">
        <v>8302</v>
      </c>
      <c r="AC455" s="3" t="n">
        <v>1</v>
      </c>
      <c r="AE455" s="3" t="n">
        <v>17676</v>
      </c>
      <c r="AF455" s="4" t="n">
        <v>0.5</v>
      </c>
      <c r="AG455" s="3">
        <f>ROUND(AE455-(AE455*AF455),2)</f>
        <v/>
      </c>
      <c r="AH455" s="4" t="n">
        <v>0.18</v>
      </c>
      <c r="AI455" s="3">
        <f>ROUND(AG455+(AG455*AH455),2)</f>
        <v/>
      </c>
      <c r="AJ455" s="4" t="n">
        <v>0.2</v>
      </c>
      <c r="AK455" s="3">
        <f>ROUND(AI455*AJ455,2)</f>
        <v/>
      </c>
      <c r="AL455" s="3">
        <f>AI455+AK455</f>
        <v/>
      </c>
      <c r="AM455" s="3">
        <f>AE455-AL455</f>
        <v/>
      </c>
      <c r="AN455" s="4">
        <f>AM455/AE455</f>
        <v/>
      </c>
      <c r="AO455" s="3" t="inlineStr">
        <is>
          <t>60 mins</t>
        </is>
      </c>
      <c r="AQ455" s="3" t="inlineStr">
        <is>
          <t>Weight</t>
        </is>
      </c>
      <c r="AS455" s="3" t="inlineStr">
        <is>
          <t>This product runs on mechanisms that allow doors to move horizontally on tracks, primarily designed to save space, enhance aesthetics with a minimalist look, and provide easy access to clothing in tight areas</t>
        </is>
      </c>
      <c r="AT455" s="3" t="inlineStr">
        <is>
          <t>On Demand</t>
        </is>
      </c>
    </row>
    <row r="456" ht="15.75" customHeight="1">
      <c r="A456" s="3" t="inlineStr">
        <is>
          <t>PROD_0104</t>
        </is>
      </c>
      <c r="B456" s="3" t="inlineStr">
        <is>
          <t>VAR_1</t>
        </is>
      </c>
      <c r="C456" s="3" t="inlineStr">
        <is>
          <t>Modular Hardware</t>
        </is>
      </c>
      <c r="D456" s="3" t="inlineStr">
        <is>
          <t>Wardrobe Sliding System</t>
        </is>
      </c>
      <c r="E456" s="3" t="inlineStr">
        <is>
          <t>Hettich</t>
        </is>
      </c>
      <c r="F456" s="3" t="inlineStr">
        <is>
          <t>WingLine L</t>
        </is>
      </c>
      <c r="H456" s="3" t="inlineStr">
        <is>
          <t>Door Weight</t>
        </is>
      </c>
      <c r="I456" s="3" t="inlineStr">
        <is>
          <t>25 kg</t>
        </is>
      </c>
      <c r="J456" s="3" t="inlineStr">
        <is>
          <t>Door Count</t>
        </is>
      </c>
      <c r="K456" s="3" t="n">
        <v>4</v>
      </c>
      <c r="L456" s="3" t="inlineStr">
        <is>
          <t>Size</t>
        </is>
      </c>
      <c r="M456" s="3" t="inlineStr">
        <is>
          <t>3000 mm X 50 mm</t>
        </is>
      </c>
      <c r="Q456" s="3" t="inlineStr">
        <is>
          <t>Manufacturer's Warranty</t>
        </is>
      </c>
      <c r="R456" s="3" t="n">
        <v>79013</v>
      </c>
      <c r="Y456" s="3" t="inlineStr">
        <is>
          <t>HT_WL_L_folding_door _system_right_side</t>
        </is>
      </c>
      <c r="Z456" s="3" t="n">
        <v>8302</v>
      </c>
      <c r="AC456" s="3" t="n">
        <v>1</v>
      </c>
      <c r="AE456" s="3" t="n">
        <v>37880</v>
      </c>
      <c r="AF456" s="4" t="n">
        <v>0.5</v>
      </c>
      <c r="AG456" s="3">
        <f>ROUND(AE456-(AE456*AF456),2)</f>
        <v/>
      </c>
      <c r="AH456" s="4" t="n">
        <v>0.18</v>
      </c>
      <c r="AI456" s="3">
        <f>ROUND(AG456+(AG456*AH456),2)</f>
        <v/>
      </c>
      <c r="AJ456" s="4" t="n">
        <v>0.2</v>
      </c>
      <c r="AK456" s="3">
        <f>ROUND(AI456*AJ456,2)</f>
        <v/>
      </c>
      <c r="AL456" s="3">
        <f>AI456+AK456</f>
        <v/>
      </c>
      <c r="AM456" s="3">
        <f>AE456-AL456</f>
        <v/>
      </c>
      <c r="AN456" s="4">
        <f>AM456/AE456</f>
        <v/>
      </c>
      <c r="AO456" s="3" t="inlineStr">
        <is>
          <t>60 mins</t>
        </is>
      </c>
      <c r="AQ456" s="3" t="inlineStr">
        <is>
          <t>Weight</t>
        </is>
      </c>
      <c r="AS456" s="3" t="inlineStr">
        <is>
          <t>This product runs on mechanisms that allow doors to move horizontally on tracks, primarily designed to save space, enhance aesthetics with a minimalist look, and provide easy access to clothing in tight areas</t>
        </is>
      </c>
      <c r="AT456" s="3" t="inlineStr">
        <is>
          <t>On Demand</t>
        </is>
      </c>
    </row>
    <row r="457" ht="15.75" customHeight="1">
      <c r="A457" s="3" t="inlineStr">
        <is>
          <t>PROD_0105</t>
        </is>
      </c>
      <c r="B457" s="3" t="inlineStr">
        <is>
          <t>VAR_1</t>
        </is>
      </c>
      <c r="C457" s="3" t="inlineStr">
        <is>
          <t>Modular Hardware</t>
        </is>
      </c>
      <c r="D457" s="3" t="inlineStr">
        <is>
          <t>Wardrobe Sliding System</t>
        </is>
      </c>
      <c r="E457" s="3" t="inlineStr">
        <is>
          <t>Hafele</t>
        </is>
      </c>
      <c r="F457" s="3" t="inlineStr">
        <is>
          <t>Slido F-Line18 50A | 380 mm</t>
        </is>
      </c>
      <c r="H457" s="3" t="inlineStr">
        <is>
          <t>Door Weight</t>
        </is>
      </c>
      <c r="I457" s="3" t="inlineStr">
        <is>
          <t>50 kg</t>
        </is>
      </c>
      <c r="J457" s="3" t="inlineStr">
        <is>
          <t>Door Count</t>
        </is>
      </c>
      <c r="K457" s="3" t="n">
        <v>2</v>
      </c>
      <c r="L457" s="3" t="inlineStr">
        <is>
          <t>Size</t>
        </is>
      </c>
      <c r="M457" s="3" t="inlineStr">
        <is>
          <t>2000 mm X 50 mm</t>
        </is>
      </c>
      <c r="Q457" s="3" t="inlineStr">
        <is>
          <t>Manufacturer's Warranty</t>
        </is>
      </c>
      <c r="R457" s="3" t="inlineStr">
        <is>
          <t>401.30.016</t>
        </is>
      </c>
      <c r="Y457" s="3" t="inlineStr">
        <is>
          <t>Hafele_Slido_DC_2_F-Line18 50A_Size 2000 mm</t>
        </is>
      </c>
      <c r="Z457" s="3" t="n">
        <v>8302</v>
      </c>
      <c r="AC457" s="3" t="n">
        <v>1</v>
      </c>
      <c r="AE457" s="3" t="n">
        <v>9510</v>
      </c>
      <c r="AF457" s="4" t="n">
        <v>0.5</v>
      </c>
      <c r="AG457" s="3">
        <f>ROUND(AE457-(AE457*AF457),2)</f>
        <v/>
      </c>
      <c r="AH457" s="4" t="n">
        <v>0.18</v>
      </c>
      <c r="AI457" s="3">
        <f>ROUND(AG457+(AG457*AH457),2)</f>
        <v/>
      </c>
      <c r="AJ457" s="4" t="n">
        <v>0.2</v>
      </c>
      <c r="AK457" s="3">
        <f>ROUND(AI457*AJ457,2)</f>
        <v/>
      </c>
      <c r="AL457" s="3">
        <f>AI457+AK457</f>
        <v/>
      </c>
      <c r="AM457" s="3">
        <f>AE457-AL457</f>
        <v/>
      </c>
      <c r="AN457" s="4">
        <f>AM457/AE457</f>
        <v/>
      </c>
      <c r="AO457" s="3" t="inlineStr">
        <is>
          <t>60 mins</t>
        </is>
      </c>
      <c r="AQ457" s="3" t="inlineStr">
        <is>
          <t>Weight</t>
        </is>
      </c>
      <c r="AS457" s="3" t="inlineStr">
        <is>
          <t>This product runs on mechanisms that allow doors to move horizontally on tracks, primarily designed to save space, enhance aesthetics with a minimalist look, and provide easy access to clothing in tight areas</t>
        </is>
      </c>
      <c r="AT457" s="3" t="inlineStr">
        <is>
          <t>On Demand</t>
        </is>
      </c>
    </row>
    <row r="458" ht="15.75" customHeight="1">
      <c r="A458" s="3" t="inlineStr">
        <is>
          <t>PROD_0106</t>
        </is>
      </c>
      <c r="B458" s="3" t="inlineStr">
        <is>
          <t>VAR_1</t>
        </is>
      </c>
      <c r="C458" s="3" t="inlineStr">
        <is>
          <t>Modular Hardware</t>
        </is>
      </c>
      <c r="D458" s="3" t="inlineStr">
        <is>
          <t>Wardrobe Sliding System</t>
        </is>
      </c>
      <c r="E458" s="3" t="inlineStr">
        <is>
          <t>Hafele</t>
        </is>
      </c>
      <c r="F458" s="3" t="inlineStr">
        <is>
          <t>Slido F-Line | 380 mm</t>
        </is>
      </c>
      <c r="H458" s="3" t="inlineStr">
        <is>
          <t>Door Weight</t>
        </is>
      </c>
      <c r="I458" s="3" t="inlineStr">
        <is>
          <t>50 kg</t>
        </is>
      </c>
      <c r="J458" s="3" t="inlineStr">
        <is>
          <t>Door Count</t>
        </is>
      </c>
      <c r="K458" s="3" t="n">
        <v>3</v>
      </c>
      <c r="L458" s="3" t="inlineStr">
        <is>
          <t>Size</t>
        </is>
      </c>
      <c r="M458" s="3" t="inlineStr">
        <is>
          <t>3600 mm X 50 mm</t>
        </is>
      </c>
      <c r="Q458" s="3" t="inlineStr">
        <is>
          <t>Manufacturer's Warranty</t>
        </is>
      </c>
      <c r="R458" s="3" t="inlineStr">
        <is>
          <t>401.30.016</t>
        </is>
      </c>
      <c r="Y458" s="3" t="inlineStr">
        <is>
          <t>Hafele_Slido_DC_2_F-Line18 50A_Size 3620 mm</t>
        </is>
      </c>
      <c r="Z458" s="3" t="n">
        <v>8302</v>
      </c>
      <c r="AC458" s="3" t="n">
        <v>1</v>
      </c>
      <c r="AE458" s="3" t="n">
        <v>11155</v>
      </c>
      <c r="AF458" s="4" t="n">
        <v>0.5</v>
      </c>
      <c r="AG458" s="3">
        <f>ROUND(AE458-(AE458*AF458),2)</f>
        <v/>
      </c>
      <c r="AH458" s="4" t="n">
        <v>0.18</v>
      </c>
      <c r="AI458" s="3">
        <f>ROUND(AG458+(AG458*AH458),2)</f>
        <v/>
      </c>
      <c r="AJ458" s="4" t="n">
        <v>0.2</v>
      </c>
      <c r="AK458" s="3">
        <f>ROUND(AI458*AJ458,2)</f>
        <v/>
      </c>
      <c r="AL458" s="3">
        <f>AI458+AK458</f>
        <v/>
      </c>
      <c r="AM458" s="3">
        <f>AE458-AL458</f>
        <v/>
      </c>
      <c r="AN458" s="4">
        <f>AM458/AE458</f>
        <v/>
      </c>
      <c r="AO458" s="3" t="inlineStr">
        <is>
          <t>60 mins</t>
        </is>
      </c>
      <c r="AQ458" s="3" t="inlineStr">
        <is>
          <t>Weight</t>
        </is>
      </c>
      <c r="AS458" s="3" t="inlineStr">
        <is>
          <t>This product runs on mechanisms that allow doors to move horizontally on tracks, primarily designed to save space, enhance aesthetics with a minimalist look, and provide easy access to clothing in tight areas</t>
        </is>
      </c>
      <c r="AT458" s="3" t="inlineStr">
        <is>
          <t>On Demand</t>
        </is>
      </c>
    </row>
    <row r="459" ht="15.75" customHeight="1">
      <c r="A459" s="3" t="inlineStr">
        <is>
          <t>PROD_0107</t>
        </is>
      </c>
      <c r="B459" s="3" t="inlineStr">
        <is>
          <t>VAR_1</t>
        </is>
      </c>
      <c r="C459" s="3" t="inlineStr">
        <is>
          <t>Modular Hardware</t>
        </is>
      </c>
      <c r="D459" s="3" t="inlineStr">
        <is>
          <t>Wardrobe Sliding System</t>
        </is>
      </c>
      <c r="E459" s="3" t="inlineStr">
        <is>
          <t>Ebco</t>
        </is>
      </c>
      <c r="F459" s="3" t="inlineStr">
        <is>
          <t>Hi Slide Topper 16 - 46 | 750 mm</t>
        </is>
      </c>
      <c r="H459" s="3" t="inlineStr">
        <is>
          <t>Door Weight</t>
        </is>
      </c>
      <c r="I459" s="3" t="inlineStr">
        <is>
          <t>80 kg</t>
        </is>
      </c>
      <c r="J459" s="3" t="inlineStr">
        <is>
          <t>Door Count</t>
        </is>
      </c>
      <c r="K459" s="3" t="n">
        <v>2</v>
      </c>
      <c r="L459" s="3" t="inlineStr">
        <is>
          <t>Size</t>
        </is>
      </c>
      <c r="M459" s="3" t="inlineStr">
        <is>
          <t>2440 mm X 50 mm</t>
        </is>
      </c>
      <c r="Q459" s="3" t="inlineStr">
        <is>
          <t>Manufacturer's Warranty</t>
        </is>
      </c>
      <c r="R459" s="3" t="inlineStr">
        <is>
          <t>HST16-46-802</t>
        </is>
      </c>
      <c r="Y459" s="3" t="inlineStr">
        <is>
          <t>EBCO_HST16-46</t>
        </is>
      </c>
      <c r="Z459" s="3" t="n">
        <v>8302</v>
      </c>
      <c r="AC459" s="3" t="n">
        <v>1</v>
      </c>
      <c r="AE459" s="3" t="n">
        <v>10329</v>
      </c>
      <c r="AF459" s="4" t="n">
        <v>0.4</v>
      </c>
      <c r="AG459" s="3">
        <f>ROUND(AE459-(AE459*AF459),2)</f>
        <v/>
      </c>
      <c r="AH459" s="4" t="n">
        <v>0.18</v>
      </c>
      <c r="AI459" s="3">
        <f>ROUND(AG459+(AG459*AH459),2)</f>
        <v/>
      </c>
      <c r="AJ459" s="4" t="n">
        <v>0.1</v>
      </c>
      <c r="AK459" s="3">
        <f>ROUND(AI459*AJ459,2)</f>
        <v/>
      </c>
      <c r="AL459" s="3">
        <f>AI459+AK459</f>
        <v/>
      </c>
      <c r="AM459" s="3">
        <f>AE459-AL459</f>
        <v/>
      </c>
      <c r="AN459" s="4">
        <f>AM459/AE459</f>
        <v/>
      </c>
      <c r="AO459" s="3" t="inlineStr">
        <is>
          <t>60 mins</t>
        </is>
      </c>
      <c r="AQ459" s="3" t="inlineStr">
        <is>
          <t>Weight</t>
        </is>
      </c>
      <c r="AS459" s="3" t="inlineStr">
        <is>
          <t>1. HST16-46-802-Hi Slide Topper 16-46 Door Thickness 
16mm-46mm Max 
Weight per door 
80Kg
For 2 doors (complete
2 door fittings with top
&amp; bottom soft close
attachment kit)  2. HST16-46-T2 Aluminium Track for Hi
Slide Topper 16-46 (set
of top and bottom
tracks in 2.44 meters)</t>
        </is>
      </c>
      <c r="AT459" s="3" t="inlineStr">
        <is>
          <t>On Demand</t>
        </is>
      </c>
    </row>
    <row r="460" ht="15.75" customHeight="1">
      <c r="A460" s="3" t="inlineStr">
        <is>
          <t>PROD_0107</t>
        </is>
      </c>
      <c r="B460" s="3" t="inlineStr">
        <is>
          <t>VAR_2</t>
        </is>
      </c>
      <c r="C460" s="3" t="inlineStr">
        <is>
          <t>Modular Hardware</t>
        </is>
      </c>
      <c r="D460" s="3" t="inlineStr">
        <is>
          <t>Wardrobe Sliding System</t>
        </is>
      </c>
      <c r="E460" s="3" t="inlineStr">
        <is>
          <t>Ebco</t>
        </is>
      </c>
      <c r="F460" s="3" t="inlineStr">
        <is>
          <t>Hi Slide Topper 16 - 46 | 750 mm</t>
        </is>
      </c>
      <c r="H460" s="3" t="inlineStr">
        <is>
          <t>Door Weight</t>
        </is>
      </c>
      <c r="I460" s="3" t="inlineStr">
        <is>
          <t>80 kg</t>
        </is>
      </c>
      <c r="J460" s="3" t="inlineStr">
        <is>
          <t>Door Count</t>
        </is>
      </c>
      <c r="K460" s="3" t="n">
        <v>3</v>
      </c>
      <c r="L460" s="3" t="inlineStr">
        <is>
          <t>Size</t>
        </is>
      </c>
      <c r="M460" s="3" t="inlineStr">
        <is>
          <t>2440 mm X 50 mm</t>
        </is>
      </c>
      <c r="Q460" s="3" t="inlineStr">
        <is>
          <t>Manufacturer's Warranty</t>
        </is>
      </c>
      <c r="R460" s="3" t="inlineStr">
        <is>
          <t>HST16-46-802</t>
        </is>
      </c>
      <c r="Y460" s="3" t="inlineStr">
        <is>
          <t>EBCO_HST16-46</t>
        </is>
      </c>
      <c r="Z460" s="3" t="n">
        <v>8302</v>
      </c>
      <c r="AE460" s="3" t="n">
        <v>12997</v>
      </c>
      <c r="AF460" s="4" t="n">
        <v>0.4</v>
      </c>
      <c r="AG460" s="3">
        <f>ROUND(AE460-(AE460*AF460),2)</f>
        <v/>
      </c>
      <c r="AH460" s="4" t="n">
        <v>0.18</v>
      </c>
      <c r="AI460" s="3">
        <f>ROUND(AG460+(AG460*AH460),2)</f>
        <v/>
      </c>
      <c r="AJ460" s="4" t="n">
        <v>0.1</v>
      </c>
      <c r="AK460" s="3">
        <f>ROUND(AI460*AJ460,2)</f>
        <v/>
      </c>
      <c r="AL460" s="3">
        <f>AI460+AK460</f>
        <v/>
      </c>
      <c r="AM460" s="3">
        <f>AE460-AL460</f>
        <v/>
      </c>
      <c r="AN460" s="4">
        <f>AM460/AE460</f>
        <v/>
      </c>
      <c r="AO460" s="3" t="inlineStr">
        <is>
          <t>60 mins</t>
        </is>
      </c>
      <c r="AQ460" s="3" t="inlineStr">
        <is>
          <t>Weight</t>
        </is>
      </c>
      <c r="AS460" s="3" t="inlineStr">
        <is>
          <t>HST16-46-803 Hi SlideTopper 16-46  
For 3doors (complete 3
door fittings with top &amp;
bottom soft close
attachment kit)  HST16-46-T2 Aluminium Track for Hi
Slide Topper 16-46 (set
of top and bottom
tracks in 2.44 meters)  HSTC1 Centro - Soft Cl.
Attachment for 3 Door
Fittings (For Topper 16-46</t>
        </is>
      </c>
      <c r="AT460" s="3" t="inlineStr">
        <is>
          <t>On Demand</t>
        </is>
      </c>
    </row>
    <row r="461" ht="15.75" customHeight="1">
      <c r="A461" s="10" t="inlineStr">
        <is>
          <t>PROD_0107</t>
        </is>
      </c>
      <c r="B461" s="10" t="inlineStr">
        <is>
          <t>VAR_3</t>
        </is>
      </c>
      <c r="C461" s="10" t="inlineStr">
        <is>
          <t>Modular Hardware</t>
        </is>
      </c>
      <c r="D461" s="10" t="inlineStr">
        <is>
          <t>Wardrobe Sliding System</t>
        </is>
      </c>
      <c r="E461" s="10" t="inlineStr">
        <is>
          <t>Ebco</t>
        </is>
      </c>
      <c r="F461" s="10" t="inlineStr">
        <is>
          <t>Hi Slide Topper 16 - 46 | 750 mm</t>
        </is>
      </c>
      <c r="G461" s="10" t="n"/>
      <c r="H461" s="10" t="inlineStr">
        <is>
          <t>Door Weight</t>
        </is>
      </c>
      <c r="I461" s="10" t="inlineStr">
        <is>
          <t>80 kg</t>
        </is>
      </c>
      <c r="J461" s="10" t="inlineStr">
        <is>
          <t>Door Count</t>
        </is>
      </c>
      <c r="K461" s="10" t="n">
        <v>2</v>
      </c>
      <c r="L461" s="10" t="inlineStr">
        <is>
          <t>Size</t>
        </is>
      </c>
      <c r="M461" s="10" t="inlineStr">
        <is>
          <t>3660 mm X 50 mm</t>
        </is>
      </c>
      <c r="N461" s="10" t="n"/>
      <c r="O461" s="10" t="n"/>
      <c r="P461" s="10" t="n"/>
      <c r="Q461" s="10" t="inlineStr">
        <is>
          <t>Manufacturer's Warranty</t>
        </is>
      </c>
      <c r="R461" s="10" t="inlineStr">
        <is>
          <t>HST16-46-803</t>
        </is>
      </c>
      <c r="S461" s="10" t="n"/>
      <c r="T461" s="10" t="n"/>
      <c r="U461" s="10" t="n"/>
      <c r="V461" s="10" t="n"/>
      <c r="W461" s="10" t="n"/>
      <c r="X461" s="10" t="n"/>
      <c r="Y461" s="10" t="inlineStr">
        <is>
          <t>EBCO_HST16-46</t>
        </is>
      </c>
      <c r="Z461" s="10" t="n">
        <v>8302</v>
      </c>
      <c r="AA461" s="10" t="n"/>
      <c r="AB461" s="10" t="n"/>
      <c r="AC461" s="10" t="n"/>
      <c r="AD461" s="10" t="n"/>
      <c r="AE461" s="10" t="n">
        <v>12997</v>
      </c>
      <c r="AF461" s="11" t="n">
        <v>0.4</v>
      </c>
      <c r="AG461" s="10">
        <f>ROUND(AE461-(AE461*AF461),2)</f>
        <v/>
      </c>
      <c r="AH461" s="11" t="n">
        <v>0.18</v>
      </c>
      <c r="AI461" s="10">
        <f>ROUND(AG461+(AG461*AH461),2)</f>
        <v/>
      </c>
      <c r="AJ461" s="4" t="n">
        <v>0.1</v>
      </c>
      <c r="AK461" s="10">
        <f>ROUND(AI461*AJ461,2)</f>
        <v/>
      </c>
      <c r="AL461" s="10">
        <f>AI461+AK461</f>
        <v/>
      </c>
      <c r="AM461" s="10">
        <f>AE461-AL461</f>
        <v/>
      </c>
      <c r="AN461" s="11">
        <f>AM461/AE461</f>
        <v/>
      </c>
      <c r="AO461" s="10" t="inlineStr">
        <is>
          <t>60 mins</t>
        </is>
      </c>
      <c r="AP461" s="10" t="n"/>
      <c r="AQ461" s="10" t="inlineStr">
        <is>
          <t>Weight</t>
        </is>
      </c>
      <c r="AR461" s="10" t="n"/>
      <c r="AS461" s="10" t="inlineStr">
        <is>
          <t xml:space="preserve"> 1. HST16-46-802-Hi Slide Topper 16-46
For 2 doors (complete
2 door fittings with top
&amp; bottom soft close
attachment kit)  2. HST16-46-T3 Aluminium Track for Hi
SlideTopper 16 -46 (set
of top and bottom
tracks in 3.66 meters)</t>
        </is>
      </c>
      <c r="AT461" s="10" t="inlineStr">
        <is>
          <t>Inactive</t>
        </is>
      </c>
    </row>
    <row r="462" ht="15.75" customHeight="1">
      <c r="A462" s="10" t="inlineStr">
        <is>
          <t>PROD_0107</t>
        </is>
      </c>
      <c r="B462" s="10" t="inlineStr">
        <is>
          <t>VAR_4</t>
        </is>
      </c>
      <c r="C462" s="10" t="inlineStr">
        <is>
          <t>Modular Hardware</t>
        </is>
      </c>
      <c r="D462" s="10" t="inlineStr">
        <is>
          <t>Wardrobe Sliding System</t>
        </is>
      </c>
      <c r="E462" s="10" t="inlineStr">
        <is>
          <t>Ebco</t>
        </is>
      </c>
      <c r="F462" s="10" t="inlineStr">
        <is>
          <t>Hi Slide Topper 16 - 46 | 750 mm</t>
        </is>
      </c>
      <c r="G462" s="10" t="n"/>
      <c r="H462" s="10" t="inlineStr">
        <is>
          <t>Door Weight</t>
        </is>
      </c>
      <c r="I462" s="10" t="inlineStr">
        <is>
          <t>80 kg</t>
        </is>
      </c>
      <c r="J462" s="10" t="inlineStr">
        <is>
          <t>Door Count</t>
        </is>
      </c>
      <c r="K462" s="10" t="n">
        <v>3</v>
      </c>
      <c r="L462" s="10" t="inlineStr">
        <is>
          <t>Size</t>
        </is>
      </c>
      <c r="M462" s="10" t="inlineStr">
        <is>
          <t>3660 mm X 50 mm</t>
        </is>
      </c>
      <c r="N462" s="10" t="n"/>
      <c r="O462" s="10" t="n"/>
      <c r="P462" s="10" t="n"/>
      <c r="Q462" s="10" t="inlineStr">
        <is>
          <t>Manufacturer's Warranty</t>
        </is>
      </c>
      <c r="R462" s="10" t="inlineStr">
        <is>
          <t>HST16-46-803</t>
        </is>
      </c>
      <c r="S462" s="10" t="n"/>
      <c r="T462" s="10" t="n"/>
      <c r="U462" s="10" t="n"/>
      <c r="V462" s="10" t="n"/>
      <c r="W462" s="10" t="n"/>
      <c r="X462" s="10" t="n"/>
      <c r="Y462" s="10" t="inlineStr">
        <is>
          <t>EBCO_HST16-46</t>
        </is>
      </c>
      <c r="Z462" s="10" t="n">
        <v>8302</v>
      </c>
      <c r="AA462" s="10" t="n"/>
      <c r="AB462" s="10" t="n"/>
      <c r="AC462" s="10" t="n"/>
      <c r="AD462" s="10" t="n"/>
      <c r="AE462" s="10" t="n">
        <v>21128</v>
      </c>
      <c r="AF462" s="11" t="n">
        <v>0.4</v>
      </c>
      <c r="AG462" s="10">
        <f>ROUND(AE462-(AE462*AF462),2)</f>
        <v/>
      </c>
      <c r="AH462" s="11" t="n">
        <v>0.18</v>
      </c>
      <c r="AI462" s="10">
        <f>ROUND(AG462+(AG462*AH462),2)</f>
        <v/>
      </c>
      <c r="AJ462" s="4" t="n">
        <v>0.1</v>
      </c>
      <c r="AK462" s="10">
        <f>ROUND(AI462*AJ462,2)</f>
        <v/>
      </c>
      <c r="AL462" s="10">
        <f>AI462+AK462</f>
        <v/>
      </c>
      <c r="AM462" s="10">
        <f>AE462-AL462</f>
        <v/>
      </c>
      <c r="AN462" s="11">
        <f>AM462/AE462</f>
        <v/>
      </c>
      <c r="AO462" s="10" t="inlineStr">
        <is>
          <t>60 mins</t>
        </is>
      </c>
      <c r="AP462" s="10" t="n"/>
      <c r="AQ462" s="10" t="inlineStr">
        <is>
          <t>Weight</t>
        </is>
      </c>
      <c r="AR462" s="10" t="n"/>
      <c r="AS462" s="10" t="inlineStr">
        <is>
          <t>HST16-46-803 Hi SlideTopper 16-46  
For 3doors (complete 3
door fittings with top &amp;
bottom soft close
attachment kit)  
/HST16-46-T3 Aluminium Track for Hi
SlideTopper 16 -46 (set
of top and bottom
tracks in 3.66 meters)/ HSTC1 Centro - Soft Cl.
Attachment for 3 Door
Fittings (For Topper 16-46</t>
        </is>
      </c>
      <c r="AT462" s="10" t="inlineStr">
        <is>
          <t>Inactive</t>
        </is>
      </c>
    </row>
    <row r="463" ht="15.75" customHeight="1">
      <c r="A463" s="10" t="inlineStr">
        <is>
          <t>PROD_0108</t>
        </is>
      </c>
      <c r="B463" s="10" t="inlineStr">
        <is>
          <t>VAR_1</t>
        </is>
      </c>
      <c r="C463" s="10" t="inlineStr">
        <is>
          <t>Modular Hardware</t>
        </is>
      </c>
      <c r="D463" s="10" t="inlineStr">
        <is>
          <t>Wardrobe Sliding System</t>
        </is>
      </c>
      <c r="E463" s="10" t="inlineStr">
        <is>
          <t>Ebco</t>
        </is>
      </c>
      <c r="F463" s="10" t="inlineStr">
        <is>
          <t>Hi Slide 90 (Dome Track) | 950 mm</t>
        </is>
      </c>
      <c r="G463" s="10" t="n"/>
      <c r="H463" s="10" t="inlineStr">
        <is>
          <t>Door Weight</t>
        </is>
      </c>
      <c r="I463" s="10" t="inlineStr">
        <is>
          <t>90 kg</t>
        </is>
      </c>
      <c r="J463" s="10" t="inlineStr">
        <is>
          <t>Door Count</t>
        </is>
      </c>
      <c r="K463" s="10" t="n">
        <v>2</v>
      </c>
      <c r="L463" s="10" t="inlineStr">
        <is>
          <t>Size</t>
        </is>
      </c>
      <c r="M463" s="10" t="inlineStr">
        <is>
          <t>2440 mm X 50 mm</t>
        </is>
      </c>
      <c r="N463" s="10" t="n"/>
      <c r="O463" s="10" t="n"/>
      <c r="P463" s="10" t="n"/>
      <c r="Q463" s="10" t="inlineStr">
        <is>
          <t>Manufacturer's Warranty</t>
        </is>
      </c>
      <c r="R463" s="10" t="inlineStr">
        <is>
          <t>HS-90-DT</t>
        </is>
      </c>
      <c r="S463" s="10" t="n"/>
      <c r="T463" s="10" t="n"/>
      <c r="U463" s="10" t="n"/>
      <c r="V463" s="10" t="n"/>
      <c r="W463" s="10" t="n"/>
      <c r="X463" s="10" t="n"/>
      <c r="Y463" s="10" t="inlineStr">
        <is>
          <t>EBCO_HS_90_TT_AS_2</t>
        </is>
      </c>
      <c r="Z463" s="10" t="n">
        <v>8302</v>
      </c>
      <c r="AA463" s="10" t="n"/>
      <c r="AB463" s="10" t="n"/>
      <c r="AC463" s="10" t="n"/>
      <c r="AD463" s="10" t="n"/>
      <c r="AE463" s="10" t="n">
        <v>21128</v>
      </c>
      <c r="AF463" s="11" t="n">
        <v>0.4</v>
      </c>
      <c r="AG463" s="10">
        <f>ROUND(AE463-(AE463*AF463),2)</f>
        <v/>
      </c>
      <c r="AH463" s="11" t="n">
        <v>0.18</v>
      </c>
      <c r="AI463" s="10">
        <f>ROUND(AG463+(AG463*AH463),2)</f>
        <v/>
      </c>
      <c r="AJ463" s="4" t="n">
        <v>0.1</v>
      </c>
      <c r="AK463" s="10">
        <f>ROUND(AI463*AJ463,2)</f>
        <v/>
      </c>
      <c r="AL463" s="10">
        <f>AI463+AK463</f>
        <v/>
      </c>
      <c r="AM463" s="10">
        <f>AE463-AL463</f>
        <v/>
      </c>
      <c r="AN463" s="11">
        <f>AM463/AE463</f>
        <v/>
      </c>
      <c r="AO463" s="10" t="inlineStr">
        <is>
          <t>60 mins</t>
        </is>
      </c>
      <c r="AP463" s="10" t="n"/>
      <c r="AQ463" s="10" t="inlineStr">
        <is>
          <t>Weight</t>
        </is>
      </c>
      <c r="AR463" s="10" t="n"/>
      <c r="AS463" s="10" t="n"/>
      <c r="AT463" s="10" t="inlineStr">
        <is>
          <t>Inactive</t>
        </is>
      </c>
    </row>
    <row r="464" ht="15.75" customHeight="1">
      <c r="A464" s="10" t="inlineStr">
        <is>
          <t>PROD_0108</t>
        </is>
      </c>
      <c r="B464" s="10" t="inlineStr">
        <is>
          <t>VAR_2</t>
        </is>
      </c>
      <c r="C464" s="10" t="inlineStr">
        <is>
          <t>Modular Hardware</t>
        </is>
      </c>
      <c r="D464" s="10" t="inlineStr">
        <is>
          <t>Wardrobe Sliding System</t>
        </is>
      </c>
      <c r="E464" s="10" t="inlineStr">
        <is>
          <t>Ebco</t>
        </is>
      </c>
      <c r="F464" s="10" t="inlineStr">
        <is>
          <t>Hi Slide 90 (Dome Track) | 950 mm</t>
        </is>
      </c>
      <c r="G464" s="10" t="n"/>
      <c r="H464" s="10" t="inlineStr">
        <is>
          <t>Door Weight</t>
        </is>
      </c>
      <c r="I464" s="10" t="inlineStr">
        <is>
          <t>90 kg</t>
        </is>
      </c>
      <c r="J464" s="10" t="inlineStr">
        <is>
          <t>Door Count</t>
        </is>
      </c>
      <c r="K464" s="10" t="n">
        <v>3</v>
      </c>
      <c r="L464" s="10" t="inlineStr">
        <is>
          <t>Size</t>
        </is>
      </c>
      <c r="M464" s="10" t="inlineStr">
        <is>
          <t>3660 mm X 50 mm</t>
        </is>
      </c>
      <c r="N464" s="10" t="n"/>
      <c r="O464" s="10" t="n"/>
      <c r="P464" s="10" t="n"/>
      <c r="Q464" s="10" t="inlineStr">
        <is>
          <t>Manufacturer's Warranty</t>
        </is>
      </c>
      <c r="R464" s="10" t="inlineStr">
        <is>
          <t>HS-90-DT</t>
        </is>
      </c>
      <c r="S464" s="10" t="n"/>
      <c r="T464" s="10" t="n"/>
      <c r="U464" s="10" t="n"/>
      <c r="V464" s="10" t="n"/>
      <c r="W464" s="10" t="n"/>
      <c r="X464" s="10" t="n"/>
      <c r="Y464" s="10" t="inlineStr">
        <is>
          <t>EBCO_HS_90_TT_AS_3</t>
        </is>
      </c>
      <c r="Z464" s="10" t="n">
        <v>8302</v>
      </c>
      <c r="AA464" s="10" t="n"/>
      <c r="AB464" s="10" t="n"/>
      <c r="AC464" s="10" t="n"/>
      <c r="AD464" s="10" t="n"/>
      <c r="AE464" s="10" t="n">
        <v>21128</v>
      </c>
      <c r="AF464" s="11" t="n">
        <v>0.4</v>
      </c>
      <c r="AG464" s="10">
        <f>ROUND(AE464-(AE464*AF464),2)</f>
        <v/>
      </c>
      <c r="AH464" s="11" t="n">
        <v>0.18</v>
      </c>
      <c r="AI464" s="10">
        <f>ROUND(AG464+(AG464*AH464),2)</f>
        <v/>
      </c>
      <c r="AJ464" s="4" t="n">
        <v>0.1</v>
      </c>
      <c r="AK464" s="10">
        <f>ROUND(AI464*AJ464,2)</f>
        <v/>
      </c>
      <c r="AL464" s="10">
        <f>AI464+AK464</f>
        <v/>
      </c>
      <c r="AM464" s="10">
        <f>AE464-AL464</f>
        <v/>
      </c>
      <c r="AN464" s="11">
        <f>AM464/AE464</f>
        <v/>
      </c>
      <c r="AO464" s="10" t="inlineStr">
        <is>
          <t>60 mins</t>
        </is>
      </c>
      <c r="AP464" s="10" t="n"/>
      <c r="AQ464" s="10" t="inlineStr">
        <is>
          <t>Weight</t>
        </is>
      </c>
      <c r="AR464" s="10" t="n"/>
      <c r="AS464" s="10" t="n"/>
      <c r="AT464" s="10" t="inlineStr">
        <is>
          <t>Inactive</t>
        </is>
      </c>
    </row>
    <row r="465" ht="15.75" customHeight="1">
      <c r="A465" s="3" t="inlineStr">
        <is>
          <t>PROD_0109</t>
        </is>
      </c>
      <c r="B465" s="3" t="inlineStr">
        <is>
          <t>VAR_1</t>
        </is>
      </c>
      <c r="C465" s="3" t="inlineStr">
        <is>
          <t>Modular Hardware</t>
        </is>
      </c>
      <c r="D465" s="3" t="inlineStr">
        <is>
          <t>Glass Door Profiles</t>
        </is>
      </c>
      <c r="E465" s="3" t="inlineStr">
        <is>
          <t>Hettich</t>
        </is>
      </c>
      <c r="F465" s="3" t="inlineStr">
        <is>
          <t>Straight Frame Profile | With Handle</t>
        </is>
      </c>
      <c r="H465" s="3" t="inlineStr">
        <is>
          <t>Handle</t>
        </is>
      </c>
      <c r="I465" s="3" t="inlineStr">
        <is>
          <t>With</t>
        </is>
      </c>
      <c r="J465" s="3" t="inlineStr">
        <is>
          <t>Color</t>
        </is>
      </c>
      <c r="K465" s="3" t="inlineStr">
        <is>
          <t>Black</t>
        </is>
      </c>
      <c r="L465" s="3" t="inlineStr">
        <is>
          <t>Dimensions</t>
        </is>
      </c>
      <c r="M465" s="3" t="inlineStr">
        <is>
          <t>3000 mm X 19 mm</t>
        </is>
      </c>
      <c r="Q465" s="3" t="inlineStr">
        <is>
          <t>Manufacturer's Warranty</t>
        </is>
      </c>
      <c r="R465" s="3" t="n">
        <v>9348540</v>
      </c>
      <c r="S465" s="3" t="n">
        <v>10</v>
      </c>
      <c r="V465" s="3" t="inlineStr">
        <is>
          <t>Angle Connector Set</t>
        </is>
      </c>
      <c r="Y465" s="3" t="inlineStr">
        <is>
          <t>HT_SFP_WH_BC</t>
        </is>
      </c>
      <c r="Z465" s="3" t="n">
        <v>76042990</v>
      </c>
      <c r="AC465" s="3" t="n">
        <v>1</v>
      </c>
      <c r="AE465" s="3" t="n">
        <v>3419</v>
      </c>
      <c r="AF465" s="4" t="n">
        <v>0.5</v>
      </c>
      <c r="AG465" s="3">
        <f>ROUND(AE465-(AE465*AF465),2)</f>
        <v/>
      </c>
      <c r="AH465" s="4" t="n">
        <v>0.18</v>
      </c>
      <c r="AI465" s="3">
        <f>ROUND(AG465+(AG465*AH465),2)</f>
        <v/>
      </c>
      <c r="AJ465" s="4" t="n">
        <v>0.2</v>
      </c>
      <c r="AK465" s="3">
        <f>ROUND(AI465*AJ465,2)</f>
        <v/>
      </c>
      <c r="AL465" s="3">
        <f>AI465+AK465</f>
        <v/>
      </c>
      <c r="AM465" s="3">
        <f>AE465-AL465</f>
        <v/>
      </c>
      <c r="AN465" s="4">
        <f>AM465/AE465</f>
        <v/>
      </c>
      <c r="AO465" s="3" t="inlineStr">
        <is>
          <t>3 hrs</t>
        </is>
      </c>
      <c r="AQ465" s="3" t="inlineStr">
        <is>
          <t>Length Weight</t>
        </is>
      </c>
      <c r="AS465" s="3" t="inlineStr">
        <is>
          <t>Straight frame profiles, commonly made of aluminum or steel, are versatile structural elements used for creating rigid, lightweight, and modern frames in furniture, industrial, and construction applications</t>
        </is>
      </c>
      <c r="AT465" s="3" t="inlineStr">
        <is>
          <t>On Demand</t>
        </is>
      </c>
    </row>
    <row r="466" ht="15.75" customHeight="1">
      <c r="A466" s="3" t="inlineStr">
        <is>
          <t>PROD_0109</t>
        </is>
      </c>
      <c r="B466" s="3" t="inlineStr">
        <is>
          <t>VAR_2</t>
        </is>
      </c>
      <c r="C466" s="3" t="inlineStr">
        <is>
          <t>Modular Hardware</t>
        </is>
      </c>
      <c r="D466" s="3" t="inlineStr">
        <is>
          <t>Glass Door Profiles</t>
        </is>
      </c>
      <c r="E466" s="3" t="inlineStr">
        <is>
          <t>Hettich</t>
        </is>
      </c>
      <c r="F466" s="3" t="inlineStr">
        <is>
          <t>Straight Frame Profile | With Handle</t>
        </is>
      </c>
      <c r="H466" s="3" t="inlineStr">
        <is>
          <t>Handle</t>
        </is>
      </c>
      <c r="I466" s="3" t="inlineStr">
        <is>
          <t>With</t>
        </is>
      </c>
      <c r="J466" s="3" t="inlineStr">
        <is>
          <t>Color</t>
        </is>
      </c>
      <c r="K466" s="3" t="inlineStr">
        <is>
          <t>Copper</t>
        </is>
      </c>
      <c r="L466" s="3" t="inlineStr">
        <is>
          <t>Dimensions</t>
        </is>
      </c>
      <c r="M466" s="3" t="inlineStr">
        <is>
          <t>3000 mm X 19 mm</t>
        </is>
      </c>
      <c r="Q466" s="3" t="inlineStr">
        <is>
          <t>Manufacturer's Warranty</t>
        </is>
      </c>
      <c r="R466" s="3" t="n">
        <v>9348539</v>
      </c>
      <c r="S466" s="3" t="n">
        <v>10</v>
      </c>
      <c r="Y466" s="3" t="inlineStr">
        <is>
          <t>HT_SFP_WH_COPPER</t>
        </is>
      </c>
      <c r="Z466" s="3" t="n">
        <v>76042990</v>
      </c>
      <c r="AC466" s="3" t="n">
        <v>1</v>
      </c>
      <c r="AE466" s="3" t="n">
        <v>3287</v>
      </c>
      <c r="AF466" s="4" t="n">
        <v>0.5</v>
      </c>
      <c r="AG466" s="3">
        <f>ROUND(AE466-(AE466*AF466),2)</f>
        <v/>
      </c>
      <c r="AH466" s="4" t="n">
        <v>0.18</v>
      </c>
      <c r="AI466" s="3">
        <f>ROUND(AG466+(AG466*AH466),2)</f>
        <v/>
      </c>
      <c r="AJ466" s="4" t="n">
        <v>0.2</v>
      </c>
      <c r="AK466" s="3">
        <f>ROUND(AI466*AJ466,2)</f>
        <v/>
      </c>
      <c r="AL466" s="3">
        <f>AI466+AK466</f>
        <v/>
      </c>
      <c r="AM466" s="3">
        <f>AE466-AL466</f>
        <v/>
      </c>
      <c r="AN466" s="4">
        <f>AM466/AE466</f>
        <v/>
      </c>
      <c r="AO466" s="3" t="inlineStr">
        <is>
          <t>3 hrs</t>
        </is>
      </c>
      <c r="AQ466" s="3" t="inlineStr">
        <is>
          <t>Length Weight</t>
        </is>
      </c>
      <c r="AS466" s="3" t="inlineStr">
        <is>
          <t>Straight frame profiles, commonly made of aluminum or steel, are versatile structural elements used for creating rigid, lightweight, and modern frames in furniture, industrial, and construction applications</t>
        </is>
      </c>
      <c r="AT466" s="3" t="inlineStr">
        <is>
          <t>On Demand</t>
        </is>
      </c>
    </row>
    <row r="467" ht="15.75" customHeight="1">
      <c r="A467" s="3" t="inlineStr">
        <is>
          <t>PROD_0109</t>
        </is>
      </c>
      <c r="B467" s="3" t="inlineStr">
        <is>
          <t>VAR_3</t>
        </is>
      </c>
      <c r="C467" s="3" t="inlineStr">
        <is>
          <t>Modular Hardware</t>
        </is>
      </c>
      <c r="D467" s="3" t="inlineStr">
        <is>
          <t>Glass Door Profiles</t>
        </is>
      </c>
      <c r="E467" s="3" t="inlineStr">
        <is>
          <t>Hettich</t>
        </is>
      </c>
      <c r="F467" s="3" t="inlineStr">
        <is>
          <t>Straight Frame Profile | With Handle</t>
        </is>
      </c>
      <c r="H467" s="3" t="inlineStr">
        <is>
          <t>Handle</t>
        </is>
      </c>
      <c r="I467" s="3" t="inlineStr">
        <is>
          <t>With</t>
        </is>
      </c>
      <c r="J467" s="3" t="inlineStr">
        <is>
          <t>Color</t>
        </is>
      </c>
      <c r="K467" s="3" t="inlineStr">
        <is>
          <t>Stainless Steel</t>
        </is>
      </c>
      <c r="L467" s="3" t="inlineStr">
        <is>
          <t>Dimensions</t>
        </is>
      </c>
      <c r="M467" s="3" t="inlineStr">
        <is>
          <t>3000 mm X 19 mm</t>
        </is>
      </c>
      <c r="Q467" s="3" t="inlineStr">
        <is>
          <t>Manufacturer's Warranty</t>
        </is>
      </c>
      <c r="R467" s="3" t="n">
        <v>9348537</v>
      </c>
      <c r="S467" s="3" t="n">
        <v>10</v>
      </c>
      <c r="Y467" s="3" t="inlineStr">
        <is>
          <t>HT_SFP_WH_Stainless_Steel</t>
        </is>
      </c>
      <c r="Z467" s="3" t="n">
        <v>76042990</v>
      </c>
      <c r="AC467" s="3" t="n">
        <v>1</v>
      </c>
      <c r="AE467" s="3" t="n">
        <v>3287</v>
      </c>
      <c r="AF467" s="4" t="n">
        <v>0.5</v>
      </c>
      <c r="AG467" s="3">
        <f>ROUND(AE467-(AE467*AF467),2)</f>
        <v/>
      </c>
      <c r="AH467" s="4" t="n">
        <v>0.18</v>
      </c>
      <c r="AI467" s="3">
        <f>ROUND(AG467+(AG467*AH467),2)</f>
        <v/>
      </c>
      <c r="AJ467" s="4" t="n">
        <v>0.2</v>
      </c>
      <c r="AK467" s="3">
        <f>ROUND(AI467*AJ467,2)</f>
        <v/>
      </c>
      <c r="AL467" s="3">
        <f>AI467+AK467</f>
        <v/>
      </c>
      <c r="AM467" s="3">
        <f>AE467-AL467</f>
        <v/>
      </c>
      <c r="AN467" s="4">
        <f>AM467/AE467</f>
        <v/>
      </c>
      <c r="AO467" s="3" t="inlineStr">
        <is>
          <t>3 hrs</t>
        </is>
      </c>
      <c r="AQ467" s="3" t="inlineStr">
        <is>
          <t>Length Weight</t>
        </is>
      </c>
      <c r="AS467" s="3" t="inlineStr">
        <is>
          <t>Straight frame profiles, commonly made of aluminum or steel, are versatile structural elements used for creating rigid, lightweight, and modern frames in furniture, industrial, and construction applications</t>
        </is>
      </c>
      <c r="AT467" s="3" t="inlineStr">
        <is>
          <t>On Demand</t>
        </is>
      </c>
    </row>
    <row r="468" ht="15.75" customHeight="1">
      <c r="A468" s="3" t="inlineStr">
        <is>
          <t>PROD_0110</t>
        </is>
      </c>
      <c r="B468" s="3" t="inlineStr">
        <is>
          <t>VAR_1</t>
        </is>
      </c>
      <c r="C468" s="3" t="inlineStr">
        <is>
          <t>Modular Hardware</t>
        </is>
      </c>
      <c r="D468" s="3" t="inlineStr">
        <is>
          <t>Glass Door Profiles</t>
        </is>
      </c>
      <c r="E468" s="3" t="inlineStr">
        <is>
          <t>Hettich</t>
        </is>
      </c>
      <c r="F468" s="3" t="inlineStr">
        <is>
          <t>Straight Frame Profile | Without Handle</t>
        </is>
      </c>
      <c r="H468" s="3" t="inlineStr">
        <is>
          <t>Handle</t>
        </is>
      </c>
      <c r="I468" s="3" t="inlineStr">
        <is>
          <t>Without</t>
        </is>
      </c>
      <c r="J468" s="3" t="inlineStr">
        <is>
          <t>Color</t>
        </is>
      </c>
      <c r="K468" s="3" t="inlineStr">
        <is>
          <t>Black</t>
        </is>
      </c>
      <c r="L468" s="3" t="inlineStr">
        <is>
          <t>Dimensions</t>
        </is>
      </c>
      <c r="M468" s="3" t="inlineStr">
        <is>
          <t>3000 mm X 19 mm</t>
        </is>
      </c>
      <c r="Q468" s="3" t="inlineStr">
        <is>
          <t>Manufacturer's Warranty</t>
        </is>
      </c>
      <c r="R468" s="3" t="n">
        <v>9348531</v>
      </c>
      <c r="S468" s="3" t="n">
        <v>10</v>
      </c>
      <c r="V468" s="3" t="inlineStr">
        <is>
          <t>Angle Connector Set</t>
        </is>
      </c>
      <c r="Y468" s="3" t="inlineStr">
        <is>
          <t>HT_SFP_BC</t>
        </is>
      </c>
      <c r="Z468" s="3" t="n">
        <v>76042990</v>
      </c>
      <c r="AC468" s="3" t="n">
        <v>1</v>
      </c>
      <c r="AE468" s="3" t="n">
        <v>2891</v>
      </c>
      <c r="AF468" s="4" t="n">
        <v>0.5</v>
      </c>
      <c r="AG468" s="3">
        <f>ROUND(AE468-(AE468*AF468),2)</f>
        <v/>
      </c>
      <c r="AH468" s="4" t="n">
        <v>0.18</v>
      </c>
      <c r="AI468" s="3">
        <f>ROUND(AG468+(AG468*AH468),2)</f>
        <v/>
      </c>
      <c r="AJ468" s="4" t="n">
        <v>0.2</v>
      </c>
      <c r="AK468" s="3">
        <f>ROUND(AI468*AJ468,2)</f>
        <v/>
      </c>
      <c r="AL468" s="3">
        <f>AI468+AK468</f>
        <v/>
      </c>
      <c r="AM468" s="3">
        <f>AE468-AL468</f>
        <v/>
      </c>
      <c r="AN468" s="4">
        <f>AM468/AE468</f>
        <v/>
      </c>
      <c r="AO468" s="3" t="inlineStr">
        <is>
          <t>3 hrs</t>
        </is>
      </c>
      <c r="AQ468" s="3" t="inlineStr">
        <is>
          <t>Length Weight</t>
        </is>
      </c>
      <c r="AS468" s="3" t="inlineStr">
        <is>
          <t>Straight frame profiles, commonly made of aluminum or steel, are versatile structural elements used for creating rigid, lightweight, and modern frames in furniture, industrial, and construction applications</t>
        </is>
      </c>
      <c r="AT468" s="3" t="inlineStr">
        <is>
          <t>On Demand</t>
        </is>
      </c>
    </row>
    <row r="469" ht="15.75" customHeight="1">
      <c r="A469" s="3" t="inlineStr">
        <is>
          <t>PROD_0110</t>
        </is>
      </c>
      <c r="B469" s="3" t="inlineStr">
        <is>
          <t>VAR_2</t>
        </is>
      </c>
      <c r="C469" s="3" t="inlineStr">
        <is>
          <t>Modular Hardware</t>
        </is>
      </c>
      <c r="D469" s="3" t="inlineStr">
        <is>
          <t>Glass Door Profiles</t>
        </is>
      </c>
      <c r="E469" s="3" t="inlineStr">
        <is>
          <t>Hettich</t>
        </is>
      </c>
      <c r="F469" s="3" t="inlineStr">
        <is>
          <t>Straight Frame Profile | Without Handle</t>
        </is>
      </c>
      <c r="H469" s="3" t="inlineStr">
        <is>
          <t>Handle</t>
        </is>
      </c>
      <c r="I469" s="3" t="inlineStr">
        <is>
          <t>Without</t>
        </is>
      </c>
      <c r="J469" s="3" t="inlineStr">
        <is>
          <t>Color</t>
        </is>
      </c>
      <c r="K469" s="3" t="inlineStr">
        <is>
          <t>Copper</t>
        </is>
      </c>
      <c r="L469" s="3" t="inlineStr">
        <is>
          <t>Dimensions</t>
        </is>
      </c>
      <c r="M469" s="3" t="inlineStr">
        <is>
          <t>3000 mm X 19 mm</t>
        </is>
      </c>
      <c r="Q469" s="3" t="inlineStr">
        <is>
          <t>Manufacturer's Warranty</t>
        </is>
      </c>
      <c r="R469" s="3" t="n">
        <v>9348530</v>
      </c>
      <c r="S469" s="3" t="n">
        <v>10</v>
      </c>
      <c r="Y469" s="3" t="inlineStr">
        <is>
          <t>HT_SFP_COPPER</t>
        </is>
      </c>
      <c r="Z469" s="3" t="n">
        <v>76042990</v>
      </c>
      <c r="AC469" s="3" t="n">
        <v>1</v>
      </c>
      <c r="AE469" s="3" t="n">
        <v>2627</v>
      </c>
      <c r="AF469" s="4" t="n">
        <v>0.5</v>
      </c>
      <c r="AG469" s="3">
        <f>ROUND(AE469-(AE469*AF469),2)</f>
        <v/>
      </c>
      <c r="AH469" s="4" t="n">
        <v>0.18</v>
      </c>
      <c r="AI469" s="3">
        <f>ROUND(AG469+(AG469*AH469),2)</f>
        <v/>
      </c>
      <c r="AJ469" s="4" t="n">
        <v>0.2</v>
      </c>
      <c r="AK469" s="3">
        <f>ROUND(AI469*AJ469,2)</f>
        <v/>
      </c>
      <c r="AL469" s="3">
        <f>AI469+AK469</f>
        <v/>
      </c>
      <c r="AM469" s="3">
        <f>AE469-AL469</f>
        <v/>
      </c>
      <c r="AN469" s="4">
        <f>AM469/AE469</f>
        <v/>
      </c>
      <c r="AO469" s="3" t="inlineStr">
        <is>
          <t>3 hrs</t>
        </is>
      </c>
      <c r="AQ469" s="3" t="inlineStr">
        <is>
          <t>Length Weight</t>
        </is>
      </c>
      <c r="AS469" s="3" t="inlineStr">
        <is>
          <t>Straight frame profiles, commonly made of aluminum or steel, are versatile structural elements used for creating rigid, lightweight, and modern frames in furniture, industrial, and construction applications</t>
        </is>
      </c>
      <c r="AT469" s="3" t="inlineStr">
        <is>
          <t>On Demand</t>
        </is>
      </c>
    </row>
    <row r="470" ht="15.75" customHeight="1">
      <c r="A470" s="3" t="inlineStr">
        <is>
          <t>PROD_0110</t>
        </is>
      </c>
      <c r="B470" s="3" t="inlineStr">
        <is>
          <t>VAR_3</t>
        </is>
      </c>
      <c r="C470" s="3" t="inlineStr">
        <is>
          <t>Modular Hardware</t>
        </is>
      </c>
      <c r="D470" s="3" t="inlineStr">
        <is>
          <t>Glass Door Profiles</t>
        </is>
      </c>
      <c r="E470" s="3" t="inlineStr">
        <is>
          <t>Hettich</t>
        </is>
      </c>
      <c r="F470" s="3" t="inlineStr">
        <is>
          <t>Straight Frame Profile | Without Handle</t>
        </is>
      </c>
      <c r="H470" s="3" t="inlineStr">
        <is>
          <t>Handle</t>
        </is>
      </c>
      <c r="I470" s="3" t="inlineStr">
        <is>
          <t>Without</t>
        </is>
      </c>
      <c r="J470" s="3" t="inlineStr">
        <is>
          <t>Color</t>
        </is>
      </c>
      <c r="K470" s="3" t="inlineStr">
        <is>
          <t>Stainless Steel</t>
        </is>
      </c>
      <c r="L470" s="3" t="inlineStr">
        <is>
          <t>Dimensions</t>
        </is>
      </c>
      <c r="M470" s="3" t="inlineStr">
        <is>
          <t>3000 mm X 19 mm</t>
        </is>
      </c>
      <c r="Q470" s="3" t="inlineStr">
        <is>
          <t>Manufacturer's Warranty</t>
        </is>
      </c>
      <c r="R470" s="3" t="n">
        <v>9348528</v>
      </c>
      <c r="S470" s="3" t="n">
        <v>10</v>
      </c>
      <c r="Y470" s="3" t="inlineStr">
        <is>
          <t>HT_SFP_Stainless_Steel</t>
        </is>
      </c>
      <c r="Z470" s="3" t="n">
        <v>76042990</v>
      </c>
      <c r="AC470" s="3" t="n">
        <v>1</v>
      </c>
      <c r="AE470" s="3" t="n">
        <v>2627</v>
      </c>
      <c r="AF470" s="4" t="n">
        <v>0.5</v>
      </c>
      <c r="AG470" s="3">
        <f>ROUND(AE470-(AE470*AF470),2)</f>
        <v/>
      </c>
      <c r="AH470" s="4" t="n">
        <v>0.18</v>
      </c>
      <c r="AI470" s="3">
        <f>ROUND(AG470+(AG470*AH470),2)</f>
        <v/>
      </c>
      <c r="AJ470" s="4" t="n">
        <v>0.2</v>
      </c>
      <c r="AK470" s="3">
        <f>ROUND(AI470*AJ470,2)</f>
        <v/>
      </c>
      <c r="AL470" s="3">
        <f>AI470+AK470</f>
        <v/>
      </c>
      <c r="AM470" s="3">
        <f>AE470-AL470</f>
        <v/>
      </c>
      <c r="AN470" s="4">
        <f>AM470/AE470</f>
        <v/>
      </c>
      <c r="AO470" s="3" t="inlineStr">
        <is>
          <t>3 hrs</t>
        </is>
      </c>
      <c r="AQ470" s="3" t="inlineStr">
        <is>
          <t>Length Weight</t>
        </is>
      </c>
      <c r="AS470" s="3" t="inlineStr">
        <is>
          <t>Straight frame profiles, commonly made of aluminum or steel, are versatile structural elements used for creating rigid, lightweight, and modern frames in furniture, industrial, and construction applications</t>
        </is>
      </c>
      <c r="AT470" s="3" t="inlineStr">
        <is>
          <t>On Demand</t>
        </is>
      </c>
    </row>
    <row r="471" ht="15.75" customHeight="1">
      <c r="A471" s="3" t="inlineStr">
        <is>
          <t>PROD_0111</t>
        </is>
      </c>
      <c r="B471" s="3" t="inlineStr">
        <is>
          <t>VAR_1</t>
        </is>
      </c>
      <c r="C471" s="3" t="inlineStr">
        <is>
          <t>Modular Hardware</t>
        </is>
      </c>
      <c r="D471" s="3" t="inlineStr">
        <is>
          <t>Box Profile</t>
        </is>
      </c>
      <c r="E471" s="3" t="inlineStr">
        <is>
          <t>Hettich</t>
        </is>
      </c>
      <c r="F471" s="3" t="inlineStr">
        <is>
          <t>Gola Profile</t>
        </is>
      </c>
      <c r="H471" s="3" t="inlineStr">
        <is>
          <t>Type</t>
        </is>
      </c>
      <c r="I471" s="3" t="inlineStr">
        <is>
          <t>C Type</t>
        </is>
      </c>
      <c r="J471" s="3" t="inlineStr">
        <is>
          <t>Color</t>
        </is>
      </c>
      <c r="K471" s="3" t="inlineStr">
        <is>
          <t>Stainless Steel</t>
        </is>
      </c>
      <c r="L471" s="3" t="inlineStr">
        <is>
          <t>Dimensions</t>
        </is>
      </c>
      <c r="M471" s="3" t="inlineStr">
        <is>
          <t>3000 mm X 73.5 mm</t>
        </is>
      </c>
      <c r="Q471" s="3" t="inlineStr">
        <is>
          <t>Manufacturer's Warranty</t>
        </is>
      </c>
      <c r="R471" s="3" t="n">
        <v>9345616</v>
      </c>
      <c r="S471" s="3" t="n">
        <v>10</v>
      </c>
      <c r="Y471" s="3" t="inlineStr">
        <is>
          <t>HT_C Type_Colors_SS</t>
        </is>
      </c>
      <c r="Z471" s="3" t="n">
        <v>76042990</v>
      </c>
      <c r="AC471" s="3" t="n">
        <v>1</v>
      </c>
      <c r="AE471" s="3" t="n">
        <v>3234</v>
      </c>
      <c r="AF471" s="4" t="n">
        <v>0.5</v>
      </c>
      <c r="AG471" s="3">
        <f>ROUND(AE471-(AE471*AF471),2)</f>
        <v/>
      </c>
      <c r="AH471" s="4" t="n">
        <v>0.18</v>
      </c>
      <c r="AI471" s="3">
        <f>ROUND(AG471+(AG471*AH471),2)</f>
        <v/>
      </c>
      <c r="AJ471" s="4" t="n">
        <v>0.2</v>
      </c>
      <c r="AK471" s="3">
        <f>ROUND(AI471*AJ471,2)</f>
        <v/>
      </c>
      <c r="AL471" s="3">
        <f>AI471+AK471</f>
        <v/>
      </c>
      <c r="AM471" s="3">
        <f>AE471-AL471</f>
        <v/>
      </c>
      <c r="AN471" s="4">
        <f>AM471/AE471</f>
        <v/>
      </c>
      <c r="AO471" s="3" t="inlineStr">
        <is>
          <t>60 mins</t>
        </is>
      </c>
      <c r="AQ471" s="3" t="inlineStr">
        <is>
          <t>Weight</t>
        </is>
      </c>
      <c r="AS471" s="3" t="inlineStr">
        <is>
          <t>Gola profiles are recessed,, aluminum, or stainless-steel channels installed directly into kitchen cabinet carcasses, enabling sleek, handleless designs</t>
        </is>
      </c>
      <c r="AT471" s="3" t="inlineStr">
        <is>
          <t>On Demand</t>
        </is>
      </c>
    </row>
    <row r="472" ht="15.75" customHeight="1">
      <c r="A472" s="3" t="inlineStr">
        <is>
          <t>PROD_0111</t>
        </is>
      </c>
      <c r="B472" s="3" t="inlineStr">
        <is>
          <t>VAR_2</t>
        </is>
      </c>
      <c r="C472" s="3" t="inlineStr">
        <is>
          <t>Modular Hardware</t>
        </is>
      </c>
      <c r="D472" s="3" t="inlineStr">
        <is>
          <t>Box Profile</t>
        </is>
      </c>
      <c r="E472" s="3" t="inlineStr">
        <is>
          <t>Hettich</t>
        </is>
      </c>
      <c r="F472" s="3" t="inlineStr">
        <is>
          <t>Gola Profile</t>
        </is>
      </c>
      <c r="H472" s="3" t="inlineStr">
        <is>
          <t>Type</t>
        </is>
      </c>
      <c r="I472" s="3" t="inlineStr">
        <is>
          <t>C Type</t>
        </is>
      </c>
      <c r="J472" s="3" t="inlineStr">
        <is>
          <t>Color</t>
        </is>
      </c>
      <c r="K472" s="3" t="inlineStr">
        <is>
          <t>Black</t>
        </is>
      </c>
      <c r="L472" s="3" t="inlineStr">
        <is>
          <t>Dimensions</t>
        </is>
      </c>
      <c r="M472" s="3" t="inlineStr">
        <is>
          <t>3000 mm X 73.5 mm</t>
        </is>
      </c>
      <c r="Q472" s="3" t="inlineStr">
        <is>
          <t>Manufacturer's Warranty</t>
        </is>
      </c>
      <c r="R472" s="3" t="n">
        <v>9345619</v>
      </c>
      <c r="S472" s="3" t="n">
        <v>10</v>
      </c>
      <c r="Y472" s="3" t="inlineStr">
        <is>
          <t>HT_C Type_Colors_BC</t>
        </is>
      </c>
      <c r="Z472" s="3" t="n">
        <v>76042990</v>
      </c>
      <c r="AC472" s="3" t="n">
        <v>1</v>
      </c>
      <c r="AE472" s="3" t="n">
        <v>3600</v>
      </c>
      <c r="AF472" s="4" t="n">
        <v>0.5</v>
      </c>
      <c r="AG472" s="3">
        <f>ROUND(AE472-(AE472*AF472),2)</f>
        <v/>
      </c>
      <c r="AH472" s="4" t="n">
        <v>0.18</v>
      </c>
      <c r="AI472" s="3">
        <f>ROUND(AG472+(AG472*AH472),2)</f>
        <v/>
      </c>
      <c r="AJ472" s="4" t="n">
        <v>0.2</v>
      </c>
      <c r="AK472" s="3">
        <f>ROUND(AI472*AJ472,2)</f>
        <v/>
      </c>
      <c r="AL472" s="3">
        <f>AI472+AK472</f>
        <v/>
      </c>
      <c r="AM472" s="3">
        <f>AE472-AL472</f>
        <v/>
      </c>
      <c r="AN472" s="4">
        <f>AM472/AE472</f>
        <v/>
      </c>
      <c r="AO472" s="3" t="inlineStr">
        <is>
          <t>60 mins</t>
        </is>
      </c>
      <c r="AQ472" s="3" t="inlineStr">
        <is>
          <t>Weight</t>
        </is>
      </c>
      <c r="AS472" s="3" t="inlineStr">
        <is>
          <t>Gola profiles are recessed,, aluminum, or stainless-steel channels installed directly into kitchen cabinet carcasses, enabling sleek, handleless designs</t>
        </is>
      </c>
      <c r="AT472" s="3" t="inlineStr">
        <is>
          <t>On Demand</t>
        </is>
      </c>
    </row>
    <row r="473" ht="15.75" customHeight="1">
      <c r="A473" s="3" t="inlineStr">
        <is>
          <t>PROD_0111</t>
        </is>
      </c>
      <c r="B473" s="3" t="inlineStr">
        <is>
          <t>VAR_3</t>
        </is>
      </c>
      <c r="C473" s="3" t="inlineStr">
        <is>
          <t>Modular Hardware</t>
        </is>
      </c>
      <c r="D473" s="3" t="inlineStr">
        <is>
          <t>Box Profile</t>
        </is>
      </c>
      <c r="E473" s="3" t="inlineStr">
        <is>
          <t>Hettich</t>
        </is>
      </c>
      <c r="F473" s="3" t="inlineStr">
        <is>
          <t>Gola Profile</t>
        </is>
      </c>
      <c r="H473" s="3" t="inlineStr">
        <is>
          <t>Type</t>
        </is>
      </c>
      <c r="I473" s="3" t="inlineStr">
        <is>
          <t>C Type</t>
        </is>
      </c>
      <c r="J473" s="3" t="inlineStr">
        <is>
          <t>Color</t>
        </is>
      </c>
      <c r="K473" s="3" t="inlineStr">
        <is>
          <t>Copper</t>
        </is>
      </c>
      <c r="L473" s="3" t="inlineStr">
        <is>
          <t>Dimensions</t>
        </is>
      </c>
      <c r="M473" s="3" t="inlineStr">
        <is>
          <t>3000 mm X 73.5 mm</t>
        </is>
      </c>
      <c r="Q473" s="3" t="inlineStr">
        <is>
          <t>Manufacturer's Warranty</t>
        </is>
      </c>
      <c r="R473" s="3" t="n">
        <v>9345618</v>
      </c>
      <c r="S473" s="3" t="n">
        <v>10</v>
      </c>
      <c r="Y473" s="3" t="inlineStr">
        <is>
          <t>HT_C Type_Colors_CP</t>
        </is>
      </c>
      <c r="Z473" s="3" t="n">
        <v>76042990</v>
      </c>
      <c r="AC473" s="3" t="n">
        <v>1</v>
      </c>
      <c r="AE473" s="3" t="n">
        <v>3234</v>
      </c>
      <c r="AF473" s="4" t="n">
        <v>0.5</v>
      </c>
      <c r="AG473" s="3">
        <f>ROUND(AE473-(AE473*AF473),2)</f>
        <v/>
      </c>
      <c r="AH473" s="4" t="n">
        <v>0.18</v>
      </c>
      <c r="AI473" s="3">
        <f>ROUND(AG473+(AG473*AH473),2)</f>
        <v/>
      </c>
      <c r="AJ473" s="4" t="n">
        <v>0.2</v>
      </c>
      <c r="AK473" s="3">
        <f>ROUND(AI473*AJ473,2)</f>
        <v/>
      </c>
      <c r="AL473" s="3">
        <f>AI473+AK473</f>
        <v/>
      </c>
      <c r="AM473" s="3">
        <f>AE473-AL473</f>
        <v/>
      </c>
      <c r="AN473" s="4">
        <f>AM473/AE473</f>
        <v/>
      </c>
      <c r="AO473" s="3" t="inlineStr">
        <is>
          <t>60 mins</t>
        </is>
      </c>
      <c r="AQ473" s="3" t="inlineStr">
        <is>
          <t>Weight</t>
        </is>
      </c>
      <c r="AS473" s="3" t="inlineStr">
        <is>
          <t>Gola profiles are recessed,, aluminum, or stainless-steel channels installed directly into kitchen cabinet carcasses, enabling sleek, handleless designs</t>
        </is>
      </c>
      <c r="AT473" s="3" t="inlineStr">
        <is>
          <t>On Demand</t>
        </is>
      </c>
    </row>
    <row r="474" ht="15.75" customHeight="1">
      <c r="A474" s="3" t="inlineStr">
        <is>
          <t>PROD_0111</t>
        </is>
      </c>
      <c r="B474" s="3" t="inlineStr">
        <is>
          <t>VAR_4</t>
        </is>
      </c>
      <c r="C474" s="3" t="inlineStr">
        <is>
          <t>Modular Hardware</t>
        </is>
      </c>
      <c r="D474" s="3" t="inlineStr">
        <is>
          <t>Box Profile</t>
        </is>
      </c>
      <c r="E474" s="3" t="inlineStr">
        <is>
          <t>Hettich</t>
        </is>
      </c>
      <c r="F474" s="3" t="inlineStr">
        <is>
          <t>Gola Profile</t>
        </is>
      </c>
      <c r="H474" s="3" t="inlineStr">
        <is>
          <t>Type</t>
        </is>
      </c>
      <c r="I474" s="3" t="inlineStr">
        <is>
          <t>L Type</t>
        </is>
      </c>
      <c r="J474" s="3" t="inlineStr">
        <is>
          <t>Color</t>
        </is>
      </c>
      <c r="K474" s="3" t="inlineStr">
        <is>
          <t>Stainless Steel</t>
        </is>
      </c>
      <c r="L474" s="3" t="inlineStr">
        <is>
          <t>Dimensions</t>
        </is>
      </c>
      <c r="M474" s="3" t="inlineStr">
        <is>
          <t>3000 mm X 56.9 mm</t>
        </is>
      </c>
      <c r="Q474" s="3" t="inlineStr">
        <is>
          <t>Manufacturer's Warranty</t>
        </is>
      </c>
      <c r="R474" s="3" t="n">
        <v>9345624</v>
      </c>
      <c r="S474" s="3" t="n">
        <v>10</v>
      </c>
      <c r="Y474" s="3" t="inlineStr">
        <is>
          <t>HT_L Type_Colors_SS</t>
        </is>
      </c>
      <c r="Z474" s="3" t="n">
        <v>76042990</v>
      </c>
      <c r="AC474" s="3" t="n">
        <v>1</v>
      </c>
      <c r="AE474" s="3" t="n">
        <v>2574</v>
      </c>
      <c r="AF474" s="4" t="n">
        <v>0.5</v>
      </c>
      <c r="AG474" s="3">
        <f>ROUND(AE474-(AE474*AF474),2)</f>
        <v/>
      </c>
      <c r="AH474" s="4" t="n">
        <v>0.18</v>
      </c>
      <c r="AI474" s="3">
        <f>ROUND(AG474+(AG474*AH474),2)</f>
        <v/>
      </c>
      <c r="AJ474" s="4" t="n">
        <v>0.2</v>
      </c>
      <c r="AK474" s="3">
        <f>ROUND(AI474*AJ474,2)</f>
        <v/>
      </c>
      <c r="AL474" s="3">
        <f>AI474+AK474</f>
        <v/>
      </c>
      <c r="AM474" s="3">
        <f>AE474-AL474</f>
        <v/>
      </c>
      <c r="AN474" s="4">
        <f>AM474/AE474</f>
        <v/>
      </c>
      <c r="AO474" s="3" t="inlineStr">
        <is>
          <t>60 mins</t>
        </is>
      </c>
      <c r="AQ474" s="3" t="inlineStr">
        <is>
          <t>Weight</t>
        </is>
      </c>
      <c r="AS474" s="3" t="inlineStr">
        <is>
          <t>Gola profiles are recessed,, aluminum, or stainless-steel channels installed directly into kitchen cabinet carcasses, enabling sleek, handleless designs</t>
        </is>
      </c>
      <c r="AT474" s="3" t="inlineStr">
        <is>
          <t>On Demand</t>
        </is>
      </c>
    </row>
    <row r="475" ht="15.75" customHeight="1">
      <c r="A475" s="3" t="inlineStr">
        <is>
          <t>PROD_0111</t>
        </is>
      </c>
      <c r="B475" s="3" t="inlineStr">
        <is>
          <t>VAR_5</t>
        </is>
      </c>
      <c r="C475" s="3" t="inlineStr">
        <is>
          <t>Modular Hardware</t>
        </is>
      </c>
      <c r="D475" s="3" t="inlineStr">
        <is>
          <t>Box Profile</t>
        </is>
      </c>
      <c r="E475" s="3" t="inlineStr">
        <is>
          <t>Hettich</t>
        </is>
      </c>
      <c r="F475" s="3" t="inlineStr">
        <is>
          <t>Gola Profile</t>
        </is>
      </c>
      <c r="H475" s="3" t="inlineStr">
        <is>
          <t>Type</t>
        </is>
      </c>
      <c r="I475" s="3" t="inlineStr">
        <is>
          <t>L Type</t>
        </is>
      </c>
      <c r="J475" s="3" t="inlineStr">
        <is>
          <t>Color</t>
        </is>
      </c>
      <c r="K475" s="3" t="inlineStr">
        <is>
          <t>Black</t>
        </is>
      </c>
      <c r="L475" s="3" t="inlineStr">
        <is>
          <t>Dimensions</t>
        </is>
      </c>
      <c r="M475" s="3" t="inlineStr">
        <is>
          <t>3000 mm X 56.9 mm</t>
        </is>
      </c>
      <c r="Q475" s="3" t="inlineStr">
        <is>
          <t>Manufacturer's Warranty</t>
        </is>
      </c>
      <c r="R475" s="3" t="n">
        <v>9345627</v>
      </c>
      <c r="S475" s="3" t="n">
        <v>10</v>
      </c>
      <c r="Y475" s="3" t="inlineStr">
        <is>
          <t>HT_L Type_Colors_BA</t>
        </is>
      </c>
      <c r="Z475" s="3" t="n">
        <v>76042990</v>
      </c>
      <c r="AC475" s="3" t="n">
        <v>1</v>
      </c>
      <c r="AE475" s="3" t="n">
        <v>2880</v>
      </c>
      <c r="AF475" s="4" t="n">
        <v>0.5</v>
      </c>
      <c r="AG475" s="3">
        <f>ROUND(AE475-(AE475*AF475),2)</f>
        <v/>
      </c>
      <c r="AH475" s="4" t="n">
        <v>0.18</v>
      </c>
      <c r="AI475" s="3">
        <f>ROUND(AG475+(AG475*AH475),2)</f>
        <v/>
      </c>
      <c r="AJ475" s="4" t="n">
        <v>0.2</v>
      </c>
      <c r="AK475" s="3">
        <f>ROUND(AI475*AJ475,2)</f>
        <v/>
      </c>
      <c r="AL475" s="3">
        <f>AI475+AK475</f>
        <v/>
      </c>
      <c r="AM475" s="3">
        <f>AE475-AL475</f>
        <v/>
      </c>
      <c r="AN475" s="4">
        <f>AM475/AE475</f>
        <v/>
      </c>
      <c r="AO475" s="3" t="inlineStr">
        <is>
          <t>60 mins</t>
        </is>
      </c>
      <c r="AQ475" s="3" t="inlineStr">
        <is>
          <t>Weight</t>
        </is>
      </c>
      <c r="AS475" s="3" t="inlineStr">
        <is>
          <t>Gola profiles are recessed,, aluminum, or stainless-steel channels installed directly into kitchen cabinet carcasses, enabling sleek, handleless designs</t>
        </is>
      </c>
      <c r="AT475" s="3" t="inlineStr">
        <is>
          <t>On Demand</t>
        </is>
      </c>
    </row>
    <row r="476" ht="15.75" customHeight="1">
      <c r="A476" s="3" t="inlineStr">
        <is>
          <t>PROD_0111</t>
        </is>
      </c>
      <c r="B476" s="3" t="inlineStr">
        <is>
          <t>VAR_6</t>
        </is>
      </c>
      <c r="C476" s="3" t="inlineStr">
        <is>
          <t>Modular Hardware</t>
        </is>
      </c>
      <c r="D476" s="3" t="inlineStr">
        <is>
          <t>Box Profile</t>
        </is>
      </c>
      <c r="E476" s="3" t="inlineStr">
        <is>
          <t>Hettich</t>
        </is>
      </c>
      <c r="F476" s="3" t="inlineStr">
        <is>
          <t>Gola Profile</t>
        </is>
      </c>
      <c r="H476" s="3" t="inlineStr">
        <is>
          <t>Type</t>
        </is>
      </c>
      <c r="I476" s="3" t="inlineStr">
        <is>
          <t>L Type</t>
        </is>
      </c>
      <c r="J476" s="3" t="inlineStr">
        <is>
          <t>Color</t>
        </is>
      </c>
      <c r="K476" s="3" t="inlineStr">
        <is>
          <t>Copper</t>
        </is>
      </c>
      <c r="L476" s="3" t="inlineStr">
        <is>
          <t>Dimensions</t>
        </is>
      </c>
      <c r="M476" s="3" t="inlineStr">
        <is>
          <t>3000 mm X 56.9 mm</t>
        </is>
      </c>
      <c r="Q476" s="3" t="inlineStr">
        <is>
          <t>Manufacturer's Warranty</t>
        </is>
      </c>
      <c r="R476" s="3" t="n">
        <v>9345626</v>
      </c>
      <c r="S476" s="3" t="n">
        <v>10</v>
      </c>
      <c r="Y476" s="3" t="inlineStr">
        <is>
          <t>HT_L Type_Colors_CP</t>
        </is>
      </c>
      <c r="Z476" s="3" t="n">
        <v>76042990</v>
      </c>
      <c r="AC476" s="3" t="n">
        <v>1</v>
      </c>
      <c r="AE476" s="3" t="n">
        <v>2574</v>
      </c>
      <c r="AF476" s="4" t="n">
        <v>0.5</v>
      </c>
      <c r="AG476" s="3">
        <f>ROUND(AE476-(AE476*AF476),2)</f>
        <v/>
      </c>
      <c r="AH476" s="4" t="n">
        <v>0.18</v>
      </c>
      <c r="AI476" s="3">
        <f>ROUND(AG476+(AG476*AH476),2)</f>
        <v/>
      </c>
      <c r="AJ476" s="4" t="n">
        <v>0.2</v>
      </c>
      <c r="AK476" s="3">
        <f>ROUND(AI476*AJ476,2)</f>
        <v/>
      </c>
      <c r="AL476" s="3">
        <f>AI476+AK476</f>
        <v/>
      </c>
      <c r="AM476" s="3">
        <f>AE476-AL476</f>
        <v/>
      </c>
      <c r="AN476" s="4">
        <f>AM476/AE476</f>
        <v/>
      </c>
      <c r="AO476" s="3" t="inlineStr">
        <is>
          <t>60 mins</t>
        </is>
      </c>
      <c r="AQ476" s="3" t="inlineStr">
        <is>
          <t>Weight</t>
        </is>
      </c>
      <c r="AS476" s="3" t="inlineStr">
        <is>
          <t>Gola profiles are recessed,, aluminum, or stainless-steel channels installed directly into kitchen cabinet carcasses, enabling sleek, handleless designs</t>
        </is>
      </c>
      <c r="AT476" s="3" t="inlineStr">
        <is>
          <t>On Demand</t>
        </is>
      </c>
    </row>
    <row r="477" ht="15.75" customHeight="1">
      <c r="A477" s="3" t="inlineStr">
        <is>
          <t>PROD_0112</t>
        </is>
      </c>
      <c r="B477" s="3" t="inlineStr">
        <is>
          <t>VAR_1</t>
        </is>
      </c>
      <c r="C477" s="3" t="inlineStr">
        <is>
          <t>Modular Hardware</t>
        </is>
      </c>
      <c r="D477" s="3" t="inlineStr">
        <is>
          <t>Box Profile</t>
        </is>
      </c>
      <c r="E477" s="3" t="inlineStr">
        <is>
          <t>Hettich</t>
        </is>
      </c>
      <c r="F477" s="3" t="inlineStr">
        <is>
          <t>Vertical Gola Profile</t>
        </is>
      </c>
      <c r="H477" s="3" t="inlineStr">
        <is>
          <t>Type</t>
        </is>
      </c>
      <c r="I477" s="3" t="inlineStr">
        <is>
          <t>C Type</t>
        </is>
      </c>
      <c r="J477" s="3" t="inlineStr">
        <is>
          <t>Color</t>
        </is>
      </c>
      <c r="K477" s="3" t="inlineStr">
        <is>
          <t>Stainless Steel</t>
        </is>
      </c>
      <c r="L477" s="3" t="inlineStr">
        <is>
          <t>Dimensions</t>
        </is>
      </c>
      <c r="M477" s="3" t="inlineStr">
        <is>
          <t>3000 mm X 67.4mm</t>
        </is>
      </c>
      <c r="Q477" s="3" t="inlineStr">
        <is>
          <t>Manufacturer's Warranty</t>
        </is>
      </c>
      <c r="R477" s="3" t="n">
        <v>9345880</v>
      </c>
      <c r="Y477" s="3" t="inlineStr">
        <is>
          <t>HT_DS_C Type_Colors_SS</t>
        </is>
      </c>
      <c r="Z477" s="3" t="n">
        <v>76042990</v>
      </c>
      <c r="AC477" s="3" t="n">
        <v>1</v>
      </c>
      <c r="AE477" s="3" t="n">
        <v>5188</v>
      </c>
      <c r="AF477" s="4" t="n">
        <v>0.5</v>
      </c>
      <c r="AG477" s="3">
        <f>ROUND(AE477-(AE477*AF477),2)</f>
        <v/>
      </c>
      <c r="AH477" s="4" t="n">
        <v>0.18</v>
      </c>
      <c r="AI477" s="3">
        <f>ROUND(AG477+(AG477*AH477),2)</f>
        <v/>
      </c>
      <c r="AJ477" s="4" t="n">
        <v>0.2</v>
      </c>
      <c r="AK477" s="3">
        <f>ROUND(AI477*AJ477,2)</f>
        <v/>
      </c>
      <c r="AL477" s="3">
        <f>AI477+AK477</f>
        <v/>
      </c>
      <c r="AM477" s="3">
        <f>AE477-AL477</f>
        <v/>
      </c>
      <c r="AN477" s="4">
        <f>AM477/AE477</f>
        <v/>
      </c>
      <c r="AO477" s="3" t="inlineStr">
        <is>
          <t>60 mins</t>
        </is>
      </c>
      <c r="AQ477" s="3" t="inlineStr">
        <is>
          <t>Weight</t>
        </is>
      </c>
      <c r="AS477" s="3" t="inlineStr">
        <is>
          <t>Vertical Gola profiles are aluminum channels installed vertically on tall kitchen cabinets, pantries, and wardrobes to enable a modern, handle-less, and seamless design. They provide an easy-to-grip vertical space for opening doors.</t>
        </is>
      </c>
      <c r="AT477" s="3" t="inlineStr">
        <is>
          <t>On Demand</t>
        </is>
      </c>
    </row>
    <row r="478" ht="15.75" customHeight="1">
      <c r="A478" s="3" t="inlineStr">
        <is>
          <t>PROD_0112</t>
        </is>
      </c>
      <c r="B478" s="3" t="inlineStr">
        <is>
          <t>VAR_2</t>
        </is>
      </c>
      <c r="C478" s="3" t="inlineStr">
        <is>
          <t>Modular Hardware</t>
        </is>
      </c>
      <c r="D478" s="3" t="inlineStr">
        <is>
          <t>Box Profile</t>
        </is>
      </c>
      <c r="E478" s="3" t="inlineStr">
        <is>
          <t>Hettich</t>
        </is>
      </c>
      <c r="F478" s="3" t="inlineStr">
        <is>
          <t>Vertical Gola Profile</t>
        </is>
      </c>
      <c r="H478" s="3" t="inlineStr">
        <is>
          <t>Type</t>
        </is>
      </c>
      <c r="I478" s="3" t="inlineStr">
        <is>
          <t>C Type</t>
        </is>
      </c>
      <c r="J478" s="3" t="inlineStr">
        <is>
          <t>Color</t>
        </is>
      </c>
      <c r="K478" s="3" t="inlineStr">
        <is>
          <t>Black</t>
        </is>
      </c>
      <c r="L478" s="3" t="inlineStr">
        <is>
          <t>Dimensions</t>
        </is>
      </c>
      <c r="M478" s="3" t="inlineStr">
        <is>
          <t>3000 mm X 67.4mm</t>
        </is>
      </c>
      <c r="Q478" s="3" t="inlineStr">
        <is>
          <t>Manufacturer's Warranty</t>
        </is>
      </c>
      <c r="R478" s="3" t="n">
        <v>9345883</v>
      </c>
      <c r="Y478" s="3" t="inlineStr">
        <is>
          <t>HT_DS_C Type_Colors_BC</t>
        </is>
      </c>
      <c r="Z478" s="3" t="n">
        <v>76042990</v>
      </c>
      <c r="AC478" s="3" t="n">
        <v>1</v>
      </c>
      <c r="AE478" s="3" t="n">
        <v>5820</v>
      </c>
      <c r="AF478" s="4" t="n">
        <v>0.5</v>
      </c>
      <c r="AG478" s="3">
        <f>ROUND(AE478-(AE478*AF478),2)</f>
        <v/>
      </c>
      <c r="AH478" s="4" t="n">
        <v>0.18</v>
      </c>
      <c r="AI478" s="3">
        <f>ROUND(AG478+(AG478*AH478),2)</f>
        <v/>
      </c>
      <c r="AJ478" s="4" t="n">
        <v>0.2</v>
      </c>
      <c r="AK478" s="3">
        <f>ROUND(AI478*AJ478,2)</f>
        <v/>
      </c>
      <c r="AL478" s="3">
        <f>AI478+AK478</f>
        <v/>
      </c>
      <c r="AM478" s="3">
        <f>AE478-AL478</f>
        <v/>
      </c>
      <c r="AN478" s="4">
        <f>AM478/AE478</f>
        <v/>
      </c>
      <c r="AO478" s="3" t="inlineStr">
        <is>
          <t>60 mins</t>
        </is>
      </c>
      <c r="AQ478" s="3" t="inlineStr">
        <is>
          <t>Weight</t>
        </is>
      </c>
      <c r="AS478" s="3" t="inlineStr">
        <is>
          <t>Vertical Gola profiles are aluminum channels installed vertically on tall kitchen cabinets, pantries, and wardrobes to enable a modern, handle-less, and seamless design. They provide an easy-to-grip vertical space for opening doors.</t>
        </is>
      </c>
      <c r="AT478" s="3" t="inlineStr">
        <is>
          <t>On Demand</t>
        </is>
      </c>
    </row>
    <row r="479" ht="15.75" customHeight="1">
      <c r="A479" s="3" t="inlineStr">
        <is>
          <t>PROD_0112</t>
        </is>
      </c>
      <c r="B479" s="3" t="inlineStr">
        <is>
          <t>VAR_3</t>
        </is>
      </c>
      <c r="C479" s="3" t="inlineStr">
        <is>
          <t>Modular Hardware</t>
        </is>
      </c>
      <c r="D479" s="3" t="inlineStr">
        <is>
          <t>Box Profile</t>
        </is>
      </c>
      <c r="E479" s="3" t="inlineStr">
        <is>
          <t>Hettich</t>
        </is>
      </c>
      <c r="F479" s="3" t="inlineStr">
        <is>
          <t>Vertical Gola Profile</t>
        </is>
      </c>
      <c r="H479" s="3" t="inlineStr">
        <is>
          <t>Type</t>
        </is>
      </c>
      <c r="I479" s="3" t="inlineStr">
        <is>
          <t>C Type</t>
        </is>
      </c>
      <c r="J479" s="3" t="inlineStr">
        <is>
          <t>Color</t>
        </is>
      </c>
      <c r="K479" s="3" t="inlineStr">
        <is>
          <t>Copper</t>
        </is>
      </c>
      <c r="L479" s="3" t="inlineStr">
        <is>
          <t>Dimensions</t>
        </is>
      </c>
      <c r="M479" s="3" t="inlineStr">
        <is>
          <t>3000 mm X 67.4mm</t>
        </is>
      </c>
      <c r="Q479" s="3" t="inlineStr">
        <is>
          <t>Manufacturer's Warranty</t>
        </is>
      </c>
      <c r="R479" s="3" t="n">
        <v>9345882</v>
      </c>
      <c r="Y479" s="3" t="inlineStr">
        <is>
          <t>HT_DS_C Type_Colors_CP</t>
        </is>
      </c>
      <c r="Z479" s="3" t="n">
        <v>76042990</v>
      </c>
      <c r="AC479" s="3" t="n">
        <v>1</v>
      </c>
      <c r="AE479" s="3" t="n">
        <v>5188</v>
      </c>
      <c r="AF479" s="4" t="n">
        <v>0.5</v>
      </c>
      <c r="AG479" s="3">
        <f>ROUND(AE479-(AE479*AF479),2)</f>
        <v/>
      </c>
      <c r="AH479" s="4" t="n">
        <v>0.18</v>
      </c>
      <c r="AI479" s="3">
        <f>ROUND(AG479+(AG479*AH479),2)</f>
        <v/>
      </c>
      <c r="AJ479" s="4" t="n">
        <v>0.2</v>
      </c>
      <c r="AK479" s="3">
        <f>ROUND(AI479*AJ479,2)</f>
        <v/>
      </c>
      <c r="AL479" s="3">
        <f>AI479+AK479</f>
        <v/>
      </c>
      <c r="AM479" s="3">
        <f>AE479-AL479</f>
        <v/>
      </c>
      <c r="AN479" s="4">
        <f>AM479/AE479</f>
        <v/>
      </c>
      <c r="AO479" s="3" t="inlineStr">
        <is>
          <t>60 mins</t>
        </is>
      </c>
      <c r="AQ479" s="3" t="inlineStr">
        <is>
          <t>Weight</t>
        </is>
      </c>
      <c r="AS479" s="3" t="inlineStr">
        <is>
          <t>Vertical Gola profiles are aluminum channels installed vertically on tall kitchen cabinets, pantries, and wardrobes to enable a modern, handle-less, and seamless design. They provide an easy-to-grip vertical space for opening doors.</t>
        </is>
      </c>
      <c r="AT479" s="3" t="inlineStr">
        <is>
          <t>On Demand</t>
        </is>
      </c>
    </row>
    <row r="480" ht="15.75" customHeight="1">
      <c r="A480" s="3" t="inlineStr">
        <is>
          <t>PROD_0112</t>
        </is>
      </c>
      <c r="B480" s="3" t="inlineStr">
        <is>
          <t>VAR_4</t>
        </is>
      </c>
      <c r="C480" s="3" t="inlineStr">
        <is>
          <t>Modular Hardware</t>
        </is>
      </c>
      <c r="D480" s="3" t="inlineStr">
        <is>
          <t>Box Profile</t>
        </is>
      </c>
      <c r="E480" s="3" t="inlineStr">
        <is>
          <t>Hettich</t>
        </is>
      </c>
      <c r="F480" s="3" t="inlineStr">
        <is>
          <t>Vertical Gola Profile</t>
        </is>
      </c>
      <c r="H480" s="3" t="inlineStr">
        <is>
          <t>Type</t>
        </is>
      </c>
      <c r="I480" s="3" t="inlineStr">
        <is>
          <t>L Type</t>
        </is>
      </c>
      <c r="J480" s="3" t="inlineStr">
        <is>
          <t>Color</t>
        </is>
      </c>
      <c r="K480" s="3" t="inlineStr">
        <is>
          <t>Stainless Steel</t>
        </is>
      </c>
      <c r="L480" s="3" t="inlineStr">
        <is>
          <t>Dimensions</t>
        </is>
      </c>
      <c r="M480" s="3" t="inlineStr">
        <is>
          <t>3000 mm X 48.35 mm</t>
        </is>
      </c>
      <c r="Q480" s="3" t="inlineStr">
        <is>
          <t>Manufacturer's Warranty</t>
        </is>
      </c>
      <c r="R480" s="3" t="n">
        <v>9302256</v>
      </c>
      <c r="Y480" s="3" t="inlineStr">
        <is>
          <t>HT_VGP_C Type_Colors_SS</t>
        </is>
      </c>
      <c r="Z480" s="3" t="n">
        <v>76042990</v>
      </c>
      <c r="AC480" s="3" t="n">
        <v>1</v>
      </c>
      <c r="AE480" s="3" t="n">
        <v>3530</v>
      </c>
      <c r="AF480" s="4" t="n">
        <v>0.5</v>
      </c>
      <c r="AG480" s="3">
        <f>ROUND(AE480-(AE480*AF480),2)</f>
        <v/>
      </c>
      <c r="AH480" s="4" t="n">
        <v>0.18</v>
      </c>
      <c r="AI480" s="3">
        <f>ROUND(AG480+(AG480*AH480),2)</f>
        <v/>
      </c>
      <c r="AJ480" s="4" t="n">
        <v>0.2</v>
      </c>
      <c r="AK480" s="3">
        <f>ROUND(AI480*AJ480,2)</f>
        <v/>
      </c>
      <c r="AL480" s="3">
        <f>AI480+AK480</f>
        <v/>
      </c>
      <c r="AM480" s="3">
        <f>AE480-AL480</f>
        <v/>
      </c>
      <c r="AN480" s="4">
        <f>AM480/AE480</f>
        <v/>
      </c>
      <c r="AO480" s="3" t="inlineStr">
        <is>
          <t>60 mins</t>
        </is>
      </c>
      <c r="AQ480" s="3" t="inlineStr">
        <is>
          <t>Weight</t>
        </is>
      </c>
      <c r="AS480" s="3" t="inlineStr">
        <is>
          <t>Vertical Gola profiles are aluminum channels installed vertically on tall kitchen cabinets, pantries, and wardrobes to enable a modern, handle-less, and seamless design. They provide an easy-to-grip vertical space for opening doors.</t>
        </is>
      </c>
      <c r="AT480" s="3" t="inlineStr">
        <is>
          <t>On Demand</t>
        </is>
      </c>
    </row>
    <row r="481" ht="15.75" customHeight="1">
      <c r="A481" s="3" t="inlineStr">
        <is>
          <t>PROD_0112</t>
        </is>
      </c>
      <c r="B481" s="3" t="inlineStr">
        <is>
          <t>VAR_5</t>
        </is>
      </c>
      <c r="C481" s="3" t="inlineStr">
        <is>
          <t>Modular Hardware</t>
        </is>
      </c>
      <c r="D481" s="3" t="inlineStr">
        <is>
          <t>Box Profile</t>
        </is>
      </c>
      <c r="E481" s="3" t="inlineStr">
        <is>
          <t>Hettich</t>
        </is>
      </c>
      <c r="F481" s="3" t="inlineStr">
        <is>
          <t>Vertical Gola Profile</t>
        </is>
      </c>
      <c r="H481" s="3" t="inlineStr">
        <is>
          <t>Type</t>
        </is>
      </c>
      <c r="I481" s="3" t="inlineStr">
        <is>
          <t>L Type</t>
        </is>
      </c>
      <c r="J481" s="3" t="inlineStr">
        <is>
          <t>Color</t>
        </is>
      </c>
      <c r="K481" s="3" t="inlineStr">
        <is>
          <t>Black</t>
        </is>
      </c>
      <c r="L481" s="3" t="inlineStr">
        <is>
          <t>Dimensions</t>
        </is>
      </c>
      <c r="M481" s="3" t="inlineStr">
        <is>
          <t>3000 mm X 48.35 mm</t>
        </is>
      </c>
      <c r="Q481" s="3" t="inlineStr">
        <is>
          <t>Manufacturer's Warranty</t>
        </is>
      </c>
      <c r="R481" s="3" t="n">
        <v>9300494</v>
      </c>
      <c r="Y481" s="3" t="inlineStr">
        <is>
          <t>HT_VGP_C Type_Colors_BC</t>
        </is>
      </c>
      <c r="Z481" s="3" t="n">
        <v>76042990</v>
      </c>
      <c r="AC481" s="3" t="n">
        <v>1</v>
      </c>
      <c r="AE481" s="3" t="n">
        <v>3530</v>
      </c>
      <c r="AF481" s="4" t="n">
        <v>0.5</v>
      </c>
      <c r="AG481" s="3">
        <f>ROUND(AE481-(AE481*AF481),2)</f>
        <v/>
      </c>
      <c r="AH481" s="4" t="n">
        <v>0.18</v>
      </c>
      <c r="AI481" s="3">
        <f>ROUND(AG481+(AG481*AH481),2)</f>
        <v/>
      </c>
      <c r="AJ481" s="4" t="n">
        <v>0.2</v>
      </c>
      <c r="AK481" s="3">
        <f>ROUND(AI481*AJ481,2)</f>
        <v/>
      </c>
      <c r="AL481" s="3">
        <f>AI481+AK481</f>
        <v/>
      </c>
      <c r="AM481" s="3">
        <f>AE481-AL481</f>
        <v/>
      </c>
      <c r="AN481" s="4">
        <f>AM481/AE481</f>
        <v/>
      </c>
      <c r="AO481" s="3" t="inlineStr">
        <is>
          <t>60 mins</t>
        </is>
      </c>
      <c r="AQ481" s="3" t="inlineStr">
        <is>
          <t>Weight</t>
        </is>
      </c>
      <c r="AS481" s="3" t="inlineStr">
        <is>
          <t>Vertical Gola profiles are aluminum channels installed vertically on tall kitchen cabinets, pantries, and wardrobes to enable a modern, handle-less, and seamless design. They provide an easy-to-grip vertical space for opening doors.</t>
        </is>
      </c>
      <c r="AT481" s="3" t="inlineStr">
        <is>
          <t>On Demand</t>
        </is>
      </c>
    </row>
    <row r="482" ht="15.75" customHeight="1">
      <c r="A482" s="3" t="inlineStr">
        <is>
          <t>PROD_0112</t>
        </is>
      </c>
      <c r="B482" s="3" t="inlineStr">
        <is>
          <t>VAR_6</t>
        </is>
      </c>
      <c r="C482" s="3" t="inlineStr">
        <is>
          <t>Modular Hardware</t>
        </is>
      </c>
      <c r="D482" s="3" t="inlineStr">
        <is>
          <t>Box Profile</t>
        </is>
      </c>
      <c r="E482" s="3" t="inlineStr">
        <is>
          <t>Hettich</t>
        </is>
      </c>
      <c r="F482" s="3" t="inlineStr">
        <is>
          <t>Vertical Gola Profile</t>
        </is>
      </c>
      <c r="H482" s="3" t="inlineStr">
        <is>
          <t>Type</t>
        </is>
      </c>
      <c r="I482" s="3" t="inlineStr">
        <is>
          <t>L Type</t>
        </is>
      </c>
      <c r="J482" s="3" t="inlineStr">
        <is>
          <t>Color</t>
        </is>
      </c>
      <c r="K482" s="3" t="inlineStr">
        <is>
          <t>Copper</t>
        </is>
      </c>
      <c r="L482" s="3" t="inlineStr">
        <is>
          <t>Dimensions</t>
        </is>
      </c>
      <c r="M482" s="3" t="inlineStr">
        <is>
          <t>3000 mm X 48.35 mm</t>
        </is>
      </c>
      <c r="Q482" s="3" t="inlineStr">
        <is>
          <t>Manufacturer's Warranty</t>
        </is>
      </c>
      <c r="R482" s="3" t="n">
        <v>9300523</v>
      </c>
      <c r="Y482" s="3" t="inlineStr">
        <is>
          <t>HT_VGP_C Type_Colors_CP</t>
        </is>
      </c>
      <c r="Z482" s="3" t="n">
        <v>76042990</v>
      </c>
      <c r="AC482" s="3" t="n">
        <v>1</v>
      </c>
      <c r="AE482" s="3" t="n">
        <v>3940</v>
      </c>
      <c r="AF482" s="4" t="n">
        <v>0.5</v>
      </c>
      <c r="AG482" s="3">
        <f>ROUND(AE482-(AE482*AF482),2)</f>
        <v/>
      </c>
      <c r="AH482" s="4" t="n">
        <v>0.18</v>
      </c>
      <c r="AI482" s="3">
        <f>ROUND(AG482+(AG482*AH482),2)</f>
        <v/>
      </c>
      <c r="AJ482" s="4" t="n">
        <v>0.2</v>
      </c>
      <c r="AK482" s="3">
        <f>ROUND(AI482*AJ482,2)</f>
        <v/>
      </c>
      <c r="AL482" s="3">
        <f>AI482+AK482</f>
        <v/>
      </c>
      <c r="AM482" s="3">
        <f>AE482-AL482</f>
        <v/>
      </c>
      <c r="AN482" s="4">
        <f>AM482/AE482</f>
        <v/>
      </c>
      <c r="AO482" s="3" t="inlineStr">
        <is>
          <t>60 mins</t>
        </is>
      </c>
      <c r="AQ482" s="3" t="inlineStr">
        <is>
          <t>Weight</t>
        </is>
      </c>
      <c r="AS482" s="3" t="inlineStr">
        <is>
          <t>Vertical Gola profiles are aluminum channels installed vertically on tall kitchen cabinets, pantries, and wardrobes to enable a modern, handle-less, and seamless design. They provide an easy-to-grip vertical space for opening doors.</t>
        </is>
      </c>
      <c r="AT482" s="3" t="inlineStr">
        <is>
          <t>On Demand</t>
        </is>
      </c>
    </row>
    <row r="483" ht="15.75" customHeight="1">
      <c r="A483" s="3" t="inlineStr">
        <is>
          <t>PROD_0112</t>
        </is>
      </c>
      <c r="B483" s="3" t="inlineStr">
        <is>
          <t>VAR_7</t>
        </is>
      </c>
      <c r="C483" s="3" t="inlineStr">
        <is>
          <t>Modular Hardware</t>
        </is>
      </c>
      <c r="D483" s="3" t="inlineStr">
        <is>
          <t>Box Profile</t>
        </is>
      </c>
      <c r="E483" s="3" t="inlineStr">
        <is>
          <t>Hettich</t>
        </is>
      </c>
      <c r="F483" s="3" t="inlineStr">
        <is>
          <t>Vertical Gola Profile</t>
        </is>
      </c>
      <c r="H483" s="3" t="inlineStr">
        <is>
          <t>Type</t>
        </is>
      </c>
      <c r="I483" s="3" t="inlineStr">
        <is>
          <t>L Type</t>
        </is>
      </c>
      <c r="J483" s="3" t="inlineStr">
        <is>
          <t>Color</t>
        </is>
      </c>
      <c r="K483" s="3" t="inlineStr">
        <is>
          <t>Dark Champagne</t>
        </is>
      </c>
      <c r="L483" s="3" t="inlineStr">
        <is>
          <t>Dimensions</t>
        </is>
      </c>
      <c r="M483" s="3" t="inlineStr">
        <is>
          <t>3000 mm X 48.35 mm</t>
        </is>
      </c>
      <c r="Q483" s="3" t="inlineStr">
        <is>
          <t>Manufacturer's Warranty</t>
        </is>
      </c>
      <c r="R483" s="3" t="n">
        <v>9310268</v>
      </c>
      <c r="Y483" s="3" t="inlineStr">
        <is>
          <t>HT_VGP_C Type_Colors_DC</t>
        </is>
      </c>
      <c r="Z483" s="3" t="n">
        <v>76042990</v>
      </c>
      <c r="AC483" s="3" t="n">
        <v>1</v>
      </c>
      <c r="AE483" s="3" t="n">
        <v>3940</v>
      </c>
      <c r="AF483" s="4" t="n">
        <v>0.5</v>
      </c>
      <c r="AG483" s="3">
        <f>ROUND(AE483-(AE483*AF483),2)</f>
        <v/>
      </c>
      <c r="AH483" s="4" t="n">
        <v>0.18</v>
      </c>
      <c r="AI483" s="3">
        <f>ROUND(AG483+(AG483*AH483),2)</f>
        <v/>
      </c>
      <c r="AJ483" s="4" t="n">
        <v>0.2</v>
      </c>
      <c r="AK483" s="3">
        <f>ROUND(AI483*AJ483,2)</f>
        <v/>
      </c>
      <c r="AL483" s="3">
        <f>AI483+AK483</f>
        <v/>
      </c>
      <c r="AM483" s="3">
        <f>AE483-AL483</f>
        <v/>
      </c>
      <c r="AN483" s="4">
        <f>AM483/AE483</f>
        <v/>
      </c>
      <c r="AO483" s="3" t="inlineStr">
        <is>
          <t>60 mins</t>
        </is>
      </c>
      <c r="AQ483" s="3" t="inlineStr">
        <is>
          <t>Weight</t>
        </is>
      </c>
      <c r="AS483" s="3" t="inlineStr">
        <is>
          <t>Vertical Gola profiles are aluminum channels installed vertically on tall kitchen cabinets, pantries, and wardrobes to enable a modern, handle-less, and seamless design. They provide an easy-to-grip vertical space for opening doors.</t>
        </is>
      </c>
      <c r="AT483" s="3" t="inlineStr">
        <is>
          <t>On Demand</t>
        </is>
      </c>
    </row>
    <row r="484" ht="15.75" customHeight="1">
      <c r="A484" s="3" t="inlineStr">
        <is>
          <t>PROD_0113</t>
        </is>
      </c>
      <c r="B484" s="3" t="inlineStr">
        <is>
          <t>VAR_1</t>
        </is>
      </c>
      <c r="C484" s="3" t="inlineStr">
        <is>
          <t>Modular Hardware</t>
        </is>
      </c>
      <c r="D484" s="3" t="inlineStr">
        <is>
          <t>Box Profile</t>
        </is>
      </c>
      <c r="E484" s="3" t="inlineStr">
        <is>
          <t>Hettich</t>
        </is>
      </c>
      <c r="F484" s="3" t="inlineStr">
        <is>
          <t>Edge Profile</t>
        </is>
      </c>
      <c r="H484" s="3" t="inlineStr">
        <is>
          <t>Type</t>
        </is>
      </c>
      <c r="I484" s="3" t="inlineStr">
        <is>
          <t>Wall</t>
        </is>
      </c>
      <c r="J484" s="3" t="inlineStr">
        <is>
          <t>Color</t>
        </is>
      </c>
      <c r="K484" s="3" t="inlineStr">
        <is>
          <t>Black</t>
        </is>
      </c>
      <c r="L484" s="3" t="inlineStr">
        <is>
          <t>Dimensions</t>
        </is>
      </c>
      <c r="M484" s="3" t="inlineStr">
        <is>
          <t>3000 mm X 20.70 mm</t>
        </is>
      </c>
      <c r="Q484" s="3" t="inlineStr">
        <is>
          <t>Manufacturer's Warranty</t>
        </is>
      </c>
      <c r="R484" s="3" t="n">
        <v>9307859</v>
      </c>
      <c r="Y484" s="3" t="inlineStr">
        <is>
          <t>HT_Edge_Profile</t>
        </is>
      </c>
      <c r="Z484" s="3" t="n">
        <v>76042990</v>
      </c>
      <c r="AE484" s="3" t="n">
        <v>3160</v>
      </c>
      <c r="AF484" s="4" t="n">
        <v>0.5</v>
      </c>
      <c r="AG484" s="3">
        <f>ROUND(AE484-(AE484*AF484),2)</f>
        <v/>
      </c>
      <c r="AH484" s="4" t="n">
        <v>0.18</v>
      </c>
      <c r="AI484" s="3">
        <f>ROUND(AG484+(AG484*AH484),2)</f>
        <v/>
      </c>
      <c r="AJ484" s="4" t="n">
        <v>0.2</v>
      </c>
      <c r="AK484" s="3">
        <f>ROUND(AI484*AJ484,2)</f>
        <v/>
      </c>
      <c r="AL484" s="3">
        <f>AI484+AK484</f>
        <v/>
      </c>
      <c r="AM484" s="3">
        <f>AE484-AL484</f>
        <v/>
      </c>
      <c r="AN484" s="4">
        <f>AM484/AE484</f>
        <v/>
      </c>
      <c r="AO484" s="3" t="inlineStr">
        <is>
          <t>60 mins</t>
        </is>
      </c>
      <c r="AQ484" s="3" t="inlineStr">
        <is>
          <t>Weight</t>
        </is>
      </c>
      <c r="AS484" s="3" t="inlineStr">
        <is>
          <t>Edge profiles in interior design are the shaped, finished edges of countertops, islands, and furniture that define a space's style—modern, classic, or luxurious</t>
        </is>
      </c>
      <c r="AT484" s="3" t="inlineStr">
        <is>
          <t>On Demand</t>
        </is>
      </c>
    </row>
    <row r="485" ht="15.75" customHeight="1">
      <c r="A485" s="3" t="inlineStr">
        <is>
          <t>PROD_0113</t>
        </is>
      </c>
      <c r="B485" s="3" t="inlineStr">
        <is>
          <t>VAR_2</t>
        </is>
      </c>
      <c r="C485" s="3" t="inlineStr">
        <is>
          <t>Modular Hardware</t>
        </is>
      </c>
      <c r="D485" s="3" t="inlineStr">
        <is>
          <t>Box Profile</t>
        </is>
      </c>
      <c r="E485" s="3" t="inlineStr">
        <is>
          <t>Hettich</t>
        </is>
      </c>
      <c r="F485" s="3" t="inlineStr">
        <is>
          <t>Edge Profile</t>
        </is>
      </c>
      <c r="H485" s="3" t="inlineStr">
        <is>
          <t>Type</t>
        </is>
      </c>
      <c r="I485" s="3" t="inlineStr">
        <is>
          <t>Wall</t>
        </is>
      </c>
      <c r="J485" s="3" t="inlineStr">
        <is>
          <t>Color</t>
        </is>
      </c>
      <c r="K485" s="3" t="inlineStr">
        <is>
          <t>Stainless Steel</t>
        </is>
      </c>
      <c r="L485" s="3" t="inlineStr">
        <is>
          <t>Dimensions</t>
        </is>
      </c>
      <c r="M485" s="3" t="inlineStr">
        <is>
          <t>3000 mm X 20.70 mm</t>
        </is>
      </c>
      <c r="Q485" s="3" t="inlineStr">
        <is>
          <t>Manufacturer's Warranty</t>
        </is>
      </c>
      <c r="R485" s="3" t="n">
        <v>9299223</v>
      </c>
      <c r="Y485" s="3" t="inlineStr">
        <is>
          <t>HT_Edge_Profile</t>
        </is>
      </c>
      <c r="Z485" s="3" t="n">
        <v>76042990</v>
      </c>
      <c r="AE485" s="3" t="n">
        <v>3160</v>
      </c>
      <c r="AF485" s="4" t="n">
        <v>0.5</v>
      </c>
      <c r="AG485" s="3">
        <f>ROUND(AE485-(AE485*AF485),2)</f>
        <v/>
      </c>
      <c r="AH485" s="4" t="n">
        <v>0.18</v>
      </c>
      <c r="AI485" s="3">
        <f>ROUND(AG485+(AG485*AH485),2)</f>
        <v/>
      </c>
      <c r="AJ485" s="4" t="n">
        <v>0.2</v>
      </c>
      <c r="AK485" s="3">
        <f>ROUND(AI485*AJ485,2)</f>
        <v/>
      </c>
      <c r="AL485" s="3">
        <f>AI485+AK485</f>
        <v/>
      </c>
      <c r="AM485" s="3">
        <f>AE485-AL485</f>
        <v/>
      </c>
      <c r="AN485" s="4">
        <f>AM485/AE485</f>
        <v/>
      </c>
      <c r="AO485" s="3" t="inlineStr">
        <is>
          <t>60 mins</t>
        </is>
      </c>
      <c r="AQ485" s="3" t="inlineStr">
        <is>
          <t>Weight</t>
        </is>
      </c>
      <c r="AS485" s="3" t="inlineStr">
        <is>
          <t>Edge profiles in interior design are the shaped, finished edges of countertops, islands, and furniture that define a space's style—modern, classic, or luxurious</t>
        </is>
      </c>
      <c r="AT485" s="3" t="inlineStr">
        <is>
          <t>On Demand</t>
        </is>
      </c>
    </row>
    <row r="486" ht="15.75" customHeight="1">
      <c r="A486" s="3" t="inlineStr">
        <is>
          <t>PROD_0113</t>
        </is>
      </c>
      <c r="B486" s="3" t="inlineStr">
        <is>
          <t>VAR_3</t>
        </is>
      </c>
      <c r="C486" s="3" t="inlineStr">
        <is>
          <t>Modular Hardware</t>
        </is>
      </c>
      <c r="D486" s="3" t="inlineStr">
        <is>
          <t>Box Profile</t>
        </is>
      </c>
      <c r="E486" s="3" t="inlineStr">
        <is>
          <t>Hettich</t>
        </is>
      </c>
      <c r="F486" s="3" t="inlineStr">
        <is>
          <t>Edge Profile</t>
        </is>
      </c>
      <c r="H486" s="3" t="inlineStr">
        <is>
          <t>Type</t>
        </is>
      </c>
      <c r="I486" s="3" t="inlineStr">
        <is>
          <t>Wall</t>
        </is>
      </c>
      <c r="J486" s="3" t="inlineStr">
        <is>
          <t>Color</t>
        </is>
      </c>
      <c r="K486" s="3" t="inlineStr">
        <is>
          <t>Silver Anodised</t>
        </is>
      </c>
      <c r="L486" s="3" t="inlineStr">
        <is>
          <t>Dimensions</t>
        </is>
      </c>
      <c r="M486" s="3" t="inlineStr">
        <is>
          <t>3000 mm X 20.70 mm</t>
        </is>
      </c>
      <c r="Q486" s="3" t="inlineStr">
        <is>
          <t>Manufacturer's Warranty</t>
        </is>
      </c>
      <c r="R486" s="3" t="n">
        <v>9283517</v>
      </c>
      <c r="Y486" s="3" t="inlineStr">
        <is>
          <t>HT_Edge_Profile</t>
        </is>
      </c>
      <c r="Z486" s="3" t="n">
        <v>76042990</v>
      </c>
      <c r="AE486" s="3" t="n">
        <v>2790</v>
      </c>
      <c r="AF486" s="4" t="n">
        <v>0.5</v>
      </c>
      <c r="AG486" s="3">
        <f>ROUND(AE486-(AE486*AF486),2)</f>
        <v/>
      </c>
      <c r="AH486" s="4" t="n">
        <v>0.18</v>
      </c>
      <c r="AI486" s="3">
        <f>ROUND(AG486+(AG486*AH486),2)</f>
        <v/>
      </c>
      <c r="AJ486" s="4" t="n">
        <v>0.2</v>
      </c>
      <c r="AK486" s="3">
        <f>ROUND(AI486*AJ486,2)</f>
        <v/>
      </c>
      <c r="AL486" s="3">
        <f>AI486+AK486</f>
        <v/>
      </c>
      <c r="AM486" s="3">
        <f>AE486-AL486</f>
        <v/>
      </c>
      <c r="AN486" s="4">
        <f>AM486/AE486</f>
        <v/>
      </c>
      <c r="AO486" s="3" t="inlineStr">
        <is>
          <t>60 mins</t>
        </is>
      </c>
      <c r="AQ486" s="3" t="inlineStr">
        <is>
          <t>Weight</t>
        </is>
      </c>
      <c r="AS486" s="3" t="inlineStr">
        <is>
          <t>Edge profiles in interior design are the shaped, finished edges of countertops, islands, and furniture that define a space's style—modern, classic, or luxurious</t>
        </is>
      </c>
      <c r="AT486" s="3" t="inlineStr">
        <is>
          <t>On Demand</t>
        </is>
      </c>
    </row>
    <row r="487" ht="15.75" customHeight="1">
      <c r="A487" s="3" t="inlineStr">
        <is>
          <t>PROD_0114</t>
        </is>
      </c>
      <c r="B487" s="3" t="inlineStr">
        <is>
          <t>VAR_1</t>
        </is>
      </c>
      <c r="C487" s="3" t="inlineStr">
        <is>
          <t>Modular Hardware</t>
        </is>
      </c>
      <c r="D487" s="3" t="inlineStr">
        <is>
          <t>Door Profile</t>
        </is>
      </c>
      <c r="E487" s="3" t="inlineStr">
        <is>
          <t>Hettich</t>
        </is>
      </c>
      <c r="F487" s="3" t="inlineStr">
        <is>
          <t>Eslinga Econ Profile</t>
        </is>
      </c>
      <c r="H487" s="3" t="inlineStr">
        <is>
          <t>Type</t>
        </is>
      </c>
      <c r="I487" s="3" t="inlineStr">
        <is>
          <t>G</t>
        </is>
      </c>
      <c r="J487" s="3" t="inlineStr">
        <is>
          <t>Color</t>
        </is>
      </c>
      <c r="K487" s="3" t="inlineStr">
        <is>
          <t>Black</t>
        </is>
      </c>
      <c r="L487" s="3" t="inlineStr">
        <is>
          <t>Dimensions</t>
        </is>
      </c>
      <c r="M487" s="3" t="inlineStr">
        <is>
          <t>3000 mm X 21.2 mm</t>
        </is>
      </c>
      <c r="Q487" s="3" t="inlineStr">
        <is>
          <t>Manufacturer's Warranty</t>
        </is>
      </c>
      <c r="R487" s="3" t="n">
        <v>9345854</v>
      </c>
      <c r="Y487" s="3" t="inlineStr">
        <is>
          <t>HT_Eslinga_Econ_Profile_G PROFILE</t>
        </is>
      </c>
      <c r="Z487" s="3" t="n">
        <v>76042990</v>
      </c>
      <c r="AE487" s="3" t="n">
        <v>5640</v>
      </c>
      <c r="AF487" s="4" t="n">
        <v>0.5</v>
      </c>
      <c r="AG487" s="3">
        <f>ROUND(AE487-(AE487*AF487),2)</f>
        <v/>
      </c>
      <c r="AH487" s="4" t="n">
        <v>0.18</v>
      </c>
      <c r="AI487" s="3">
        <f>ROUND(AG487+(AG487*AH487),2)</f>
        <v/>
      </c>
      <c r="AJ487" s="4" t="n">
        <v>0.2</v>
      </c>
      <c r="AK487" s="3">
        <f>ROUND(AI487*AJ487,2)</f>
        <v/>
      </c>
      <c r="AL487" s="3">
        <f>AI487+AK487</f>
        <v/>
      </c>
      <c r="AM487" s="3">
        <f>AE487-AL487</f>
        <v/>
      </c>
      <c r="AN487" s="4">
        <f>AM487/AE487</f>
        <v/>
      </c>
      <c r="AO487" s="3" t="inlineStr">
        <is>
          <t>60 mins</t>
        </is>
      </c>
      <c r="AQ487" s="3" t="inlineStr">
        <is>
          <t>Weight</t>
        </is>
      </c>
      <c r="AT487" s="3" t="inlineStr">
        <is>
          <t>On Demand</t>
        </is>
      </c>
    </row>
    <row r="488" ht="15.75" customHeight="1">
      <c r="A488" s="3" t="inlineStr">
        <is>
          <t>PROD_0114</t>
        </is>
      </c>
      <c r="B488" s="3" t="inlineStr">
        <is>
          <t>VAR_2</t>
        </is>
      </c>
      <c r="C488" s="3" t="inlineStr">
        <is>
          <t>Modular Hardware</t>
        </is>
      </c>
      <c r="D488" s="3" t="inlineStr">
        <is>
          <t>Door Profile</t>
        </is>
      </c>
      <c r="E488" s="3" t="inlineStr">
        <is>
          <t>Hettich</t>
        </is>
      </c>
      <c r="F488" s="3" t="inlineStr">
        <is>
          <t>Eslinga Econ Profile</t>
        </is>
      </c>
      <c r="H488" s="3" t="inlineStr">
        <is>
          <t>Type</t>
        </is>
      </c>
      <c r="I488" s="3" t="inlineStr">
        <is>
          <t>G</t>
        </is>
      </c>
      <c r="J488" s="3" t="inlineStr">
        <is>
          <t>Color</t>
        </is>
      </c>
      <c r="K488" s="3" t="inlineStr">
        <is>
          <t>Rose Gold</t>
        </is>
      </c>
      <c r="L488" s="3" t="inlineStr">
        <is>
          <t>Dimensions</t>
        </is>
      </c>
      <c r="M488" s="3" t="inlineStr">
        <is>
          <t>3000 mm X 21.2 mm</t>
        </is>
      </c>
      <c r="Q488" s="3" t="inlineStr">
        <is>
          <t>Manufacturer's Warranty</t>
        </is>
      </c>
      <c r="R488" s="3" t="n">
        <v>9345855</v>
      </c>
      <c r="Y488" s="3" t="inlineStr">
        <is>
          <t>HT_Eslinga_Econ_Profile_G PROFILE</t>
        </is>
      </c>
      <c r="Z488" s="3" t="n">
        <v>76042990</v>
      </c>
      <c r="AE488" s="3" t="n">
        <v>5640</v>
      </c>
      <c r="AF488" s="4" t="n">
        <v>0.5</v>
      </c>
      <c r="AG488" s="3">
        <f>ROUND(AE488-(AE488*AF488),2)</f>
        <v/>
      </c>
      <c r="AH488" s="4" t="n">
        <v>0.18</v>
      </c>
      <c r="AI488" s="3">
        <f>ROUND(AG488+(AG488*AH488),2)</f>
        <v/>
      </c>
      <c r="AJ488" s="4" t="n">
        <v>0.2</v>
      </c>
      <c r="AK488" s="3">
        <f>ROUND(AI488*AJ488,2)</f>
        <v/>
      </c>
      <c r="AL488" s="3">
        <f>AI488+AK488</f>
        <v/>
      </c>
      <c r="AM488" s="3">
        <f>AE488-AL488</f>
        <v/>
      </c>
      <c r="AN488" s="4">
        <f>AM488/AE488</f>
        <v/>
      </c>
      <c r="AO488" s="3" t="inlineStr">
        <is>
          <t>60 mins</t>
        </is>
      </c>
      <c r="AQ488" s="3" t="inlineStr">
        <is>
          <t>Weight</t>
        </is>
      </c>
      <c r="AT488" s="3" t="inlineStr">
        <is>
          <t>On Demand</t>
        </is>
      </c>
    </row>
    <row r="489" ht="15.75" customHeight="1">
      <c r="A489" s="3" t="inlineStr">
        <is>
          <t>PROD_0114</t>
        </is>
      </c>
      <c r="B489" s="3" t="inlineStr">
        <is>
          <t>VAR_3</t>
        </is>
      </c>
      <c r="C489" s="3" t="inlineStr">
        <is>
          <t>Modular Hardware</t>
        </is>
      </c>
      <c r="D489" s="3" t="inlineStr">
        <is>
          <t>Door Profile</t>
        </is>
      </c>
      <c r="E489" s="3" t="inlineStr">
        <is>
          <t>Hettich</t>
        </is>
      </c>
      <c r="F489" s="3" t="inlineStr">
        <is>
          <t>Eslinga Econ Profile</t>
        </is>
      </c>
      <c r="H489" s="3" t="inlineStr">
        <is>
          <t>Type</t>
        </is>
      </c>
      <c r="I489" s="3" t="inlineStr">
        <is>
          <t>G</t>
        </is>
      </c>
      <c r="J489" s="3" t="inlineStr">
        <is>
          <t>Color</t>
        </is>
      </c>
      <c r="K489" s="3" t="inlineStr">
        <is>
          <t>Stainless Steel</t>
        </is>
      </c>
      <c r="L489" s="3" t="inlineStr">
        <is>
          <t>Dimensions</t>
        </is>
      </c>
      <c r="M489" s="3" t="inlineStr">
        <is>
          <t>3000 mm X 21.2 mm</t>
        </is>
      </c>
      <c r="Q489" s="3" t="inlineStr">
        <is>
          <t>Manufacturer's Warranty</t>
        </is>
      </c>
      <c r="R489" s="3" t="n">
        <v>9345753</v>
      </c>
      <c r="Y489" s="3" t="inlineStr">
        <is>
          <t>HT_Eslinga_Econ_Profile_G PROFILE</t>
        </is>
      </c>
      <c r="Z489" s="3" t="n">
        <v>76042990</v>
      </c>
      <c r="AE489" s="3" t="n">
        <v>5000</v>
      </c>
      <c r="AF489" s="4" t="n">
        <v>0.5</v>
      </c>
      <c r="AG489" s="3">
        <f>ROUND(AE489-(AE489*AF489),2)</f>
        <v/>
      </c>
      <c r="AH489" s="4" t="n">
        <v>0.18</v>
      </c>
      <c r="AI489" s="3">
        <f>ROUND(AG489+(AG489*AH489),2)</f>
        <v/>
      </c>
      <c r="AJ489" s="4" t="n">
        <v>0.2</v>
      </c>
      <c r="AK489" s="3">
        <f>ROUND(AI489*AJ489,2)</f>
        <v/>
      </c>
      <c r="AL489" s="3">
        <f>AI489+AK489</f>
        <v/>
      </c>
      <c r="AM489" s="3">
        <f>AE489-AL489</f>
        <v/>
      </c>
      <c r="AN489" s="4">
        <f>AM489/AE489</f>
        <v/>
      </c>
      <c r="AO489" s="3" t="inlineStr">
        <is>
          <t>60 mins</t>
        </is>
      </c>
      <c r="AQ489" s="3" t="inlineStr">
        <is>
          <t>Weight</t>
        </is>
      </c>
      <c r="AT489" s="3" t="inlineStr">
        <is>
          <t>On Demand</t>
        </is>
      </c>
    </row>
    <row r="490" ht="15.75" customHeight="1">
      <c r="A490" s="3" t="inlineStr">
        <is>
          <t>PROD_0115</t>
        </is>
      </c>
      <c r="B490" s="3" t="inlineStr">
        <is>
          <t>VAR_1</t>
        </is>
      </c>
      <c r="C490" s="3" t="inlineStr">
        <is>
          <t>Modular Hardware</t>
        </is>
      </c>
      <c r="D490" s="3" t="inlineStr">
        <is>
          <t>Door Profile</t>
        </is>
      </c>
      <c r="E490" s="3" t="inlineStr">
        <is>
          <t>Ebco</t>
        </is>
      </c>
      <c r="F490" s="3" t="inlineStr">
        <is>
          <t>AL Glass Shutter Profile Euro</t>
        </is>
      </c>
      <c r="H490" s="3" t="inlineStr">
        <is>
          <t>Type</t>
        </is>
      </c>
      <c r="I490" s="3" t="inlineStr">
        <is>
          <t>With Handle</t>
        </is>
      </c>
      <c r="J490" s="3" t="inlineStr">
        <is>
          <t>Color</t>
        </is>
      </c>
      <c r="K490" s="3" t="inlineStr">
        <is>
          <t>Black</t>
        </is>
      </c>
      <c r="L490" s="3" t="inlineStr">
        <is>
          <t>Dimensions</t>
        </is>
      </c>
      <c r="M490" s="3" t="inlineStr">
        <is>
          <t>3000 mm X 22 mm</t>
        </is>
      </c>
      <c r="N490" s="3" t="inlineStr">
        <is>
          <t>Width</t>
        </is>
      </c>
      <c r="O490" s="3" t="inlineStr">
        <is>
          <t>50 mm</t>
        </is>
      </c>
      <c r="Q490" s="3" t="inlineStr">
        <is>
          <t>Manufacturer's Warranty</t>
        </is>
      </c>
      <c r="R490" s="3" t="inlineStr">
        <is>
          <t>EGSP-4-50H-3M-AB</t>
        </is>
      </c>
      <c r="V490" s="3" t="inlineStr">
        <is>
          <t xml:space="preserve">connectors </t>
        </is>
      </c>
      <c r="Y490" s="3" t="inlineStr">
        <is>
          <t>EBCO_EGSP_4_50H_3M_AS_AB</t>
        </is>
      </c>
      <c r="Z490" s="3" t="n">
        <v>7604</v>
      </c>
      <c r="AE490" s="3" t="n">
        <v>2966</v>
      </c>
      <c r="AF490" s="4" t="n">
        <v>0.4</v>
      </c>
      <c r="AG490" s="3">
        <f>ROUND(AE490-(AE490*AF490),2)</f>
        <v/>
      </c>
      <c r="AH490" s="4" t="n">
        <v>0.18</v>
      </c>
      <c r="AI490" s="3">
        <f>ROUND(AG490+(AG490*AH490),2)</f>
        <v/>
      </c>
      <c r="AJ490" s="4" t="n">
        <v>0.1</v>
      </c>
      <c r="AK490" s="3">
        <f>ROUND(AI490*AJ490,2)</f>
        <v/>
      </c>
      <c r="AL490" s="3">
        <f>AI490+AK490</f>
        <v/>
      </c>
      <c r="AM490" s="3">
        <f>AE490-AL490</f>
        <v/>
      </c>
      <c r="AN490" s="4">
        <f>AM490/AE490</f>
        <v/>
      </c>
      <c r="AO490" s="3" t="inlineStr">
        <is>
          <t>60 mins</t>
        </is>
      </c>
      <c r="AQ490" s="3" t="inlineStr">
        <is>
          <t>Weight</t>
        </is>
      </c>
      <c r="AT490" s="3" t="inlineStr">
        <is>
          <t>3 hrs</t>
        </is>
      </c>
    </row>
    <row r="491" ht="15.75" customHeight="1">
      <c r="A491" s="3" t="inlineStr">
        <is>
          <t>PROD_0115</t>
        </is>
      </c>
      <c r="B491" s="3" t="inlineStr">
        <is>
          <t>VAR_2</t>
        </is>
      </c>
      <c r="C491" s="3" t="inlineStr">
        <is>
          <t>Modular Hardware</t>
        </is>
      </c>
      <c r="D491" s="3" t="inlineStr">
        <is>
          <t>Door Profile</t>
        </is>
      </c>
      <c r="E491" s="3" t="inlineStr">
        <is>
          <t>Ebco</t>
        </is>
      </c>
      <c r="F491" s="3" t="inlineStr">
        <is>
          <t>AL Glass Shutter Profile Euro</t>
        </is>
      </c>
      <c r="H491" s="3" t="inlineStr">
        <is>
          <t>Type</t>
        </is>
      </c>
      <c r="I491" s="3" t="inlineStr">
        <is>
          <t>With Handle</t>
        </is>
      </c>
      <c r="J491" s="3" t="inlineStr">
        <is>
          <t>Color</t>
        </is>
      </c>
      <c r="K491" s="3" t="inlineStr">
        <is>
          <t>Silver Anodised</t>
        </is>
      </c>
      <c r="L491" s="3" t="inlineStr">
        <is>
          <t>Dimensions</t>
        </is>
      </c>
      <c r="M491" s="3" t="inlineStr">
        <is>
          <t>3000 mm X 22 mm</t>
        </is>
      </c>
      <c r="N491" s="3" t="inlineStr">
        <is>
          <t>Width</t>
        </is>
      </c>
      <c r="O491" s="3" t="inlineStr">
        <is>
          <t>50 mm</t>
        </is>
      </c>
      <c r="Q491" s="3" t="inlineStr">
        <is>
          <t>Manufacturer's Warranty</t>
        </is>
      </c>
      <c r="R491" s="3" t="inlineStr">
        <is>
          <t>EGSP-4-50H-3M-AS/AB</t>
        </is>
      </c>
      <c r="Y491" s="3" t="inlineStr">
        <is>
          <t>EBCO_EGSP_4_50H_3M_AS_AB</t>
        </is>
      </c>
      <c r="Z491" s="3" t="n">
        <v>7604</v>
      </c>
      <c r="AE491" s="3" t="n">
        <v>2966</v>
      </c>
      <c r="AF491" s="4" t="n">
        <v>0.4</v>
      </c>
      <c r="AG491" s="3">
        <f>ROUND(AE491-(AE491*AF491),2)</f>
        <v/>
      </c>
      <c r="AH491" s="4" t="n">
        <v>0.18</v>
      </c>
      <c r="AI491" s="3">
        <f>ROUND(AG491+(AG491*AH491),2)</f>
        <v/>
      </c>
      <c r="AJ491" s="4" t="n">
        <v>0.1</v>
      </c>
      <c r="AK491" s="3">
        <f>ROUND(AI491*AJ491,2)</f>
        <v/>
      </c>
      <c r="AL491" s="3">
        <f>AI491+AK491</f>
        <v/>
      </c>
      <c r="AM491" s="3">
        <f>AE491-AL491</f>
        <v/>
      </c>
      <c r="AN491" s="4">
        <f>AM491/AE491</f>
        <v/>
      </c>
      <c r="AO491" s="3" t="inlineStr">
        <is>
          <t>60 mins</t>
        </is>
      </c>
      <c r="AQ491" s="3" t="inlineStr">
        <is>
          <t>Weight</t>
        </is>
      </c>
      <c r="AT491" s="3" t="inlineStr">
        <is>
          <t>3 hrs</t>
        </is>
      </c>
    </row>
    <row r="492" ht="15.75" customHeight="1">
      <c r="A492" s="3" t="inlineStr">
        <is>
          <t>PROD_0115</t>
        </is>
      </c>
      <c r="B492" s="3" t="inlineStr">
        <is>
          <t>VAR_3</t>
        </is>
      </c>
      <c r="C492" s="3" t="inlineStr">
        <is>
          <t>Modular Hardware</t>
        </is>
      </c>
      <c r="D492" s="3" t="inlineStr">
        <is>
          <t>Door Profile</t>
        </is>
      </c>
      <c r="E492" s="3" t="inlineStr">
        <is>
          <t>Ebco</t>
        </is>
      </c>
      <c r="F492" s="3" t="inlineStr">
        <is>
          <t>AL Glass Shutter Profile Euro</t>
        </is>
      </c>
      <c r="H492" s="3" t="inlineStr">
        <is>
          <t>Type</t>
        </is>
      </c>
      <c r="I492" s="3" t="inlineStr">
        <is>
          <t>With Handle</t>
        </is>
      </c>
      <c r="J492" s="3" t="inlineStr">
        <is>
          <t>Color</t>
        </is>
      </c>
      <c r="K492" s="3" t="inlineStr">
        <is>
          <t>Black</t>
        </is>
      </c>
      <c r="L492" s="3" t="inlineStr">
        <is>
          <t>Dimensions</t>
        </is>
      </c>
      <c r="M492" s="3" t="inlineStr">
        <is>
          <t>3000 mm X 22 mm</t>
        </is>
      </c>
      <c r="N492" s="3" t="inlineStr">
        <is>
          <t>Width</t>
        </is>
      </c>
      <c r="O492" s="3" t="inlineStr">
        <is>
          <t>50 mm</t>
        </is>
      </c>
      <c r="Q492" s="3" t="inlineStr">
        <is>
          <t>Manufacturer's Warranty</t>
        </is>
      </c>
      <c r="R492" s="3" t="inlineStr">
        <is>
          <t>EGSP-4-50-3M-AS/AB</t>
        </is>
      </c>
      <c r="Y492" s="3" t="inlineStr">
        <is>
          <t>EBCO_EGSP_4_50H_3M_AS_AB</t>
        </is>
      </c>
      <c r="Z492" s="3" t="n">
        <v>7604</v>
      </c>
      <c r="AE492" s="3" t="n">
        <v>2531</v>
      </c>
      <c r="AF492" s="4" t="n">
        <v>0.4</v>
      </c>
      <c r="AG492" s="3">
        <f>ROUND(AE492-(AE492*AF492),2)</f>
        <v/>
      </c>
      <c r="AH492" s="4" t="n">
        <v>0.18</v>
      </c>
      <c r="AI492" s="3">
        <f>ROUND(AG492+(AG492*AH492),2)</f>
        <v/>
      </c>
      <c r="AJ492" s="4" t="n">
        <v>0.1</v>
      </c>
      <c r="AK492" s="3">
        <f>ROUND(AI492*AJ492,2)</f>
        <v/>
      </c>
      <c r="AL492" s="3">
        <f>AI492+AK492</f>
        <v/>
      </c>
      <c r="AM492" s="3">
        <f>AE492-AL492</f>
        <v/>
      </c>
      <c r="AN492" s="4">
        <f>AM492/AE492</f>
        <v/>
      </c>
      <c r="AO492" s="3" t="inlineStr">
        <is>
          <t>60 mins</t>
        </is>
      </c>
      <c r="AQ492" s="3" t="inlineStr">
        <is>
          <t>Weight</t>
        </is>
      </c>
      <c r="AT492" s="3" t="inlineStr">
        <is>
          <t>3 hrs</t>
        </is>
      </c>
    </row>
    <row r="493" ht="15.75" customHeight="1">
      <c r="A493" s="3" t="inlineStr">
        <is>
          <t>PROD_0115</t>
        </is>
      </c>
      <c r="B493" s="3" t="inlineStr">
        <is>
          <t>VAR_4</t>
        </is>
      </c>
      <c r="C493" s="3" t="inlineStr">
        <is>
          <t>Modular Hardware</t>
        </is>
      </c>
      <c r="D493" s="3" t="inlineStr">
        <is>
          <t>Door Profile</t>
        </is>
      </c>
      <c r="E493" s="3" t="inlineStr">
        <is>
          <t>Ebco</t>
        </is>
      </c>
      <c r="F493" s="3" t="inlineStr">
        <is>
          <t>AL Glass Shutter Profile Euro</t>
        </is>
      </c>
      <c r="H493" s="3" t="inlineStr">
        <is>
          <t>Type</t>
        </is>
      </c>
      <c r="I493" s="3" t="inlineStr">
        <is>
          <t>With Handle</t>
        </is>
      </c>
      <c r="J493" s="3" t="inlineStr">
        <is>
          <t>Color</t>
        </is>
      </c>
      <c r="K493" s="3" t="inlineStr">
        <is>
          <t>Silver Anodised</t>
        </is>
      </c>
      <c r="L493" s="3" t="inlineStr">
        <is>
          <t>Dimensions</t>
        </is>
      </c>
      <c r="M493" s="3" t="inlineStr">
        <is>
          <t>3000 mm X 22 mm</t>
        </is>
      </c>
      <c r="N493" s="3" t="inlineStr">
        <is>
          <t>Width</t>
        </is>
      </c>
      <c r="O493" s="3" t="inlineStr">
        <is>
          <t>50 mm</t>
        </is>
      </c>
      <c r="Q493" s="3" t="inlineStr">
        <is>
          <t>Manufacturer's Warranty</t>
        </is>
      </c>
      <c r="R493" s="3" t="inlineStr">
        <is>
          <t>EGSP-4-50-3M-AS/AB</t>
        </is>
      </c>
      <c r="Y493" s="3" t="inlineStr">
        <is>
          <t>EBCO_EGSP_4_50H_3M_AS_AB</t>
        </is>
      </c>
      <c r="Z493" s="3" t="n">
        <v>7604</v>
      </c>
      <c r="AE493" s="3" t="n">
        <v>2531</v>
      </c>
      <c r="AF493" s="4" t="n">
        <v>0.4</v>
      </c>
      <c r="AG493" s="3">
        <f>ROUND(AE493-(AE493*AF493),2)</f>
        <v/>
      </c>
      <c r="AH493" s="4" t="n">
        <v>0.18</v>
      </c>
      <c r="AI493" s="3">
        <f>ROUND(AG493+(AG493*AH493),2)</f>
        <v/>
      </c>
      <c r="AJ493" s="4" t="n">
        <v>0.1</v>
      </c>
      <c r="AK493" s="3">
        <f>ROUND(AI493*AJ493,2)</f>
        <v/>
      </c>
      <c r="AL493" s="3">
        <f>AI493+AK493</f>
        <v/>
      </c>
      <c r="AM493" s="3">
        <f>AE493-AL493</f>
        <v/>
      </c>
      <c r="AN493" s="4">
        <f>AM493/AE493</f>
        <v/>
      </c>
      <c r="AO493" s="3" t="inlineStr">
        <is>
          <t>60 mins</t>
        </is>
      </c>
      <c r="AQ493" s="3" t="inlineStr">
        <is>
          <t>Weight</t>
        </is>
      </c>
      <c r="AT493" s="3" t="inlineStr">
        <is>
          <t>3 hrs</t>
        </is>
      </c>
    </row>
    <row r="494" ht="15.75" customHeight="1">
      <c r="A494" s="3" t="inlineStr">
        <is>
          <t>PROD_0116</t>
        </is>
      </c>
      <c r="B494" s="3" t="inlineStr">
        <is>
          <t>VAR_1</t>
        </is>
      </c>
      <c r="C494" s="3" t="inlineStr">
        <is>
          <t>Modular Hardware</t>
        </is>
      </c>
      <c r="D494" s="3" t="inlineStr">
        <is>
          <t>Box Profile</t>
        </is>
      </c>
      <c r="E494" s="3" t="inlineStr">
        <is>
          <t>Ebco</t>
        </is>
      </c>
      <c r="F494" s="3" t="inlineStr">
        <is>
          <t>Horizontal Gola 3</t>
        </is>
      </c>
      <c r="H494" s="3" t="inlineStr">
        <is>
          <t>Type</t>
        </is>
      </c>
      <c r="I494" s="3" t="inlineStr">
        <is>
          <t>L Type</t>
        </is>
      </c>
      <c r="J494" s="3" t="inlineStr">
        <is>
          <t>Color</t>
        </is>
      </c>
      <c r="K494" s="3" t="inlineStr">
        <is>
          <t>Black</t>
        </is>
      </c>
      <c r="L494" s="3" t="inlineStr">
        <is>
          <t>Dimensions</t>
        </is>
      </c>
      <c r="M494" s="3" t="inlineStr">
        <is>
          <t>3000 mm X 22 mm</t>
        </is>
      </c>
      <c r="N494" s="3" t="inlineStr">
        <is>
          <t>Width</t>
        </is>
      </c>
      <c r="O494" s="3" t="inlineStr">
        <is>
          <t>58 mm</t>
        </is>
      </c>
      <c r="Q494" s="3" t="inlineStr">
        <is>
          <t>Manufacturer's Warranty</t>
        </is>
      </c>
      <c r="R494" s="3" t="inlineStr">
        <is>
          <t>HG3L</t>
        </is>
      </c>
      <c r="Y494" s="3" t="inlineStr">
        <is>
          <t>HT_C Type</t>
        </is>
      </c>
      <c r="Z494" s="3" t="n">
        <v>7604</v>
      </c>
      <c r="AE494" s="3" t="n">
        <v>2141</v>
      </c>
      <c r="AF494" s="4" t="n">
        <v>0.4</v>
      </c>
      <c r="AG494" s="3">
        <f>ROUND(AE494-(AE494*AF494),2)</f>
        <v/>
      </c>
      <c r="AH494" s="4" t="n">
        <v>0.18</v>
      </c>
      <c r="AI494" s="3">
        <f>ROUND(AG494+(AG494*AH494),2)</f>
        <v/>
      </c>
      <c r="AJ494" s="4" t="n">
        <v>0.1</v>
      </c>
      <c r="AK494" s="3">
        <f>ROUND(AI494*AJ494,2)</f>
        <v/>
      </c>
      <c r="AL494" s="3">
        <f>AI494+AK494</f>
        <v/>
      </c>
      <c r="AM494" s="3">
        <f>AE494-AL494</f>
        <v/>
      </c>
      <c r="AN494" s="4">
        <f>AM494/AE494</f>
        <v/>
      </c>
      <c r="AO494" s="3" t="inlineStr">
        <is>
          <t>60 mins</t>
        </is>
      </c>
      <c r="AQ494" s="3" t="inlineStr">
        <is>
          <t>Weight</t>
        </is>
      </c>
      <c r="AS494" s="3" t="inlineStr">
        <is>
          <t xml:space="preserve">Gola profiles are specialized aluminum profiles installed directly into the cabinet frame to create a handleless, minimalist, and, ergonomic kitchen design. </t>
        </is>
      </c>
      <c r="AT494" s="3" t="inlineStr">
        <is>
          <t>3 hrs</t>
        </is>
      </c>
    </row>
    <row r="495" ht="15.75" customHeight="1">
      <c r="A495" s="3" t="inlineStr">
        <is>
          <t>PROD_0116</t>
        </is>
      </c>
      <c r="B495" s="3" t="inlineStr">
        <is>
          <t>VAR_2</t>
        </is>
      </c>
      <c r="C495" s="3" t="inlineStr">
        <is>
          <t>Modular Hardware</t>
        </is>
      </c>
      <c r="D495" s="3" t="inlineStr">
        <is>
          <t>Box Profile</t>
        </is>
      </c>
      <c r="E495" s="3" t="inlineStr">
        <is>
          <t>Ebco</t>
        </is>
      </c>
      <c r="F495" s="3" t="inlineStr">
        <is>
          <t>Horizontal Gola 3</t>
        </is>
      </c>
      <c r="H495" s="3" t="inlineStr">
        <is>
          <t>Type</t>
        </is>
      </c>
      <c r="I495" s="3" t="inlineStr">
        <is>
          <t>L Type</t>
        </is>
      </c>
      <c r="J495" s="3" t="inlineStr">
        <is>
          <t>Color</t>
        </is>
      </c>
      <c r="K495" s="3" t="inlineStr">
        <is>
          <t>Rose Gold</t>
        </is>
      </c>
      <c r="L495" s="3" t="inlineStr">
        <is>
          <t>Dimensions</t>
        </is>
      </c>
      <c r="M495" s="3" t="inlineStr">
        <is>
          <t>3000 mm X 22 mm</t>
        </is>
      </c>
      <c r="N495" s="3" t="inlineStr">
        <is>
          <t>Width</t>
        </is>
      </c>
      <c r="O495" s="3" t="inlineStr">
        <is>
          <t>58 mm</t>
        </is>
      </c>
      <c r="Q495" s="3" t="inlineStr">
        <is>
          <t>Manufacturer's Warranty</t>
        </is>
      </c>
      <c r="R495" s="3" t="inlineStr">
        <is>
          <t>HG3L</t>
        </is>
      </c>
      <c r="Y495" s="3" t="inlineStr">
        <is>
          <t>HT_C Type</t>
        </is>
      </c>
      <c r="Z495" s="3" t="n">
        <v>7604</v>
      </c>
      <c r="AE495" s="3" t="n">
        <v>2704</v>
      </c>
      <c r="AF495" s="4" t="n">
        <v>0.4</v>
      </c>
      <c r="AG495" s="3">
        <f>ROUND(AE495-(AE495*AF495),2)</f>
        <v/>
      </c>
      <c r="AH495" s="4" t="n">
        <v>0.18</v>
      </c>
      <c r="AI495" s="3">
        <f>ROUND(AG495+(AG495*AH495),2)</f>
        <v/>
      </c>
      <c r="AJ495" s="4" t="n">
        <v>0.1</v>
      </c>
      <c r="AK495" s="3">
        <f>ROUND(AI495*AJ495,2)</f>
        <v/>
      </c>
      <c r="AL495" s="3">
        <f>AI495+AK495</f>
        <v/>
      </c>
      <c r="AM495" s="3">
        <f>AE495-AL495</f>
        <v/>
      </c>
      <c r="AN495" s="4">
        <f>AM495/AE495</f>
        <v/>
      </c>
      <c r="AO495" s="3" t="inlineStr">
        <is>
          <t>60 mins</t>
        </is>
      </c>
      <c r="AQ495" s="3" t="inlineStr">
        <is>
          <t>Weight</t>
        </is>
      </c>
      <c r="AS495" s="3" t="inlineStr">
        <is>
          <t xml:space="preserve">Gola profiles are specialized aluminum profiles installed directly into the cabinet frame to create a handleless, minimalist, and, ergonomic kitchen design. </t>
        </is>
      </c>
      <c r="AT495" s="3" t="inlineStr">
        <is>
          <t>3 hrs</t>
        </is>
      </c>
    </row>
    <row r="496" ht="15.75" customHeight="1">
      <c r="A496" s="3" t="inlineStr">
        <is>
          <t>PROD_0116</t>
        </is>
      </c>
      <c r="B496" s="3" t="inlineStr">
        <is>
          <t>VAR_3</t>
        </is>
      </c>
      <c r="C496" s="3" t="inlineStr">
        <is>
          <t>Modular Hardware</t>
        </is>
      </c>
      <c r="D496" s="3" t="inlineStr">
        <is>
          <t>Box Profile</t>
        </is>
      </c>
      <c r="E496" s="3" t="inlineStr">
        <is>
          <t>Ebco</t>
        </is>
      </c>
      <c r="F496" s="3" t="inlineStr">
        <is>
          <t>Horizontal Gola 3</t>
        </is>
      </c>
      <c r="H496" s="3" t="inlineStr">
        <is>
          <t>Type</t>
        </is>
      </c>
      <c r="I496" s="3" t="inlineStr">
        <is>
          <t>L Type</t>
        </is>
      </c>
      <c r="J496" s="3" t="inlineStr">
        <is>
          <t>Color</t>
        </is>
      </c>
      <c r="K496" s="3" t="inlineStr">
        <is>
          <t>Silver Anodised</t>
        </is>
      </c>
      <c r="L496" s="3" t="inlineStr">
        <is>
          <t>Dimensions</t>
        </is>
      </c>
      <c r="M496" s="3" t="inlineStr">
        <is>
          <t>3000 mm X 22 mm</t>
        </is>
      </c>
      <c r="N496" s="3" t="inlineStr">
        <is>
          <t>Width</t>
        </is>
      </c>
      <c r="O496" s="3" t="inlineStr">
        <is>
          <t>58 mm</t>
        </is>
      </c>
      <c r="Q496" s="3" t="inlineStr">
        <is>
          <t>Manufacturer's Warranty</t>
        </is>
      </c>
      <c r="R496" s="3" t="inlineStr">
        <is>
          <t>HG3L</t>
        </is>
      </c>
      <c r="Y496" s="3" t="inlineStr">
        <is>
          <t>HT_C Type</t>
        </is>
      </c>
      <c r="Z496" s="3" t="n">
        <v>7604</v>
      </c>
      <c r="AE496" s="3" t="n">
        <v>2141</v>
      </c>
      <c r="AF496" s="4" t="n">
        <v>0.4</v>
      </c>
      <c r="AG496" s="3">
        <f>ROUND(AE496-(AE496*AF496),2)</f>
        <v/>
      </c>
      <c r="AH496" s="4" t="n">
        <v>0.18</v>
      </c>
      <c r="AI496" s="3">
        <f>ROUND(AG496+(AG496*AH496),2)</f>
        <v/>
      </c>
      <c r="AJ496" s="4" t="n">
        <v>0.1</v>
      </c>
      <c r="AK496" s="3">
        <f>ROUND(AI496*AJ496,2)</f>
        <v/>
      </c>
      <c r="AL496" s="3">
        <f>AI496+AK496</f>
        <v/>
      </c>
      <c r="AM496" s="3">
        <f>AE496-AL496</f>
        <v/>
      </c>
      <c r="AN496" s="4">
        <f>AM496/AE496</f>
        <v/>
      </c>
      <c r="AO496" s="3" t="inlineStr">
        <is>
          <t>60 mins</t>
        </is>
      </c>
      <c r="AQ496" s="3" t="inlineStr">
        <is>
          <t>Weight</t>
        </is>
      </c>
      <c r="AS496" s="3" t="inlineStr">
        <is>
          <t xml:space="preserve">Gola profiles are specialized aluminum profiles installed directly into the cabinet frame to create a handleless, minimalist, and, ergonomic kitchen design. </t>
        </is>
      </c>
      <c r="AT496" s="3" t="inlineStr">
        <is>
          <t>3 hrs</t>
        </is>
      </c>
    </row>
    <row r="497" ht="15.75" customHeight="1">
      <c r="A497" s="3" t="inlineStr">
        <is>
          <t>PROD_0116</t>
        </is>
      </c>
      <c r="B497" s="3" t="inlineStr">
        <is>
          <t>VAR_4</t>
        </is>
      </c>
      <c r="C497" s="3" t="inlineStr">
        <is>
          <t>Modular Hardware</t>
        </is>
      </c>
      <c r="D497" s="3" t="inlineStr">
        <is>
          <t>Box Profile</t>
        </is>
      </c>
      <c r="E497" s="3" t="inlineStr">
        <is>
          <t>Ebco</t>
        </is>
      </c>
      <c r="F497" s="3" t="inlineStr">
        <is>
          <t>Horizontal Gola 3</t>
        </is>
      </c>
      <c r="H497" s="3" t="inlineStr">
        <is>
          <t>Type</t>
        </is>
      </c>
      <c r="I497" s="3" t="inlineStr">
        <is>
          <t>C Type</t>
        </is>
      </c>
      <c r="J497" s="3" t="inlineStr">
        <is>
          <t>Color</t>
        </is>
      </c>
      <c r="K497" s="3" t="inlineStr">
        <is>
          <t>Black</t>
        </is>
      </c>
      <c r="L497" s="3" t="inlineStr">
        <is>
          <t>Dimensions</t>
        </is>
      </c>
      <c r="M497" s="3" t="inlineStr">
        <is>
          <t>3000 mm X 22 mm</t>
        </is>
      </c>
      <c r="N497" s="3" t="inlineStr">
        <is>
          <t>Width</t>
        </is>
      </c>
      <c r="O497" s="3" t="inlineStr">
        <is>
          <t>71 mm</t>
        </is>
      </c>
      <c r="Q497" s="3" t="inlineStr">
        <is>
          <t>Manufacturer's Warranty</t>
        </is>
      </c>
      <c r="R497" s="3" t="inlineStr">
        <is>
          <t>HG3C</t>
        </is>
      </c>
      <c r="Y497" s="3" t="inlineStr">
        <is>
          <t>HT_C Type</t>
        </is>
      </c>
      <c r="Z497" s="3" t="n">
        <v>7604</v>
      </c>
      <c r="AE497" s="3" t="n">
        <v>2251</v>
      </c>
      <c r="AF497" s="4" t="n">
        <v>0.4</v>
      </c>
      <c r="AG497" s="3">
        <f>ROUND(AE497-(AE497*AF497),2)</f>
        <v/>
      </c>
      <c r="AH497" s="4" t="n">
        <v>0.18</v>
      </c>
      <c r="AI497" s="3">
        <f>ROUND(AG497+(AG497*AH497),2)</f>
        <v/>
      </c>
      <c r="AJ497" s="4" t="n">
        <v>0.1</v>
      </c>
      <c r="AK497" s="3">
        <f>ROUND(AI497*AJ497,2)</f>
        <v/>
      </c>
      <c r="AL497" s="3">
        <f>AI497+AK497</f>
        <v/>
      </c>
      <c r="AM497" s="3">
        <f>AE497-AL497</f>
        <v/>
      </c>
      <c r="AN497" s="4">
        <f>AM497/AE497</f>
        <v/>
      </c>
      <c r="AO497" s="3" t="inlineStr">
        <is>
          <t>60 mins</t>
        </is>
      </c>
      <c r="AQ497" s="3" t="inlineStr">
        <is>
          <t>Weight</t>
        </is>
      </c>
      <c r="AS497" s="3" t="inlineStr">
        <is>
          <t xml:space="preserve">Gola profiles are specialized aluminum profiles installed directly into the cabinet frame to create a handleless, minimalist, and, ergonomic kitchen design. </t>
        </is>
      </c>
      <c r="AT497" s="3" t="inlineStr">
        <is>
          <t>3 hrs</t>
        </is>
      </c>
    </row>
    <row r="498" ht="15.75" customHeight="1">
      <c r="A498" s="3" t="inlineStr">
        <is>
          <t>PROD_0116</t>
        </is>
      </c>
      <c r="B498" s="3" t="inlineStr">
        <is>
          <t>VAR_5</t>
        </is>
      </c>
      <c r="C498" s="3" t="inlineStr">
        <is>
          <t>Modular Hardware</t>
        </is>
      </c>
      <c r="D498" s="3" t="inlineStr">
        <is>
          <t>Box Profile</t>
        </is>
      </c>
      <c r="E498" s="3" t="inlineStr">
        <is>
          <t>Ebco</t>
        </is>
      </c>
      <c r="F498" s="3" t="inlineStr">
        <is>
          <t>Horizontal Gola 3</t>
        </is>
      </c>
      <c r="H498" s="3" t="inlineStr">
        <is>
          <t>Type</t>
        </is>
      </c>
      <c r="I498" s="3" t="inlineStr">
        <is>
          <t>C Type</t>
        </is>
      </c>
      <c r="J498" s="3" t="inlineStr">
        <is>
          <t>Color</t>
        </is>
      </c>
      <c r="K498" s="3" t="inlineStr">
        <is>
          <t>Rose Gold</t>
        </is>
      </c>
      <c r="L498" s="3" t="inlineStr">
        <is>
          <t>Dimensions</t>
        </is>
      </c>
      <c r="M498" s="3" t="inlineStr">
        <is>
          <t>3000 mm X 22 mm</t>
        </is>
      </c>
      <c r="N498" s="3" t="inlineStr">
        <is>
          <t>Width</t>
        </is>
      </c>
      <c r="O498" s="3" t="inlineStr">
        <is>
          <t>71 mm</t>
        </is>
      </c>
      <c r="Q498" s="3" t="inlineStr">
        <is>
          <t>Manufacturer's Warranty</t>
        </is>
      </c>
      <c r="R498" s="3" t="inlineStr">
        <is>
          <t>HG3C</t>
        </is>
      </c>
      <c r="Y498" s="3" t="inlineStr">
        <is>
          <t>HT_C Type</t>
        </is>
      </c>
      <c r="Z498" s="3" t="n">
        <v>7604</v>
      </c>
      <c r="AE498" s="3" t="n">
        <v>2722</v>
      </c>
      <c r="AF498" s="4" t="n">
        <v>0.4</v>
      </c>
      <c r="AG498" s="3">
        <f>ROUND(AE498-(AE498*AF498),2)</f>
        <v/>
      </c>
      <c r="AH498" s="4" t="n">
        <v>0.18</v>
      </c>
      <c r="AI498" s="3">
        <f>ROUND(AG498+(AG498*AH498),2)</f>
        <v/>
      </c>
      <c r="AJ498" s="4" t="n">
        <v>0.1</v>
      </c>
      <c r="AK498" s="3">
        <f>ROUND(AI498*AJ498,2)</f>
        <v/>
      </c>
      <c r="AL498" s="3">
        <f>AI498+AK498</f>
        <v/>
      </c>
      <c r="AM498" s="3">
        <f>AE498-AL498</f>
        <v/>
      </c>
      <c r="AN498" s="4">
        <f>AM498/AE498</f>
        <v/>
      </c>
      <c r="AO498" s="3" t="inlineStr">
        <is>
          <t>60 mins</t>
        </is>
      </c>
      <c r="AQ498" s="3" t="inlineStr">
        <is>
          <t>Weight</t>
        </is>
      </c>
      <c r="AS498" s="3" t="inlineStr">
        <is>
          <t xml:space="preserve">Gola profiles are specialized aluminum profiles installed directly into the cabinet frame to create a handleless, minimalist, and, ergonomic kitchen design. </t>
        </is>
      </c>
      <c r="AT498" s="3" t="inlineStr">
        <is>
          <t>3 hrs</t>
        </is>
      </c>
    </row>
    <row r="499" ht="15.75" customHeight="1">
      <c r="A499" s="3" t="inlineStr">
        <is>
          <t>PROD_0116</t>
        </is>
      </c>
      <c r="B499" s="3" t="inlineStr">
        <is>
          <t>VAR_6</t>
        </is>
      </c>
      <c r="C499" s="3" t="inlineStr">
        <is>
          <t>Modular Hardware</t>
        </is>
      </c>
      <c r="D499" s="3" t="inlineStr">
        <is>
          <t>Box Profile</t>
        </is>
      </c>
      <c r="E499" s="3" t="inlineStr">
        <is>
          <t>Ebco</t>
        </is>
      </c>
      <c r="F499" s="3" t="inlineStr">
        <is>
          <t>Horizontal Gola 3</t>
        </is>
      </c>
      <c r="H499" s="3" t="inlineStr">
        <is>
          <t>Type</t>
        </is>
      </c>
      <c r="I499" s="3" t="inlineStr">
        <is>
          <t>C Type</t>
        </is>
      </c>
      <c r="J499" s="3" t="inlineStr">
        <is>
          <t>Color</t>
        </is>
      </c>
      <c r="K499" s="3" t="inlineStr">
        <is>
          <t>Silver Anodised</t>
        </is>
      </c>
      <c r="L499" s="3" t="inlineStr">
        <is>
          <t>Dimensions</t>
        </is>
      </c>
      <c r="M499" s="3" t="inlineStr">
        <is>
          <t>3000 mm X 22 mm</t>
        </is>
      </c>
      <c r="N499" s="3" t="inlineStr">
        <is>
          <t>Width</t>
        </is>
      </c>
      <c r="O499" s="3" t="inlineStr">
        <is>
          <t>71 mm</t>
        </is>
      </c>
      <c r="Q499" s="3" t="inlineStr">
        <is>
          <t>Manufacturer's Warranty</t>
        </is>
      </c>
      <c r="R499" s="3" t="inlineStr">
        <is>
          <t>HG3C</t>
        </is>
      </c>
      <c r="Y499" s="3" t="inlineStr">
        <is>
          <t>HT_C Type</t>
        </is>
      </c>
      <c r="Z499" s="3" t="n">
        <v>7604</v>
      </c>
      <c r="AE499" s="3" t="n">
        <v>2251</v>
      </c>
      <c r="AF499" s="4" t="n">
        <v>0.4</v>
      </c>
      <c r="AG499" s="3">
        <f>ROUND(AE499-(AE499*AF499),2)</f>
        <v/>
      </c>
      <c r="AH499" s="4" t="n">
        <v>0.18</v>
      </c>
      <c r="AI499" s="3">
        <f>ROUND(AG499+(AG499*AH499),2)</f>
        <v/>
      </c>
      <c r="AJ499" s="4" t="n">
        <v>0.1</v>
      </c>
      <c r="AK499" s="3">
        <f>ROUND(AI499*AJ499,2)</f>
        <v/>
      </c>
      <c r="AL499" s="3">
        <f>AI499+AK499</f>
        <v/>
      </c>
      <c r="AM499" s="3">
        <f>AE499-AL499</f>
        <v/>
      </c>
      <c r="AN499" s="4">
        <f>AM499/AE499</f>
        <v/>
      </c>
      <c r="AO499" s="3" t="inlineStr">
        <is>
          <t>60 mins</t>
        </is>
      </c>
      <c r="AQ499" s="3" t="inlineStr">
        <is>
          <t>Weight</t>
        </is>
      </c>
      <c r="AS499" s="3" t="inlineStr">
        <is>
          <t xml:space="preserve">Gola profiles are specialized aluminum profiles installed directly into the cabinet frame to create a handleless, minimalist, and, ergonomic kitchen design. </t>
        </is>
      </c>
      <c r="AT499" s="3" t="inlineStr">
        <is>
          <t>3 hrs</t>
        </is>
      </c>
    </row>
    <row r="500" ht="15.75" customHeight="1">
      <c r="A500" s="3" t="inlineStr">
        <is>
          <t>PROD_0117</t>
        </is>
      </c>
      <c r="B500" s="3" t="inlineStr">
        <is>
          <t>VAR_1</t>
        </is>
      </c>
      <c r="C500" s="3" t="inlineStr">
        <is>
          <t>Modular Hardware</t>
        </is>
      </c>
      <c r="D500" s="3" t="inlineStr">
        <is>
          <t>Cabinet Edge Profile</t>
        </is>
      </c>
      <c r="E500" s="3" t="inlineStr">
        <is>
          <t>Ebco</t>
        </is>
      </c>
      <c r="F500" s="3" t="inlineStr">
        <is>
          <t>AL Profile Edge with Bumper</t>
        </is>
      </c>
      <c r="H500" s="3" t="inlineStr">
        <is>
          <t>Type</t>
        </is>
      </c>
      <c r="I500" s="3" t="inlineStr">
        <is>
          <t>Cabinet</t>
        </is>
      </c>
      <c r="J500" s="3" t="inlineStr">
        <is>
          <t>Color</t>
        </is>
      </c>
      <c r="K500" s="3" t="inlineStr">
        <is>
          <t>Black</t>
        </is>
      </c>
      <c r="L500" s="3" t="inlineStr">
        <is>
          <t>Dimensions</t>
        </is>
      </c>
      <c r="M500" s="3" t="inlineStr">
        <is>
          <t>3000 mm X 22 mm</t>
        </is>
      </c>
      <c r="N500" s="3" t="inlineStr">
        <is>
          <t>Width</t>
        </is>
      </c>
      <c r="O500" s="3" t="inlineStr">
        <is>
          <t>18 mm</t>
        </is>
      </c>
      <c r="Q500" s="3" t="inlineStr">
        <is>
          <t>Manufacturer's Warranty</t>
        </is>
      </c>
      <c r="R500" s="3" t="inlineStr">
        <is>
          <t>EP-1822L-3M-AS</t>
        </is>
      </c>
      <c r="Y500" s="3" t="inlineStr">
        <is>
          <t>EBCO_ALP_Edge with Bumper</t>
        </is>
      </c>
      <c r="Z500" s="3" t="n">
        <v>7604</v>
      </c>
      <c r="AE500" s="3" t="n">
        <v>1273</v>
      </c>
      <c r="AF500" s="4" t="n">
        <v>0.4</v>
      </c>
      <c r="AG500" s="3">
        <f>ROUND(AE500-(AE500*AF500),2)</f>
        <v/>
      </c>
      <c r="AH500" s="4" t="n">
        <v>0.18</v>
      </c>
      <c r="AI500" s="3">
        <f>ROUND(AG500+(AG500*AH500),2)</f>
        <v/>
      </c>
      <c r="AJ500" s="4" t="n">
        <v>0.1</v>
      </c>
      <c r="AK500" s="3">
        <f>ROUND(AI500*AJ500,2)</f>
        <v/>
      </c>
      <c r="AL500" s="3">
        <f>AI500+AK500</f>
        <v/>
      </c>
      <c r="AM500" s="3">
        <f>AE500-AL500</f>
        <v/>
      </c>
      <c r="AN500" s="4">
        <f>AM500/AE500</f>
        <v/>
      </c>
      <c r="AO500" s="3" t="inlineStr">
        <is>
          <t>60 mins</t>
        </is>
      </c>
      <c r="AQ500" s="3" t="inlineStr">
        <is>
          <t>Weight</t>
        </is>
      </c>
      <c r="AT500" s="3" t="inlineStr">
        <is>
          <t>3 hrs</t>
        </is>
      </c>
    </row>
    <row r="501" ht="15.75" customHeight="1">
      <c r="A501" s="3" t="inlineStr">
        <is>
          <t>PROD_0117</t>
        </is>
      </c>
      <c r="B501" s="3" t="inlineStr">
        <is>
          <t>VAR_2</t>
        </is>
      </c>
      <c r="C501" s="3" t="inlineStr">
        <is>
          <t>Modular Hardware</t>
        </is>
      </c>
      <c r="D501" s="3" t="inlineStr">
        <is>
          <t>Cabinet Edge Profile</t>
        </is>
      </c>
      <c r="E501" s="3" t="inlineStr">
        <is>
          <t>Ebco</t>
        </is>
      </c>
      <c r="F501" s="3" t="inlineStr">
        <is>
          <t>AL Profile Edge with Bumper</t>
        </is>
      </c>
      <c r="H501" s="3" t="inlineStr">
        <is>
          <t>Type</t>
        </is>
      </c>
      <c r="I501" s="3" t="inlineStr">
        <is>
          <t>Cabinet</t>
        </is>
      </c>
      <c r="J501" s="3" t="inlineStr">
        <is>
          <t>Color</t>
        </is>
      </c>
      <c r="K501" s="3" t="inlineStr">
        <is>
          <t>Anthracite</t>
        </is>
      </c>
      <c r="L501" s="3" t="inlineStr">
        <is>
          <t>Dimensions</t>
        </is>
      </c>
      <c r="M501" s="3" t="inlineStr">
        <is>
          <t>3000 mm X 22 mm</t>
        </is>
      </c>
      <c r="N501" s="3" t="inlineStr">
        <is>
          <t>Width</t>
        </is>
      </c>
      <c r="O501" s="3" t="inlineStr">
        <is>
          <t>18 mm</t>
        </is>
      </c>
      <c r="Q501" s="3" t="inlineStr">
        <is>
          <t>Manufacturer's Warranty</t>
        </is>
      </c>
      <c r="R501" s="3" t="inlineStr">
        <is>
          <t>EP-1822L-3M-AT</t>
        </is>
      </c>
      <c r="Y501" s="3" t="inlineStr">
        <is>
          <t>EBCO_ALP_Edge with Bumper</t>
        </is>
      </c>
      <c r="Z501" s="3" t="n">
        <v>7604</v>
      </c>
      <c r="AE501" s="3" t="n">
        <v>1273</v>
      </c>
      <c r="AF501" s="4" t="n">
        <v>0.4</v>
      </c>
      <c r="AG501" s="3">
        <f>ROUND(AE501-(AE501*AF501),2)</f>
        <v/>
      </c>
      <c r="AH501" s="4" t="n">
        <v>0.18</v>
      </c>
      <c r="AI501" s="3">
        <f>ROUND(AG501+(AG501*AH501),2)</f>
        <v/>
      </c>
      <c r="AJ501" s="4" t="n">
        <v>0.1</v>
      </c>
      <c r="AK501" s="3">
        <f>ROUND(AI501*AJ501,2)</f>
        <v/>
      </c>
      <c r="AL501" s="3">
        <f>AI501+AK501</f>
        <v/>
      </c>
      <c r="AM501" s="3">
        <f>AE501-AL501</f>
        <v/>
      </c>
      <c r="AN501" s="4">
        <f>AM501/AE501</f>
        <v/>
      </c>
      <c r="AO501" s="3" t="inlineStr">
        <is>
          <t>60 mins</t>
        </is>
      </c>
      <c r="AQ501" s="3" t="inlineStr">
        <is>
          <t>Weight</t>
        </is>
      </c>
      <c r="AT501" s="3" t="inlineStr">
        <is>
          <t>3 hrs</t>
        </is>
      </c>
    </row>
    <row r="502" ht="15.75" customHeight="1">
      <c r="A502" s="3" t="inlineStr">
        <is>
          <t>PROD_0117</t>
        </is>
      </c>
      <c r="B502" s="3" t="inlineStr">
        <is>
          <t>VAR_3</t>
        </is>
      </c>
      <c r="C502" s="3" t="inlineStr">
        <is>
          <t>Modular Hardware</t>
        </is>
      </c>
      <c r="D502" s="3" t="inlineStr">
        <is>
          <t>Cabinet Edge Profile</t>
        </is>
      </c>
      <c r="E502" s="3" t="inlineStr">
        <is>
          <t>Ebco</t>
        </is>
      </c>
      <c r="F502" s="3" t="inlineStr">
        <is>
          <t>AL Profile Edge with Bumper</t>
        </is>
      </c>
      <c r="H502" s="3" t="inlineStr">
        <is>
          <t>Type</t>
        </is>
      </c>
      <c r="I502" s="3" t="inlineStr">
        <is>
          <t>Cabinet</t>
        </is>
      </c>
      <c r="J502" s="3" t="inlineStr">
        <is>
          <t>Color</t>
        </is>
      </c>
      <c r="K502" s="3" t="inlineStr">
        <is>
          <t>Silver Anodised</t>
        </is>
      </c>
      <c r="L502" s="3" t="inlineStr">
        <is>
          <t>Dimensions</t>
        </is>
      </c>
      <c r="M502" s="3" t="inlineStr">
        <is>
          <t>3000 mm X 22 mm</t>
        </is>
      </c>
      <c r="N502" s="3" t="inlineStr">
        <is>
          <t>Width</t>
        </is>
      </c>
      <c r="O502" s="3" t="inlineStr">
        <is>
          <t>18 mm</t>
        </is>
      </c>
      <c r="Q502" s="3" t="inlineStr">
        <is>
          <t>Manufacturer's Warranty</t>
        </is>
      </c>
      <c r="R502" s="3" t="inlineStr">
        <is>
          <t>EP-1822L-3M-AB</t>
        </is>
      </c>
      <c r="Y502" s="3" t="inlineStr">
        <is>
          <t>EBCO_ALP_Edge with Bumper</t>
        </is>
      </c>
      <c r="Z502" s="3" t="n">
        <v>7604</v>
      </c>
      <c r="AE502" s="3" t="n">
        <v>1273</v>
      </c>
      <c r="AF502" s="4" t="n">
        <v>0.4</v>
      </c>
      <c r="AG502" s="3">
        <f>ROUND(AE502-(AE502*AF502),2)</f>
        <v/>
      </c>
      <c r="AH502" s="4" t="n">
        <v>0.18</v>
      </c>
      <c r="AI502" s="3">
        <f>ROUND(AG502+(AG502*AH502),2)</f>
        <v/>
      </c>
      <c r="AJ502" s="4" t="n">
        <v>0.1</v>
      </c>
      <c r="AK502" s="3">
        <f>ROUND(AI502*AJ502,2)</f>
        <v/>
      </c>
      <c r="AL502" s="3">
        <f>AI502+AK502</f>
        <v/>
      </c>
      <c r="AM502" s="3">
        <f>AE502-AL502</f>
        <v/>
      </c>
      <c r="AN502" s="4">
        <f>AM502/AE502</f>
        <v/>
      </c>
      <c r="AO502" s="3" t="inlineStr">
        <is>
          <t>60 mins</t>
        </is>
      </c>
      <c r="AQ502" s="3" t="inlineStr">
        <is>
          <t>Weight</t>
        </is>
      </c>
      <c r="AT502" s="3" t="inlineStr">
        <is>
          <t>3 hrs</t>
        </is>
      </c>
    </row>
    <row r="503" ht="15.75" customHeight="1">
      <c r="A503" s="3" t="inlineStr">
        <is>
          <t>PROD_0118</t>
        </is>
      </c>
      <c r="B503" s="3" t="inlineStr">
        <is>
          <t>VAR_1</t>
        </is>
      </c>
      <c r="C503" s="3" t="inlineStr">
        <is>
          <t>Modular Hardware</t>
        </is>
      </c>
      <c r="D503" s="3" t="inlineStr">
        <is>
          <t>Door Edge Profile</t>
        </is>
      </c>
      <c r="E503" s="3" t="inlineStr">
        <is>
          <t>Ebco</t>
        </is>
      </c>
      <c r="F503" s="3" t="inlineStr">
        <is>
          <t>Edge Profile Handle 18 mm</t>
        </is>
      </c>
      <c r="H503" s="3" t="inlineStr">
        <is>
          <t>Type</t>
        </is>
      </c>
      <c r="I503" s="3" t="inlineStr">
        <is>
          <t>Door</t>
        </is>
      </c>
      <c r="J503" s="3" t="inlineStr">
        <is>
          <t>Color</t>
        </is>
      </c>
      <c r="K503" s="3" t="inlineStr">
        <is>
          <t>Chrome Plated</t>
        </is>
      </c>
      <c r="L503" s="3" t="inlineStr">
        <is>
          <t>Dimensions</t>
        </is>
      </c>
      <c r="M503" s="3" t="inlineStr">
        <is>
          <t>3000 mm X 35 mm</t>
        </is>
      </c>
      <c r="N503" s="3" t="inlineStr">
        <is>
          <t>Width</t>
        </is>
      </c>
      <c r="O503" s="3" t="inlineStr">
        <is>
          <t>1.60 mm</t>
        </is>
      </c>
      <c r="Q503" s="3" t="inlineStr">
        <is>
          <t>Manufacturer's Warranty</t>
        </is>
      </c>
      <c r="R503" s="3" t="inlineStr">
        <is>
          <t>EPH-18-3M-CP</t>
        </is>
      </c>
      <c r="Y503" s="3" t="inlineStr">
        <is>
          <t>Ebco_Edge_Profile_Handle</t>
        </is>
      </c>
      <c r="Z503" s="3" t="n">
        <v>7604</v>
      </c>
      <c r="AE503" s="3" t="n">
        <v>1138</v>
      </c>
      <c r="AF503" s="4" t="n">
        <v>0.4</v>
      </c>
      <c r="AG503" s="3">
        <f>ROUND(AE503-(AE503*AF503),2)</f>
        <v/>
      </c>
      <c r="AH503" s="4" t="n">
        <v>0.18</v>
      </c>
      <c r="AI503" s="3">
        <f>ROUND(AG503+(AG503*AH503),2)</f>
        <v/>
      </c>
      <c r="AJ503" s="4" t="n">
        <v>0.1</v>
      </c>
      <c r="AK503" s="3">
        <f>ROUND(AI503*AJ503,2)</f>
        <v/>
      </c>
      <c r="AL503" s="3">
        <f>AI503+AK503</f>
        <v/>
      </c>
      <c r="AM503" s="3">
        <f>AE503-AL503</f>
        <v/>
      </c>
      <c r="AN503" s="4">
        <f>AM503/AE503</f>
        <v/>
      </c>
      <c r="AO503" s="3" t="inlineStr">
        <is>
          <t>60 mins</t>
        </is>
      </c>
      <c r="AQ503" s="3" t="inlineStr">
        <is>
          <t>Weight</t>
        </is>
      </c>
      <c r="AT503" s="3" t="inlineStr">
        <is>
          <t>3 hrs</t>
        </is>
      </c>
    </row>
    <row r="504" ht="15.75" customHeight="1">
      <c r="A504" s="3" t="inlineStr">
        <is>
          <t>PROD_0118</t>
        </is>
      </c>
      <c r="B504" s="3" t="inlineStr">
        <is>
          <t>VAR_2</t>
        </is>
      </c>
      <c r="C504" s="3" t="inlineStr">
        <is>
          <t>Modular Hardware</t>
        </is>
      </c>
      <c r="D504" s="3" t="inlineStr">
        <is>
          <t>Door Edge Profile</t>
        </is>
      </c>
      <c r="E504" s="3" t="inlineStr">
        <is>
          <t>Ebco</t>
        </is>
      </c>
      <c r="F504" s="3" t="inlineStr">
        <is>
          <t>Edge Profile Handle 18 mm</t>
        </is>
      </c>
      <c r="H504" s="3" t="inlineStr">
        <is>
          <t>Type</t>
        </is>
      </c>
      <c r="I504" s="3" t="inlineStr">
        <is>
          <t>Door</t>
        </is>
      </c>
      <c r="J504" s="3" t="inlineStr">
        <is>
          <t>Color</t>
        </is>
      </c>
      <c r="K504" s="3" t="inlineStr">
        <is>
          <t>Brushed Alluminium</t>
        </is>
      </c>
      <c r="L504" s="3" t="inlineStr">
        <is>
          <t>Dimensions</t>
        </is>
      </c>
      <c r="M504" s="3" t="inlineStr">
        <is>
          <t>3000 mm X 35 mm</t>
        </is>
      </c>
      <c r="N504" s="3" t="inlineStr">
        <is>
          <t>Width</t>
        </is>
      </c>
      <c r="O504" s="3" t="inlineStr">
        <is>
          <t>1.60 mm</t>
        </is>
      </c>
      <c r="Q504" s="3" t="inlineStr">
        <is>
          <t>Manufacturer's Warranty</t>
        </is>
      </c>
      <c r="R504" s="3" t="inlineStr">
        <is>
          <t>EPH-18-3M-BA</t>
        </is>
      </c>
      <c r="Y504" s="3" t="inlineStr">
        <is>
          <t>Ebco_Edge_Profile_Handle</t>
        </is>
      </c>
      <c r="Z504" s="3" t="n">
        <v>7604</v>
      </c>
      <c r="AE504" s="3" t="n">
        <v>1138</v>
      </c>
      <c r="AF504" s="4" t="n">
        <v>0.4</v>
      </c>
      <c r="AG504" s="3">
        <f>ROUND(AE504-(AE504*AF504),2)</f>
        <v/>
      </c>
      <c r="AH504" s="4" t="n">
        <v>0.18</v>
      </c>
      <c r="AI504" s="3">
        <f>ROUND(AG504+(AG504*AH504),2)</f>
        <v/>
      </c>
      <c r="AJ504" s="4" t="n">
        <v>0.1</v>
      </c>
      <c r="AK504" s="3">
        <f>ROUND(AI504*AJ504,2)</f>
        <v/>
      </c>
      <c r="AL504" s="3">
        <f>AI504+AK504</f>
        <v/>
      </c>
      <c r="AM504" s="3">
        <f>AE504-AL504</f>
        <v/>
      </c>
      <c r="AN504" s="4">
        <f>AM504/AE504</f>
        <v/>
      </c>
      <c r="AO504" s="3" t="inlineStr">
        <is>
          <t>60 mins</t>
        </is>
      </c>
      <c r="AQ504" s="3" t="inlineStr">
        <is>
          <t>Weight</t>
        </is>
      </c>
      <c r="AT504" s="3" t="inlineStr">
        <is>
          <t>3 hrs</t>
        </is>
      </c>
    </row>
    <row r="505" ht="15.75" customHeight="1">
      <c r="A505" s="3" t="inlineStr">
        <is>
          <t>PROD_0118</t>
        </is>
      </c>
      <c r="B505" s="3" t="inlineStr">
        <is>
          <t>VAR_3</t>
        </is>
      </c>
      <c r="C505" s="3" t="inlineStr">
        <is>
          <t>Modular Hardware</t>
        </is>
      </c>
      <c r="D505" s="3" t="inlineStr">
        <is>
          <t>Door Edge Profile</t>
        </is>
      </c>
      <c r="E505" s="3" t="inlineStr">
        <is>
          <t>Ebco</t>
        </is>
      </c>
      <c r="F505" s="3" t="inlineStr">
        <is>
          <t>Edge Profile Handle 18 mm</t>
        </is>
      </c>
      <c r="H505" s="3" t="inlineStr">
        <is>
          <t>Type</t>
        </is>
      </c>
      <c r="I505" s="3" t="inlineStr">
        <is>
          <t>Door</t>
        </is>
      </c>
      <c r="J505" s="3" t="inlineStr">
        <is>
          <t>Color</t>
        </is>
      </c>
      <c r="K505" s="3" t="inlineStr">
        <is>
          <t>Anodised Silver</t>
        </is>
      </c>
      <c r="L505" s="3" t="inlineStr">
        <is>
          <t>Dimensions</t>
        </is>
      </c>
      <c r="M505" s="3" t="inlineStr">
        <is>
          <t>3000 mm X 35 mm</t>
        </is>
      </c>
      <c r="N505" s="3" t="inlineStr">
        <is>
          <t>Width</t>
        </is>
      </c>
      <c r="O505" s="3" t="inlineStr">
        <is>
          <t>1.60 mm</t>
        </is>
      </c>
      <c r="Q505" s="3" t="inlineStr">
        <is>
          <t>Manufacturer's Warranty</t>
        </is>
      </c>
      <c r="R505" s="3" t="inlineStr">
        <is>
          <t>EPH-18-3M-AS</t>
        </is>
      </c>
      <c r="Y505" s="3" t="inlineStr">
        <is>
          <t>Ebco_Edge_Profile_Handle</t>
        </is>
      </c>
      <c r="Z505" s="3" t="n">
        <v>7604</v>
      </c>
      <c r="AE505" s="3" t="n">
        <v>937</v>
      </c>
      <c r="AF505" s="4" t="n">
        <v>0.4</v>
      </c>
      <c r="AG505" s="3">
        <f>ROUND(AE505-(AE505*AF505),2)</f>
        <v/>
      </c>
      <c r="AH505" s="4" t="n">
        <v>0.18</v>
      </c>
      <c r="AI505" s="3">
        <f>ROUND(AG505+(AG505*AH505),2)</f>
        <v/>
      </c>
      <c r="AJ505" s="4" t="n">
        <v>0.1</v>
      </c>
      <c r="AK505" s="3">
        <f>ROUND(AI505*AJ505,2)</f>
        <v/>
      </c>
      <c r="AL505" s="3">
        <f>AI505+AK505</f>
        <v/>
      </c>
      <c r="AM505" s="3">
        <f>AE505-AL505</f>
        <v/>
      </c>
      <c r="AN505" s="4">
        <f>AM505/AE505</f>
        <v/>
      </c>
      <c r="AO505" s="3" t="inlineStr">
        <is>
          <t>60 mins</t>
        </is>
      </c>
      <c r="AQ505" s="3" t="inlineStr">
        <is>
          <t>Weight</t>
        </is>
      </c>
      <c r="AT505" s="3" t="inlineStr">
        <is>
          <t>3 hrs</t>
        </is>
      </c>
    </row>
    <row r="506" ht="15.75" customHeight="1">
      <c r="A506" s="3" t="inlineStr">
        <is>
          <t>PROD_0119</t>
        </is>
      </c>
      <c r="B506" s="3" t="inlineStr">
        <is>
          <t>VAR_1</t>
        </is>
      </c>
      <c r="C506" s="3" t="inlineStr">
        <is>
          <t>Modular Hardware</t>
        </is>
      </c>
      <c r="D506" s="3" t="inlineStr">
        <is>
          <t>Door Edge Profile</t>
        </is>
      </c>
      <c r="E506" s="3" t="inlineStr">
        <is>
          <t>Ebco</t>
        </is>
      </c>
      <c r="F506" s="3" t="inlineStr">
        <is>
          <t>Edge Profile Handle 25 mm</t>
        </is>
      </c>
      <c r="H506" s="3" t="inlineStr">
        <is>
          <t>Type</t>
        </is>
      </c>
      <c r="I506" s="3" t="inlineStr">
        <is>
          <t>Door</t>
        </is>
      </c>
      <c r="J506" s="3" t="inlineStr">
        <is>
          <t>Color</t>
        </is>
      </c>
      <c r="K506" s="3" t="inlineStr">
        <is>
          <t>Chrome Plated</t>
        </is>
      </c>
      <c r="L506" s="3" t="inlineStr">
        <is>
          <t>Dimensions</t>
        </is>
      </c>
      <c r="M506" s="3" t="inlineStr">
        <is>
          <t>3000 mm X 40 mm</t>
        </is>
      </c>
      <c r="N506" s="3" t="inlineStr">
        <is>
          <t>Width</t>
        </is>
      </c>
      <c r="O506" s="3" t="inlineStr">
        <is>
          <t>1.60 mm</t>
        </is>
      </c>
      <c r="Q506" s="3" t="inlineStr">
        <is>
          <t>Manufacturer's Warranty</t>
        </is>
      </c>
      <c r="R506" s="3" t="inlineStr">
        <is>
          <t>EPH-25-3M-BG</t>
        </is>
      </c>
      <c r="Y506" s="3" t="inlineStr">
        <is>
          <t>Ebco_Edge_Profile_Handle</t>
        </is>
      </c>
      <c r="Z506" s="3" t="n">
        <v>7604</v>
      </c>
      <c r="AE506" s="3" t="n">
        <v>1239</v>
      </c>
      <c r="AF506" s="4" t="n">
        <v>0.4</v>
      </c>
      <c r="AG506" s="3">
        <f>ROUND(AE506-(AE506*AF506),2)</f>
        <v/>
      </c>
      <c r="AH506" s="4" t="n">
        <v>0.18</v>
      </c>
      <c r="AI506" s="3">
        <f>ROUND(AG506+(AG506*AH506),2)</f>
        <v/>
      </c>
      <c r="AJ506" s="4" t="n">
        <v>0.1</v>
      </c>
      <c r="AK506" s="3">
        <f>ROUND(AI506*AJ506,2)</f>
        <v/>
      </c>
      <c r="AL506" s="3">
        <f>AI506+AK506</f>
        <v/>
      </c>
      <c r="AM506" s="3">
        <f>AE506-AL506</f>
        <v/>
      </c>
      <c r="AN506" s="4">
        <f>AM506/AE506</f>
        <v/>
      </c>
      <c r="AO506" s="3" t="inlineStr">
        <is>
          <t>60 mins</t>
        </is>
      </c>
      <c r="AQ506" s="3" t="inlineStr">
        <is>
          <t>Weight</t>
        </is>
      </c>
      <c r="AT506" s="3" t="inlineStr">
        <is>
          <t>3 hrs</t>
        </is>
      </c>
    </row>
    <row r="507" ht="15.75" customHeight="1">
      <c r="A507" s="3" t="inlineStr">
        <is>
          <t>PROD_0119</t>
        </is>
      </c>
      <c r="B507" s="3" t="inlineStr">
        <is>
          <t>VAR_2</t>
        </is>
      </c>
      <c r="C507" s="3" t="inlineStr">
        <is>
          <t>Modular Hardware</t>
        </is>
      </c>
      <c r="D507" s="3" t="inlineStr">
        <is>
          <t>Door Edge Profile</t>
        </is>
      </c>
      <c r="E507" s="3" t="inlineStr">
        <is>
          <t>Ebco</t>
        </is>
      </c>
      <c r="F507" s="3" t="inlineStr">
        <is>
          <t>Edge Profile Handle 25 mm</t>
        </is>
      </c>
      <c r="H507" s="3" t="inlineStr">
        <is>
          <t>Type</t>
        </is>
      </c>
      <c r="I507" s="3" t="inlineStr">
        <is>
          <t>Door</t>
        </is>
      </c>
      <c r="J507" s="3" t="inlineStr">
        <is>
          <t>Color</t>
        </is>
      </c>
      <c r="K507" s="3" t="inlineStr">
        <is>
          <t>Brushed Alluminium</t>
        </is>
      </c>
      <c r="L507" s="3" t="inlineStr">
        <is>
          <t>Dimensions</t>
        </is>
      </c>
      <c r="M507" s="3" t="inlineStr">
        <is>
          <t>3000 mm X 40 mm</t>
        </is>
      </c>
      <c r="N507" s="3" t="inlineStr">
        <is>
          <t>Width</t>
        </is>
      </c>
      <c r="O507" s="3" t="inlineStr">
        <is>
          <t>1.60 mm</t>
        </is>
      </c>
      <c r="Q507" s="3" t="inlineStr">
        <is>
          <t>Manufacturer's Warranty</t>
        </is>
      </c>
      <c r="R507" s="3" t="inlineStr">
        <is>
          <t>EPH-25-3M-BA</t>
        </is>
      </c>
      <c r="Y507" s="3" t="inlineStr">
        <is>
          <t>Ebco_Edge_Profile_Handle</t>
        </is>
      </c>
      <c r="Z507" s="3" t="n">
        <v>7604</v>
      </c>
      <c r="AE507" s="3" t="n">
        <v>1239</v>
      </c>
      <c r="AF507" s="4" t="n">
        <v>0.4</v>
      </c>
      <c r="AG507" s="3">
        <f>ROUND(AE507-(AE507*AF507),2)</f>
        <v/>
      </c>
      <c r="AH507" s="4" t="n">
        <v>0.18</v>
      </c>
      <c r="AI507" s="3">
        <f>ROUND(AG507+(AG507*AH507),2)</f>
        <v/>
      </c>
      <c r="AJ507" s="4" t="n">
        <v>0.1</v>
      </c>
      <c r="AK507" s="3">
        <f>ROUND(AI507*AJ507,2)</f>
        <v/>
      </c>
      <c r="AL507" s="3">
        <f>AI507+AK507</f>
        <v/>
      </c>
      <c r="AM507" s="3">
        <f>AE507-AL507</f>
        <v/>
      </c>
      <c r="AN507" s="4">
        <f>AM507/AE507</f>
        <v/>
      </c>
      <c r="AO507" s="3" t="inlineStr">
        <is>
          <t>60 mins</t>
        </is>
      </c>
      <c r="AQ507" s="3" t="inlineStr">
        <is>
          <t>Weight</t>
        </is>
      </c>
      <c r="AT507" s="3" t="inlineStr">
        <is>
          <t>3 hrs</t>
        </is>
      </c>
    </row>
    <row r="508" ht="15.75" customHeight="1">
      <c r="A508" s="3" t="inlineStr">
        <is>
          <t>PROD_0119</t>
        </is>
      </c>
      <c r="B508" s="3" t="inlineStr">
        <is>
          <t>VAR_3</t>
        </is>
      </c>
      <c r="C508" s="3" t="inlineStr">
        <is>
          <t>Modular Hardware</t>
        </is>
      </c>
      <c r="D508" s="3" t="inlineStr">
        <is>
          <t>Door Edge Profile</t>
        </is>
      </c>
      <c r="E508" s="3" t="inlineStr">
        <is>
          <t>Ebco</t>
        </is>
      </c>
      <c r="F508" s="3" t="inlineStr">
        <is>
          <t>Edge Profile Handle 25 mm</t>
        </is>
      </c>
      <c r="H508" s="3" t="inlineStr">
        <is>
          <t>Type</t>
        </is>
      </c>
      <c r="I508" s="3" t="inlineStr">
        <is>
          <t>Door</t>
        </is>
      </c>
      <c r="J508" s="3" t="inlineStr">
        <is>
          <t>Color</t>
        </is>
      </c>
      <c r="K508" s="3" t="inlineStr">
        <is>
          <t>Anodised Silver</t>
        </is>
      </c>
      <c r="L508" s="3" t="inlineStr">
        <is>
          <t>Dimensions</t>
        </is>
      </c>
      <c r="M508" s="3" t="inlineStr">
        <is>
          <t>3000 mm X 40 mm</t>
        </is>
      </c>
      <c r="N508" s="3" t="inlineStr">
        <is>
          <t>Width</t>
        </is>
      </c>
      <c r="O508" s="3" t="inlineStr">
        <is>
          <t>1.60 mm</t>
        </is>
      </c>
      <c r="Q508" s="3" t="inlineStr">
        <is>
          <t>Manufacturer's Warranty</t>
        </is>
      </c>
      <c r="R508" s="3" t="inlineStr">
        <is>
          <t>EPH-25-3M-AS</t>
        </is>
      </c>
      <c r="Y508" s="3" t="inlineStr">
        <is>
          <t>Ebco_Edge_Profile_Handle</t>
        </is>
      </c>
      <c r="Z508" s="3" t="n">
        <v>7604</v>
      </c>
      <c r="AE508" s="3" t="n">
        <v>1019</v>
      </c>
      <c r="AF508" s="4" t="n">
        <v>0.4</v>
      </c>
      <c r="AG508" s="3">
        <f>ROUND(AE508-(AE508*AF508),2)</f>
        <v/>
      </c>
      <c r="AH508" s="4" t="n">
        <v>0.18</v>
      </c>
      <c r="AI508" s="3">
        <f>ROUND(AG508+(AG508*AH508),2)</f>
        <v/>
      </c>
      <c r="AJ508" s="4" t="n">
        <v>0.1</v>
      </c>
      <c r="AK508" s="3">
        <f>ROUND(AI508*AJ508,2)</f>
        <v/>
      </c>
      <c r="AL508" s="3">
        <f>AI508+AK508</f>
        <v/>
      </c>
      <c r="AM508" s="3">
        <f>AE508-AL508</f>
        <v/>
      </c>
      <c r="AN508" s="4">
        <f>AM508/AE508</f>
        <v/>
      </c>
      <c r="AO508" s="3" t="inlineStr">
        <is>
          <t>60 mins</t>
        </is>
      </c>
      <c r="AQ508" s="3" t="inlineStr">
        <is>
          <t>Weight</t>
        </is>
      </c>
      <c r="AT508" s="3" t="inlineStr">
        <is>
          <t>3 hrs</t>
        </is>
      </c>
    </row>
    <row r="509" ht="15.75" customHeight="1">
      <c r="A509" s="3" t="inlineStr">
        <is>
          <t>PROD_0120</t>
        </is>
      </c>
      <c r="B509" s="3" t="inlineStr">
        <is>
          <t>VAR_1</t>
        </is>
      </c>
      <c r="C509" s="3" t="inlineStr">
        <is>
          <t>Modular Hardware</t>
        </is>
      </c>
      <c r="D509" s="3" t="inlineStr">
        <is>
          <t>Door Edge Profile</t>
        </is>
      </c>
      <c r="E509" s="3" t="inlineStr">
        <is>
          <t>Ebco</t>
        </is>
      </c>
      <c r="F509" s="3" t="inlineStr">
        <is>
          <t>AL Profile Shutter Handle</t>
        </is>
      </c>
      <c r="H509" s="3" t="inlineStr">
        <is>
          <t>Type</t>
        </is>
      </c>
      <c r="I509" s="3" t="inlineStr">
        <is>
          <t>Door</t>
        </is>
      </c>
      <c r="J509" s="3" t="inlineStr">
        <is>
          <t>Color</t>
        </is>
      </c>
      <c r="K509" s="3" t="inlineStr">
        <is>
          <t>Chrome Plated</t>
        </is>
      </c>
      <c r="L509" s="3" t="inlineStr">
        <is>
          <t>Dimensions</t>
        </is>
      </c>
      <c r="M509" s="3" t="inlineStr">
        <is>
          <t>3000 mm X 35 mm</t>
        </is>
      </c>
      <c r="N509" s="3" t="inlineStr">
        <is>
          <t>Width</t>
        </is>
      </c>
      <c r="O509" s="3" t="inlineStr">
        <is>
          <t>19 mm</t>
        </is>
      </c>
      <c r="Q509" s="3" t="inlineStr">
        <is>
          <t>Manufacturer's Warranty</t>
        </is>
      </c>
      <c r="R509" s="3" t="inlineStr">
        <is>
          <t>SH1-1935-3M-CP</t>
        </is>
      </c>
      <c r="Y509" s="3" t="inlineStr">
        <is>
          <t>Ebco_Edge_Profile_Handle_G</t>
        </is>
      </c>
      <c r="Z509" s="3" t="n">
        <v>7604</v>
      </c>
      <c r="AE509" s="3" t="n">
        <v>2186</v>
      </c>
      <c r="AF509" s="4" t="n">
        <v>0.4</v>
      </c>
      <c r="AG509" s="3">
        <f>ROUND(AE509-(AE509*AF509),2)</f>
        <v/>
      </c>
      <c r="AH509" s="4" t="n">
        <v>0.18</v>
      </c>
      <c r="AI509" s="3">
        <f>ROUND(AG509+(AG509*AH509),2)</f>
        <v/>
      </c>
      <c r="AJ509" s="4" t="n">
        <v>0.1</v>
      </c>
      <c r="AK509" s="3">
        <f>ROUND(AI509*AJ509,2)</f>
        <v/>
      </c>
      <c r="AL509" s="3">
        <f>AI509+AK509</f>
        <v/>
      </c>
      <c r="AM509" s="3">
        <f>AE509-AL509</f>
        <v/>
      </c>
      <c r="AN509" s="4">
        <f>AM509/AE509</f>
        <v/>
      </c>
      <c r="AO509" s="3" t="inlineStr">
        <is>
          <t>60 mins</t>
        </is>
      </c>
      <c r="AQ509" s="3" t="inlineStr">
        <is>
          <t>Weight</t>
        </is>
      </c>
      <c r="AT509" s="3" t="inlineStr">
        <is>
          <t>3 hrs</t>
        </is>
      </c>
    </row>
    <row r="510" ht="15.75" customHeight="1">
      <c r="A510" s="3" t="inlineStr">
        <is>
          <t>PROD_0120</t>
        </is>
      </c>
      <c r="B510" s="3" t="inlineStr">
        <is>
          <t>VAR_2</t>
        </is>
      </c>
      <c r="C510" s="3" t="inlineStr">
        <is>
          <t>Modular Hardware</t>
        </is>
      </c>
      <c r="D510" s="3" t="inlineStr">
        <is>
          <t>Door Edge Profile</t>
        </is>
      </c>
      <c r="E510" s="3" t="inlineStr">
        <is>
          <t>Ebco</t>
        </is>
      </c>
      <c r="F510" s="3" t="inlineStr">
        <is>
          <t>AL Profile Shutter Handle</t>
        </is>
      </c>
      <c r="H510" s="3" t="inlineStr">
        <is>
          <t>Type</t>
        </is>
      </c>
      <c r="I510" s="3" t="inlineStr">
        <is>
          <t>Door</t>
        </is>
      </c>
      <c r="J510" s="3" t="inlineStr">
        <is>
          <t>Color</t>
        </is>
      </c>
      <c r="K510" s="3" t="inlineStr">
        <is>
          <t>Brushed Alluminium</t>
        </is>
      </c>
      <c r="L510" s="3" t="inlineStr">
        <is>
          <t>Dimensions</t>
        </is>
      </c>
      <c r="M510" s="3" t="inlineStr">
        <is>
          <t>3000 mm X 35 mm</t>
        </is>
      </c>
      <c r="N510" s="3" t="inlineStr">
        <is>
          <t>Width</t>
        </is>
      </c>
      <c r="O510" s="3" t="inlineStr">
        <is>
          <t>19 mm</t>
        </is>
      </c>
      <c r="Q510" s="3" t="inlineStr">
        <is>
          <t>Manufacturer's Warranty</t>
        </is>
      </c>
      <c r="R510" s="3" t="inlineStr">
        <is>
          <t>SH1-1935-3M-BA</t>
        </is>
      </c>
      <c r="Y510" s="3" t="inlineStr">
        <is>
          <t>Ebco_Edge_Profile_Handle_G</t>
        </is>
      </c>
      <c r="Z510" s="3" t="n">
        <v>7604</v>
      </c>
      <c r="AE510" s="3" t="n">
        <v>2186</v>
      </c>
      <c r="AF510" s="4" t="n">
        <v>0.4</v>
      </c>
      <c r="AG510" s="3">
        <f>ROUND(AE510-(AE510*AF510),2)</f>
        <v/>
      </c>
      <c r="AH510" s="4" t="n">
        <v>0.18</v>
      </c>
      <c r="AI510" s="3">
        <f>ROUND(AG510+(AG510*AH510),2)</f>
        <v/>
      </c>
      <c r="AJ510" s="4" t="n">
        <v>0.1</v>
      </c>
      <c r="AK510" s="3">
        <f>ROUND(AI510*AJ510,2)</f>
        <v/>
      </c>
      <c r="AL510" s="3">
        <f>AI510+AK510</f>
        <v/>
      </c>
      <c r="AM510" s="3">
        <f>AE510-AL510</f>
        <v/>
      </c>
      <c r="AN510" s="4">
        <f>AM510/AE510</f>
        <v/>
      </c>
      <c r="AO510" s="3" t="inlineStr">
        <is>
          <t>60 mins</t>
        </is>
      </c>
      <c r="AQ510" s="3" t="inlineStr">
        <is>
          <t>Weight</t>
        </is>
      </c>
      <c r="AT510" s="3" t="inlineStr">
        <is>
          <t>3 hrs</t>
        </is>
      </c>
    </row>
    <row r="511" ht="15.75" customHeight="1">
      <c r="A511" s="3" t="inlineStr">
        <is>
          <t>PROD_0120</t>
        </is>
      </c>
      <c r="B511" s="3" t="inlineStr">
        <is>
          <t>VAR_3</t>
        </is>
      </c>
      <c r="C511" s="3" t="inlineStr">
        <is>
          <t>Modular Hardware</t>
        </is>
      </c>
      <c r="D511" s="3" t="inlineStr">
        <is>
          <t>Door Edge Profile</t>
        </is>
      </c>
      <c r="E511" s="3" t="inlineStr">
        <is>
          <t>Ebco</t>
        </is>
      </c>
      <c r="F511" s="3" t="inlineStr">
        <is>
          <t>AL Profile Shutter Handle</t>
        </is>
      </c>
      <c r="H511" s="3" t="inlineStr">
        <is>
          <t>Type</t>
        </is>
      </c>
      <c r="I511" s="3" t="inlineStr">
        <is>
          <t>Door</t>
        </is>
      </c>
      <c r="J511" s="3" t="inlineStr">
        <is>
          <t>Color</t>
        </is>
      </c>
      <c r="K511" s="3" t="inlineStr">
        <is>
          <t>Anodised Black</t>
        </is>
      </c>
      <c r="L511" s="3" t="inlineStr">
        <is>
          <t>Dimensions</t>
        </is>
      </c>
      <c r="M511" s="3" t="inlineStr">
        <is>
          <t>3000 mm X 35 mm</t>
        </is>
      </c>
      <c r="N511" s="3" t="inlineStr">
        <is>
          <t>Width</t>
        </is>
      </c>
      <c r="O511" s="3" t="inlineStr">
        <is>
          <t>19 mm</t>
        </is>
      </c>
      <c r="Q511" s="3" t="inlineStr">
        <is>
          <t>Manufacturer's Warranty</t>
        </is>
      </c>
      <c r="R511" s="3" t="inlineStr">
        <is>
          <t>SH1-1935-3M-AS/AB</t>
        </is>
      </c>
      <c r="Y511" s="3" t="inlineStr">
        <is>
          <t>Ebco_Edge_Profile_Handle_G</t>
        </is>
      </c>
      <c r="Z511" s="3" t="n">
        <v>7604</v>
      </c>
      <c r="AE511" s="3" t="n">
        <v>1859</v>
      </c>
      <c r="AF511" s="4" t="n">
        <v>0.4</v>
      </c>
      <c r="AG511" s="3">
        <f>ROUND(AE511-(AE511*AF511),2)</f>
        <v/>
      </c>
      <c r="AH511" s="4" t="n">
        <v>0.18</v>
      </c>
      <c r="AI511" s="3">
        <f>ROUND(AG511+(AG511*AH511),2)</f>
        <v/>
      </c>
      <c r="AJ511" s="4" t="n">
        <v>0.1</v>
      </c>
      <c r="AK511" s="3">
        <f>ROUND(AI511*AJ511,2)</f>
        <v/>
      </c>
      <c r="AL511" s="3">
        <f>AI511+AK511</f>
        <v/>
      </c>
      <c r="AM511" s="3">
        <f>AE511-AL511</f>
        <v/>
      </c>
      <c r="AN511" s="4">
        <f>AM511/AE511</f>
        <v/>
      </c>
      <c r="AO511" s="3" t="inlineStr">
        <is>
          <t>60 mins</t>
        </is>
      </c>
      <c r="AQ511" s="3" t="inlineStr">
        <is>
          <t>Weight</t>
        </is>
      </c>
      <c r="AT511" s="3" t="inlineStr">
        <is>
          <t>3 hrs</t>
        </is>
      </c>
    </row>
    <row r="512" ht="15.75" customHeight="1">
      <c r="A512" s="3" t="inlineStr">
        <is>
          <t>PROD_0120</t>
        </is>
      </c>
      <c r="B512" s="3" t="inlineStr">
        <is>
          <t>VAR_4</t>
        </is>
      </c>
      <c r="C512" s="3" t="inlineStr">
        <is>
          <t>Modular Hardware</t>
        </is>
      </c>
      <c r="D512" s="3" t="inlineStr">
        <is>
          <t>Door Edge Profile</t>
        </is>
      </c>
      <c r="E512" s="3" t="inlineStr">
        <is>
          <t>Ebco</t>
        </is>
      </c>
      <c r="F512" s="3" t="inlineStr">
        <is>
          <t>AL Profile Shutter Handle</t>
        </is>
      </c>
      <c r="H512" s="3" t="inlineStr">
        <is>
          <t>Type</t>
        </is>
      </c>
      <c r="I512" s="3" t="inlineStr">
        <is>
          <t>Door</t>
        </is>
      </c>
      <c r="J512" s="3" t="inlineStr">
        <is>
          <t>Color</t>
        </is>
      </c>
      <c r="K512" s="3" t="inlineStr">
        <is>
          <t>Brushed Gold</t>
        </is>
      </c>
      <c r="L512" s="3" t="inlineStr">
        <is>
          <t>Dimensions</t>
        </is>
      </c>
      <c r="M512" s="3" t="inlineStr">
        <is>
          <t>3000 mm X 35 mm</t>
        </is>
      </c>
      <c r="N512" s="3" t="inlineStr">
        <is>
          <t>Width</t>
        </is>
      </c>
      <c r="O512" s="3" t="inlineStr">
        <is>
          <t>19 mm</t>
        </is>
      </c>
      <c r="Q512" s="3" t="inlineStr">
        <is>
          <t>Manufacturer's Warranty</t>
        </is>
      </c>
      <c r="R512" s="3" t="inlineStr">
        <is>
          <t>SH1-1935-3M-BG</t>
        </is>
      </c>
      <c r="Y512" s="3" t="inlineStr">
        <is>
          <t>Ebco_Edge_Profile_Handle_G</t>
        </is>
      </c>
      <c r="Z512" s="3" t="n">
        <v>7604</v>
      </c>
      <c r="AE512" s="3" t="n">
        <v>2186</v>
      </c>
      <c r="AF512" s="4" t="n">
        <v>0.4</v>
      </c>
      <c r="AG512" s="3">
        <f>ROUND(AE512-(AE512*AF512),2)</f>
        <v/>
      </c>
      <c r="AH512" s="4" t="n">
        <v>0.18</v>
      </c>
      <c r="AI512" s="3">
        <f>ROUND(AG512+(AG512*AH512),2)</f>
        <v/>
      </c>
      <c r="AJ512" s="4" t="n">
        <v>0.1</v>
      </c>
      <c r="AK512" s="3">
        <f>ROUND(AI512*AJ512,2)</f>
        <v/>
      </c>
      <c r="AL512" s="3">
        <f>AI512+AK512</f>
        <v/>
      </c>
      <c r="AM512" s="3">
        <f>AE512-AL512</f>
        <v/>
      </c>
      <c r="AN512" s="4">
        <f>AM512/AE512</f>
        <v/>
      </c>
      <c r="AO512" s="3" t="inlineStr">
        <is>
          <t>60 mins</t>
        </is>
      </c>
      <c r="AQ512" s="3" t="inlineStr">
        <is>
          <t>Weight</t>
        </is>
      </c>
      <c r="AT512" s="3" t="inlineStr">
        <is>
          <t>3 hrs</t>
        </is>
      </c>
    </row>
    <row r="513" ht="15.75" customHeight="1">
      <c r="A513" s="3" t="inlineStr">
        <is>
          <t>PROD_0121</t>
        </is>
      </c>
      <c r="B513" s="3" t="inlineStr">
        <is>
          <t>VAR_1</t>
        </is>
      </c>
      <c r="C513" s="3" t="inlineStr">
        <is>
          <t>Modular Hardware</t>
        </is>
      </c>
      <c r="D513" s="3" t="inlineStr">
        <is>
          <t>Box Profile</t>
        </is>
      </c>
      <c r="E513" s="3" t="inlineStr">
        <is>
          <t>Generic</t>
        </is>
      </c>
      <c r="F513" s="3" t="inlineStr">
        <is>
          <t>AL Box Profile GOLA C</t>
        </is>
      </c>
      <c r="H513" s="3" t="inlineStr">
        <is>
          <t>Type</t>
        </is>
      </c>
      <c r="I513" s="3" t="inlineStr">
        <is>
          <t>C Type</t>
        </is>
      </c>
      <c r="J513" s="3" t="inlineStr">
        <is>
          <t>Color</t>
        </is>
      </c>
      <c r="K513" s="3" t="inlineStr">
        <is>
          <t>Black</t>
        </is>
      </c>
      <c r="L513" s="3" t="inlineStr">
        <is>
          <t>Dimensions</t>
        </is>
      </c>
      <c r="M513" s="3" t="inlineStr">
        <is>
          <t>3000 mm X 26 mm</t>
        </is>
      </c>
      <c r="N513" s="3" t="inlineStr">
        <is>
          <t>Width</t>
        </is>
      </c>
      <c r="O513" s="3" t="inlineStr">
        <is>
          <t>73.9 mm</t>
        </is>
      </c>
      <c r="Q513" s="3" t="inlineStr">
        <is>
          <t>Manufacturer's Warranty</t>
        </is>
      </c>
      <c r="Y513" s="3" t="inlineStr">
        <is>
          <t>GEN_AL_Box_Profile_C_BLACK</t>
        </is>
      </c>
      <c r="Z513" s="3" t="n">
        <v>7604</v>
      </c>
      <c r="AE513" s="3" t="n">
        <v>1800</v>
      </c>
      <c r="AF513" s="4" t="n">
        <v>0.5</v>
      </c>
      <c r="AG513" s="3">
        <f>ROUND(AE513-(AE513*AF513),2)</f>
        <v/>
      </c>
      <c r="AH513" s="4" t="n">
        <v>0.18</v>
      </c>
      <c r="AI513" s="3">
        <f>ROUND(AG513+(AG513*AH513),2)</f>
        <v/>
      </c>
      <c r="AJ513" s="4" t="n">
        <v>0.2</v>
      </c>
      <c r="AK513" s="3">
        <f>ROUND(AI513*AJ513,2)</f>
        <v/>
      </c>
      <c r="AL513" s="3">
        <f>AI513+AK513</f>
        <v/>
      </c>
      <c r="AM513" s="3">
        <f>AE513-AL513</f>
        <v/>
      </c>
      <c r="AN513" s="4">
        <f>AM513/AE513</f>
        <v/>
      </c>
      <c r="AO513" s="3" t="inlineStr">
        <is>
          <t>60 mins</t>
        </is>
      </c>
      <c r="AQ513" s="3" t="inlineStr">
        <is>
          <t>Weight</t>
        </is>
      </c>
      <c r="AS513" s="3" t="inlineStr">
        <is>
          <t xml:space="preserve">Gola profiles are specialized aluminum profiles installed directly into the cabinet frame to create a handleless, minimalist, and, ergonomic kitchen design. </t>
        </is>
      </c>
      <c r="AT513" s="3" t="inlineStr">
        <is>
          <t>60 mins</t>
        </is>
      </c>
    </row>
    <row r="514" ht="15.75" customHeight="1">
      <c r="A514" s="3" t="inlineStr">
        <is>
          <t>PROD_0121</t>
        </is>
      </c>
      <c r="B514" s="3" t="inlineStr">
        <is>
          <t>VAR_2</t>
        </is>
      </c>
      <c r="C514" s="3" t="inlineStr">
        <is>
          <t>Modular Hardware</t>
        </is>
      </c>
      <c r="D514" s="3" t="inlineStr">
        <is>
          <t>Box Profile</t>
        </is>
      </c>
      <c r="E514" s="3" t="inlineStr">
        <is>
          <t>Generic</t>
        </is>
      </c>
      <c r="F514" s="3" t="inlineStr">
        <is>
          <t>AL Box Profile GOLA C</t>
        </is>
      </c>
      <c r="H514" s="3" t="inlineStr">
        <is>
          <t>Type</t>
        </is>
      </c>
      <c r="I514" s="3" t="inlineStr">
        <is>
          <t>C Type</t>
        </is>
      </c>
      <c r="J514" s="3" t="inlineStr">
        <is>
          <t>Color</t>
        </is>
      </c>
      <c r="K514" s="3" t="inlineStr">
        <is>
          <t>Rose Gold</t>
        </is>
      </c>
      <c r="L514" s="3" t="inlineStr">
        <is>
          <t>Dimensions</t>
        </is>
      </c>
      <c r="M514" s="3" t="inlineStr">
        <is>
          <t>3000 mm X 26 mm</t>
        </is>
      </c>
      <c r="N514" s="3" t="inlineStr">
        <is>
          <t>Width</t>
        </is>
      </c>
      <c r="O514" s="3" t="inlineStr">
        <is>
          <t>73.9 mm</t>
        </is>
      </c>
      <c r="Q514" s="3" t="inlineStr">
        <is>
          <t>Manufacturer's Warranty</t>
        </is>
      </c>
      <c r="Y514" s="3" t="inlineStr">
        <is>
          <t>GEN_AL_Box_Profile_C_RG</t>
        </is>
      </c>
      <c r="Z514" s="3" t="n">
        <v>7604</v>
      </c>
      <c r="AE514" s="3" t="n">
        <v>2000</v>
      </c>
      <c r="AF514" s="4" t="n">
        <v>0.5</v>
      </c>
      <c r="AG514" s="3">
        <f>ROUND(AE514-(AE514*AF514),2)</f>
        <v/>
      </c>
      <c r="AH514" s="4" t="n">
        <v>0.18</v>
      </c>
      <c r="AI514" s="3">
        <f>ROUND(AG514+(AG514*AH514),2)</f>
        <v/>
      </c>
      <c r="AJ514" s="4" t="n">
        <v>0.2</v>
      </c>
      <c r="AK514" s="3">
        <f>ROUND(AI514*AJ514,2)</f>
        <v/>
      </c>
      <c r="AL514" s="3">
        <f>AI514+AK514</f>
        <v/>
      </c>
      <c r="AM514" s="3">
        <f>AE514-AL514</f>
        <v/>
      </c>
      <c r="AN514" s="4">
        <f>AM514/AE514</f>
        <v/>
      </c>
      <c r="AO514" s="3" t="inlineStr">
        <is>
          <t>60 mins</t>
        </is>
      </c>
      <c r="AQ514" s="3" t="inlineStr">
        <is>
          <t>Weight</t>
        </is>
      </c>
      <c r="AS514" s="3" t="inlineStr">
        <is>
          <t xml:space="preserve">Gola profiles are specialized aluminum profiles installed directly into the cabinet frame to create a handleless, minimalist, and, ergonomic kitchen design. </t>
        </is>
      </c>
      <c r="AT514" s="3" t="inlineStr">
        <is>
          <t>60 mins</t>
        </is>
      </c>
    </row>
    <row r="515" ht="15.75" customHeight="1">
      <c r="A515" s="3" t="inlineStr">
        <is>
          <t>PROD_0121</t>
        </is>
      </c>
      <c r="B515" s="3" t="inlineStr">
        <is>
          <t>VAR_3</t>
        </is>
      </c>
      <c r="C515" s="3" t="inlineStr">
        <is>
          <t>Modular Hardware</t>
        </is>
      </c>
      <c r="D515" s="3" t="inlineStr">
        <is>
          <t>Box Profile</t>
        </is>
      </c>
      <c r="E515" s="3" t="inlineStr">
        <is>
          <t>Generic</t>
        </is>
      </c>
      <c r="F515" s="3" t="inlineStr">
        <is>
          <t>AL Box Profile GOLA C</t>
        </is>
      </c>
      <c r="H515" s="3" t="inlineStr">
        <is>
          <t>Type</t>
        </is>
      </c>
      <c r="I515" s="3" t="inlineStr">
        <is>
          <t>C Type</t>
        </is>
      </c>
      <c r="J515" s="3" t="inlineStr">
        <is>
          <t>Color</t>
        </is>
      </c>
      <c r="K515" s="3" t="inlineStr">
        <is>
          <t>Silver Anodised</t>
        </is>
      </c>
      <c r="L515" s="3" t="inlineStr">
        <is>
          <t>Dimensions</t>
        </is>
      </c>
      <c r="M515" s="3" t="inlineStr">
        <is>
          <t>3000 mm X 26 mm</t>
        </is>
      </c>
      <c r="N515" s="3" t="inlineStr">
        <is>
          <t>Width</t>
        </is>
      </c>
      <c r="O515" s="3" t="inlineStr">
        <is>
          <t>73.9 mm</t>
        </is>
      </c>
      <c r="Q515" s="3" t="inlineStr">
        <is>
          <t>Manufacturer's Warranty</t>
        </is>
      </c>
      <c r="Y515" s="3" t="inlineStr">
        <is>
          <t>GEN_AL_Box_Profile_C_SA</t>
        </is>
      </c>
      <c r="Z515" s="3" t="n">
        <v>7604</v>
      </c>
      <c r="AE515" s="3" t="n">
        <v>1700</v>
      </c>
      <c r="AF515" s="4" t="n">
        <v>0.5</v>
      </c>
      <c r="AG515" s="3">
        <f>ROUND(AE515-(AE515*AF515),2)</f>
        <v/>
      </c>
      <c r="AH515" s="4" t="n">
        <v>0.18</v>
      </c>
      <c r="AI515" s="3">
        <f>ROUND(AG515+(AG515*AH515),2)</f>
        <v/>
      </c>
      <c r="AJ515" s="4" t="n">
        <v>0.2</v>
      </c>
      <c r="AK515" s="3">
        <f>ROUND(AI515*AJ515,2)</f>
        <v/>
      </c>
      <c r="AL515" s="3">
        <f>AI515+AK515</f>
        <v/>
      </c>
      <c r="AM515" s="3">
        <f>AE515-AL515</f>
        <v/>
      </c>
      <c r="AN515" s="4">
        <f>AM515/AE515</f>
        <v/>
      </c>
      <c r="AO515" s="3" t="inlineStr">
        <is>
          <t>60 mins</t>
        </is>
      </c>
      <c r="AQ515" s="3" t="inlineStr">
        <is>
          <t>Weight</t>
        </is>
      </c>
      <c r="AS515" s="3" t="inlineStr">
        <is>
          <t xml:space="preserve">Gola profiles are specialized aluminum profiles installed directly into the cabinet frame to create a handleless, minimalist, and, ergonomic kitchen design. </t>
        </is>
      </c>
      <c r="AT515" s="3" t="inlineStr">
        <is>
          <t>60 mins</t>
        </is>
      </c>
    </row>
    <row r="516" ht="15.75" customHeight="1">
      <c r="A516" s="3" t="inlineStr">
        <is>
          <t>PROD_0122</t>
        </is>
      </c>
      <c r="B516" s="3" t="inlineStr">
        <is>
          <t>VAR_1</t>
        </is>
      </c>
      <c r="C516" s="3" t="inlineStr">
        <is>
          <t>Modular Hardware</t>
        </is>
      </c>
      <c r="D516" s="3" t="inlineStr">
        <is>
          <t>Box Profile</t>
        </is>
      </c>
      <c r="E516" s="3" t="inlineStr">
        <is>
          <t>Generic</t>
        </is>
      </c>
      <c r="F516" s="3" t="inlineStr">
        <is>
          <t>AL Box Profile GOLA L</t>
        </is>
      </c>
      <c r="H516" s="3" t="inlineStr">
        <is>
          <t>Type</t>
        </is>
      </c>
      <c r="I516" s="3" t="inlineStr">
        <is>
          <t>L Type</t>
        </is>
      </c>
      <c r="J516" s="3" t="inlineStr">
        <is>
          <t>Color</t>
        </is>
      </c>
      <c r="K516" s="3" t="inlineStr">
        <is>
          <t>Black</t>
        </is>
      </c>
      <c r="L516" s="3" t="inlineStr">
        <is>
          <t>Dimensions</t>
        </is>
      </c>
      <c r="M516" s="3" t="inlineStr">
        <is>
          <t>3000 mm X 26 mm</t>
        </is>
      </c>
      <c r="N516" s="3" t="inlineStr">
        <is>
          <t>Width</t>
        </is>
      </c>
      <c r="O516" s="3" t="inlineStr">
        <is>
          <t>63.4 mm</t>
        </is>
      </c>
      <c r="Q516" s="3" t="inlineStr">
        <is>
          <t>Manufacturer's Warranty</t>
        </is>
      </c>
      <c r="Y516" s="3" t="inlineStr">
        <is>
          <t>GEN_AL_Box_Profile_L_BLACK</t>
        </is>
      </c>
      <c r="Z516" s="3" t="n">
        <v>7604</v>
      </c>
      <c r="AE516" s="3" t="n">
        <v>1600</v>
      </c>
      <c r="AF516" s="4" t="n">
        <v>0.5</v>
      </c>
      <c r="AG516" s="3">
        <f>ROUND(AE516-(AE516*AF516),2)</f>
        <v/>
      </c>
      <c r="AH516" s="4" t="n">
        <v>0.18</v>
      </c>
      <c r="AI516" s="3">
        <f>ROUND(AG516+(AG516*AH516),2)</f>
        <v/>
      </c>
      <c r="AJ516" s="4" t="n">
        <v>0.2</v>
      </c>
      <c r="AK516" s="3">
        <f>ROUND(AI516*AJ516,2)</f>
        <v/>
      </c>
      <c r="AL516" s="3">
        <f>AI516+AK516</f>
        <v/>
      </c>
      <c r="AM516" s="3">
        <f>AE516-AL516</f>
        <v/>
      </c>
      <c r="AN516" s="4">
        <f>AM516/AE516</f>
        <v/>
      </c>
      <c r="AO516" s="3" t="inlineStr">
        <is>
          <t>60 mins</t>
        </is>
      </c>
      <c r="AQ516" s="3" t="inlineStr">
        <is>
          <t>Weight</t>
        </is>
      </c>
      <c r="AS516" s="3" t="inlineStr">
        <is>
          <t xml:space="preserve">Gola profiles are specialized aluminum profiles installed directly into the cabinet frame to create a handleless, minimalist, and, ergonomic kitchen design. </t>
        </is>
      </c>
      <c r="AT516" s="3" t="inlineStr">
        <is>
          <t>60 mins</t>
        </is>
      </c>
    </row>
    <row r="517" ht="15.75" customHeight="1">
      <c r="A517" s="3" t="inlineStr">
        <is>
          <t>PROD_0122</t>
        </is>
      </c>
      <c r="B517" s="3" t="inlineStr">
        <is>
          <t>VAR_2</t>
        </is>
      </c>
      <c r="C517" s="3" t="inlineStr">
        <is>
          <t>Modular Hardware</t>
        </is>
      </c>
      <c r="D517" s="3" t="inlineStr">
        <is>
          <t>Box Profile</t>
        </is>
      </c>
      <c r="E517" s="3" t="inlineStr">
        <is>
          <t>Generic</t>
        </is>
      </c>
      <c r="F517" s="3" t="inlineStr">
        <is>
          <t>AL Box Profile GOLA L</t>
        </is>
      </c>
      <c r="H517" s="3" t="inlineStr">
        <is>
          <t>Type</t>
        </is>
      </c>
      <c r="I517" s="3" t="inlineStr">
        <is>
          <t>L Type</t>
        </is>
      </c>
      <c r="J517" s="3" t="inlineStr">
        <is>
          <t>Color</t>
        </is>
      </c>
      <c r="K517" s="3" t="inlineStr">
        <is>
          <t>Rose Gold</t>
        </is>
      </c>
      <c r="L517" s="3" t="inlineStr">
        <is>
          <t>Dimensions</t>
        </is>
      </c>
      <c r="M517" s="3" t="inlineStr">
        <is>
          <t>3000 mm X 26 mm</t>
        </is>
      </c>
      <c r="N517" s="3" t="inlineStr">
        <is>
          <t>Width</t>
        </is>
      </c>
      <c r="O517" s="3" t="inlineStr">
        <is>
          <t>63.4 mm</t>
        </is>
      </c>
      <c r="Q517" s="3" t="inlineStr">
        <is>
          <t>Manufacturer's Warranty</t>
        </is>
      </c>
      <c r="Y517" s="3" t="inlineStr">
        <is>
          <t>GEN_AL_Box_Profile_L_RG</t>
        </is>
      </c>
      <c r="Z517" s="3" t="n">
        <v>7604</v>
      </c>
      <c r="AE517" s="3" t="n">
        <v>1800</v>
      </c>
      <c r="AF517" s="4" t="n">
        <v>0.5</v>
      </c>
      <c r="AG517" s="3">
        <f>ROUND(AE517-(AE517*AF517),2)</f>
        <v/>
      </c>
      <c r="AH517" s="4" t="n">
        <v>0.18</v>
      </c>
      <c r="AI517" s="3">
        <f>ROUND(AG517+(AG517*AH517),2)</f>
        <v/>
      </c>
      <c r="AJ517" s="4" t="n">
        <v>0.2</v>
      </c>
      <c r="AK517" s="3">
        <f>ROUND(AI517*AJ517,2)</f>
        <v/>
      </c>
      <c r="AL517" s="3">
        <f>AI517+AK517</f>
        <v/>
      </c>
      <c r="AM517" s="3">
        <f>AE517-AL517</f>
        <v/>
      </c>
      <c r="AN517" s="4">
        <f>AM517/AE517</f>
        <v/>
      </c>
      <c r="AO517" s="3" t="inlineStr">
        <is>
          <t>60 mins</t>
        </is>
      </c>
      <c r="AQ517" s="3" t="inlineStr">
        <is>
          <t>Weight</t>
        </is>
      </c>
      <c r="AS517" s="3" t="inlineStr">
        <is>
          <t xml:space="preserve">Gola profiles are specialized aluminum profiles installed directly into the cabinet frame to create a handleless, minimalist, and, ergonomic kitchen design. </t>
        </is>
      </c>
      <c r="AT517" s="3" t="inlineStr">
        <is>
          <t>60 mins</t>
        </is>
      </c>
    </row>
    <row r="518" ht="15.75" customHeight="1">
      <c r="A518" s="3" t="inlineStr">
        <is>
          <t>PROD_0122</t>
        </is>
      </c>
      <c r="B518" s="3" t="inlineStr">
        <is>
          <t>VAR_3</t>
        </is>
      </c>
      <c r="C518" s="3" t="inlineStr">
        <is>
          <t>Modular Hardware</t>
        </is>
      </c>
      <c r="D518" s="3" t="inlineStr">
        <is>
          <t>Box Profile</t>
        </is>
      </c>
      <c r="E518" s="3" t="inlineStr">
        <is>
          <t>Generic</t>
        </is>
      </c>
      <c r="F518" s="3" t="inlineStr">
        <is>
          <t>AL Box Profile GOLA L</t>
        </is>
      </c>
      <c r="H518" s="3" t="inlineStr">
        <is>
          <t>Type</t>
        </is>
      </c>
      <c r="I518" s="3" t="inlineStr">
        <is>
          <t>L Type</t>
        </is>
      </c>
      <c r="J518" s="3" t="inlineStr">
        <is>
          <t>Color</t>
        </is>
      </c>
      <c r="K518" s="3" t="inlineStr">
        <is>
          <t>Silver Anodised</t>
        </is>
      </c>
      <c r="L518" s="3" t="inlineStr">
        <is>
          <t>Dimensions</t>
        </is>
      </c>
      <c r="M518" s="3" t="inlineStr">
        <is>
          <t>3000 mm X 26 mm</t>
        </is>
      </c>
      <c r="N518" s="3" t="inlineStr">
        <is>
          <t>Width</t>
        </is>
      </c>
      <c r="O518" s="3" t="inlineStr">
        <is>
          <t>63.4 mm</t>
        </is>
      </c>
      <c r="Q518" s="3" t="inlineStr">
        <is>
          <t>Manufacturer's Warranty</t>
        </is>
      </c>
      <c r="Y518" s="3" t="inlineStr">
        <is>
          <t>GEN_AL_Box_Profile_L_SA</t>
        </is>
      </c>
      <c r="Z518" s="3" t="n">
        <v>7604</v>
      </c>
      <c r="AE518" s="3" t="n">
        <v>1500</v>
      </c>
      <c r="AF518" s="4" t="n">
        <v>0.5</v>
      </c>
      <c r="AG518" s="3">
        <f>ROUND(AE518-(AE518*AF518),2)</f>
        <v/>
      </c>
      <c r="AH518" s="4" t="n">
        <v>0.18</v>
      </c>
      <c r="AI518" s="3">
        <f>ROUND(AG518+(AG518*AH518),2)</f>
        <v/>
      </c>
      <c r="AJ518" s="4" t="n">
        <v>0.2</v>
      </c>
      <c r="AK518" s="3">
        <f>ROUND(AI518*AJ518,2)</f>
        <v/>
      </c>
      <c r="AL518" s="3">
        <f>AI518+AK518</f>
        <v/>
      </c>
      <c r="AM518" s="3">
        <f>AE518-AL518</f>
        <v/>
      </c>
      <c r="AN518" s="4">
        <f>AM518/AE518</f>
        <v/>
      </c>
      <c r="AO518" s="3" t="inlineStr">
        <is>
          <t>60 mins</t>
        </is>
      </c>
      <c r="AQ518" s="3" t="inlineStr">
        <is>
          <t>Weight</t>
        </is>
      </c>
      <c r="AS518" s="3" t="inlineStr">
        <is>
          <t xml:space="preserve">Gola profiles are specialized aluminum profiles installed directly into the cabinet frame to create a handleless, minimalist, and, ergonomic kitchen design. </t>
        </is>
      </c>
      <c r="AT518" s="3" t="inlineStr">
        <is>
          <t>60 mins</t>
        </is>
      </c>
    </row>
    <row r="519" ht="15.75" customHeight="1">
      <c r="A519" s="3" t="inlineStr">
        <is>
          <t>PROD_0123</t>
        </is>
      </c>
      <c r="B519" s="3" t="inlineStr">
        <is>
          <t>VAR_1</t>
        </is>
      </c>
      <c r="C519" s="3" t="inlineStr">
        <is>
          <t>Modular Hardware</t>
        </is>
      </c>
      <c r="D519" s="3" t="inlineStr">
        <is>
          <t>Box Profile</t>
        </is>
      </c>
      <c r="E519" s="3" t="inlineStr">
        <is>
          <t>Generic</t>
        </is>
      </c>
      <c r="F519" s="3" t="inlineStr">
        <is>
          <t xml:space="preserve">AL Door Profile </t>
        </is>
      </c>
      <c r="H519" s="3" t="inlineStr">
        <is>
          <t>Type</t>
        </is>
      </c>
      <c r="I519" s="3" t="inlineStr">
        <is>
          <t>G Type</t>
        </is>
      </c>
      <c r="J519" s="3" t="inlineStr">
        <is>
          <t>Color</t>
        </is>
      </c>
      <c r="K519" s="3" t="inlineStr">
        <is>
          <t>Black</t>
        </is>
      </c>
      <c r="L519" s="3" t="inlineStr">
        <is>
          <t>Dimensions</t>
        </is>
      </c>
      <c r="M519" s="3" t="inlineStr">
        <is>
          <t>3000 mm X 35 mm</t>
        </is>
      </c>
      <c r="N519" s="3" t="inlineStr">
        <is>
          <t>Width</t>
        </is>
      </c>
      <c r="O519" s="3" t="inlineStr">
        <is>
          <t>19 mm</t>
        </is>
      </c>
      <c r="Q519" s="3" t="inlineStr">
        <is>
          <t>Manufacturer's Warranty</t>
        </is>
      </c>
      <c r="Y519" s="3" t="inlineStr">
        <is>
          <t>GEN_AL_Shutter_Profile_G_BLACK</t>
        </is>
      </c>
      <c r="Z519" s="3" t="n">
        <v>7604</v>
      </c>
      <c r="AE519" s="3" t="n">
        <v>1600</v>
      </c>
      <c r="AF519" s="4" t="n">
        <v>0.5</v>
      </c>
      <c r="AG519" s="3">
        <f>ROUND(AE519-(AE519*AF519),2)</f>
        <v/>
      </c>
      <c r="AH519" s="4" t="n">
        <v>0.18</v>
      </c>
      <c r="AI519" s="3">
        <f>ROUND(AG519+(AG519*AH519),2)</f>
        <v/>
      </c>
      <c r="AJ519" s="4" t="n">
        <v>0.2</v>
      </c>
      <c r="AK519" s="3">
        <f>ROUND(AI519*AJ519,2)</f>
        <v/>
      </c>
      <c r="AL519" s="3">
        <f>AI519+AK519</f>
        <v/>
      </c>
      <c r="AM519" s="3">
        <f>AE519-AL519</f>
        <v/>
      </c>
      <c r="AN519" s="4">
        <f>AM519/AE519</f>
        <v/>
      </c>
      <c r="AO519" s="3" t="inlineStr">
        <is>
          <t>60 mins</t>
        </is>
      </c>
      <c r="AQ519" s="3" t="inlineStr">
        <is>
          <t>Weight</t>
        </is>
      </c>
      <c r="AS519" s="3" t="inlineStr">
        <is>
          <t>Aluminium door profiles for kitchens are lightweight, durable, and rust-resistant structural frames, typically made from alloys like 6063 for a sleek, modern, and hygienic finish</t>
        </is>
      </c>
      <c r="AT519" s="3" t="inlineStr">
        <is>
          <t>60 mins</t>
        </is>
      </c>
    </row>
    <row r="520" ht="15.75" customHeight="1">
      <c r="A520" s="3" t="inlineStr">
        <is>
          <t>PROD_0123</t>
        </is>
      </c>
      <c r="B520" s="3" t="inlineStr">
        <is>
          <t>VAR_2</t>
        </is>
      </c>
      <c r="C520" s="3" t="inlineStr">
        <is>
          <t>Modular Hardware</t>
        </is>
      </c>
      <c r="D520" s="3" t="inlineStr">
        <is>
          <t>Box Profile</t>
        </is>
      </c>
      <c r="E520" s="3" t="inlineStr">
        <is>
          <t>Generic</t>
        </is>
      </c>
      <c r="F520" s="3" t="inlineStr">
        <is>
          <t xml:space="preserve">AL Door Profile </t>
        </is>
      </c>
      <c r="H520" s="3" t="inlineStr">
        <is>
          <t>Type</t>
        </is>
      </c>
      <c r="I520" s="3" t="inlineStr">
        <is>
          <t>G Type</t>
        </is>
      </c>
      <c r="J520" s="3" t="inlineStr">
        <is>
          <t>Color</t>
        </is>
      </c>
      <c r="K520" s="3" t="inlineStr">
        <is>
          <t>Rose Gold</t>
        </is>
      </c>
      <c r="L520" s="3" t="inlineStr">
        <is>
          <t>Dimensions</t>
        </is>
      </c>
      <c r="M520" s="3" t="inlineStr">
        <is>
          <t>3000 mm X 35 mm</t>
        </is>
      </c>
      <c r="N520" s="3" t="inlineStr">
        <is>
          <t>Width</t>
        </is>
      </c>
      <c r="O520" s="3" t="inlineStr">
        <is>
          <t>19 mm</t>
        </is>
      </c>
      <c r="Q520" s="3" t="inlineStr">
        <is>
          <t>Manufacturer's Warranty</t>
        </is>
      </c>
      <c r="Y520" s="3" t="inlineStr">
        <is>
          <t>GEN_AL_Shutter_Profile_G_Rose_gold</t>
        </is>
      </c>
      <c r="Z520" s="3" t="n">
        <v>7604</v>
      </c>
      <c r="AE520" s="3" t="n">
        <v>1600</v>
      </c>
      <c r="AF520" s="4" t="n">
        <v>0.5</v>
      </c>
      <c r="AG520" s="3">
        <f>ROUND(AE520-(AE520*AF520),2)</f>
        <v/>
      </c>
      <c r="AH520" s="4" t="n">
        <v>0.18</v>
      </c>
      <c r="AI520" s="3">
        <f>ROUND(AG520+(AG520*AH520),2)</f>
        <v/>
      </c>
      <c r="AJ520" s="4" t="n">
        <v>0.2</v>
      </c>
      <c r="AK520" s="3">
        <f>ROUND(AI520*AJ520,2)</f>
        <v/>
      </c>
      <c r="AL520" s="3">
        <f>AI520+AK520</f>
        <v/>
      </c>
      <c r="AM520" s="3">
        <f>AE520-AL520</f>
        <v/>
      </c>
      <c r="AN520" s="4">
        <f>AM520/AE520</f>
        <v/>
      </c>
      <c r="AO520" s="3" t="inlineStr">
        <is>
          <t>60 mins</t>
        </is>
      </c>
      <c r="AQ520" s="3" t="inlineStr">
        <is>
          <t>Weight</t>
        </is>
      </c>
      <c r="AS520" s="3" t="inlineStr">
        <is>
          <t>Aluminium door profiles for kitchens are lightweight, durable, and rust-resistant structural frames, typically made from alloys like 6063 for a sleek, modern, and hygienic finish</t>
        </is>
      </c>
      <c r="AT520" s="3" t="inlineStr">
        <is>
          <t>60 mins</t>
        </is>
      </c>
    </row>
    <row r="521" ht="15.75" customHeight="1">
      <c r="A521" s="3" t="inlineStr">
        <is>
          <t>PROD_0123</t>
        </is>
      </c>
      <c r="B521" s="3" t="inlineStr">
        <is>
          <t>VAR_3</t>
        </is>
      </c>
      <c r="C521" s="3" t="inlineStr">
        <is>
          <t>Modular Hardware</t>
        </is>
      </c>
      <c r="D521" s="3" t="inlineStr">
        <is>
          <t>Box Profile</t>
        </is>
      </c>
      <c r="E521" s="3" t="inlineStr">
        <is>
          <t>Generic</t>
        </is>
      </c>
      <c r="F521" s="3" t="inlineStr">
        <is>
          <t xml:space="preserve">AL Door Profile </t>
        </is>
      </c>
      <c r="H521" s="3" t="inlineStr">
        <is>
          <t>Type</t>
        </is>
      </c>
      <c r="I521" s="3" t="inlineStr">
        <is>
          <t>G Type</t>
        </is>
      </c>
      <c r="J521" s="3" t="inlineStr">
        <is>
          <t>Color</t>
        </is>
      </c>
      <c r="K521" s="3" t="inlineStr">
        <is>
          <t>Silver Anodised</t>
        </is>
      </c>
      <c r="L521" s="3" t="inlineStr">
        <is>
          <t>Dimensions</t>
        </is>
      </c>
      <c r="M521" s="3" t="inlineStr">
        <is>
          <t>3000 mm X 35 mm</t>
        </is>
      </c>
      <c r="N521" s="3" t="inlineStr">
        <is>
          <t>Width</t>
        </is>
      </c>
      <c r="O521" s="3" t="inlineStr">
        <is>
          <t>19 mm</t>
        </is>
      </c>
      <c r="Q521" s="3" t="inlineStr">
        <is>
          <t>Manufacturer's Warranty</t>
        </is>
      </c>
      <c r="Y521" s="3" t="inlineStr">
        <is>
          <t>GEN_AL_Shutter_Profile_G_AS</t>
        </is>
      </c>
      <c r="Z521" s="3" t="n">
        <v>7604</v>
      </c>
      <c r="AE521" s="3" t="n">
        <v>1600</v>
      </c>
      <c r="AF521" s="4" t="n">
        <v>0.5</v>
      </c>
      <c r="AG521" s="3">
        <f>ROUND(AE521-(AE521*AF521),2)</f>
        <v/>
      </c>
      <c r="AH521" s="4" t="n">
        <v>0.18</v>
      </c>
      <c r="AI521" s="3">
        <f>ROUND(AG521+(AG521*AH521),2)</f>
        <v/>
      </c>
      <c r="AJ521" s="4" t="n">
        <v>0.2</v>
      </c>
      <c r="AK521" s="3">
        <f>ROUND(AI521*AJ521,2)</f>
        <v/>
      </c>
      <c r="AL521" s="3">
        <f>AI521+AK521</f>
        <v/>
      </c>
      <c r="AM521" s="3">
        <f>AE521-AL521</f>
        <v/>
      </c>
      <c r="AN521" s="4">
        <f>AM521/AE521</f>
        <v/>
      </c>
      <c r="AO521" s="3" t="inlineStr">
        <is>
          <t>60 mins</t>
        </is>
      </c>
      <c r="AQ521" s="3" t="inlineStr">
        <is>
          <t>Weight</t>
        </is>
      </c>
      <c r="AS521" s="3" t="inlineStr">
        <is>
          <t>Aluminium door profiles for kitchens are lightweight, durable, and rust-resistant structural frames, typically made from alloys like 6063 for a sleek, modern, and hygienic finish</t>
        </is>
      </c>
      <c r="AT521" s="3" t="inlineStr">
        <is>
          <t>60 mins</t>
        </is>
      </c>
    </row>
    <row r="522" ht="15.75" customHeight="1">
      <c r="A522" s="3" t="inlineStr">
        <is>
          <t>PROD_0123</t>
        </is>
      </c>
      <c r="B522" s="3" t="inlineStr">
        <is>
          <t>VAR_4</t>
        </is>
      </c>
      <c r="C522" s="3" t="inlineStr">
        <is>
          <t>Modular Hardware</t>
        </is>
      </c>
      <c r="D522" s="3" t="inlineStr">
        <is>
          <t>Box Profile</t>
        </is>
      </c>
      <c r="E522" s="3" t="inlineStr">
        <is>
          <t>Generic</t>
        </is>
      </c>
      <c r="F522" s="3" t="inlineStr">
        <is>
          <t xml:space="preserve">AL Door Profile </t>
        </is>
      </c>
      <c r="H522" s="3" t="inlineStr">
        <is>
          <t>Type</t>
        </is>
      </c>
      <c r="I522" s="3" t="inlineStr">
        <is>
          <t>J Type</t>
        </is>
      </c>
      <c r="J522" s="3" t="inlineStr">
        <is>
          <t>Color</t>
        </is>
      </c>
      <c r="K522" s="3" t="inlineStr">
        <is>
          <t>Black</t>
        </is>
      </c>
      <c r="Q522" s="3" t="inlineStr">
        <is>
          <t>Manufacturer's Warranty</t>
        </is>
      </c>
      <c r="Y522" s="3" t="inlineStr">
        <is>
          <t>GEN_AL_Shutter_Profile_G_BLACK</t>
        </is>
      </c>
      <c r="Z522" s="3" t="n">
        <v>7604</v>
      </c>
      <c r="AE522" s="3" t="n">
        <v>1500</v>
      </c>
      <c r="AF522" s="4" t="n">
        <v>0.5</v>
      </c>
      <c r="AG522" s="3">
        <f>ROUND(AE522-(AE522*AF522),2)</f>
        <v/>
      </c>
      <c r="AH522" s="4" t="n">
        <v>0.18</v>
      </c>
      <c r="AI522" s="3">
        <f>ROUND(AG522+(AG522*AH522),2)</f>
        <v/>
      </c>
      <c r="AJ522" s="4" t="n">
        <v>0.2</v>
      </c>
      <c r="AK522" s="3">
        <f>ROUND(AI522*AJ522,2)</f>
        <v/>
      </c>
      <c r="AL522" s="3">
        <f>AI522+AK522</f>
        <v/>
      </c>
      <c r="AM522" s="3">
        <f>AE522-AL522</f>
        <v/>
      </c>
      <c r="AN522" s="4">
        <f>AM522/AE522</f>
        <v/>
      </c>
      <c r="AO522" s="3" t="inlineStr">
        <is>
          <t>60 mins</t>
        </is>
      </c>
      <c r="AQ522" s="3" t="inlineStr">
        <is>
          <t>Weight</t>
        </is>
      </c>
      <c r="AS522" s="3" t="inlineStr">
        <is>
          <t>Aluminium door profiles for kitchens are lightweight, durable, and rust-resistant structural frames, typically made from alloys like 6063 for a sleek, modern, and hygienic finish</t>
        </is>
      </c>
      <c r="AT522" s="3" t="inlineStr">
        <is>
          <t>60 mins</t>
        </is>
      </c>
    </row>
    <row r="523" ht="15.75" customHeight="1">
      <c r="A523" s="3" t="inlineStr">
        <is>
          <t>PROD_0123</t>
        </is>
      </c>
      <c r="B523" s="3" t="inlineStr">
        <is>
          <t>VAR_5</t>
        </is>
      </c>
      <c r="C523" s="3" t="inlineStr">
        <is>
          <t>Modular Hardware</t>
        </is>
      </c>
      <c r="D523" s="3" t="inlineStr">
        <is>
          <t>Box Profile</t>
        </is>
      </c>
      <c r="E523" s="3" t="inlineStr">
        <is>
          <t>Generic</t>
        </is>
      </c>
      <c r="F523" s="3" t="inlineStr">
        <is>
          <t xml:space="preserve">AL Door Profile </t>
        </is>
      </c>
      <c r="H523" s="3" t="inlineStr">
        <is>
          <t>Type</t>
        </is>
      </c>
      <c r="I523" s="3" t="inlineStr">
        <is>
          <t>J Type</t>
        </is>
      </c>
      <c r="J523" s="3" t="inlineStr">
        <is>
          <t>Color</t>
        </is>
      </c>
      <c r="K523" s="3" t="inlineStr">
        <is>
          <t>Rose Gold</t>
        </is>
      </c>
      <c r="Q523" s="3" t="inlineStr">
        <is>
          <t>Manufacturer's Warranty</t>
        </is>
      </c>
      <c r="Y523" s="3" t="inlineStr">
        <is>
          <t>GEN_AL_Box_Profile_J_Rose_Gold</t>
        </is>
      </c>
      <c r="Z523" s="3" t="n">
        <v>7604</v>
      </c>
      <c r="AE523" s="3" t="n">
        <v>1500</v>
      </c>
      <c r="AF523" s="4" t="n">
        <v>0.5</v>
      </c>
      <c r="AG523" s="3">
        <f>ROUND(AE523-(AE523*AF523),2)</f>
        <v/>
      </c>
      <c r="AH523" s="4" t="n">
        <v>0.18</v>
      </c>
      <c r="AI523" s="3">
        <f>ROUND(AG523+(AG523*AH523),2)</f>
        <v/>
      </c>
      <c r="AJ523" s="4" t="n">
        <v>0.2</v>
      </c>
      <c r="AK523" s="3">
        <f>ROUND(AI523*AJ523,2)</f>
        <v/>
      </c>
      <c r="AL523" s="3">
        <f>AI523+AK523</f>
        <v/>
      </c>
      <c r="AM523" s="3">
        <f>AE523-AL523</f>
        <v/>
      </c>
      <c r="AN523" s="4">
        <f>AM523/AE523</f>
        <v/>
      </c>
      <c r="AO523" s="3" t="inlineStr">
        <is>
          <t>60 mins</t>
        </is>
      </c>
      <c r="AQ523" s="3" t="inlineStr">
        <is>
          <t>Weight</t>
        </is>
      </c>
      <c r="AS523" s="3" t="inlineStr">
        <is>
          <t>Aluminium door profiles for kitchens are lightweight, durable, and rust-resistant structural frames, typically made from alloys like 6063 for a sleek, modern, and hygienic finish</t>
        </is>
      </c>
      <c r="AT523" s="3" t="inlineStr">
        <is>
          <t>60 mins</t>
        </is>
      </c>
    </row>
    <row r="524" ht="15.75" customHeight="1">
      <c r="A524" s="3" t="inlineStr">
        <is>
          <t>PROD_0123</t>
        </is>
      </c>
      <c r="B524" s="3" t="inlineStr">
        <is>
          <t>VAR_6</t>
        </is>
      </c>
      <c r="C524" s="3" t="inlineStr">
        <is>
          <t>Modular Hardware</t>
        </is>
      </c>
      <c r="D524" s="3" t="inlineStr">
        <is>
          <t>Box Profile</t>
        </is>
      </c>
      <c r="E524" s="3" t="inlineStr">
        <is>
          <t>Generic</t>
        </is>
      </c>
      <c r="F524" s="3" t="inlineStr">
        <is>
          <t xml:space="preserve">AL Door Profile </t>
        </is>
      </c>
      <c r="H524" s="3" t="inlineStr">
        <is>
          <t>Type</t>
        </is>
      </c>
      <c r="I524" s="3" t="inlineStr">
        <is>
          <t>J Type</t>
        </is>
      </c>
      <c r="J524" s="3" t="inlineStr">
        <is>
          <t>Color</t>
        </is>
      </c>
      <c r="K524" s="3" t="inlineStr">
        <is>
          <t>Silver Anodised</t>
        </is>
      </c>
      <c r="Q524" s="3" t="inlineStr">
        <is>
          <t>Manufacturer's Warranty</t>
        </is>
      </c>
      <c r="Y524" s="3" t="inlineStr">
        <is>
          <t>GEN_AL_Box_Profile_J_SA</t>
        </is>
      </c>
      <c r="Z524" s="3" t="n">
        <v>7604</v>
      </c>
      <c r="AE524" s="3" t="n">
        <v>1500</v>
      </c>
      <c r="AF524" s="4" t="n">
        <v>0.5</v>
      </c>
      <c r="AG524" s="3">
        <f>ROUND(AE524-(AE524*AF524),2)</f>
        <v/>
      </c>
      <c r="AH524" s="4" t="n">
        <v>0.18</v>
      </c>
      <c r="AI524" s="3">
        <f>ROUND(AG524+(AG524*AH524),2)</f>
        <v/>
      </c>
      <c r="AJ524" s="4" t="n">
        <v>0.2</v>
      </c>
      <c r="AK524" s="3">
        <f>ROUND(AI524*AJ524,2)</f>
        <v/>
      </c>
      <c r="AL524" s="3">
        <f>AI524+AK524</f>
        <v/>
      </c>
      <c r="AM524" s="3">
        <f>AE524-AL524</f>
        <v/>
      </c>
      <c r="AN524" s="4">
        <f>AM524/AE524</f>
        <v/>
      </c>
      <c r="AO524" s="3" t="inlineStr">
        <is>
          <t>60 mins</t>
        </is>
      </c>
      <c r="AQ524" s="3" t="inlineStr">
        <is>
          <t>Weight</t>
        </is>
      </c>
      <c r="AS524" s="3" t="inlineStr">
        <is>
          <t>Aluminium door profiles for kitchens are lightweight, durable, and rust-resistant structural frames, typically made from alloys like 6063 for a sleek, modern, and hygienic finish</t>
        </is>
      </c>
      <c r="AT524" s="3" t="inlineStr">
        <is>
          <t>60 mins</t>
        </is>
      </c>
    </row>
    <row r="525" ht="15.75" customHeight="1">
      <c r="A525" s="3" t="inlineStr">
        <is>
          <t>PROD_0124</t>
        </is>
      </c>
      <c r="B525" s="3" t="inlineStr">
        <is>
          <t>VAR_1</t>
        </is>
      </c>
      <c r="C525" s="3" t="inlineStr">
        <is>
          <t>Modular Hardware</t>
        </is>
      </c>
      <c r="D525" s="3" t="inlineStr">
        <is>
          <t>Kitchen Accessories</t>
        </is>
      </c>
      <c r="E525" s="3" t="inlineStr">
        <is>
          <t>Hettich</t>
        </is>
      </c>
      <c r="F525" s="3" t="inlineStr">
        <is>
          <t>Cutlery Tray</t>
        </is>
      </c>
      <c r="H525" s="3" t="inlineStr">
        <is>
          <t>Finish</t>
        </is>
      </c>
      <c r="I525" s="3" t="inlineStr">
        <is>
          <t>PVC</t>
        </is>
      </c>
      <c r="J525" s="3" t="inlineStr">
        <is>
          <t>Color</t>
        </is>
      </c>
      <c r="K525" s="3" t="inlineStr">
        <is>
          <t>Grey</t>
        </is>
      </c>
      <c r="L525" s="3" t="inlineStr">
        <is>
          <t>Width</t>
        </is>
      </c>
      <c r="M525" s="3" t="inlineStr">
        <is>
          <t>600 mm</t>
        </is>
      </c>
      <c r="Q525" s="3" t="inlineStr">
        <is>
          <t>Manufacturer's Warranty</t>
        </is>
      </c>
      <c r="R525" s="3" t="n">
        <v>9194937</v>
      </c>
      <c r="Y525" s="3" t="inlineStr">
        <is>
          <t>HT_KA_CT_600</t>
        </is>
      </c>
      <c r="Z525" s="3" t="n">
        <v>39249000</v>
      </c>
      <c r="AE525" s="3" t="n">
        <v>830</v>
      </c>
      <c r="AF525" s="4" t="n">
        <v>0.45</v>
      </c>
      <c r="AG525" s="3">
        <f>ROUND(AE525-(AE525*AF525),2)</f>
        <v/>
      </c>
      <c r="AH525" s="4" t="n">
        <v>0.18</v>
      </c>
      <c r="AI525" s="3">
        <f>ROUND(AG525+(AG525*AH525),2)</f>
        <v/>
      </c>
      <c r="AJ525" s="4" t="n">
        <v>0.2</v>
      </c>
      <c r="AK525" s="3">
        <f>ROUND(AI525*AJ525,2)</f>
        <v/>
      </c>
      <c r="AL525" s="3">
        <f>AI525+AK525</f>
        <v/>
      </c>
      <c r="AM525" s="3">
        <f>AE525-AL525</f>
        <v/>
      </c>
      <c r="AN525" s="4">
        <f>AM525/AE525</f>
        <v/>
      </c>
      <c r="AO525" s="3" t="inlineStr">
        <is>
          <t>60 mins</t>
        </is>
      </c>
      <c r="AQ525" s="3" t="inlineStr">
        <is>
          <t>Weight</t>
        </is>
      </c>
      <c r="AS525" s="3" t="inlineStr">
        <is>
          <t>A cutlery tray is a segmented kitchen drawer organizer designed to neatly store, separate, and protect silverware, knives, and cooking utensils.</t>
        </is>
      </c>
      <c r="AT525" s="3" t="inlineStr">
        <is>
          <t>60 mins</t>
        </is>
      </c>
    </row>
    <row r="526" ht="15.75" customHeight="1">
      <c r="A526" s="3" t="inlineStr">
        <is>
          <t>PROD_0124</t>
        </is>
      </c>
      <c r="B526" s="3" t="inlineStr">
        <is>
          <t>VAR_2</t>
        </is>
      </c>
      <c r="C526" s="3" t="inlineStr">
        <is>
          <t>Modular Hardware</t>
        </is>
      </c>
      <c r="D526" s="3" t="inlineStr">
        <is>
          <t>Kitchen Accessories</t>
        </is>
      </c>
      <c r="E526" s="3" t="inlineStr">
        <is>
          <t>Hettich</t>
        </is>
      </c>
      <c r="F526" s="3" t="inlineStr">
        <is>
          <t>Cutlery Tray</t>
        </is>
      </c>
      <c r="H526" s="3" t="inlineStr">
        <is>
          <t>Finish</t>
        </is>
      </c>
      <c r="I526" s="3" t="inlineStr">
        <is>
          <t>PVC</t>
        </is>
      </c>
      <c r="J526" s="3" t="inlineStr">
        <is>
          <t>Color</t>
        </is>
      </c>
      <c r="K526" s="3" t="inlineStr">
        <is>
          <t>Grey</t>
        </is>
      </c>
      <c r="L526" s="3" t="inlineStr">
        <is>
          <t>Width</t>
        </is>
      </c>
      <c r="M526" s="3" t="inlineStr">
        <is>
          <t>900 mm</t>
        </is>
      </c>
      <c r="Q526" s="3" t="inlineStr">
        <is>
          <t>Manufacturer's Warranty</t>
        </is>
      </c>
      <c r="R526" s="3" t="n">
        <v>9194940</v>
      </c>
      <c r="Y526" s="3" t="inlineStr">
        <is>
          <t>HT_KA_CT_900</t>
        </is>
      </c>
      <c r="Z526" s="3" t="n">
        <v>39249000</v>
      </c>
      <c r="AE526" s="3" t="n">
        <v>1670</v>
      </c>
      <c r="AF526" s="4" t="n">
        <v>0.45</v>
      </c>
      <c r="AG526" s="3">
        <f>ROUND(AE526-(AE526*AF526),2)</f>
        <v/>
      </c>
      <c r="AH526" s="4" t="n">
        <v>0.18</v>
      </c>
      <c r="AI526" s="3">
        <f>ROUND(AG526+(AG526*AH526),2)</f>
        <v/>
      </c>
      <c r="AJ526" s="4" t="n">
        <v>0.2</v>
      </c>
      <c r="AK526" s="3">
        <f>ROUND(AI526*AJ526,2)</f>
        <v/>
      </c>
      <c r="AL526" s="3">
        <f>AI526+AK526</f>
        <v/>
      </c>
      <c r="AM526" s="3">
        <f>AE526-AL526</f>
        <v/>
      </c>
      <c r="AN526" s="4">
        <f>AM526/AE526</f>
        <v/>
      </c>
      <c r="AO526" s="3" t="inlineStr">
        <is>
          <t>60 mins</t>
        </is>
      </c>
      <c r="AQ526" s="3" t="inlineStr">
        <is>
          <t>Weight</t>
        </is>
      </c>
      <c r="AS526" s="3" t="inlineStr">
        <is>
          <t>A cutlery tray is a segmented kitchen drawer organizer designed to neatly store, separate, and protect silverware, knives, and cooking utensils.</t>
        </is>
      </c>
      <c r="AT526" s="3" t="inlineStr">
        <is>
          <t>60 mins</t>
        </is>
      </c>
    </row>
    <row r="527" ht="15.75" customHeight="1">
      <c r="A527" s="3" t="inlineStr">
        <is>
          <t>PROD_0124</t>
        </is>
      </c>
      <c r="B527" s="3" t="inlineStr">
        <is>
          <t>VAR_3</t>
        </is>
      </c>
      <c r="C527" s="3" t="inlineStr">
        <is>
          <t>Modular Hardware</t>
        </is>
      </c>
      <c r="D527" s="3" t="inlineStr">
        <is>
          <t>Kitchen Accessories</t>
        </is>
      </c>
      <c r="E527" s="3" t="inlineStr">
        <is>
          <t>Hettich</t>
        </is>
      </c>
      <c r="F527" s="3" t="inlineStr">
        <is>
          <t>Cutlery Tray</t>
        </is>
      </c>
      <c r="H527" s="3" t="inlineStr">
        <is>
          <t>Finish</t>
        </is>
      </c>
      <c r="I527" s="3" t="inlineStr">
        <is>
          <t>Metal</t>
        </is>
      </c>
      <c r="J527" s="3" t="inlineStr">
        <is>
          <t>Color</t>
        </is>
      </c>
      <c r="K527" s="3" t="inlineStr">
        <is>
          <t>Grey</t>
        </is>
      </c>
      <c r="L527" s="3" t="inlineStr">
        <is>
          <t>Width</t>
        </is>
      </c>
      <c r="M527" s="3" t="inlineStr">
        <is>
          <t>600 mm</t>
        </is>
      </c>
      <c r="Q527" s="3" t="inlineStr">
        <is>
          <t>Manufacturer's Warranty</t>
        </is>
      </c>
      <c r="R527" s="3" t="n">
        <v>9194891</v>
      </c>
      <c r="Y527" s="3" t="inlineStr">
        <is>
          <t>HT_KA_CT_600_MS</t>
        </is>
      </c>
      <c r="Z527" s="3" t="n">
        <v>73239390</v>
      </c>
      <c r="AE527" s="3" t="n">
        <v>2340</v>
      </c>
      <c r="AF527" s="4" t="n">
        <v>0.45</v>
      </c>
      <c r="AG527" s="3">
        <f>ROUND(AE527-(AE527*AF527),2)</f>
        <v/>
      </c>
      <c r="AH527" s="4" t="n">
        <v>0.18</v>
      </c>
      <c r="AI527" s="3">
        <f>ROUND(AG527+(AG527*AH527),2)</f>
        <v/>
      </c>
      <c r="AJ527" s="4" t="n">
        <v>0.2</v>
      </c>
      <c r="AK527" s="3">
        <f>ROUND(AI527*AJ527,2)</f>
        <v/>
      </c>
      <c r="AL527" s="3">
        <f>AI527+AK527</f>
        <v/>
      </c>
      <c r="AM527" s="3">
        <f>AE527-AL527</f>
        <v/>
      </c>
      <c r="AN527" s="4">
        <f>AM527/AE527</f>
        <v/>
      </c>
      <c r="AO527" s="3" t="inlineStr">
        <is>
          <t>60 mins</t>
        </is>
      </c>
      <c r="AQ527" s="3" t="inlineStr">
        <is>
          <t>Weight</t>
        </is>
      </c>
      <c r="AS527" s="3" t="inlineStr">
        <is>
          <t>A cutlery tray is a segmented kitchen drawer organizer designed to neatly store, separate, and protect silverware, knives, and cooking utensils.</t>
        </is>
      </c>
      <c r="AT527" s="3" t="inlineStr">
        <is>
          <t>60 mins</t>
        </is>
      </c>
    </row>
    <row r="528" ht="15.75" customHeight="1">
      <c r="A528" s="3" t="inlineStr">
        <is>
          <t>PROD_0124</t>
        </is>
      </c>
      <c r="B528" s="3" t="inlineStr">
        <is>
          <t>VAR_4</t>
        </is>
      </c>
      <c r="C528" s="3" t="inlineStr">
        <is>
          <t>Modular Hardware</t>
        </is>
      </c>
      <c r="D528" s="3" t="inlineStr">
        <is>
          <t>Kitchen Accessories</t>
        </is>
      </c>
      <c r="E528" s="3" t="inlineStr">
        <is>
          <t>Hettich</t>
        </is>
      </c>
      <c r="F528" s="3" t="inlineStr">
        <is>
          <t>Cutlery Tray</t>
        </is>
      </c>
      <c r="H528" s="3" t="inlineStr">
        <is>
          <t>Finish</t>
        </is>
      </c>
      <c r="I528" s="3" t="inlineStr">
        <is>
          <t>Metal</t>
        </is>
      </c>
      <c r="J528" s="3" t="inlineStr">
        <is>
          <t>Color</t>
        </is>
      </c>
      <c r="K528" s="3" t="inlineStr">
        <is>
          <t>Grey</t>
        </is>
      </c>
      <c r="L528" s="3" t="inlineStr">
        <is>
          <t>Width</t>
        </is>
      </c>
      <c r="M528" s="3" t="inlineStr">
        <is>
          <t>900 mm</t>
        </is>
      </c>
      <c r="Q528" s="3" t="inlineStr">
        <is>
          <t>Manufacturer's Warranty</t>
        </is>
      </c>
      <c r="R528" s="3" t="n">
        <v>9194893</v>
      </c>
      <c r="Y528" s="3" t="inlineStr">
        <is>
          <t>HT_KA_CT_900_MS</t>
        </is>
      </c>
      <c r="Z528" s="3" t="n">
        <v>73239390</v>
      </c>
      <c r="AE528" s="3" t="n">
        <v>4520</v>
      </c>
      <c r="AF528" s="4" t="n">
        <v>0.45</v>
      </c>
      <c r="AG528" s="3">
        <f>ROUND(AE528-(AE528*AF528),2)</f>
        <v/>
      </c>
      <c r="AH528" s="4" t="n">
        <v>0.18</v>
      </c>
      <c r="AI528" s="3">
        <f>ROUND(AG528+(AG528*AH528),2)</f>
        <v/>
      </c>
      <c r="AJ528" s="4" t="n">
        <v>0.2</v>
      </c>
      <c r="AK528" s="3">
        <f>ROUND(AI528*AJ528,2)</f>
        <v/>
      </c>
      <c r="AL528" s="3">
        <f>AI528+AK528</f>
        <v/>
      </c>
      <c r="AM528" s="3">
        <f>AE528-AL528</f>
        <v/>
      </c>
      <c r="AN528" s="4">
        <f>AM528/AE528</f>
        <v/>
      </c>
      <c r="AO528" s="3" t="inlineStr">
        <is>
          <t>60 mins</t>
        </is>
      </c>
      <c r="AQ528" s="3" t="inlineStr">
        <is>
          <t>Weight</t>
        </is>
      </c>
      <c r="AS528" s="3" t="inlineStr">
        <is>
          <t>A cutlery tray is a segmented kitchen drawer organizer designed to neatly store, separate, and protect silverware, knives, and cooking utensils.</t>
        </is>
      </c>
      <c r="AT528" s="3" t="inlineStr">
        <is>
          <t>60 mins</t>
        </is>
      </c>
    </row>
    <row r="529" ht="15.75" customHeight="1">
      <c r="A529" s="3" t="inlineStr">
        <is>
          <t>PROD_0125</t>
        </is>
      </c>
      <c r="B529" s="3" t="inlineStr">
        <is>
          <t>VAR_1</t>
        </is>
      </c>
      <c r="C529" s="3" t="inlineStr">
        <is>
          <t>Modular Hardware</t>
        </is>
      </c>
      <c r="D529" s="3" t="inlineStr">
        <is>
          <t>Kitchen Accessories</t>
        </is>
      </c>
      <c r="E529" s="3" t="inlineStr">
        <is>
          <t>Hettich</t>
        </is>
      </c>
      <c r="F529" s="3" t="inlineStr">
        <is>
          <t>Dish Rack with Draining Board</t>
        </is>
      </c>
      <c r="H529" s="3" t="inlineStr">
        <is>
          <t>Finish</t>
        </is>
      </c>
      <c r="I529" s="3" t="inlineStr">
        <is>
          <t>Stainless Steel</t>
        </is>
      </c>
      <c r="L529" s="3" t="inlineStr">
        <is>
          <t>Width</t>
        </is>
      </c>
      <c r="M529" s="3" t="inlineStr">
        <is>
          <t>600 mm</t>
        </is>
      </c>
      <c r="Q529" s="3" t="inlineStr">
        <is>
          <t>Manufacturer's Warranty</t>
        </is>
      </c>
      <c r="R529" s="3" t="n">
        <v>9219096</v>
      </c>
      <c r="Y529" s="3" t="inlineStr">
        <is>
          <t>HT_KA_DDB_600</t>
        </is>
      </c>
      <c r="Z529" s="3" t="n">
        <v>73239410</v>
      </c>
      <c r="AE529" s="3" t="n">
        <v>5306</v>
      </c>
      <c r="AF529" s="4" t="n">
        <v>0.45</v>
      </c>
      <c r="AG529" s="3">
        <f>ROUND(AE529-(AE529*AF529),2)</f>
        <v/>
      </c>
      <c r="AH529" s="4" t="n">
        <v>0.18</v>
      </c>
      <c r="AI529" s="3">
        <f>ROUND(AG529+(AG529*AH529),2)</f>
        <v/>
      </c>
      <c r="AJ529" s="4" t="n">
        <v>0.2</v>
      </c>
      <c r="AK529" s="3">
        <f>ROUND(AI529*AJ529,2)</f>
        <v/>
      </c>
      <c r="AL529" s="3">
        <f>AI529+AK529</f>
        <v/>
      </c>
      <c r="AM529" s="3">
        <f>AE529-AL529</f>
        <v/>
      </c>
      <c r="AN529" s="4">
        <f>AM529/AE529</f>
        <v/>
      </c>
      <c r="AO529" s="3" t="inlineStr">
        <is>
          <t>60 mins</t>
        </is>
      </c>
      <c r="AQ529" s="3" t="inlineStr">
        <is>
          <t>Weight</t>
        </is>
      </c>
      <c r="AS529" s="3" t="inlineStr">
        <is>
          <t>A dish rack is a specialized kitchen organizer designed to air-dry washed dishes, cutlery, and cookware, featuring slots, compartments, and a drainage tray to keep counters dry and clutter-free</t>
        </is>
      </c>
      <c r="AT529" s="3" t="inlineStr">
        <is>
          <t>60 mins</t>
        </is>
      </c>
    </row>
    <row r="530" ht="15.75" customHeight="1">
      <c r="A530" s="3" t="inlineStr">
        <is>
          <t>PROD_0125</t>
        </is>
      </c>
      <c r="B530" s="3" t="inlineStr">
        <is>
          <t>VAR_2</t>
        </is>
      </c>
      <c r="C530" s="3" t="inlineStr">
        <is>
          <t>Modular Hardware</t>
        </is>
      </c>
      <c r="D530" s="3" t="inlineStr">
        <is>
          <t>Kitchen Accessories</t>
        </is>
      </c>
      <c r="E530" s="3" t="inlineStr">
        <is>
          <t>Hettich</t>
        </is>
      </c>
      <c r="F530" s="3" t="inlineStr">
        <is>
          <t>Dish Rack with Draining Board</t>
        </is>
      </c>
      <c r="H530" s="3" t="inlineStr">
        <is>
          <t>Finish</t>
        </is>
      </c>
      <c r="I530" s="3" t="inlineStr">
        <is>
          <t>Stainless Steel</t>
        </is>
      </c>
      <c r="L530" s="3" t="inlineStr">
        <is>
          <t>Width</t>
        </is>
      </c>
      <c r="M530" s="3" t="inlineStr">
        <is>
          <t>900 mm</t>
        </is>
      </c>
      <c r="Q530" s="3" t="inlineStr">
        <is>
          <t>Manufacturer's Warranty</t>
        </is>
      </c>
      <c r="R530" s="3" t="n">
        <v>9219097</v>
      </c>
      <c r="Y530" s="3" t="inlineStr">
        <is>
          <t>HT_KA_DDB_900</t>
        </is>
      </c>
      <c r="Z530" s="3" t="n">
        <v>73239410</v>
      </c>
      <c r="AE530" s="3" t="n">
        <v>7433</v>
      </c>
      <c r="AF530" s="4" t="n">
        <v>0.45</v>
      </c>
      <c r="AG530" s="3">
        <f>ROUND(AE530-(AE530*AF530),2)</f>
        <v/>
      </c>
      <c r="AH530" s="4" t="n">
        <v>0.18</v>
      </c>
      <c r="AI530" s="3">
        <f>ROUND(AG530+(AG530*AH530),2)</f>
        <v/>
      </c>
      <c r="AJ530" s="4" t="n">
        <v>0.2</v>
      </c>
      <c r="AK530" s="3">
        <f>ROUND(AI530*AJ530,2)</f>
        <v/>
      </c>
      <c r="AL530" s="3">
        <f>AI530+AK530</f>
        <v/>
      </c>
      <c r="AM530" s="3">
        <f>AE530-AL530</f>
        <v/>
      </c>
      <c r="AN530" s="4">
        <f>AM530/AE530</f>
        <v/>
      </c>
      <c r="AO530" s="3" t="inlineStr">
        <is>
          <t>60 mins</t>
        </is>
      </c>
      <c r="AQ530" s="3" t="inlineStr">
        <is>
          <t>Weight</t>
        </is>
      </c>
      <c r="AS530" s="3" t="inlineStr">
        <is>
          <t>A dish rack is a specialized kitchen organizer designed to air-dry washed dishes, cutlery, and cookware, featuring slots, compartments, and a drainage tray to keep counters dry and clutter-free</t>
        </is>
      </c>
      <c r="AT530" s="3" t="inlineStr">
        <is>
          <t>60 mins</t>
        </is>
      </c>
    </row>
    <row r="531" ht="15.75" customHeight="1">
      <c r="A531" s="3" t="inlineStr">
        <is>
          <t>PROD_0126</t>
        </is>
      </c>
      <c r="B531" s="3" t="inlineStr">
        <is>
          <t>VAR_1</t>
        </is>
      </c>
      <c r="C531" s="3" t="inlineStr">
        <is>
          <t>Modular Hardware</t>
        </is>
      </c>
      <c r="D531" s="3" t="inlineStr">
        <is>
          <t>Kitchen Accessories</t>
        </is>
      </c>
      <c r="E531" s="3" t="inlineStr">
        <is>
          <t>Hettich</t>
        </is>
      </c>
      <c r="F531" s="3" t="inlineStr">
        <is>
          <t>Bottle Pull out</t>
        </is>
      </c>
      <c r="H531" s="3" t="inlineStr">
        <is>
          <t>Cabinet Size</t>
        </is>
      </c>
      <c r="I531" s="3" t="inlineStr">
        <is>
          <t>515 mm X 590 mm X 112 mm</t>
        </is>
      </c>
      <c r="L531" s="3" t="inlineStr">
        <is>
          <t>Width</t>
        </is>
      </c>
      <c r="M531" s="3" t="inlineStr">
        <is>
          <t>150 mm</t>
        </is>
      </c>
      <c r="Q531" s="3" t="inlineStr">
        <is>
          <t>Manufacturer's Warranty</t>
        </is>
      </c>
      <c r="R531" s="3" t="n">
        <v>9191703</v>
      </c>
      <c r="Y531" s="3" t="inlineStr">
        <is>
          <t>HT_KA_BPO</t>
        </is>
      </c>
      <c r="Z531" s="3" t="n">
        <v>73239390</v>
      </c>
      <c r="AE531" s="3" t="n">
        <v>4331</v>
      </c>
      <c r="AF531" s="4" t="n">
        <v>0.45</v>
      </c>
      <c r="AG531" s="3">
        <f>ROUND(AE531-(AE531*AF531),2)</f>
        <v/>
      </c>
      <c r="AH531" s="4" t="n">
        <v>0.18</v>
      </c>
      <c r="AI531" s="3">
        <f>ROUND(AG531+(AG531*AH531),2)</f>
        <v/>
      </c>
      <c r="AJ531" s="4" t="n">
        <v>0.2</v>
      </c>
      <c r="AK531" s="3">
        <f>ROUND(AI531*AJ531,2)</f>
        <v/>
      </c>
      <c r="AL531" s="3">
        <f>AI531+AK531</f>
        <v/>
      </c>
      <c r="AM531" s="3">
        <f>AE531-AL531</f>
        <v/>
      </c>
      <c r="AN531" s="4">
        <f>AM531/AE531</f>
        <v/>
      </c>
      <c r="AO531" s="3" t="inlineStr">
        <is>
          <t>60 mins</t>
        </is>
      </c>
      <c r="AQ531" s="3" t="inlineStr">
        <is>
          <t>Weight</t>
        </is>
      </c>
      <c r="AS531" s="3" t="inlineStr">
        <is>
          <t>A bottle pull-out is a specialized, vertical storage accessory designed for modular kitchen base cabinets, used to maximize narrow spaces by providing easy, sliding access to bottles, jars, and condiments.</t>
        </is>
      </c>
      <c r="AT531" s="3" t="inlineStr">
        <is>
          <t>On Demand</t>
        </is>
      </c>
    </row>
    <row r="532" ht="15.75" customHeight="1">
      <c r="A532" s="3" t="inlineStr">
        <is>
          <t>PROD_0126</t>
        </is>
      </c>
      <c r="B532" s="3" t="inlineStr">
        <is>
          <t>VAR_2</t>
        </is>
      </c>
      <c r="C532" s="3" t="inlineStr">
        <is>
          <t>Modular Hardware</t>
        </is>
      </c>
      <c r="D532" s="3" t="inlineStr">
        <is>
          <t>Kitchen Accessories</t>
        </is>
      </c>
      <c r="E532" s="3" t="inlineStr">
        <is>
          <t>Hettich</t>
        </is>
      </c>
      <c r="F532" s="3" t="inlineStr">
        <is>
          <t>Bottle Pull out</t>
        </is>
      </c>
      <c r="H532" s="3" t="inlineStr">
        <is>
          <t>Cabinet Size</t>
        </is>
      </c>
      <c r="I532" s="3" t="inlineStr">
        <is>
          <t>515 mm X 590 mm X 162 mm</t>
        </is>
      </c>
      <c r="L532" s="3" t="inlineStr">
        <is>
          <t>Width</t>
        </is>
      </c>
      <c r="M532" s="3" t="inlineStr">
        <is>
          <t>200 mm</t>
        </is>
      </c>
      <c r="Q532" s="3" t="inlineStr">
        <is>
          <t>Manufacturer's Warranty</t>
        </is>
      </c>
      <c r="R532" s="3" t="n">
        <v>9191708</v>
      </c>
      <c r="Y532" s="3" t="inlineStr">
        <is>
          <t>HT_KA_BPO</t>
        </is>
      </c>
      <c r="Z532" s="3" t="n">
        <v>73239390</v>
      </c>
      <c r="AE532" s="3" t="n">
        <v>5141</v>
      </c>
      <c r="AF532" s="4" t="n">
        <v>0.45</v>
      </c>
      <c r="AG532" s="3">
        <f>ROUND(AE532-(AE532*AF532),2)</f>
        <v/>
      </c>
      <c r="AH532" s="4" t="n">
        <v>0.18</v>
      </c>
      <c r="AI532" s="3">
        <f>ROUND(AG532+(AG532*AH532),2)</f>
        <v/>
      </c>
      <c r="AJ532" s="4" t="n">
        <v>0.2</v>
      </c>
      <c r="AK532" s="3">
        <f>ROUND(AI532*AJ532,2)</f>
        <v/>
      </c>
      <c r="AL532" s="3">
        <f>AI532+AK532</f>
        <v/>
      </c>
      <c r="AM532" s="3">
        <f>AE532-AL532</f>
        <v/>
      </c>
      <c r="AN532" s="4">
        <f>AM532/AE532</f>
        <v/>
      </c>
      <c r="AO532" s="3" t="inlineStr">
        <is>
          <t>60 mins</t>
        </is>
      </c>
      <c r="AQ532" s="3" t="inlineStr">
        <is>
          <t>Weight</t>
        </is>
      </c>
      <c r="AS532" s="3" t="inlineStr">
        <is>
          <t>A bottle pull-out is a specialized, vertical storage accessory designed for modular kitchen base cabinets, used to maximize narrow spaces by providing easy, sliding access to bottles, jars, and condiments.</t>
        </is>
      </c>
      <c r="AT532" s="3" t="inlineStr">
        <is>
          <t>On Demand</t>
        </is>
      </c>
    </row>
    <row r="533" ht="15.75" customHeight="1">
      <c r="A533" s="3" t="inlineStr">
        <is>
          <t>PROD_0126</t>
        </is>
      </c>
      <c r="B533" s="3" t="inlineStr">
        <is>
          <t>VAR_3</t>
        </is>
      </c>
      <c r="C533" s="3" t="inlineStr">
        <is>
          <t>Modular Hardware</t>
        </is>
      </c>
      <c r="D533" s="3" t="inlineStr">
        <is>
          <t>Kitchen Accessories</t>
        </is>
      </c>
      <c r="E533" s="3" t="inlineStr">
        <is>
          <t>Hettich</t>
        </is>
      </c>
      <c r="F533" s="3" t="inlineStr">
        <is>
          <t>Bottle Pull out</t>
        </is>
      </c>
      <c r="H533" s="3" t="inlineStr">
        <is>
          <t>Cabinet Size</t>
        </is>
      </c>
      <c r="I533" s="3" t="inlineStr">
        <is>
          <t>515 mm X 590 mm X 204 mm</t>
        </is>
      </c>
      <c r="L533" s="3" t="inlineStr">
        <is>
          <t>Width</t>
        </is>
      </c>
      <c r="M533" s="3" t="inlineStr">
        <is>
          <t>240 mm</t>
        </is>
      </c>
      <c r="Q533" s="3" t="inlineStr">
        <is>
          <t>Manufacturer's Warranty</t>
        </is>
      </c>
      <c r="R533" s="3" t="n">
        <v>9247908</v>
      </c>
      <c r="Y533" s="3" t="inlineStr">
        <is>
          <t>HT_KA_BPO</t>
        </is>
      </c>
      <c r="Z533" s="3" t="n">
        <v>73239390</v>
      </c>
      <c r="AE533" s="3" t="n">
        <v>5715</v>
      </c>
      <c r="AF533" s="4" t="n">
        <v>0.45</v>
      </c>
      <c r="AG533" s="3">
        <f>ROUND(AE533-(AE533*AF533),2)</f>
        <v/>
      </c>
      <c r="AH533" s="4" t="n">
        <v>0.18</v>
      </c>
      <c r="AI533" s="3">
        <f>ROUND(AG533+(AG533*AH533),2)</f>
        <v/>
      </c>
      <c r="AJ533" s="4" t="n">
        <v>0.2</v>
      </c>
      <c r="AK533" s="3">
        <f>ROUND(AI533*AJ533,2)</f>
        <v/>
      </c>
      <c r="AL533" s="3">
        <f>AI533+AK533</f>
        <v/>
      </c>
      <c r="AM533" s="3">
        <f>AE533-AL533</f>
        <v/>
      </c>
      <c r="AN533" s="4">
        <f>AM533/AE533</f>
        <v/>
      </c>
      <c r="AO533" s="3" t="inlineStr">
        <is>
          <t>60 mins</t>
        </is>
      </c>
      <c r="AQ533" s="3" t="inlineStr">
        <is>
          <t>Weight</t>
        </is>
      </c>
      <c r="AS533" s="3" t="inlineStr">
        <is>
          <t>A bottle pull-out is a specialized, vertical storage accessory designed for modular kitchen base cabinets, used to maximize narrow spaces by providing easy, sliding access to bottles, jars, and condiments.</t>
        </is>
      </c>
      <c r="AT533" s="3" t="inlineStr">
        <is>
          <t>On Demand</t>
        </is>
      </c>
    </row>
    <row r="534" ht="15.75" customHeight="1">
      <c r="A534" s="3" t="inlineStr">
        <is>
          <t>PROD_0126</t>
        </is>
      </c>
      <c r="B534" s="3" t="inlineStr">
        <is>
          <t>VAR_4</t>
        </is>
      </c>
      <c r="C534" s="3" t="inlineStr">
        <is>
          <t>Modular Hardware</t>
        </is>
      </c>
      <c r="D534" s="3" t="inlineStr">
        <is>
          <t>Kitchen Accessories</t>
        </is>
      </c>
      <c r="E534" s="3" t="inlineStr">
        <is>
          <t>Hettich</t>
        </is>
      </c>
      <c r="F534" s="3" t="inlineStr">
        <is>
          <t>Bottle Pull out</t>
        </is>
      </c>
      <c r="H534" s="3" t="inlineStr">
        <is>
          <t>Cabinet Size</t>
        </is>
      </c>
      <c r="I534" s="3" t="inlineStr">
        <is>
          <t>515 mm X 590 mm X 262 mm</t>
        </is>
      </c>
      <c r="L534" s="3" t="inlineStr">
        <is>
          <t>Width</t>
        </is>
      </c>
      <c r="M534" s="3" t="inlineStr">
        <is>
          <t>300 mm</t>
        </is>
      </c>
      <c r="Q534" s="3" t="inlineStr">
        <is>
          <t>Manufacturer's Warranty</t>
        </is>
      </c>
      <c r="R534" s="3" t="n">
        <v>9191711</v>
      </c>
      <c r="Y534" s="3" t="inlineStr">
        <is>
          <t>HT_KA_BPO</t>
        </is>
      </c>
      <c r="Z534" s="3" t="n">
        <v>73239390</v>
      </c>
      <c r="AE534" s="3" t="n">
        <v>5952</v>
      </c>
      <c r="AF534" s="4" t="n">
        <v>0.45</v>
      </c>
      <c r="AG534" s="3">
        <f>ROUND(AE534-(AE534*AF534),2)</f>
        <v/>
      </c>
      <c r="AH534" s="4" t="n">
        <v>0.18</v>
      </c>
      <c r="AI534" s="3">
        <f>ROUND(AG534+(AG534*AH534),2)</f>
        <v/>
      </c>
      <c r="AJ534" s="4" t="n">
        <v>0.2</v>
      </c>
      <c r="AK534" s="3">
        <f>ROUND(AI534*AJ534,2)</f>
        <v/>
      </c>
      <c r="AL534" s="3">
        <f>AI534+AK534</f>
        <v/>
      </c>
      <c r="AM534" s="3">
        <f>AE534-AL534</f>
        <v/>
      </c>
      <c r="AN534" s="4">
        <f>AM534/AE534</f>
        <v/>
      </c>
      <c r="AO534" s="3" t="inlineStr">
        <is>
          <t>60 mins</t>
        </is>
      </c>
      <c r="AQ534" s="3" t="inlineStr">
        <is>
          <t>Weight</t>
        </is>
      </c>
      <c r="AS534" s="3" t="inlineStr">
        <is>
          <t>A bottle pull-out is a specialized, vertical storage accessory designed for modular kitchen base cabinets, used to maximize narrow spaces by providing easy, sliding access to bottles, jars, and condiments.</t>
        </is>
      </c>
      <c r="AT534" s="3" t="inlineStr">
        <is>
          <t>On Demand</t>
        </is>
      </c>
    </row>
    <row r="535" ht="15.75" customHeight="1">
      <c r="A535" s="3" t="inlineStr">
        <is>
          <t>PROD_0127</t>
        </is>
      </c>
      <c r="B535" s="3" t="inlineStr">
        <is>
          <t>VAR_1</t>
        </is>
      </c>
      <c r="C535" s="3" t="inlineStr">
        <is>
          <t>Modular Hardware</t>
        </is>
      </c>
      <c r="D535" s="3" t="inlineStr">
        <is>
          <t>Kitchen Accessories</t>
        </is>
      </c>
      <c r="E535" s="3" t="inlineStr">
        <is>
          <t>Hettich</t>
        </is>
      </c>
      <c r="F535" s="3" t="inlineStr">
        <is>
          <t>Plain Wire Basket</t>
        </is>
      </c>
      <c r="H535" s="3" t="inlineStr">
        <is>
          <t>Finish</t>
        </is>
      </c>
      <c r="I535" s="3" t="inlineStr">
        <is>
          <t>Stainless Steel</t>
        </is>
      </c>
      <c r="J535" s="3" t="inlineStr">
        <is>
          <t>Dimensions</t>
        </is>
      </c>
      <c r="K535" s="3" t="inlineStr">
        <is>
          <t>500 mm X 386 mm X 100 mm</t>
        </is>
      </c>
      <c r="L535" s="3" t="inlineStr">
        <is>
          <t>Width</t>
        </is>
      </c>
      <c r="M535" s="3" t="inlineStr">
        <is>
          <t>450 mm</t>
        </is>
      </c>
      <c r="Q535" s="3" t="inlineStr">
        <is>
          <t>Manufacturer's Warranty</t>
        </is>
      </c>
      <c r="R535" s="3" t="n">
        <v>9190382</v>
      </c>
      <c r="Y535" s="3" t="inlineStr">
        <is>
          <t>HT_KA_PW_BASKET_1</t>
        </is>
      </c>
      <c r="Z535" s="3" t="n">
        <v>73239390</v>
      </c>
      <c r="AE535" s="3" t="n">
        <v>2500</v>
      </c>
      <c r="AF535" s="4" t="n">
        <v>0.45</v>
      </c>
      <c r="AG535" s="3">
        <f>ROUND(AE535-(AE535*AF535),2)</f>
        <v/>
      </c>
      <c r="AH535" s="4" t="n">
        <v>0.18</v>
      </c>
      <c r="AI535" s="3">
        <f>ROUND(AG535+(AG535*AH535),2)</f>
        <v/>
      </c>
      <c r="AJ535" s="4" t="n">
        <v>0.2</v>
      </c>
      <c r="AK535" s="3">
        <f>ROUND(AI535*AJ535,2)</f>
        <v/>
      </c>
      <c r="AL535" s="3">
        <f>AI535+AK535</f>
        <v/>
      </c>
      <c r="AM535" s="3">
        <f>AE535-AL535</f>
        <v/>
      </c>
      <c r="AN535" s="4">
        <f>AM535/AE535</f>
        <v/>
      </c>
      <c r="AO535" s="3" t="inlineStr">
        <is>
          <t>60 mins</t>
        </is>
      </c>
      <c r="AQ535" s="3" t="inlineStr">
        <is>
          <t>Weight</t>
        </is>
      </c>
      <c r="AS535" s="3" t="inlineStr">
        <is>
          <t xml:space="preserve">Wire baskets for the kitchen are durable, open-structure storage containers typically made from rust-resistant, high-grade stainless steel or coated iron, designed to facilitate airflow and visibility. </t>
        </is>
      </c>
      <c r="AT535" s="3" t="inlineStr">
        <is>
          <t>3 hrs</t>
        </is>
      </c>
    </row>
    <row r="536" ht="15.75" customHeight="1">
      <c r="A536" s="3" t="inlineStr">
        <is>
          <t>PROD_0127</t>
        </is>
      </c>
      <c r="B536" s="3" t="inlineStr">
        <is>
          <t>VAR_2</t>
        </is>
      </c>
      <c r="C536" s="3" t="inlineStr">
        <is>
          <t>Modular Hardware</t>
        </is>
      </c>
      <c r="D536" s="3" t="inlineStr">
        <is>
          <t>Kitchen Accessories</t>
        </is>
      </c>
      <c r="E536" s="3" t="inlineStr">
        <is>
          <t>Hettich</t>
        </is>
      </c>
      <c r="F536" s="3" t="inlineStr">
        <is>
          <t>Plain Wire Basket</t>
        </is>
      </c>
      <c r="H536" s="3" t="inlineStr">
        <is>
          <t>Finish</t>
        </is>
      </c>
      <c r="I536" s="3" t="inlineStr">
        <is>
          <t>Stainless Steel</t>
        </is>
      </c>
      <c r="J536" s="3" t="inlineStr">
        <is>
          <t>Dimensions</t>
        </is>
      </c>
      <c r="K536" s="3" t="inlineStr">
        <is>
          <t>500 mm X 386 mm X 150 mm</t>
        </is>
      </c>
      <c r="L536" s="3" t="inlineStr">
        <is>
          <t>Width</t>
        </is>
      </c>
      <c r="M536" s="3" t="inlineStr">
        <is>
          <t>450 mm</t>
        </is>
      </c>
      <c r="Q536" s="3" t="inlineStr">
        <is>
          <t>Manufacturer's Warranty</t>
        </is>
      </c>
      <c r="R536" s="3" t="n">
        <v>9190383</v>
      </c>
      <c r="Y536" s="3" t="inlineStr">
        <is>
          <t>HT_KA_PW_BASKET_2</t>
        </is>
      </c>
      <c r="Z536" s="3" t="n">
        <v>73239390</v>
      </c>
      <c r="AE536" s="3" t="n">
        <v>3030</v>
      </c>
      <c r="AF536" s="4" t="n">
        <v>0.45</v>
      </c>
      <c r="AG536" s="3">
        <f>ROUND(AE536-(AE536*AF536),2)</f>
        <v/>
      </c>
      <c r="AH536" s="4" t="n">
        <v>0.18</v>
      </c>
      <c r="AI536" s="3">
        <f>ROUND(AG536+(AG536*AH536),2)</f>
        <v/>
      </c>
      <c r="AJ536" s="4" t="n">
        <v>0.2</v>
      </c>
      <c r="AK536" s="3">
        <f>ROUND(AI536*AJ536,2)</f>
        <v/>
      </c>
      <c r="AL536" s="3">
        <f>AI536+AK536</f>
        <v/>
      </c>
      <c r="AM536" s="3">
        <f>AE536-AL536</f>
        <v/>
      </c>
      <c r="AN536" s="4">
        <f>AM536/AE536</f>
        <v/>
      </c>
      <c r="AO536" s="3" t="inlineStr">
        <is>
          <t>60 mins</t>
        </is>
      </c>
      <c r="AQ536" s="3" t="inlineStr">
        <is>
          <t>Weight</t>
        </is>
      </c>
      <c r="AS536" s="3" t="inlineStr">
        <is>
          <t xml:space="preserve">Wire baskets for the kitchen are durable, open-structure storage containers typically made from rust-resistant, high-grade stainless steel or coated iron, designed to facilitate airflow and visibility. </t>
        </is>
      </c>
      <c r="AT536" s="3" t="inlineStr">
        <is>
          <t>3 hrs</t>
        </is>
      </c>
    </row>
    <row r="537" ht="15.75" customHeight="1">
      <c r="A537" s="3" t="inlineStr">
        <is>
          <t>PROD_0127</t>
        </is>
      </c>
      <c r="B537" s="3" t="inlineStr">
        <is>
          <t>VAR_3</t>
        </is>
      </c>
      <c r="C537" s="3" t="inlineStr">
        <is>
          <t>Modular Hardware</t>
        </is>
      </c>
      <c r="D537" s="3" t="inlineStr">
        <is>
          <t>Kitchen Accessories</t>
        </is>
      </c>
      <c r="E537" s="3" t="inlineStr">
        <is>
          <t>Hettich</t>
        </is>
      </c>
      <c r="F537" s="3" t="inlineStr">
        <is>
          <t>Plain Wire Basket</t>
        </is>
      </c>
      <c r="H537" s="3" t="inlineStr">
        <is>
          <t>Finish</t>
        </is>
      </c>
      <c r="I537" s="3" t="inlineStr">
        <is>
          <t>Stainless Steel</t>
        </is>
      </c>
      <c r="J537" s="3" t="inlineStr">
        <is>
          <t>Dimensions</t>
        </is>
      </c>
      <c r="K537" s="3" t="inlineStr">
        <is>
          <t>500 mm X 386 mm X 200 mm</t>
        </is>
      </c>
      <c r="L537" s="3" t="inlineStr">
        <is>
          <t>Width</t>
        </is>
      </c>
      <c r="M537" s="3" t="inlineStr">
        <is>
          <t>450 mm</t>
        </is>
      </c>
      <c r="Q537" s="3" t="inlineStr">
        <is>
          <t>Manufacturer's Warranty</t>
        </is>
      </c>
      <c r="R537" s="3" t="n">
        <v>9190384</v>
      </c>
      <c r="Y537" s="3" t="inlineStr">
        <is>
          <t>HT_KA_PW_BASKET_3</t>
        </is>
      </c>
      <c r="Z537" s="3" t="n">
        <v>73239390</v>
      </c>
      <c r="AE537" s="3" t="n">
        <v>3445</v>
      </c>
      <c r="AF537" s="4" t="n">
        <v>0.45</v>
      </c>
      <c r="AG537" s="3">
        <f>ROUND(AE537-(AE537*AF537),2)</f>
        <v/>
      </c>
      <c r="AH537" s="4" t="n">
        <v>0.18</v>
      </c>
      <c r="AI537" s="3">
        <f>ROUND(AG537+(AG537*AH537),2)</f>
        <v/>
      </c>
      <c r="AJ537" s="4" t="n">
        <v>0.2</v>
      </c>
      <c r="AK537" s="3">
        <f>ROUND(AI537*AJ537,2)</f>
        <v/>
      </c>
      <c r="AL537" s="3">
        <f>AI537+AK537</f>
        <v/>
      </c>
      <c r="AM537" s="3">
        <f>AE537-AL537</f>
        <v/>
      </c>
      <c r="AN537" s="4">
        <f>AM537/AE537</f>
        <v/>
      </c>
      <c r="AO537" s="3" t="inlineStr">
        <is>
          <t>60 mins</t>
        </is>
      </c>
      <c r="AQ537" s="3" t="inlineStr">
        <is>
          <t>Weight</t>
        </is>
      </c>
      <c r="AS537" s="3" t="inlineStr">
        <is>
          <t xml:space="preserve">Wire baskets for the kitchen are durable, open-structure storage containers typically made from rust-resistant, high-grade stainless steel or coated iron, designed to facilitate airflow and visibility. </t>
        </is>
      </c>
      <c r="AT537" s="3" t="inlineStr">
        <is>
          <t>3 hrs</t>
        </is>
      </c>
    </row>
    <row r="538" ht="15.75" customHeight="1">
      <c r="A538" s="3" t="inlineStr">
        <is>
          <t>PROD_0127</t>
        </is>
      </c>
      <c r="B538" s="3" t="inlineStr">
        <is>
          <t>VAR_4</t>
        </is>
      </c>
      <c r="C538" s="3" t="inlineStr">
        <is>
          <t>Modular Hardware</t>
        </is>
      </c>
      <c r="D538" s="3" t="inlineStr">
        <is>
          <t>Kitchen Accessories</t>
        </is>
      </c>
      <c r="E538" s="3" t="inlineStr">
        <is>
          <t>Hettich</t>
        </is>
      </c>
      <c r="F538" s="3" t="inlineStr">
        <is>
          <t>Plain Wire Basket</t>
        </is>
      </c>
      <c r="H538" s="3" t="inlineStr">
        <is>
          <t>Finish</t>
        </is>
      </c>
      <c r="I538" s="3" t="inlineStr">
        <is>
          <t>Stainless Steel</t>
        </is>
      </c>
      <c r="J538" s="3" t="inlineStr">
        <is>
          <t>Dimensions</t>
        </is>
      </c>
      <c r="K538" s="3" t="inlineStr">
        <is>
          <t>500 mm X 436 mm X 100 mm</t>
        </is>
      </c>
      <c r="L538" s="3" t="inlineStr">
        <is>
          <t>Width</t>
        </is>
      </c>
      <c r="M538" s="3" t="inlineStr">
        <is>
          <t>450 mm</t>
        </is>
      </c>
      <c r="Q538" s="3" t="inlineStr">
        <is>
          <t>Manufacturer's Warranty</t>
        </is>
      </c>
      <c r="R538" s="3" t="n">
        <v>9190385</v>
      </c>
      <c r="Y538" s="3" t="inlineStr">
        <is>
          <t>HT_KA_PW_BASKET_1</t>
        </is>
      </c>
      <c r="Z538" s="3" t="n">
        <v>73239390</v>
      </c>
      <c r="AE538" s="3" t="n">
        <v>2615</v>
      </c>
      <c r="AF538" s="4" t="n">
        <v>0.45</v>
      </c>
      <c r="AG538" s="3">
        <f>ROUND(AE538-(AE538*AF538),2)</f>
        <v/>
      </c>
      <c r="AH538" s="4" t="n">
        <v>0.18</v>
      </c>
      <c r="AI538" s="3">
        <f>ROUND(AG538+(AG538*AH538),2)</f>
        <v/>
      </c>
      <c r="AJ538" s="4" t="n">
        <v>0.2</v>
      </c>
      <c r="AK538" s="3">
        <f>ROUND(AI538*AJ538,2)</f>
        <v/>
      </c>
      <c r="AL538" s="3">
        <f>AI538+AK538</f>
        <v/>
      </c>
      <c r="AM538" s="3">
        <f>AE538-AL538</f>
        <v/>
      </c>
      <c r="AN538" s="4">
        <f>AM538/AE538</f>
        <v/>
      </c>
      <c r="AO538" s="3" t="inlineStr">
        <is>
          <t>60 mins</t>
        </is>
      </c>
      <c r="AQ538" s="3" t="inlineStr">
        <is>
          <t>Weight</t>
        </is>
      </c>
      <c r="AS538" s="3" t="inlineStr">
        <is>
          <t xml:space="preserve">Wire baskets for the kitchen are durable, open-structure storage containers typically made from rust-resistant, high-grade stainless steel or coated iron, designed to facilitate airflow and visibility. </t>
        </is>
      </c>
      <c r="AT538" s="3" t="inlineStr">
        <is>
          <t>3 hrs</t>
        </is>
      </c>
    </row>
    <row r="539" ht="15.75" customHeight="1">
      <c r="A539" s="3" t="inlineStr">
        <is>
          <t>PROD_0127</t>
        </is>
      </c>
      <c r="B539" s="3" t="inlineStr">
        <is>
          <t>VAR_5</t>
        </is>
      </c>
      <c r="C539" s="3" t="inlineStr">
        <is>
          <t>Modular Hardware</t>
        </is>
      </c>
      <c r="D539" s="3" t="inlineStr">
        <is>
          <t>Kitchen Accessories</t>
        </is>
      </c>
      <c r="E539" s="3" t="inlineStr">
        <is>
          <t>Hettich</t>
        </is>
      </c>
      <c r="F539" s="3" t="inlineStr">
        <is>
          <t>Plain Wire Basket</t>
        </is>
      </c>
      <c r="H539" s="3" t="inlineStr">
        <is>
          <t>Finish</t>
        </is>
      </c>
      <c r="I539" s="3" t="inlineStr">
        <is>
          <t>Stainless Steel</t>
        </is>
      </c>
      <c r="J539" s="3" t="inlineStr">
        <is>
          <t>Dimensions</t>
        </is>
      </c>
      <c r="K539" s="3" t="inlineStr">
        <is>
          <t>500 mm X 436 mm X 150 mm</t>
        </is>
      </c>
      <c r="L539" s="3" t="inlineStr">
        <is>
          <t>Width</t>
        </is>
      </c>
      <c r="M539" s="3" t="inlineStr">
        <is>
          <t>450 mm</t>
        </is>
      </c>
      <c r="Q539" s="3" t="inlineStr">
        <is>
          <t>Manufacturer's Warranty</t>
        </is>
      </c>
      <c r="R539" s="3" t="n">
        <v>9190386</v>
      </c>
      <c r="Y539" s="3" t="inlineStr">
        <is>
          <t>HT_KA_PW_BASKET_2</t>
        </is>
      </c>
      <c r="Z539" s="3" t="n">
        <v>73239390</v>
      </c>
      <c r="AE539" s="3" t="n">
        <v>3086</v>
      </c>
      <c r="AF539" s="4" t="n">
        <v>0.45</v>
      </c>
      <c r="AG539" s="3">
        <f>ROUND(AE539-(AE539*AF539),2)</f>
        <v/>
      </c>
      <c r="AH539" s="4" t="n">
        <v>0.18</v>
      </c>
      <c r="AI539" s="3">
        <f>ROUND(AG539+(AG539*AH539),2)</f>
        <v/>
      </c>
      <c r="AJ539" s="4" t="n">
        <v>0.2</v>
      </c>
      <c r="AK539" s="3">
        <f>ROUND(AI539*AJ539,2)</f>
        <v/>
      </c>
      <c r="AL539" s="3">
        <f>AI539+AK539</f>
        <v/>
      </c>
      <c r="AM539" s="3">
        <f>AE539-AL539</f>
        <v/>
      </c>
      <c r="AN539" s="4">
        <f>AM539/AE539</f>
        <v/>
      </c>
      <c r="AO539" s="3" t="inlineStr">
        <is>
          <t>60 mins</t>
        </is>
      </c>
      <c r="AQ539" s="3" t="inlineStr">
        <is>
          <t>Weight</t>
        </is>
      </c>
      <c r="AS539" s="3" t="inlineStr">
        <is>
          <t xml:space="preserve">Wire baskets for the kitchen are durable, open-structure storage containers typically made from rust-resistant, high-grade stainless steel or coated iron, designed to facilitate airflow and visibility. </t>
        </is>
      </c>
      <c r="AT539" s="3" t="inlineStr">
        <is>
          <t>3 hrs</t>
        </is>
      </c>
    </row>
    <row r="540" ht="15.75" customHeight="1">
      <c r="A540" s="3" t="inlineStr">
        <is>
          <t>PROD_0127</t>
        </is>
      </c>
      <c r="B540" s="3" t="inlineStr">
        <is>
          <t>VAR_6</t>
        </is>
      </c>
      <c r="C540" s="3" t="inlineStr">
        <is>
          <t>Modular Hardware</t>
        </is>
      </c>
      <c r="D540" s="3" t="inlineStr">
        <is>
          <t>Kitchen Accessories</t>
        </is>
      </c>
      <c r="E540" s="3" t="inlineStr">
        <is>
          <t>Hettich</t>
        </is>
      </c>
      <c r="F540" s="3" t="inlineStr">
        <is>
          <t>Plain Wire Basket</t>
        </is>
      </c>
      <c r="H540" s="3" t="inlineStr">
        <is>
          <t>Finish</t>
        </is>
      </c>
      <c r="I540" s="3" t="inlineStr">
        <is>
          <t>Stainless Steel</t>
        </is>
      </c>
      <c r="J540" s="3" t="inlineStr">
        <is>
          <t>Dimensions</t>
        </is>
      </c>
      <c r="K540" s="3" t="inlineStr">
        <is>
          <t>500 mm X 436 mm X 200 mm</t>
        </is>
      </c>
      <c r="L540" s="3" t="inlineStr">
        <is>
          <t>Width</t>
        </is>
      </c>
      <c r="M540" s="3" t="inlineStr">
        <is>
          <t>450 mm</t>
        </is>
      </c>
      <c r="Q540" s="3" t="inlineStr">
        <is>
          <t>Manufacturer's Warranty</t>
        </is>
      </c>
      <c r="R540" s="3" t="n">
        <v>9190387</v>
      </c>
      <c r="Y540" s="3" t="inlineStr">
        <is>
          <t>HT_KA_PW_BASKET_3</t>
        </is>
      </c>
      <c r="Z540" s="3" t="n">
        <v>73239390</v>
      </c>
      <c r="AE540" s="3" t="n">
        <v>3771</v>
      </c>
      <c r="AF540" s="4" t="n">
        <v>0.45</v>
      </c>
      <c r="AG540" s="3">
        <f>ROUND(AE540-(AE540*AF540),2)</f>
        <v/>
      </c>
      <c r="AH540" s="4" t="n">
        <v>0.18</v>
      </c>
      <c r="AI540" s="3">
        <f>ROUND(AG540+(AG540*AH540),2)</f>
        <v/>
      </c>
      <c r="AJ540" s="4" t="n">
        <v>0.2</v>
      </c>
      <c r="AK540" s="3">
        <f>ROUND(AI540*AJ540,2)</f>
        <v/>
      </c>
      <c r="AL540" s="3">
        <f>AI540+AK540</f>
        <v/>
      </c>
      <c r="AM540" s="3">
        <f>AE540-AL540</f>
        <v/>
      </c>
      <c r="AN540" s="4">
        <f>AM540/AE540</f>
        <v/>
      </c>
      <c r="AO540" s="3" t="inlineStr">
        <is>
          <t>60 mins</t>
        </is>
      </c>
      <c r="AQ540" s="3" t="inlineStr">
        <is>
          <t>Weight</t>
        </is>
      </c>
      <c r="AS540" s="3" t="inlineStr">
        <is>
          <t xml:space="preserve">Wire baskets for the kitchen are durable, open-structure storage containers typically made from rust-resistant, high-grade stainless steel or coated iron, designed to facilitate airflow and visibility. </t>
        </is>
      </c>
      <c r="AT540" s="3" t="inlineStr">
        <is>
          <t>3 hrs</t>
        </is>
      </c>
    </row>
    <row r="541" ht="15.75" customHeight="1">
      <c r="A541" s="3" t="inlineStr">
        <is>
          <t>PROD_0127</t>
        </is>
      </c>
      <c r="B541" s="3" t="inlineStr">
        <is>
          <t>VAR_7</t>
        </is>
      </c>
      <c r="C541" s="3" t="inlineStr">
        <is>
          <t>Modular Hardware</t>
        </is>
      </c>
      <c r="D541" s="3" t="inlineStr">
        <is>
          <t>Kitchen Accessories</t>
        </is>
      </c>
      <c r="E541" s="3" t="inlineStr">
        <is>
          <t>Hettich</t>
        </is>
      </c>
      <c r="F541" s="3" t="inlineStr">
        <is>
          <t>Plain Wire Basket</t>
        </is>
      </c>
      <c r="H541" s="3" t="inlineStr">
        <is>
          <t>Finish</t>
        </is>
      </c>
      <c r="I541" s="3" t="inlineStr">
        <is>
          <t>Stainless Steel</t>
        </is>
      </c>
      <c r="J541" s="3" t="inlineStr">
        <is>
          <t>Dimensions</t>
        </is>
      </c>
      <c r="K541" s="3" t="inlineStr">
        <is>
          <t>500 mm X 486 mm X 100 mm</t>
        </is>
      </c>
      <c r="L541" s="3" t="inlineStr">
        <is>
          <t>Width</t>
        </is>
      </c>
      <c r="M541" s="3" t="inlineStr">
        <is>
          <t>550 mm</t>
        </is>
      </c>
      <c r="Q541" s="3" t="inlineStr">
        <is>
          <t>Manufacturer's Warranty</t>
        </is>
      </c>
      <c r="R541" s="3" t="n">
        <v>9190388</v>
      </c>
      <c r="Y541" s="3" t="inlineStr">
        <is>
          <t>HT_KA_PW_BASKET_1</t>
        </is>
      </c>
      <c r="Z541" s="3" t="n">
        <v>73239390</v>
      </c>
      <c r="AE541" s="3" t="n">
        <v>2748</v>
      </c>
      <c r="AF541" s="4" t="n">
        <v>0.45</v>
      </c>
      <c r="AG541" s="3">
        <f>ROUND(AE541-(AE541*AF541),2)</f>
        <v/>
      </c>
      <c r="AH541" s="4" t="n">
        <v>0.18</v>
      </c>
      <c r="AI541" s="3">
        <f>ROUND(AG541+(AG541*AH541),2)</f>
        <v/>
      </c>
      <c r="AJ541" s="4" t="n">
        <v>0.2</v>
      </c>
      <c r="AK541" s="3">
        <f>ROUND(AI541*AJ541,2)</f>
        <v/>
      </c>
      <c r="AL541" s="3">
        <f>AI541+AK541</f>
        <v/>
      </c>
      <c r="AM541" s="3">
        <f>AE541-AL541</f>
        <v/>
      </c>
      <c r="AN541" s="4">
        <f>AM541/AE541</f>
        <v/>
      </c>
      <c r="AO541" s="3" t="inlineStr">
        <is>
          <t>60 mins</t>
        </is>
      </c>
      <c r="AQ541" s="3" t="inlineStr">
        <is>
          <t>Weight</t>
        </is>
      </c>
      <c r="AS541" s="3" t="inlineStr">
        <is>
          <t xml:space="preserve">Wire baskets for the kitchen are durable, open-structure storage containers typically made from rust-resistant, high-grade stainless steel or coated iron, designed to facilitate airflow and visibility. </t>
        </is>
      </c>
      <c r="AT541" s="3" t="inlineStr">
        <is>
          <t>3 hrs</t>
        </is>
      </c>
    </row>
    <row r="542" ht="15.75" customHeight="1">
      <c r="A542" s="3" t="inlineStr">
        <is>
          <t>PROD_0127</t>
        </is>
      </c>
      <c r="B542" s="3" t="inlineStr">
        <is>
          <t>VAR_8</t>
        </is>
      </c>
      <c r="C542" s="3" t="inlineStr">
        <is>
          <t>Modular Hardware</t>
        </is>
      </c>
      <c r="D542" s="3" t="inlineStr">
        <is>
          <t>Kitchen Accessories</t>
        </is>
      </c>
      <c r="E542" s="3" t="inlineStr">
        <is>
          <t>Hettich</t>
        </is>
      </c>
      <c r="F542" s="3" t="inlineStr">
        <is>
          <t>Plain Wire Basket</t>
        </is>
      </c>
      <c r="H542" s="3" t="inlineStr">
        <is>
          <t>Finish</t>
        </is>
      </c>
      <c r="I542" s="3" t="inlineStr">
        <is>
          <t>Stainless Steel</t>
        </is>
      </c>
      <c r="J542" s="3" t="inlineStr">
        <is>
          <t>Dimensions</t>
        </is>
      </c>
      <c r="K542" s="3" t="inlineStr">
        <is>
          <t>500 mm X 486 mm X 150 mm</t>
        </is>
      </c>
      <c r="L542" s="3" t="inlineStr">
        <is>
          <t>Width</t>
        </is>
      </c>
      <c r="M542" s="3" t="inlineStr">
        <is>
          <t>550 mm</t>
        </is>
      </c>
      <c r="Q542" s="3" t="inlineStr">
        <is>
          <t>Manufacturer's Warranty</t>
        </is>
      </c>
      <c r="R542" s="3" t="n">
        <v>9190389</v>
      </c>
      <c r="Y542" s="3" t="inlineStr">
        <is>
          <t>HT_KA_PW_BASKET_2</t>
        </is>
      </c>
      <c r="Z542" s="3" t="n">
        <v>73239390</v>
      </c>
      <c r="AE542" s="3" t="n">
        <v>3320</v>
      </c>
      <c r="AF542" s="4" t="n">
        <v>0.45</v>
      </c>
      <c r="AG542" s="3">
        <f>ROUND(AE542-(AE542*AF542),2)</f>
        <v/>
      </c>
      <c r="AH542" s="4" t="n">
        <v>0.18</v>
      </c>
      <c r="AI542" s="3">
        <f>ROUND(AG542+(AG542*AH542),2)</f>
        <v/>
      </c>
      <c r="AJ542" s="4" t="n">
        <v>0.2</v>
      </c>
      <c r="AK542" s="3">
        <f>ROUND(AI542*AJ542,2)</f>
        <v/>
      </c>
      <c r="AL542" s="3">
        <f>AI542+AK542</f>
        <v/>
      </c>
      <c r="AM542" s="3">
        <f>AE542-AL542</f>
        <v/>
      </c>
      <c r="AN542" s="4">
        <f>AM542/AE542</f>
        <v/>
      </c>
      <c r="AO542" s="3" t="inlineStr">
        <is>
          <t>60 mins</t>
        </is>
      </c>
      <c r="AQ542" s="3" t="inlineStr">
        <is>
          <t>Weight</t>
        </is>
      </c>
      <c r="AS542" s="3" t="inlineStr">
        <is>
          <t xml:space="preserve">Wire baskets for the kitchen are durable, open-structure storage containers typically made from rust-resistant, high-grade stainless steel or coated iron, designed to facilitate airflow and visibility. </t>
        </is>
      </c>
      <c r="AT542" s="3" t="inlineStr">
        <is>
          <t>3 hrs</t>
        </is>
      </c>
    </row>
    <row r="543" ht="15.75" customHeight="1">
      <c r="A543" s="3" t="inlineStr">
        <is>
          <t>PROD_0127</t>
        </is>
      </c>
      <c r="B543" s="3" t="inlineStr">
        <is>
          <t>VAR_9</t>
        </is>
      </c>
      <c r="C543" s="3" t="inlineStr">
        <is>
          <t>Modular Hardware</t>
        </is>
      </c>
      <c r="D543" s="3" t="inlineStr">
        <is>
          <t>Kitchen Accessories</t>
        </is>
      </c>
      <c r="E543" s="3" t="inlineStr">
        <is>
          <t>Hettich</t>
        </is>
      </c>
      <c r="F543" s="3" t="inlineStr">
        <is>
          <t>Plain Wire Basket</t>
        </is>
      </c>
      <c r="H543" s="3" t="inlineStr">
        <is>
          <t>Finish</t>
        </is>
      </c>
      <c r="I543" s="3" t="inlineStr">
        <is>
          <t>Stainless Steel</t>
        </is>
      </c>
      <c r="J543" s="3" t="inlineStr">
        <is>
          <t>Dimensions</t>
        </is>
      </c>
      <c r="K543" s="3" t="inlineStr">
        <is>
          <t>500 mm X 486 mm X 200 mm</t>
        </is>
      </c>
      <c r="L543" s="3" t="inlineStr">
        <is>
          <t>Width</t>
        </is>
      </c>
      <c r="M543" s="3" t="inlineStr">
        <is>
          <t>550 mm</t>
        </is>
      </c>
      <c r="Q543" s="3" t="inlineStr">
        <is>
          <t>Manufacturer's Warranty</t>
        </is>
      </c>
      <c r="R543" s="3" t="n">
        <v>9190390</v>
      </c>
      <c r="Y543" s="3" t="inlineStr">
        <is>
          <t>HT_KA_PW_BASKET_3</t>
        </is>
      </c>
      <c r="Z543" s="3" t="n">
        <v>73239390</v>
      </c>
      <c r="AE543" s="3" t="n">
        <v>3942</v>
      </c>
      <c r="AF543" s="4" t="n">
        <v>0.45</v>
      </c>
      <c r="AG543" s="3">
        <f>ROUND(AE543-(AE543*AF543),2)</f>
        <v/>
      </c>
      <c r="AH543" s="4" t="n">
        <v>0.18</v>
      </c>
      <c r="AI543" s="3">
        <f>ROUND(AG543+(AG543*AH543),2)</f>
        <v/>
      </c>
      <c r="AJ543" s="4" t="n">
        <v>0.2</v>
      </c>
      <c r="AK543" s="3">
        <f>ROUND(AI543*AJ543,2)</f>
        <v/>
      </c>
      <c r="AL543" s="3">
        <f>AI543+AK543</f>
        <v/>
      </c>
      <c r="AM543" s="3">
        <f>AE543-AL543</f>
        <v/>
      </c>
      <c r="AN543" s="4">
        <f>AM543/AE543</f>
        <v/>
      </c>
      <c r="AO543" s="3" t="inlineStr">
        <is>
          <t>60 mins</t>
        </is>
      </c>
      <c r="AQ543" s="3" t="inlineStr">
        <is>
          <t>Weight</t>
        </is>
      </c>
      <c r="AS543" s="3" t="inlineStr">
        <is>
          <t xml:space="preserve">Wire baskets for the kitchen are durable, open-structure storage containers typically made from rust-resistant, high-grade stainless steel or coated iron, designed to facilitate airflow and visibility. </t>
        </is>
      </c>
      <c r="AT543" s="3" t="inlineStr">
        <is>
          <t>3 hrs</t>
        </is>
      </c>
    </row>
    <row r="544" ht="15.75" customHeight="1">
      <c r="A544" s="3" t="inlineStr">
        <is>
          <t>PROD_0127</t>
        </is>
      </c>
      <c r="B544" s="3" t="inlineStr">
        <is>
          <t>VAR_10</t>
        </is>
      </c>
      <c r="C544" s="3" t="inlineStr">
        <is>
          <t>Modular Hardware</t>
        </is>
      </c>
      <c r="D544" s="3" t="inlineStr">
        <is>
          <t>Kitchen Accessories</t>
        </is>
      </c>
      <c r="E544" s="3" t="inlineStr">
        <is>
          <t>Hettich</t>
        </is>
      </c>
      <c r="F544" s="3" t="inlineStr">
        <is>
          <t>Plain Wire Basket</t>
        </is>
      </c>
      <c r="H544" s="3" t="inlineStr">
        <is>
          <t>Finish</t>
        </is>
      </c>
      <c r="I544" s="3" t="inlineStr">
        <is>
          <t>Stainless Steel</t>
        </is>
      </c>
      <c r="J544" s="3" t="inlineStr">
        <is>
          <t>Dimensions</t>
        </is>
      </c>
      <c r="K544" s="3" t="inlineStr">
        <is>
          <t>500 mm X 536 mm X 100 mm</t>
        </is>
      </c>
      <c r="L544" s="3" t="inlineStr">
        <is>
          <t>Width</t>
        </is>
      </c>
      <c r="M544" s="3" t="inlineStr">
        <is>
          <t>600 mm</t>
        </is>
      </c>
      <c r="Q544" s="3" t="inlineStr">
        <is>
          <t>Manufacturer's Warranty</t>
        </is>
      </c>
      <c r="R544" s="3" t="n">
        <v>9190401</v>
      </c>
      <c r="Y544" s="3" t="inlineStr">
        <is>
          <t>HT_KA_PW_BASKET_1</t>
        </is>
      </c>
      <c r="Z544" s="3" t="n">
        <v>73239390</v>
      </c>
      <c r="AE544" s="3" t="n">
        <v>2543</v>
      </c>
      <c r="AF544" s="4" t="n">
        <v>0.45</v>
      </c>
      <c r="AG544" s="3">
        <f>ROUND(AE544-(AE544*AF544),2)</f>
        <v/>
      </c>
      <c r="AH544" s="4" t="n">
        <v>0.18</v>
      </c>
      <c r="AI544" s="3">
        <f>ROUND(AG544+(AG544*AH544),2)</f>
        <v/>
      </c>
      <c r="AJ544" s="4" t="n">
        <v>0.2</v>
      </c>
      <c r="AK544" s="3">
        <f>ROUND(AI544*AJ544,2)</f>
        <v/>
      </c>
      <c r="AL544" s="3">
        <f>AI544+AK544</f>
        <v/>
      </c>
      <c r="AM544" s="3">
        <f>AE544-AL544</f>
        <v/>
      </c>
      <c r="AN544" s="4">
        <f>AM544/AE544</f>
        <v/>
      </c>
      <c r="AO544" s="3" t="inlineStr">
        <is>
          <t>60 mins</t>
        </is>
      </c>
      <c r="AQ544" s="3" t="inlineStr">
        <is>
          <t>Weight</t>
        </is>
      </c>
      <c r="AS544" s="3" t="inlineStr">
        <is>
          <t xml:space="preserve">Wire baskets for the kitchen are durable, open-structure storage containers typically made from rust-resistant, high-grade stainless steel or coated iron, designed to facilitate airflow and visibility. </t>
        </is>
      </c>
      <c r="AT544" s="3" t="inlineStr">
        <is>
          <t>3 hrs</t>
        </is>
      </c>
    </row>
    <row r="545" ht="15.75" customHeight="1">
      <c r="A545" s="3" t="inlineStr">
        <is>
          <t>PROD_0127</t>
        </is>
      </c>
      <c r="B545" s="3" t="inlineStr">
        <is>
          <t>VAR_11</t>
        </is>
      </c>
      <c r="C545" s="3" t="inlineStr">
        <is>
          <t>Modular Hardware</t>
        </is>
      </c>
      <c r="D545" s="3" t="inlineStr">
        <is>
          <t>Kitchen Accessories</t>
        </is>
      </c>
      <c r="E545" s="3" t="inlineStr">
        <is>
          <t>Hettich</t>
        </is>
      </c>
      <c r="F545" s="3" t="inlineStr">
        <is>
          <t>Plain Wire Basket</t>
        </is>
      </c>
      <c r="H545" s="3" t="inlineStr">
        <is>
          <t>Finish</t>
        </is>
      </c>
      <c r="I545" s="3" t="inlineStr">
        <is>
          <t>Stainless Steel</t>
        </is>
      </c>
      <c r="J545" s="3" t="inlineStr">
        <is>
          <t>Dimensions</t>
        </is>
      </c>
      <c r="K545" s="3" t="inlineStr">
        <is>
          <t>500 mm X 536 mm X 150 mm</t>
        </is>
      </c>
      <c r="L545" s="3" t="inlineStr">
        <is>
          <t>Width</t>
        </is>
      </c>
      <c r="M545" s="3" t="inlineStr">
        <is>
          <t>600 mm</t>
        </is>
      </c>
      <c r="Q545" s="3" t="inlineStr">
        <is>
          <t>Manufacturer's Warranty</t>
        </is>
      </c>
      <c r="R545" s="3" t="n">
        <v>9190402</v>
      </c>
      <c r="Y545" s="3" t="inlineStr">
        <is>
          <t>HT_KA_PW_BASKET_2</t>
        </is>
      </c>
      <c r="Z545" s="3" t="n">
        <v>73239390</v>
      </c>
      <c r="AE545" s="3" t="n">
        <v>3053</v>
      </c>
      <c r="AF545" s="4" t="n">
        <v>0.45</v>
      </c>
      <c r="AG545" s="3">
        <f>ROUND(AE545-(AE545*AF545),2)</f>
        <v/>
      </c>
      <c r="AH545" s="4" t="n">
        <v>0.18</v>
      </c>
      <c r="AI545" s="3">
        <f>ROUND(AG545+(AG545*AH545),2)</f>
        <v/>
      </c>
      <c r="AJ545" s="4" t="n">
        <v>0.2</v>
      </c>
      <c r="AK545" s="3">
        <f>ROUND(AI545*AJ545,2)</f>
        <v/>
      </c>
      <c r="AL545" s="3">
        <f>AI545+AK545</f>
        <v/>
      </c>
      <c r="AM545" s="3">
        <f>AE545-AL545</f>
        <v/>
      </c>
      <c r="AN545" s="4">
        <f>AM545/AE545</f>
        <v/>
      </c>
      <c r="AO545" s="3" t="inlineStr">
        <is>
          <t>60 mins</t>
        </is>
      </c>
      <c r="AQ545" s="3" t="inlineStr">
        <is>
          <t>Weight</t>
        </is>
      </c>
      <c r="AS545" s="3" t="inlineStr">
        <is>
          <t xml:space="preserve">Wire baskets for the kitchen are durable, open-structure storage containers typically made from rust-resistant, high-grade stainless steel or coated iron, designed to facilitate airflow and visibility. </t>
        </is>
      </c>
      <c r="AT545" s="3" t="inlineStr">
        <is>
          <t>3 hrs</t>
        </is>
      </c>
    </row>
    <row r="546" ht="15.75" customHeight="1">
      <c r="A546" s="3" t="inlineStr">
        <is>
          <t>PROD_0127</t>
        </is>
      </c>
      <c r="B546" s="3" t="inlineStr">
        <is>
          <t>VAR_12</t>
        </is>
      </c>
      <c r="C546" s="3" t="inlineStr">
        <is>
          <t>Modular Hardware</t>
        </is>
      </c>
      <c r="D546" s="3" t="inlineStr">
        <is>
          <t>Kitchen Accessories</t>
        </is>
      </c>
      <c r="E546" s="3" t="inlineStr">
        <is>
          <t>Hettich</t>
        </is>
      </c>
      <c r="F546" s="3" t="inlineStr">
        <is>
          <t>Plain Wire Basket</t>
        </is>
      </c>
      <c r="H546" s="3" t="inlineStr">
        <is>
          <t>Finish</t>
        </is>
      </c>
      <c r="I546" s="3" t="inlineStr">
        <is>
          <t>Stainless Steel</t>
        </is>
      </c>
      <c r="J546" s="3" t="inlineStr">
        <is>
          <t>Dimensions</t>
        </is>
      </c>
      <c r="K546" s="3" t="inlineStr">
        <is>
          <t>500 mm X 536 mm X 200 mm</t>
        </is>
      </c>
      <c r="L546" s="3" t="inlineStr">
        <is>
          <t>Width</t>
        </is>
      </c>
      <c r="M546" s="3" t="inlineStr">
        <is>
          <t>600 mm</t>
        </is>
      </c>
      <c r="Q546" s="3" t="inlineStr">
        <is>
          <t>Manufacturer's Warranty</t>
        </is>
      </c>
      <c r="R546" s="3" t="n">
        <v>9190403</v>
      </c>
      <c r="Y546" s="3" t="inlineStr">
        <is>
          <t>HT_KA_PW_BASKET_3</t>
        </is>
      </c>
      <c r="Z546" s="3" t="n">
        <v>73239390</v>
      </c>
      <c r="AE546" s="3" t="n">
        <v>3561</v>
      </c>
      <c r="AF546" s="4" t="n">
        <v>0.45</v>
      </c>
      <c r="AG546" s="3">
        <f>ROUND(AE546-(AE546*AF546),2)</f>
        <v/>
      </c>
      <c r="AH546" s="4" t="n">
        <v>0.18</v>
      </c>
      <c r="AI546" s="3">
        <f>ROUND(AG546+(AG546*AH546),2)</f>
        <v/>
      </c>
      <c r="AJ546" s="4" t="n">
        <v>0.2</v>
      </c>
      <c r="AK546" s="3">
        <f>ROUND(AI546*AJ546,2)</f>
        <v/>
      </c>
      <c r="AL546" s="3">
        <f>AI546+AK546</f>
        <v/>
      </c>
      <c r="AM546" s="3">
        <f>AE546-AL546</f>
        <v/>
      </c>
      <c r="AN546" s="4">
        <f>AM546/AE546</f>
        <v/>
      </c>
      <c r="AO546" s="3" t="inlineStr">
        <is>
          <t>60 mins</t>
        </is>
      </c>
      <c r="AQ546" s="3" t="inlineStr">
        <is>
          <t>Weight</t>
        </is>
      </c>
      <c r="AS546" s="3" t="inlineStr">
        <is>
          <t xml:space="preserve">Wire baskets for the kitchen are durable, open-structure storage containers typically made from rust-resistant, high-grade stainless steel or coated iron, designed to facilitate airflow and visibility. </t>
        </is>
      </c>
      <c r="AT546" s="3" t="inlineStr">
        <is>
          <t>3 hrs</t>
        </is>
      </c>
    </row>
    <row r="547" ht="15.75" customHeight="1">
      <c r="A547" s="3" t="inlineStr">
        <is>
          <t>PROD_0127</t>
        </is>
      </c>
      <c r="B547" s="3" t="inlineStr">
        <is>
          <t>VAR_13</t>
        </is>
      </c>
      <c r="C547" s="3" t="inlineStr">
        <is>
          <t>Modular Hardware</t>
        </is>
      </c>
      <c r="D547" s="3" t="inlineStr">
        <is>
          <t>Kitchen Accessories</t>
        </is>
      </c>
      <c r="E547" s="3" t="inlineStr">
        <is>
          <t>Hettich</t>
        </is>
      </c>
      <c r="F547" s="3" t="inlineStr">
        <is>
          <t>Plain Wire Basket</t>
        </is>
      </c>
      <c r="H547" s="3" t="inlineStr">
        <is>
          <t>Finish</t>
        </is>
      </c>
      <c r="I547" s="3" t="inlineStr">
        <is>
          <t>Stainless Steel</t>
        </is>
      </c>
      <c r="J547" s="3" t="inlineStr">
        <is>
          <t>Dimensions</t>
        </is>
      </c>
      <c r="K547" s="3" t="inlineStr">
        <is>
          <t>500 mm X 836 mm X 100 mm</t>
        </is>
      </c>
      <c r="L547" s="3" t="inlineStr">
        <is>
          <t>Width</t>
        </is>
      </c>
      <c r="M547" s="3" t="inlineStr">
        <is>
          <t>900 mm</t>
        </is>
      </c>
      <c r="Q547" s="3" t="inlineStr">
        <is>
          <t>Manufacturer's Warranty</t>
        </is>
      </c>
      <c r="R547" s="3" t="n">
        <v>9190404</v>
      </c>
      <c r="Y547" s="3" t="inlineStr">
        <is>
          <t>HT_KA_PW_BASKET_1</t>
        </is>
      </c>
      <c r="Z547" s="3" t="n">
        <v>73239390</v>
      </c>
      <c r="AE547" s="3" t="n">
        <v>3759</v>
      </c>
      <c r="AF547" s="4" t="n">
        <v>0.45</v>
      </c>
      <c r="AG547" s="3">
        <f>ROUND(AE547-(AE547*AF547),2)</f>
        <v/>
      </c>
      <c r="AH547" s="4" t="n">
        <v>0.18</v>
      </c>
      <c r="AI547" s="3">
        <f>ROUND(AG547+(AG547*AH547),2)</f>
        <v/>
      </c>
      <c r="AJ547" s="4" t="n">
        <v>0.2</v>
      </c>
      <c r="AK547" s="3">
        <f>ROUND(AI547*AJ547,2)</f>
        <v/>
      </c>
      <c r="AL547" s="3">
        <f>AI547+AK547</f>
        <v/>
      </c>
      <c r="AM547" s="3">
        <f>AE547-AL547</f>
        <v/>
      </c>
      <c r="AN547" s="4">
        <f>AM547/AE547</f>
        <v/>
      </c>
      <c r="AO547" s="3" t="inlineStr">
        <is>
          <t>60 mins</t>
        </is>
      </c>
      <c r="AQ547" s="3" t="inlineStr">
        <is>
          <t>Weight</t>
        </is>
      </c>
      <c r="AS547" s="3" t="inlineStr">
        <is>
          <t xml:space="preserve">Wire baskets for the kitchen are durable, open-structure storage containers typically made from rust-resistant, high-grade stainless steel or coated iron, designed to facilitate airflow and visibility. </t>
        </is>
      </c>
      <c r="AT547" s="3" t="inlineStr">
        <is>
          <t>3 hrs</t>
        </is>
      </c>
    </row>
    <row r="548" ht="15.75" customHeight="1">
      <c r="A548" s="3" t="inlineStr">
        <is>
          <t>PROD_0127</t>
        </is>
      </c>
      <c r="B548" s="3" t="inlineStr">
        <is>
          <t>VAR_14</t>
        </is>
      </c>
      <c r="C548" s="3" t="inlineStr">
        <is>
          <t>Modular Hardware</t>
        </is>
      </c>
      <c r="D548" s="3" t="inlineStr">
        <is>
          <t>Kitchen Accessories</t>
        </is>
      </c>
      <c r="E548" s="3" t="inlineStr">
        <is>
          <t>Hettich</t>
        </is>
      </c>
      <c r="F548" s="3" t="inlineStr">
        <is>
          <t>Plain Wire Basket</t>
        </is>
      </c>
      <c r="H548" s="3" t="inlineStr">
        <is>
          <t>Finish</t>
        </is>
      </c>
      <c r="I548" s="3" t="inlineStr">
        <is>
          <t>Stainless Steel</t>
        </is>
      </c>
      <c r="J548" s="3" t="inlineStr">
        <is>
          <t>Dimensions</t>
        </is>
      </c>
      <c r="K548" s="3" t="inlineStr">
        <is>
          <t>500 mm X 836 mm X 150 mm</t>
        </is>
      </c>
      <c r="L548" s="3" t="inlineStr">
        <is>
          <t>Width</t>
        </is>
      </c>
      <c r="M548" s="3" t="inlineStr">
        <is>
          <t>900 mm</t>
        </is>
      </c>
      <c r="Q548" s="3" t="inlineStr">
        <is>
          <t>Manufacturer's Warranty</t>
        </is>
      </c>
      <c r="R548" s="3" t="n">
        <v>9190405</v>
      </c>
      <c r="Y548" s="3" t="inlineStr">
        <is>
          <t>HT_KA_PW_BASKET_2</t>
        </is>
      </c>
      <c r="Z548" s="3" t="n">
        <v>73239390</v>
      </c>
      <c r="AE548" s="3" t="n">
        <v>4541</v>
      </c>
      <c r="AF548" s="4" t="n">
        <v>0.45</v>
      </c>
      <c r="AG548" s="3">
        <f>ROUND(AE548-(AE548*AF548),2)</f>
        <v/>
      </c>
      <c r="AH548" s="4" t="n">
        <v>0.18</v>
      </c>
      <c r="AI548" s="3">
        <f>ROUND(AG548+(AG548*AH548),2)</f>
        <v/>
      </c>
      <c r="AJ548" s="4" t="n">
        <v>0.2</v>
      </c>
      <c r="AK548" s="3">
        <f>ROUND(AI548*AJ548,2)</f>
        <v/>
      </c>
      <c r="AL548" s="3">
        <f>AI548+AK548</f>
        <v/>
      </c>
      <c r="AM548" s="3">
        <f>AE548-AL548</f>
        <v/>
      </c>
      <c r="AN548" s="4">
        <f>AM548/AE548</f>
        <v/>
      </c>
      <c r="AO548" s="3" t="inlineStr">
        <is>
          <t>60 mins</t>
        </is>
      </c>
      <c r="AQ548" s="3" t="inlineStr">
        <is>
          <t>Weight</t>
        </is>
      </c>
      <c r="AS548" s="3" t="inlineStr">
        <is>
          <t xml:space="preserve">Wire baskets for the kitchen are durable, open-structure storage containers typically made from rust-resistant, high-grade stainless steel or coated iron, designed to facilitate airflow and visibility. </t>
        </is>
      </c>
      <c r="AT548" s="3" t="inlineStr">
        <is>
          <t>3 hrs</t>
        </is>
      </c>
    </row>
    <row r="549" ht="15.75" customHeight="1">
      <c r="A549" s="3" t="inlineStr">
        <is>
          <t>PROD_0127</t>
        </is>
      </c>
      <c r="B549" s="3" t="inlineStr">
        <is>
          <t>VAR_15</t>
        </is>
      </c>
      <c r="C549" s="3" t="inlineStr">
        <is>
          <t>Modular Hardware</t>
        </is>
      </c>
      <c r="D549" s="3" t="inlineStr">
        <is>
          <t>Kitchen Accessories</t>
        </is>
      </c>
      <c r="E549" s="3" t="inlineStr">
        <is>
          <t>Hettich</t>
        </is>
      </c>
      <c r="F549" s="3" t="inlineStr">
        <is>
          <t>Plain Wire Basket</t>
        </is>
      </c>
      <c r="H549" s="3" t="inlineStr">
        <is>
          <t>Finish</t>
        </is>
      </c>
      <c r="I549" s="3" t="inlineStr">
        <is>
          <t>Stainless Steel</t>
        </is>
      </c>
      <c r="J549" s="3" t="inlineStr">
        <is>
          <t>Dimensions</t>
        </is>
      </c>
      <c r="K549" s="3" t="inlineStr">
        <is>
          <t>500 mm X 836 mm X 200 mm</t>
        </is>
      </c>
      <c r="L549" s="3" t="inlineStr">
        <is>
          <t>Width</t>
        </is>
      </c>
      <c r="M549" s="3" t="inlineStr">
        <is>
          <t>900 mm</t>
        </is>
      </c>
      <c r="Q549" s="3" t="inlineStr">
        <is>
          <t>Manufacturer's Warranty</t>
        </is>
      </c>
      <c r="R549" s="3" t="n">
        <v>9190406</v>
      </c>
      <c r="Y549" s="3" t="inlineStr">
        <is>
          <t>HT_KA_PW_BASKET_3</t>
        </is>
      </c>
      <c r="Z549" s="3" t="n">
        <v>73239390</v>
      </c>
      <c r="AE549" s="3" t="n">
        <v>5385</v>
      </c>
      <c r="AF549" s="4" t="n">
        <v>0.45</v>
      </c>
      <c r="AG549" s="3">
        <f>ROUND(AE549-(AE549*AF549),2)</f>
        <v/>
      </c>
      <c r="AH549" s="4" t="n">
        <v>0.18</v>
      </c>
      <c r="AI549" s="3">
        <f>ROUND(AG549+(AG549*AH549),2)</f>
        <v/>
      </c>
      <c r="AJ549" s="4" t="n">
        <v>0.2</v>
      </c>
      <c r="AK549" s="3">
        <f>ROUND(AI549*AJ549,2)</f>
        <v/>
      </c>
      <c r="AL549" s="3">
        <f>AI549+AK549</f>
        <v/>
      </c>
      <c r="AM549" s="3">
        <f>AE549-AL549</f>
        <v/>
      </c>
      <c r="AN549" s="4">
        <f>AM549/AE549</f>
        <v/>
      </c>
      <c r="AO549" s="3" t="inlineStr">
        <is>
          <t>60 mins</t>
        </is>
      </c>
      <c r="AQ549" s="3" t="inlineStr">
        <is>
          <t>Weight</t>
        </is>
      </c>
      <c r="AS549" s="3" t="inlineStr">
        <is>
          <t xml:space="preserve">Wire baskets for the kitchen are durable, open-structure storage containers typically made from rust-resistant, high-grade stainless steel or coated iron, designed to facilitate airflow and visibility. </t>
        </is>
      </c>
      <c r="AT549" s="3" t="inlineStr">
        <is>
          <t>3 hrs</t>
        </is>
      </c>
    </row>
    <row r="550" ht="15.75" customHeight="1">
      <c r="A550" s="3" t="inlineStr">
        <is>
          <t>PROD_0128</t>
        </is>
      </c>
      <c r="B550" s="3" t="inlineStr">
        <is>
          <t>VAR_1</t>
        </is>
      </c>
      <c r="C550" s="3" t="inlineStr">
        <is>
          <t>Modular Hardware</t>
        </is>
      </c>
      <c r="D550" s="3" t="inlineStr">
        <is>
          <t>Kitchen Accessories</t>
        </is>
      </c>
      <c r="E550" s="3" t="inlineStr">
        <is>
          <t>Hettich</t>
        </is>
      </c>
      <c r="F550" s="3" t="inlineStr">
        <is>
          <t>Thali Inlet Basket</t>
        </is>
      </c>
      <c r="H550" s="3" t="inlineStr">
        <is>
          <t>Finish</t>
        </is>
      </c>
      <c r="I550" s="3" t="inlineStr">
        <is>
          <t>Stainless Steel</t>
        </is>
      </c>
      <c r="J550" s="3" t="inlineStr">
        <is>
          <t>Dimensions</t>
        </is>
      </c>
      <c r="K550" s="3" t="inlineStr">
        <is>
          <t>500 mm X 386 mm X 200 mm</t>
        </is>
      </c>
      <c r="L550" s="3" t="inlineStr">
        <is>
          <t>Width</t>
        </is>
      </c>
      <c r="M550" s="3" t="inlineStr">
        <is>
          <t>450 mm</t>
        </is>
      </c>
      <c r="Q550" s="3" t="inlineStr">
        <is>
          <t>Manufacturer's Warranty</t>
        </is>
      </c>
      <c r="R550" s="3" t="n">
        <v>9194315</v>
      </c>
      <c r="Y550" s="3" t="inlineStr">
        <is>
          <t>HT_KA_TI_BASKET</t>
        </is>
      </c>
      <c r="Z550" s="3" t="n">
        <v>73239390</v>
      </c>
      <c r="AE550" s="3" t="n">
        <v>3750</v>
      </c>
      <c r="AF550" s="4" t="n">
        <v>0.45</v>
      </c>
      <c r="AG550" s="3">
        <f>ROUND(AE550-(AE550*AF550),2)</f>
        <v/>
      </c>
      <c r="AH550" s="4" t="n">
        <v>0.18</v>
      </c>
      <c r="AI550" s="3">
        <f>ROUND(AG550+(AG550*AH550),2)</f>
        <v/>
      </c>
      <c r="AJ550" s="4" t="n">
        <v>0.2</v>
      </c>
      <c r="AK550" s="3">
        <f>ROUND(AI550*AJ550,2)</f>
        <v/>
      </c>
      <c r="AL550" s="3">
        <f>AI550+AK550</f>
        <v/>
      </c>
      <c r="AM550" s="3">
        <f>AE550-AL550</f>
        <v/>
      </c>
      <c r="AN550" s="4">
        <f>AM550/AE550</f>
        <v/>
      </c>
      <c r="AO550" s="3" t="inlineStr">
        <is>
          <t>60 mins</t>
        </is>
      </c>
      <c r="AQ550" s="3" t="inlineStr">
        <is>
          <t>Weight</t>
        </is>
      </c>
      <c r="AS550" s="3" t="inlineStr">
        <is>
          <t>A thali inlet basket is a specialized, stainless steel, or chrome-plated wire mesh insert designed for modular kitchen cabinets to vertically store large plates (thalis) and deep dishes</t>
        </is>
      </c>
      <c r="AT550" s="3" t="inlineStr">
        <is>
          <t>3 hrs</t>
        </is>
      </c>
    </row>
    <row r="551" ht="15.75" customHeight="1">
      <c r="A551" s="3" t="inlineStr">
        <is>
          <t>PROD_0128</t>
        </is>
      </c>
      <c r="B551" s="3" t="inlineStr">
        <is>
          <t>VAR_2</t>
        </is>
      </c>
      <c r="C551" s="3" t="inlineStr">
        <is>
          <t>Modular Hardware</t>
        </is>
      </c>
      <c r="D551" s="3" t="inlineStr">
        <is>
          <t>Kitchen Accessories</t>
        </is>
      </c>
      <c r="E551" s="3" t="inlineStr">
        <is>
          <t>Hettich</t>
        </is>
      </c>
      <c r="F551" s="3" t="inlineStr">
        <is>
          <t>Thali Inlet Basket</t>
        </is>
      </c>
      <c r="H551" s="3" t="inlineStr">
        <is>
          <t>Finish</t>
        </is>
      </c>
      <c r="I551" s="3" t="inlineStr">
        <is>
          <t>Stainless Steel</t>
        </is>
      </c>
      <c r="J551" s="3" t="inlineStr">
        <is>
          <t>Dimensions</t>
        </is>
      </c>
      <c r="K551" s="3" t="inlineStr">
        <is>
          <t>500 mm X 436 mm X 200 mm</t>
        </is>
      </c>
      <c r="L551" s="3" t="inlineStr">
        <is>
          <t>Width</t>
        </is>
      </c>
      <c r="M551" s="3" t="inlineStr">
        <is>
          <t>500 mm</t>
        </is>
      </c>
      <c r="Q551" s="3" t="inlineStr">
        <is>
          <t>Manufacturer's Warranty</t>
        </is>
      </c>
      <c r="R551" s="3" t="n">
        <v>9194317</v>
      </c>
      <c r="Y551" s="3" t="inlineStr">
        <is>
          <t>HT_KA_TI_BASKET</t>
        </is>
      </c>
      <c r="Z551" s="3" t="n">
        <v>73239390</v>
      </c>
      <c r="AE551" s="3" t="n">
        <v>4059</v>
      </c>
      <c r="AF551" s="4" t="n">
        <v>0.45</v>
      </c>
      <c r="AG551" s="3">
        <f>ROUND(AE551-(AE551*AF551),2)</f>
        <v/>
      </c>
      <c r="AH551" s="4" t="n">
        <v>0.18</v>
      </c>
      <c r="AI551" s="3">
        <f>ROUND(AG551+(AG551*AH551),2)</f>
        <v/>
      </c>
      <c r="AJ551" s="4" t="n">
        <v>0.2</v>
      </c>
      <c r="AK551" s="3">
        <f>ROUND(AI551*AJ551,2)</f>
        <v/>
      </c>
      <c r="AL551" s="3">
        <f>AI551+AK551</f>
        <v/>
      </c>
      <c r="AM551" s="3">
        <f>AE551-AL551</f>
        <v/>
      </c>
      <c r="AN551" s="4">
        <f>AM551/AE551</f>
        <v/>
      </c>
      <c r="AO551" s="3" t="inlineStr">
        <is>
          <t>60 mins</t>
        </is>
      </c>
      <c r="AQ551" s="3" t="inlineStr">
        <is>
          <t>Weight</t>
        </is>
      </c>
      <c r="AS551" s="3" t="inlineStr">
        <is>
          <t>A thali inlet basket is a specialized, stainless steel, or chrome-plated wire mesh insert designed for modular kitchen cabinets to vertically store large plates (thalis) and deep dishes</t>
        </is>
      </c>
      <c r="AT551" s="3" t="inlineStr">
        <is>
          <t>3 hrs</t>
        </is>
      </c>
    </row>
    <row r="552" ht="15.75" customHeight="1">
      <c r="A552" s="3" t="inlineStr">
        <is>
          <t>PROD_0128</t>
        </is>
      </c>
      <c r="B552" s="3" t="inlineStr">
        <is>
          <t>VAR_3</t>
        </is>
      </c>
      <c r="C552" s="3" t="inlineStr">
        <is>
          <t>Modular Hardware</t>
        </is>
      </c>
      <c r="D552" s="3" t="inlineStr">
        <is>
          <t>Kitchen Accessories</t>
        </is>
      </c>
      <c r="E552" s="3" t="inlineStr">
        <is>
          <t>Hettich</t>
        </is>
      </c>
      <c r="F552" s="3" t="inlineStr">
        <is>
          <t>Thali Inlet Basket</t>
        </is>
      </c>
      <c r="H552" s="3" t="inlineStr">
        <is>
          <t>Finish</t>
        </is>
      </c>
      <c r="I552" s="3" t="inlineStr">
        <is>
          <t>Stainless Steel</t>
        </is>
      </c>
      <c r="J552" s="3" t="inlineStr">
        <is>
          <t>Dimensions</t>
        </is>
      </c>
      <c r="K552" s="3" t="inlineStr">
        <is>
          <t>500 mm X 486 mm X 200 mm</t>
        </is>
      </c>
      <c r="L552" s="3" t="inlineStr">
        <is>
          <t>Width</t>
        </is>
      </c>
      <c r="M552" s="3" t="inlineStr">
        <is>
          <t>550 mm</t>
        </is>
      </c>
      <c r="Q552" s="3" t="inlineStr">
        <is>
          <t>Manufacturer's Warranty</t>
        </is>
      </c>
      <c r="R552" s="3" t="n">
        <v>9194319</v>
      </c>
      <c r="Y552" s="3" t="inlineStr">
        <is>
          <t>HT_KA_TI_BASKET</t>
        </is>
      </c>
      <c r="Z552" s="3" t="n">
        <v>73239390</v>
      </c>
      <c r="AE552" s="3" t="n">
        <v>4420</v>
      </c>
      <c r="AF552" s="4" t="n">
        <v>0.45</v>
      </c>
      <c r="AG552" s="3">
        <f>ROUND(AE552-(AE552*AF552),2)</f>
        <v/>
      </c>
      <c r="AH552" s="4" t="n">
        <v>0.18</v>
      </c>
      <c r="AI552" s="3">
        <f>ROUND(AG552+(AG552*AH552),2)</f>
        <v/>
      </c>
      <c r="AJ552" s="4" t="n">
        <v>0.2</v>
      </c>
      <c r="AK552" s="3">
        <f>ROUND(AI552*AJ552,2)</f>
        <v/>
      </c>
      <c r="AL552" s="3">
        <f>AI552+AK552</f>
        <v/>
      </c>
      <c r="AM552" s="3">
        <f>AE552-AL552</f>
        <v/>
      </c>
      <c r="AN552" s="4">
        <f>AM552/AE552</f>
        <v/>
      </c>
      <c r="AO552" s="3" t="inlineStr">
        <is>
          <t>60 mins</t>
        </is>
      </c>
      <c r="AQ552" s="3" t="inlineStr">
        <is>
          <t>Weight</t>
        </is>
      </c>
      <c r="AS552" s="3" t="inlineStr">
        <is>
          <t>A thali inlet basket is a specialized, stainless steel, or chrome-plated wire mesh insert designed for modular kitchen cabinets to vertically store large plates (thalis) and deep dishes</t>
        </is>
      </c>
      <c r="AT552" s="3" t="inlineStr">
        <is>
          <t>3 hrs</t>
        </is>
      </c>
    </row>
    <row r="553" ht="15.75" customHeight="1">
      <c r="A553" s="3" t="inlineStr">
        <is>
          <t>PROD_0129</t>
        </is>
      </c>
      <c r="B553" s="3" t="inlineStr">
        <is>
          <t>VAR_1</t>
        </is>
      </c>
      <c r="C553" s="3" t="inlineStr">
        <is>
          <t>Modular Hardware</t>
        </is>
      </c>
      <c r="D553" s="3" t="inlineStr">
        <is>
          <t>Kitchen Accessories</t>
        </is>
      </c>
      <c r="E553" s="3" t="inlineStr">
        <is>
          <t>Hettich</t>
        </is>
      </c>
      <c r="F553" s="3" t="inlineStr">
        <is>
          <t>Cup and Saucer Inlet</t>
        </is>
      </c>
      <c r="H553" s="3" t="inlineStr">
        <is>
          <t>Finish</t>
        </is>
      </c>
      <c r="I553" s="3" t="inlineStr">
        <is>
          <t>Stainless Steel</t>
        </is>
      </c>
      <c r="J553" s="3" t="inlineStr">
        <is>
          <t>Dimensions</t>
        </is>
      </c>
      <c r="K553" s="3" t="inlineStr">
        <is>
          <t>500 mm X 386 mm X 100 mm</t>
        </is>
      </c>
      <c r="L553" s="3" t="inlineStr">
        <is>
          <t>Width</t>
        </is>
      </c>
      <c r="M553" s="3" t="inlineStr">
        <is>
          <t>450 mm</t>
        </is>
      </c>
      <c r="Q553" s="3" t="inlineStr">
        <is>
          <t>Manufacturer's Warranty</t>
        </is>
      </c>
      <c r="R553" s="3" t="n">
        <v>9194314</v>
      </c>
      <c r="Y553" s="3" t="inlineStr">
        <is>
          <t>HT_KA_CUP_SI</t>
        </is>
      </c>
      <c r="Z553" s="3" t="n">
        <v>73239390</v>
      </c>
      <c r="AE553" s="3" t="n">
        <v>3127</v>
      </c>
      <c r="AF553" s="4" t="n">
        <v>0.45</v>
      </c>
      <c r="AG553" s="3">
        <f>ROUND(AE553-(AE553*AF553),2)</f>
        <v/>
      </c>
      <c r="AH553" s="4" t="n">
        <v>0.18</v>
      </c>
      <c r="AI553" s="3">
        <f>ROUND(AG553+(AG553*AH553),2)</f>
        <v/>
      </c>
      <c r="AJ553" s="4" t="n">
        <v>0.2</v>
      </c>
      <c r="AK553" s="3">
        <f>ROUND(AI553*AJ553,2)</f>
        <v/>
      </c>
      <c r="AL553" s="3">
        <f>AI553+AK553</f>
        <v/>
      </c>
      <c r="AM553" s="3">
        <f>AE553-AL553</f>
        <v/>
      </c>
      <c r="AN553" s="4">
        <f>AM553/AE553</f>
        <v/>
      </c>
      <c r="AO553" s="3" t="inlineStr">
        <is>
          <t>60 mins</t>
        </is>
      </c>
      <c r="AQ553" s="3" t="inlineStr">
        <is>
          <t>Weight</t>
        </is>
      </c>
      <c r="AS553" s="3" t="inlineStr">
        <is>
          <t>A cup and saucer inlet is a specialized kitchen storage accessory, typically made of stainless steel or chrome, designed to organize cups and saucers within drawers or pull-out cabinets</t>
        </is>
      </c>
      <c r="AT553" s="3" t="inlineStr">
        <is>
          <t>3 hrs</t>
        </is>
      </c>
    </row>
    <row r="554" ht="15.75" customHeight="1">
      <c r="A554" s="3" t="inlineStr">
        <is>
          <t>PROD_0130</t>
        </is>
      </c>
      <c r="B554" s="3" t="inlineStr">
        <is>
          <t>VAR_1</t>
        </is>
      </c>
      <c r="C554" s="3" t="inlineStr">
        <is>
          <t>Modular Hardware</t>
        </is>
      </c>
      <c r="D554" s="3" t="inlineStr">
        <is>
          <t>Kitchen Accessories</t>
        </is>
      </c>
      <c r="E554" s="3" t="inlineStr">
        <is>
          <t>Hettich</t>
        </is>
      </c>
      <c r="F554" s="3" t="inlineStr">
        <is>
          <t>Saucer/ Jar Inlet</t>
        </is>
      </c>
      <c r="H554" s="3" t="inlineStr">
        <is>
          <t>Finish</t>
        </is>
      </c>
      <c r="I554" s="3" t="inlineStr">
        <is>
          <t>Stainless Steel</t>
        </is>
      </c>
      <c r="J554" s="3" t="inlineStr">
        <is>
          <t>Dimensions</t>
        </is>
      </c>
      <c r="K554" s="3" t="inlineStr">
        <is>
          <t>500 mm X 436 mm X 100 mm</t>
        </is>
      </c>
      <c r="L554" s="3" t="inlineStr">
        <is>
          <t>Width</t>
        </is>
      </c>
      <c r="M554" s="3" t="inlineStr">
        <is>
          <t>500 mm</t>
        </is>
      </c>
      <c r="Q554" s="3" t="inlineStr">
        <is>
          <t>Manufacturer's Warranty</t>
        </is>
      </c>
      <c r="R554" s="3" t="n">
        <v>9194316</v>
      </c>
      <c r="Y554" s="3" t="inlineStr">
        <is>
          <t>HT_KA_SAUCER_JARINLET</t>
        </is>
      </c>
      <c r="Z554" s="3" t="n">
        <v>73239390</v>
      </c>
      <c r="AE554" s="3" t="n">
        <v>3097</v>
      </c>
      <c r="AF554" s="4" t="n">
        <v>0.45</v>
      </c>
      <c r="AG554" s="3">
        <f>ROUND(AE554-(AE554*AF554),2)</f>
        <v/>
      </c>
      <c r="AH554" s="4" t="n">
        <v>0.18</v>
      </c>
      <c r="AI554" s="3">
        <f>ROUND(AG554+(AG554*AH554),2)</f>
        <v/>
      </c>
      <c r="AJ554" s="4" t="n">
        <v>0.2</v>
      </c>
      <c r="AK554" s="3">
        <f>ROUND(AI554*AJ554,2)</f>
        <v/>
      </c>
      <c r="AL554" s="3">
        <f>AI554+AK554</f>
        <v/>
      </c>
      <c r="AM554" s="3">
        <f>AE554-AL554</f>
        <v/>
      </c>
      <c r="AN554" s="4">
        <f>AM554/AE554</f>
        <v/>
      </c>
      <c r="AO554" s="3" t="inlineStr">
        <is>
          <t>60 mins</t>
        </is>
      </c>
      <c r="AQ554" s="3" t="inlineStr">
        <is>
          <t>Weight</t>
        </is>
      </c>
      <c r="AT554" s="3" t="inlineStr">
        <is>
          <t>3 hrs</t>
        </is>
      </c>
    </row>
    <row r="555" ht="15.75" customHeight="1">
      <c r="A555" s="3" t="inlineStr">
        <is>
          <t>PROD_0130</t>
        </is>
      </c>
      <c r="B555" s="3" t="inlineStr">
        <is>
          <t>VAR_2</t>
        </is>
      </c>
      <c r="C555" s="3" t="inlineStr">
        <is>
          <t>Modular Hardware</t>
        </is>
      </c>
      <c r="D555" s="3" t="inlineStr">
        <is>
          <t>Kitchen Accessories</t>
        </is>
      </c>
      <c r="E555" s="3" t="inlineStr">
        <is>
          <t>Hettich</t>
        </is>
      </c>
      <c r="F555" s="3" t="inlineStr">
        <is>
          <t>Saucer/ Jar Inlet</t>
        </is>
      </c>
      <c r="H555" s="3" t="inlineStr">
        <is>
          <t>Finish</t>
        </is>
      </c>
      <c r="I555" s="3" t="inlineStr">
        <is>
          <t>Stainless Steel</t>
        </is>
      </c>
      <c r="J555" s="3" t="inlineStr">
        <is>
          <t>Dimensions</t>
        </is>
      </c>
      <c r="K555" s="3" t="inlineStr">
        <is>
          <t>500 mm X 486 mm X 100 mm</t>
        </is>
      </c>
      <c r="L555" s="3" t="inlineStr">
        <is>
          <t>Width</t>
        </is>
      </c>
      <c r="M555" s="3" t="inlineStr">
        <is>
          <t>550 mm</t>
        </is>
      </c>
      <c r="Q555" s="3" t="inlineStr">
        <is>
          <t>Manufacturer's Warranty</t>
        </is>
      </c>
      <c r="R555" s="3" t="n">
        <v>9194318</v>
      </c>
      <c r="Y555" s="3" t="inlineStr">
        <is>
          <t>HT_KA_SAUCER_JARINLET</t>
        </is>
      </c>
      <c r="Z555" s="3" t="n">
        <v>73239390</v>
      </c>
      <c r="AE555" s="3" t="n">
        <v>3763</v>
      </c>
      <c r="AF555" s="4" t="n">
        <v>0.45</v>
      </c>
      <c r="AG555" s="3">
        <f>ROUND(AE555-(AE555*AF555),2)</f>
        <v/>
      </c>
      <c r="AH555" s="4" t="n">
        <v>0.18</v>
      </c>
      <c r="AI555" s="3">
        <f>ROUND(AG555+(AG555*AH555),2)</f>
        <v/>
      </c>
      <c r="AJ555" s="4" t="n">
        <v>0.2</v>
      </c>
      <c r="AK555" s="3">
        <f>ROUND(AI555*AJ555,2)</f>
        <v/>
      </c>
      <c r="AL555" s="3">
        <f>AI555+AK555</f>
        <v/>
      </c>
      <c r="AM555" s="3">
        <f>AE555-AL555</f>
        <v/>
      </c>
      <c r="AN555" s="4">
        <f>AM555/AE555</f>
        <v/>
      </c>
      <c r="AO555" s="3" t="inlineStr">
        <is>
          <t>60 mins</t>
        </is>
      </c>
      <c r="AQ555" s="3" t="inlineStr">
        <is>
          <t>Weight</t>
        </is>
      </c>
      <c r="AT555" s="3" t="inlineStr">
        <is>
          <t>3 hrs</t>
        </is>
      </c>
    </row>
    <row r="556" ht="15.75" customHeight="1">
      <c r="A556" s="3" t="inlineStr">
        <is>
          <t>PROD_0130</t>
        </is>
      </c>
      <c r="B556" s="3" t="inlineStr">
        <is>
          <t>VAR_3</t>
        </is>
      </c>
      <c r="C556" s="3" t="inlineStr">
        <is>
          <t>Modular Hardware</t>
        </is>
      </c>
      <c r="D556" s="3" t="inlineStr">
        <is>
          <t>Kitchen Accessories</t>
        </is>
      </c>
      <c r="E556" s="3" t="inlineStr">
        <is>
          <t>Hettich</t>
        </is>
      </c>
      <c r="F556" s="3" t="inlineStr">
        <is>
          <t>Saucer/ Jar Inlet</t>
        </is>
      </c>
      <c r="H556" s="3" t="inlineStr">
        <is>
          <t>Finish</t>
        </is>
      </c>
      <c r="I556" s="3" t="inlineStr">
        <is>
          <t>Stainless Steel</t>
        </is>
      </c>
      <c r="J556" s="3" t="inlineStr">
        <is>
          <t>Dimensions</t>
        </is>
      </c>
      <c r="K556" s="3" t="inlineStr">
        <is>
          <t>500 mm X 536 mm X 100 mm</t>
        </is>
      </c>
      <c r="L556" s="3" t="inlineStr">
        <is>
          <t>Width</t>
        </is>
      </c>
      <c r="M556" s="3" t="inlineStr">
        <is>
          <t>600 mm</t>
        </is>
      </c>
      <c r="Q556" s="3" t="inlineStr">
        <is>
          <t>Manufacturer's Warranty</t>
        </is>
      </c>
      <c r="R556" s="3" t="n">
        <v>9194320</v>
      </c>
      <c r="Y556" s="3" t="inlineStr">
        <is>
          <t>HT_KA_SAUCER_JARINLET</t>
        </is>
      </c>
      <c r="Z556" s="3" t="n">
        <v>73239390</v>
      </c>
      <c r="AE556" s="3" t="n">
        <v>3763</v>
      </c>
      <c r="AF556" s="4" t="n">
        <v>0.45</v>
      </c>
      <c r="AG556" s="3">
        <f>ROUND(AE556-(AE556*AF556),2)</f>
        <v/>
      </c>
      <c r="AH556" s="4" t="n">
        <v>0.18</v>
      </c>
      <c r="AI556" s="3">
        <f>ROUND(AG556+(AG556*AH556),2)</f>
        <v/>
      </c>
      <c r="AJ556" s="4" t="n">
        <v>0.2</v>
      </c>
      <c r="AK556" s="3">
        <f>ROUND(AI556*AJ556,2)</f>
        <v/>
      </c>
      <c r="AL556" s="3">
        <f>AI556+AK556</f>
        <v/>
      </c>
      <c r="AM556" s="3">
        <f>AE556-AL556</f>
        <v/>
      </c>
      <c r="AN556" s="4">
        <f>AM556/AE556</f>
        <v/>
      </c>
      <c r="AO556" s="3" t="inlineStr">
        <is>
          <t>60 mins</t>
        </is>
      </c>
      <c r="AQ556" s="3" t="inlineStr">
        <is>
          <t>Weight</t>
        </is>
      </c>
      <c r="AT556" s="3" t="inlineStr">
        <is>
          <t>3 hrs</t>
        </is>
      </c>
    </row>
    <row r="557" ht="15.75" customHeight="1">
      <c r="A557" s="3" t="inlineStr">
        <is>
          <t>PROD_0131</t>
        </is>
      </c>
      <c r="B557" s="3" t="inlineStr">
        <is>
          <t>VAR_1</t>
        </is>
      </c>
      <c r="C557" s="3" t="inlineStr">
        <is>
          <t>Modular Hardware</t>
        </is>
      </c>
      <c r="D557" s="3" t="inlineStr">
        <is>
          <t>Kitchen Accessories</t>
        </is>
      </c>
      <c r="E557" s="3" t="inlineStr">
        <is>
          <t>Ebco</t>
        </is>
      </c>
      <c r="F557" s="3" t="inlineStr">
        <is>
          <t>Rolling Shutter</t>
        </is>
      </c>
      <c r="H557" s="3" t="inlineStr">
        <is>
          <t>Finish</t>
        </is>
      </c>
      <c r="I557" s="3" t="inlineStr">
        <is>
          <t>Black Glass</t>
        </is>
      </c>
      <c r="J557" s="3" t="inlineStr">
        <is>
          <t>Height</t>
        </is>
      </c>
      <c r="K557" s="3" t="inlineStr">
        <is>
          <t>1300 mm</t>
        </is>
      </c>
      <c r="L557" s="3" t="inlineStr">
        <is>
          <t>Width</t>
        </is>
      </c>
      <c r="M557" s="3" t="inlineStr">
        <is>
          <t>600 mm</t>
        </is>
      </c>
      <c r="Q557" s="3" t="inlineStr">
        <is>
          <t>Manufacturer's Warranty</t>
        </is>
      </c>
      <c r="R557" s="3" t="inlineStr">
        <is>
          <t>RTGV-60140-BL</t>
        </is>
      </c>
      <c r="Y557" s="3" t="inlineStr">
        <is>
          <t>EBCO_KA_Roll_top</t>
        </is>
      </c>
      <c r="Z557" s="3" t="n">
        <v>37170</v>
      </c>
      <c r="AE557" s="3" t="n">
        <v>40647</v>
      </c>
      <c r="AF557" s="4" t="n">
        <v>0.4</v>
      </c>
      <c r="AG557" s="3">
        <f>ROUND(AE557-(AE557*AF557),2)</f>
        <v/>
      </c>
      <c r="AH557" s="4" t="n">
        <v>0.18</v>
      </c>
      <c r="AI557" s="3">
        <f>ROUND(AG557+(AG557*AH557),2)</f>
        <v/>
      </c>
      <c r="AJ557" s="4" t="n">
        <v>0.1</v>
      </c>
      <c r="AK557" s="3">
        <f>ROUND(AI557*AJ557,2)</f>
        <v/>
      </c>
      <c r="AL557" s="3">
        <f>AI557+AK557</f>
        <v/>
      </c>
      <c r="AM557" s="3">
        <f>AE557-AL557</f>
        <v/>
      </c>
      <c r="AN557" s="4">
        <f>AM557/AE557</f>
        <v/>
      </c>
      <c r="AO557" s="3" t="inlineStr">
        <is>
          <t>60 mins</t>
        </is>
      </c>
      <c r="AQ557" s="3" t="inlineStr">
        <is>
          <t>Weight</t>
        </is>
      </c>
      <c r="AS557"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57" s="3" t="inlineStr">
        <is>
          <t>3 hrs</t>
        </is>
      </c>
    </row>
    <row r="558" ht="15.75" customHeight="1">
      <c r="A558" s="3" t="inlineStr">
        <is>
          <t>PROD_0131</t>
        </is>
      </c>
      <c r="B558" s="3" t="inlineStr">
        <is>
          <t>VAR_2</t>
        </is>
      </c>
      <c r="C558" s="3" t="inlineStr">
        <is>
          <t>Modular Hardware</t>
        </is>
      </c>
      <c r="D558" s="3" t="inlineStr">
        <is>
          <t>Kitchen Accessories</t>
        </is>
      </c>
      <c r="E558" s="3" t="inlineStr">
        <is>
          <t>Ebco</t>
        </is>
      </c>
      <c r="F558" s="3" t="inlineStr">
        <is>
          <t>Rolling Shutter</t>
        </is>
      </c>
      <c r="H558" s="3" t="inlineStr">
        <is>
          <t>Finish</t>
        </is>
      </c>
      <c r="I558" s="3" t="inlineStr">
        <is>
          <t>PVC Black</t>
        </is>
      </c>
      <c r="J558" s="3" t="inlineStr">
        <is>
          <t>Height</t>
        </is>
      </c>
      <c r="K558" s="3" t="inlineStr">
        <is>
          <t>1300 mm</t>
        </is>
      </c>
      <c r="L558" s="3" t="inlineStr">
        <is>
          <t>Width</t>
        </is>
      </c>
      <c r="M558" s="3" t="inlineStr">
        <is>
          <t>450 mm</t>
        </is>
      </c>
      <c r="Q558" s="3" t="inlineStr">
        <is>
          <t>Manufacturer's Warranty</t>
        </is>
      </c>
      <c r="R558" s="3" t="inlineStr">
        <is>
          <t>RTPV-45130-BL</t>
        </is>
      </c>
      <c r="Y558" s="3" t="inlineStr">
        <is>
          <t>EBCO_KS_ROLL_TOP_BL</t>
        </is>
      </c>
      <c r="Z558" s="3" t="n">
        <v>392690</v>
      </c>
      <c r="AE558" s="3" t="n">
        <v>17660</v>
      </c>
      <c r="AF558" s="4" t="n">
        <v>0.4</v>
      </c>
      <c r="AG558" s="3">
        <f>ROUND(AE558-(AE558*AF558),2)</f>
        <v/>
      </c>
      <c r="AH558" s="4" t="n">
        <v>0.18</v>
      </c>
      <c r="AI558" s="3">
        <f>ROUND(AG558+(AG558*AH558),2)</f>
        <v/>
      </c>
      <c r="AJ558" s="4" t="n">
        <v>0.1</v>
      </c>
      <c r="AK558" s="3">
        <f>ROUND(AI558*AJ558,2)</f>
        <v/>
      </c>
      <c r="AL558" s="3">
        <f>AI558+AK558</f>
        <v/>
      </c>
      <c r="AM558" s="3">
        <f>AE558-AL558</f>
        <v/>
      </c>
      <c r="AN558" s="4">
        <f>AM558/AE558</f>
        <v/>
      </c>
      <c r="AO558" s="3" t="inlineStr">
        <is>
          <t>60 mins</t>
        </is>
      </c>
      <c r="AQ558" s="3" t="inlineStr">
        <is>
          <t>Weight</t>
        </is>
      </c>
      <c r="AS558"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58" s="3" t="inlineStr">
        <is>
          <t>3 hrs</t>
        </is>
      </c>
    </row>
    <row r="559" ht="15.75" customHeight="1">
      <c r="A559" s="3" t="inlineStr">
        <is>
          <t>PROD_0131</t>
        </is>
      </c>
      <c r="B559" s="3" t="inlineStr">
        <is>
          <t>VAR_3</t>
        </is>
      </c>
      <c r="C559" s="3" t="inlineStr">
        <is>
          <t>Modular Hardware</t>
        </is>
      </c>
      <c r="D559" s="3" t="inlineStr">
        <is>
          <t>Kitchen Accessories</t>
        </is>
      </c>
      <c r="E559" s="3" t="inlineStr">
        <is>
          <t>Ebco</t>
        </is>
      </c>
      <c r="F559" s="3" t="inlineStr">
        <is>
          <t>Rolling Shutter</t>
        </is>
      </c>
      <c r="H559" s="3" t="inlineStr">
        <is>
          <t>Finish</t>
        </is>
      </c>
      <c r="I559" s="3" t="inlineStr">
        <is>
          <t>PVC Black</t>
        </is>
      </c>
      <c r="J559" s="3" t="inlineStr">
        <is>
          <t>Height</t>
        </is>
      </c>
      <c r="K559" s="3" t="inlineStr">
        <is>
          <t>1300 mm</t>
        </is>
      </c>
      <c r="L559" s="3" t="inlineStr">
        <is>
          <t>Width</t>
        </is>
      </c>
      <c r="M559" s="3" t="inlineStr">
        <is>
          <t>600 mm</t>
        </is>
      </c>
      <c r="Q559" s="3" t="inlineStr">
        <is>
          <t>Manufacturer's Warranty</t>
        </is>
      </c>
      <c r="R559" s="3" t="inlineStr">
        <is>
          <t>RTPV-60130-BL</t>
        </is>
      </c>
      <c r="Y559" s="3" t="inlineStr">
        <is>
          <t>EBCO_KS_ROLL_TOP_BL</t>
        </is>
      </c>
      <c r="Z559" s="3" t="n">
        <v>392690</v>
      </c>
      <c r="AE559" s="3" t="n">
        <v>21710</v>
      </c>
      <c r="AF559" s="4" t="n">
        <v>0.4</v>
      </c>
      <c r="AG559" s="3">
        <f>ROUND(AE559-(AE559*AF559),2)</f>
        <v/>
      </c>
      <c r="AH559" s="4" t="n">
        <v>0.18</v>
      </c>
      <c r="AI559" s="3">
        <f>ROUND(AG559+(AG559*AH559),2)</f>
        <v/>
      </c>
      <c r="AJ559" s="4" t="n">
        <v>0.1</v>
      </c>
      <c r="AK559" s="3">
        <f>ROUND(AI559*AJ559,2)</f>
        <v/>
      </c>
      <c r="AL559" s="3">
        <f>AI559+AK559</f>
        <v/>
      </c>
      <c r="AM559" s="3">
        <f>AE559-AL559</f>
        <v/>
      </c>
      <c r="AN559" s="4">
        <f>AM559/AE559</f>
        <v/>
      </c>
      <c r="AO559" s="3" t="inlineStr">
        <is>
          <t>60 mins</t>
        </is>
      </c>
      <c r="AQ559" s="3" t="inlineStr">
        <is>
          <t>Weight</t>
        </is>
      </c>
      <c r="AS559"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59" s="3" t="inlineStr">
        <is>
          <t>3 hrs</t>
        </is>
      </c>
    </row>
    <row r="560" ht="15.75" customHeight="1">
      <c r="A560" s="3" t="inlineStr">
        <is>
          <t>PROD_0131</t>
        </is>
      </c>
      <c r="B560" s="3" t="inlineStr">
        <is>
          <t>VAR_4</t>
        </is>
      </c>
      <c r="C560" s="3" t="inlineStr">
        <is>
          <t>Modular Hardware</t>
        </is>
      </c>
      <c r="D560" s="3" t="inlineStr">
        <is>
          <t>Kitchen Accessories</t>
        </is>
      </c>
      <c r="E560" s="3" t="inlineStr">
        <is>
          <t>Ebco</t>
        </is>
      </c>
      <c r="F560" s="3" t="inlineStr">
        <is>
          <t>Rolling Shutter</t>
        </is>
      </c>
      <c r="H560" s="3" t="inlineStr">
        <is>
          <t>Finish</t>
        </is>
      </c>
      <c r="I560" s="3" t="inlineStr">
        <is>
          <t>PVC Black</t>
        </is>
      </c>
      <c r="J560" s="3" t="inlineStr">
        <is>
          <t>Height</t>
        </is>
      </c>
      <c r="K560" s="3" t="inlineStr">
        <is>
          <t>1300 mm</t>
        </is>
      </c>
      <c r="L560" s="3" t="inlineStr">
        <is>
          <t>Width</t>
        </is>
      </c>
      <c r="M560" s="3" t="inlineStr">
        <is>
          <t>900 mm</t>
        </is>
      </c>
      <c r="Q560" s="3" t="inlineStr">
        <is>
          <t>Manufacturer's Warranty</t>
        </is>
      </c>
      <c r="R560" s="3" t="inlineStr">
        <is>
          <t>RTPV-90130-BL</t>
        </is>
      </c>
      <c r="Y560" s="3" t="inlineStr">
        <is>
          <t>EBCO_KS_ROLL_TOP_BL</t>
        </is>
      </c>
      <c r="Z560" s="3" t="n">
        <v>392690</v>
      </c>
      <c r="AE560" s="3" t="n">
        <v>25219</v>
      </c>
      <c r="AF560" s="4" t="n">
        <v>0.4</v>
      </c>
      <c r="AG560" s="3">
        <f>ROUND(AE560-(AE560*AF560),2)</f>
        <v/>
      </c>
      <c r="AH560" s="4" t="n">
        <v>0.18</v>
      </c>
      <c r="AI560" s="3">
        <f>ROUND(AG560+(AG560*AH560),2)</f>
        <v/>
      </c>
      <c r="AJ560" s="4" t="n">
        <v>0.1</v>
      </c>
      <c r="AK560" s="3">
        <f>ROUND(AI560*AJ560,2)</f>
        <v/>
      </c>
      <c r="AL560" s="3">
        <f>AI560+AK560</f>
        <v/>
      </c>
      <c r="AM560" s="3">
        <f>AE560-AL560</f>
        <v/>
      </c>
      <c r="AN560" s="4">
        <f>AM560/AE560</f>
        <v/>
      </c>
      <c r="AO560" s="3" t="inlineStr">
        <is>
          <t>60 mins</t>
        </is>
      </c>
      <c r="AQ560" s="3" t="inlineStr">
        <is>
          <t>Weight</t>
        </is>
      </c>
      <c r="AS560"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60" s="3" t="inlineStr">
        <is>
          <t>3 hrs</t>
        </is>
      </c>
    </row>
    <row r="561" ht="15.75" customHeight="1">
      <c r="A561" s="3" t="inlineStr">
        <is>
          <t>PROD_0131</t>
        </is>
      </c>
      <c r="B561" s="3" t="inlineStr">
        <is>
          <t>VAR_5</t>
        </is>
      </c>
      <c r="C561" s="3" t="inlineStr">
        <is>
          <t>Modular Hardware</t>
        </is>
      </c>
      <c r="D561" s="3" t="inlineStr">
        <is>
          <t>Kitchen Accessories</t>
        </is>
      </c>
      <c r="E561" s="3" t="inlineStr">
        <is>
          <t>Ebco</t>
        </is>
      </c>
      <c r="F561" s="3" t="inlineStr">
        <is>
          <t>Rolling Shutter</t>
        </is>
      </c>
      <c r="H561" s="3" t="inlineStr">
        <is>
          <t>Finish</t>
        </is>
      </c>
      <c r="I561" s="3" t="inlineStr">
        <is>
          <t>PVC Silver</t>
        </is>
      </c>
      <c r="J561" s="3" t="inlineStr">
        <is>
          <t>Height</t>
        </is>
      </c>
      <c r="K561" s="3" t="inlineStr">
        <is>
          <t>1300 mm</t>
        </is>
      </c>
      <c r="L561" s="3" t="inlineStr">
        <is>
          <t>Width</t>
        </is>
      </c>
      <c r="M561" s="3" t="inlineStr">
        <is>
          <t>450 mm</t>
        </is>
      </c>
      <c r="Q561" s="3" t="inlineStr">
        <is>
          <t>Manufacturer's Warranty</t>
        </is>
      </c>
      <c r="R561" s="3" t="inlineStr">
        <is>
          <t>RTPV-45130-SL</t>
        </is>
      </c>
      <c r="Y561" s="3" t="inlineStr">
        <is>
          <t>EBCO_KS_ROLL_TOP_SL</t>
        </is>
      </c>
      <c r="Z561" s="3" t="n">
        <v>392690</v>
      </c>
      <c r="AE561" s="3" t="n">
        <v>14082</v>
      </c>
      <c r="AF561" s="4" t="n">
        <v>0.4</v>
      </c>
      <c r="AG561" s="3">
        <f>ROUND(AE561-(AE561*AF561),2)</f>
        <v/>
      </c>
      <c r="AH561" s="4" t="n">
        <v>0.18</v>
      </c>
      <c r="AI561" s="3">
        <f>ROUND(AG561+(AG561*AH561),2)</f>
        <v/>
      </c>
      <c r="AJ561" s="4" t="n">
        <v>0.1</v>
      </c>
      <c r="AK561" s="3">
        <f>ROUND(AI561*AJ561,2)</f>
        <v/>
      </c>
      <c r="AL561" s="3">
        <f>AI561+AK561</f>
        <v/>
      </c>
      <c r="AM561" s="3">
        <f>AE561-AL561</f>
        <v/>
      </c>
      <c r="AN561" s="4">
        <f>AM561/AE561</f>
        <v/>
      </c>
      <c r="AO561" s="3" t="inlineStr">
        <is>
          <t>60 mins</t>
        </is>
      </c>
      <c r="AQ561" s="3" t="inlineStr">
        <is>
          <t>Weight</t>
        </is>
      </c>
      <c r="AS561"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61" s="3" t="inlineStr">
        <is>
          <t>3 hrs</t>
        </is>
      </c>
    </row>
    <row r="562" ht="15.75" customHeight="1">
      <c r="A562" s="3" t="inlineStr">
        <is>
          <t>PROD_0131</t>
        </is>
      </c>
      <c r="B562" s="3" t="inlineStr">
        <is>
          <t>VAR_6</t>
        </is>
      </c>
      <c r="C562" s="3" t="inlineStr">
        <is>
          <t>Modular Hardware</t>
        </is>
      </c>
      <c r="D562" s="3" t="inlineStr">
        <is>
          <t>Kitchen Accessories</t>
        </is>
      </c>
      <c r="E562" s="3" t="inlineStr">
        <is>
          <t>Ebco</t>
        </is>
      </c>
      <c r="F562" s="3" t="inlineStr">
        <is>
          <t>Rolling Shutter</t>
        </is>
      </c>
      <c r="H562" s="3" t="inlineStr">
        <is>
          <t>Finish</t>
        </is>
      </c>
      <c r="I562" s="3" t="inlineStr">
        <is>
          <t>PVC Silver</t>
        </is>
      </c>
      <c r="J562" s="3" t="inlineStr">
        <is>
          <t>Height</t>
        </is>
      </c>
      <c r="K562" s="3" t="inlineStr">
        <is>
          <t>1300 mm</t>
        </is>
      </c>
      <c r="L562" s="3" t="inlineStr">
        <is>
          <t>Width</t>
        </is>
      </c>
      <c r="M562" s="3" t="inlineStr">
        <is>
          <t>600 mm</t>
        </is>
      </c>
      <c r="Q562" s="3" t="inlineStr">
        <is>
          <t>Manufacturer's Warranty</t>
        </is>
      </c>
      <c r="R562" s="3" t="inlineStr">
        <is>
          <t>RTPV-60130-SL</t>
        </is>
      </c>
      <c r="Y562" s="3" t="inlineStr">
        <is>
          <t>EBCO_KS_ROLL_TOP_SL</t>
        </is>
      </c>
      <c r="Z562" s="3" t="n">
        <v>392690</v>
      </c>
      <c r="AE562" s="3" t="n">
        <v>15453</v>
      </c>
      <c r="AF562" s="4" t="n">
        <v>0.4</v>
      </c>
      <c r="AG562" s="3">
        <f>ROUND(AE562-(AE562*AF562),2)</f>
        <v/>
      </c>
      <c r="AH562" s="4" t="n">
        <v>0.18</v>
      </c>
      <c r="AI562" s="3">
        <f>ROUND(AG562+(AG562*AH562),2)</f>
        <v/>
      </c>
      <c r="AJ562" s="4" t="n">
        <v>0.1</v>
      </c>
      <c r="AK562" s="3">
        <f>ROUND(AI562*AJ562,2)</f>
        <v/>
      </c>
      <c r="AL562" s="3">
        <f>AI562+AK562</f>
        <v/>
      </c>
      <c r="AM562" s="3">
        <f>AE562-AL562</f>
        <v/>
      </c>
      <c r="AN562" s="4">
        <f>AM562/AE562</f>
        <v/>
      </c>
      <c r="AO562" s="3" t="inlineStr">
        <is>
          <t>60 mins</t>
        </is>
      </c>
      <c r="AQ562" s="3" t="inlineStr">
        <is>
          <t>Weight</t>
        </is>
      </c>
      <c r="AS562"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62" s="3" t="inlineStr">
        <is>
          <t>3 hrs</t>
        </is>
      </c>
    </row>
    <row r="563" ht="15.75" customHeight="1">
      <c r="A563" s="3" t="inlineStr">
        <is>
          <t>PROD_0131</t>
        </is>
      </c>
      <c r="B563" s="3" t="inlineStr">
        <is>
          <t>VAR_7</t>
        </is>
      </c>
      <c r="C563" s="3" t="inlineStr">
        <is>
          <t>Modular Hardware</t>
        </is>
      </c>
      <c r="D563" s="3" t="inlineStr">
        <is>
          <t>Kitchen Accessories</t>
        </is>
      </c>
      <c r="E563" s="3" t="inlineStr">
        <is>
          <t>Ebco</t>
        </is>
      </c>
      <c r="F563" s="3" t="inlineStr">
        <is>
          <t>Rolling Shutter</t>
        </is>
      </c>
      <c r="H563" s="3" t="inlineStr">
        <is>
          <t>Finish</t>
        </is>
      </c>
      <c r="I563" s="3" t="inlineStr">
        <is>
          <t>PVC Silver</t>
        </is>
      </c>
      <c r="J563" s="3" t="inlineStr">
        <is>
          <t>Height</t>
        </is>
      </c>
      <c r="K563" s="3" t="inlineStr">
        <is>
          <t>1300 mm</t>
        </is>
      </c>
      <c r="L563" s="3" t="inlineStr">
        <is>
          <t>Width</t>
        </is>
      </c>
      <c r="M563" s="3" t="inlineStr">
        <is>
          <t>900 mm</t>
        </is>
      </c>
      <c r="Q563" s="3" t="inlineStr">
        <is>
          <t>Manufacturer's Warranty</t>
        </is>
      </c>
      <c r="R563" s="3" t="inlineStr">
        <is>
          <t>RTPV-90130-SL</t>
        </is>
      </c>
      <c r="Y563" s="3" t="inlineStr">
        <is>
          <t>EBCO_KS_ROLL_TOP_SL</t>
        </is>
      </c>
      <c r="Z563" s="3" t="n">
        <v>392690</v>
      </c>
      <c r="AE563" s="3" t="n">
        <v>19467</v>
      </c>
      <c r="AF563" s="4" t="n">
        <v>0.4</v>
      </c>
      <c r="AG563" s="3">
        <f>ROUND(AE563-(AE563*AF563),2)</f>
        <v/>
      </c>
      <c r="AH563" s="4" t="n">
        <v>0.18</v>
      </c>
      <c r="AI563" s="3">
        <f>ROUND(AG563+(AG563*AH563),2)</f>
        <v/>
      </c>
      <c r="AJ563" s="4" t="n">
        <v>0.1</v>
      </c>
      <c r="AK563" s="3">
        <f>ROUND(AI563*AJ563,2)</f>
        <v/>
      </c>
      <c r="AL563" s="3">
        <f>AI563+AK563</f>
        <v/>
      </c>
      <c r="AM563" s="3">
        <f>AE563-AL563</f>
        <v/>
      </c>
      <c r="AN563" s="4">
        <f>AM563/AE563</f>
        <v/>
      </c>
      <c r="AO563" s="3" t="inlineStr">
        <is>
          <t>60 mins</t>
        </is>
      </c>
      <c r="AQ563" s="3" t="inlineStr">
        <is>
          <t>Weight</t>
        </is>
      </c>
      <c r="AS563" s="3" t="inlineStr">
        <is>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is>
      </c>
      <c r="AT563" s="3" t="inlineStr">
        <is>
          <t>3 hrs</t>
        </is>
      </c>
    </row>
    <row r="564" ht="15.75" customHeight="1">
      <c r="A564" s="3" t="inlineStr">
        <is>
          <t>PROD_0132</t>
        </is>
      </c>
      <c r="B564" s="3" t="inlineStr">
        <is>
          <t>VAR_1</t>
        </is>
      </c>
      <c r="C564" s="3" t="inlineStr">
        <is>
          <t>Modular Hardware</t>
        </is>
      </c>
      <c r="D564" s="3" t="inlineStr">
        <is>
          <t>Kitchen Accessories</t>
        </is>
      </c>
      <c r="E564" s="3" t="inlineStr">
        <is>
          <t>Ebco</t>
        </is>
      </c>
      <c r="F564" s="3" t="inlineStr">
        <is>
          <t>Bottle Pullout (Soft Close)</t>
        </is>
      </c>
      <c r="H564" s="3" t="inlineStr">
        <is>
          <t>Base</t>
        </is>
      </c>
      <c r="I564" s="3" t="inlineStr">
        <is>
          <t>Solid</t>
        </is>
      </c>
      <c r="J564" s="3" t="inlineStr">
        <is>
          <t>Dimension</t>
        </is>
      </c>
      <c r="K564" s="3" t="inlineStr">
        <is>
          <t>525 mm X 490 mm X 100 mm</t>
        </is>
      </c>
      <c r="L564" s="3" t="inlineStr">
        <is>
          <t>Width</t>
        </is>
      </c>
      <c r="M564" s="3" t="inlineStr">
        <is>
          <t>150 mm</t>
        </is>
      </c>
      <c r="Q564" s="3" t="inlineStr">
        <is>
          <t>Manufacturer's Warranty</t>
        </is>
      </c>
      <c r="R564" s="3" t="inlineStr">
        <is>
          <t>BPO2SC2-100</t>
        </is>
      </c>
      <c r="Y564" s="3" t="inlineStr">
        <is>
          <t>EBCO_KS_SC_SOLID_BPO</t>
        </is>
      </c>
      <c r="Z564" s="3" t="n">
        <v>732393</v>
      </c>
      <c r="AE564" s="3" t="n">
        <v>7615</v>
      </c>
      <c r="AF564" s="4" t="n">
        <v>0.4</v>
      </c>
      <c r="AG564" s="3">
        <f>ROUND(AE564-(AE564*AF564),2)</f>
        <v/>
      </c>
      <c r="AH564" s="4" t="n">
        <v>0.18</v>
      </c>
      <c r="AI564" s="3">
        <f>ROUND(AG564+(AG564*AH564),2)</f>
        <v/>
      </c>
      <c r="AJ564" s="4" t="n">
        <v>0.1</v>
      </c>
      <c r="AK564" s="3">
        <f>ROUND(AI564*AJ564,2)</f>
        <v/>
      </c>
      <c r="AL564" s="3">
        <f>AI564+AK564</f>
        <v/>
      </c>
      <c r="AM564" s="3">
        <f>AE564-AL564</f>
        <v/>
      </c>
      <c r="AN564" s="4">
        <f>AM564/AE564</f>
        <v/>
      </c>
      <c r="AO564" s="3" t="inlineStr">
        <is>
          <t>60 mins</t>
        </is>
      </c>
      <c r="AQ564" s="3" t="inlineStr">
        <is>
          <t>Weight</t>
        </is>
      </c>
      <c r="AS564" s="3" t="inlineStr">
        <is>
          <t>A kitchen bottle pull-out (BPO) is a narrow, sliding cabinet accessory designed for vertical storage of bottles, jars, and condiments, usually located next to the stove for easy access</t>
        </is>
      </c>
      <c r="AT564" s="3" t="inlineStr">
        <is>
          <t>3 hrs</t>
        </is>
      </c>
    </row>
    <row r="565" ht="15.75" customHeight="1">
      <c r="A565" s="3" t="inlineStr">
        <is>
          <t>PROD_0132</t>
        </is>
      </c>
      <c r="B565" s="3" t="inlineStr">
        <is>
          <t>VAR_2</t>
        </is>
      </c>
      <c r="C565" s="3" t="inlineStr">
        <is>
          <t>Modular Hardware</t>
        </is>
      </c>
      <c r="D565" s="3" t="inlineStr">
        <is>
          <t>Kitchen Accessories</t>
        </is>
      </c>
      <c r="E565" s="3" t="inlineStr">
        <is>
          <t>Ebco</t>
        </is>
      </c>
      <c r="F565" s="3" t="inlineStr">
        <is>
          <t>Bottle Pullout (Soft Close)</t>
        </is>
      </c>
      <c r="H565" s="3" t="inlineStr">
        <is>
          <t>Base</t>
        </is>
      </c>
      <c r="I565" s="3" t="inlineStr">
        <is>
          <t>Solid</t>
        </is>
      </c>
      <c r="J565" s="3" t="inlineStr">
        <is>
          <t>Dimension</t>
        </is>
      </c>
      <c r="K565" s="3" t="inlineStr">
        <is>
          <t>525 mm X 490 mm X 150 mm</t>
        </is>
      </c>
      <c r="L565" s="3" t="inlineStr">
        <is>
          <t>Width</t>
        </is>
      </c>
      <c r="M565" s="3" t="inlineStr">
        <is>
          <t>200 mm</t>
        </is>
      </c>
      <c r="Q565" s="3" t="inlineStr">
        <is>
          <t>Manufacturer's Warranty</t>
        </is>
      </c>
      <c r="R565" s="3" t="inlineStr">
        <is>
          <t>BPO2SC2-150</t>
        </is>
      </c>
      <c r="Y565" s="3" t="inlineStr">
        <is>
          <t>EBCO_KS_SC_SOLID_BPO</t>
        </is>
      </c>
      <c r="Z565" s="3" t="n">
        <v>732393</v>
      </c>
      <c r="AE565" s="3" t="n">
        <v>8419</v>
      </c>
      <c r="AF565" s="4" t="n">
        <v>0.4</v>
      </c>
      <c r="AG565" s="3">
        <f>ROUND(AE565-(AE565*AF565),2)</f>
        <v/>
      </c>
      <c r="AH565" s="4" t="n">
        <v>0.18</v>
      </c>
      <c r="AI565" s="3">
        <f>ROUND(AG565+(AG565*AH565),2)</f>
        <v/>
      </c>
      <c r="AJ565" s="4" t="n">
        <v>0.1</v>
      </c>
      <c r="AK565" s="3">
        <f>ROUND(AI565*AJ565,2)</f>
        <v/>
      </c>
      <c r="AL565" s="3">
        <f>AI565+AK565</f>
        <v/>
      </c>
      <c r="AM565" s="3">
        <f>AE565-AL565</f>
        <v/>
      </c>
      <c r="AN565" s="4">
        <f>AM565/AE565</f>
        <v/>
      </c>
      <c r="AO565" s="3" t="inlineStr">
        <is>
          <t>60 mins</t>
        </is>
      </c>
      <c r="AQ565" s="3" t="inlineStr">
        <is>
          <t>Weight</t>
        </is>
      </c>
      <c r="AS565" s="3" t="inlineStr">
        <is>
          <t>A kitchen bottle pull-out (BPO) is a narrow, sliding cabinet accessory designed for vertical storage of bottles, jars, and condiments, usually located next to the stove for easy access</t>
        </is>
      </c>
      <c r="AT565" s="3" t="inlineStr">
        <is>
          <t>3 hrs</t>
        </is>
      </c>
    </row>
    <row r="566" ht="15.75" customHeight="1">
      <c r="A566" s="3" t="inlineStr">
        <is>
          <t>PROD_0132</t>
        </is>
      </c>
      <c r="B566" s="3" t="inlineStr">
        <is>
          <t>VAR_3</t>
        </is>
      </c>
      <c r="C566" s="3" t="inlineStr">
        <is>
          <t>Modular Hardware</t>
        </is>
      </c>
      <c r="D566" s="3" t="inlineStr">
        <is>
          <t>Kitchen Accessories</t>
        </is>
      </c>
      <c r="E566" s="3" t="inlineStr">
        <is>
          <t>Ebco</t>
        </is>
      </c>
      <c r="F566" s="3" t="inlineStr">
        <is>
          <t>Bottle Pullout (Soft Close)</t>
        </is>
      </c>
      <c r="H566" s="3" t="inlineStr">
        <is>
          <t>Base</t>
        </is>
      </c>
      <c r="I566" s="3" t="inlineStr">
        <is>
          <t>Solid</t>
        </is>
      </c>
      <c r="J566" s="3" t="inlineStr">
        <is>
          <t>Dimension</t>
        </is>
      </c>
      <c r="K566" s="3" t="inlineStr">
        <is>
          <t>525 mm X 490 mm X 200 mm</t>
        </is>
      </c>
      <c r="L566" s="3" t="inlineStr">
        <is>
          <t>Width</t>
        </is>
      </c>
      <c r="M566" s="3" t="inlineStr">
        <is>
          <t>250 mm</t>
        </is>
      </c>
      <c r="Q566" s="3" t="inlineStr">
        <is>
          <t>Manufacturer's Warranty</t>
        </is>
      </c>
      <c r="R566" s="3" t="inlineStr">
        <is>
          <t>BPO2SC2-200</t>
        </is>
      </c>
      <c r="Y566" s="3" t="inlineStr">
        <is>
          <t>EBCO_KS_SC_SOLID_BPO</t>
        </is>
      </c>
      <c r="Z566" s="3" t="n">
        <v>732393</v>
      </c>
      <c r="AE566" s="3" t="n">
        <v>9108</v>
      </c>
      <c r="AF566" s="4" t="n">
        <v>0.4</v>
      </c>
      <c r="AG566" s="3">
        <f>ROUND(AE566-(AE566*AF566),2)</f>
        <v/>
      </c>
      <c r="AH566" s="4" t="n">
        <v>0.18</v>
      </c>
      <c r="AI566" s="3">
        <f>ROUND(AG566+(AG566*AH566),2)</f>
        <v/>
      </c>
      <c r="AJ566" s="4" t="n">
        <v>0.1</v>
      </c>
      <c r="AK566" s="3">
        <f>ROUND(AI566*AJ566,2)</f>
        <v/>
      </c>
      <c r="AL566" s="3">
        <f>AI566+AK566</f>
        <v/>
      </c>
      <c r="AM566" s="3">
        <f>AE566-AL566</f>
        <v/>
      </c>
      <c r="AN566" s="4">
        <f>AM566/AE566</f>
        <v/>
      </c>
      <c r="AO566" s="3" t="inlineStr">
        <is>
          <t>60 mins</t>
        </is>
      </c>
      <c r="AQ566" s="3" t="inlineStr">
        <is>
          <t>Weight</t>
        </is>
      </c>
      <c r="AS566" s="3" t="inlineStr">
        <is>
          <t>A kitchen bottle pull-out (BPO) is a narrow, sliding cabinet accessory designed for vertical storage of bottles, jars, and condiments, usually located next to the stove for easy access</t>
        </is>
      </c>
      <c r="AT566" s="3" t="inlineStr">
        <is>
          <t>3 hrs</t>
        </is>
      </c>
    </row>
    <row r="567" ht="15.75" customHeight="1">
      <c r="A567" s="3" t="inlineStr">
        <is>
          <t>PROD_0132</t>
        </is>
      </c>
      <c r="B567" s="3" t="inlineStr">
        <is>
          <t>VAR_4</t>
        </is>
      </c>
      <c r="C567" s="3" t="inlineStr">
        <is>
          <t>Modular Hardware</t>
        </is>
      </c>
      <c r="D567" s="3" t="inlineStr">
        <is>
          <t>Kitchen Accessories</t>
        </is>
      </c>
      <c r="E567" s="3" t="inlineStr">
        <is>
          <t>Ebco</t>
        </is>
      </c>
      <c r="F567" s="3" t="inlineStr">
        <is>
          <t>Bottle Pullout (Soft Close)</t>
        </is>
      </c>
      <c r="H567" s="3" t="inlineStr">
        <is>
          <t>Base</t>
        </is>
      </c>
      <c r="I567" s="3" t="inlineStr">
        <is>
          <t>Solid</t>
        </is>
      </c>
      <c r="J567" s="3" t="inlineStr">
        <is>
          <t>Dimension</t>
        </is>
      </c>
      <c r="K567" s="3" t="inlineStr">
        <is>
          <t>525 mm X 490 mm X 250 mm</t>
        </is>
      </c>
      <c r="L567" s="3" t="inlineStr">
        <is>
          <t>Width</t>
        </is>
      </c>
      <c r="M567" s="3" t="inlineStr">
        <is>
          <t>300 mm</t>
        </is>
      </c>
      <c r="Q567" s="3" t="inlineStr">
        <is>
          <t>Manufacturer's Warranty</t>
        </is>
      </c>
      <c r="R567" s="3" t="inlineStr">
        <is>
          <t>BPO2SC2-250</t>
        </is>
      </c>
      <c r="Y567" s="3" t="inlineStr">
        <is>
          <t>EBCO_KS_SC_SOLID_BPO</t>
        </is>
      </c>
      <c r="Z567" s="3" t="n">
        <v>732393</v>
      </c>
      <c r="AE567" s="3" t="n">
        <v>9847</v>
      </c>
      <c r="AF567" s="4" t="n">
        <v>0.4</v>
      </c>
      <c r="AG567" s="3">
        <f>ROUND(AE567-(AE567*AF567),2)</f>
        <v/>
      </c>
      <c r="AH567" s="4" t="n">
        <v>0.18</v>
      </c>
      <c r="AI567" s="3">
        <f>ROUND(AG567+(AG567*AH567),2)</f>
        <v/>
      </c>
      <c r="AJ567" s="4" t="n">
        <v>0.1</v>
      </c>
      <c r="AK567" s="3">
        <f>ROUND(AI567*AJ567,2)</f>
        <v/>
      </c>
      <c r="AL567" s="3">
        <f>AI567+AK567</f>
        <v/>
      </c>
      <c r="AM567" s="3">
        <f>AE567-AL567</f>
        <v/>
      </c>
      <c r="AN567" s="4">
        <f>AM567/AE567</f>
        <v/>
      </c>
      <c r="AO567" s="3" t="inlineStr">
        <is>
          <t>60 mins</t>
        </is>
      </c>
      <c r="AQ567" s="3" t="inlineStr">
        <is>
          <t>Weight</t>
        </is>
      </c>
      <c r="AS567" s="3" t="inlineStr">
        <is>
          <t>A kitchen bottle pull-out (BPO) is a narrow, sliding cabinet accessory designed for vertical storage of bottles, jars, and condiments, usually located next to the stove for easy access</t>
        </is>
      </c>
      <c r="AT567" s="3" t="inlineStr">
        <is>
          <t>3 hrs</t>
        </is>
      </c>
    </row>
    <row r="568" ht="15.75" customHeight="1">
      <c r="A568" s="3" t="inlineStr">
        <is>
          <t>PROD_0132</t>
        </is>
      </c>
      <c r="B568" s="3" t="inlineStr">
        <is>
          <t>VAR_5</t>
        </is>
      </c>
      <c r="C568" s="3" t="inlineStr">
        <is>
          <t>Modular Hardware</t>
        </is>
      </c>
      <c r="D568" s="3" t="inlineStr">
        <is>
          <t>Kitchen Accessories</t>
        </is>
      </c>
      <c r="E568" s="3" t="inlineStr">
        <is>
          <t>Ebco</t>
        </is>
      </c>
      <c r="F568" s="3" t="inlineStr">
        <is>
          <t>Bottle Pullout (Soft Close)</t>
        </is>
      </c>
      <c r="H568" s="3" t="inlineStr">
        <is>
          <t>Base</t>
        </is>
      </c>
      <c r="I568" s="3" t="inlineStr">
        <is>
          <t>Glass</t>
        </is>
      </c>
      <c r="J568" s="3" t="inlineStr">
        <is>
          <t>Dimension</t>
        </is>
      </c>
      <c r="K568" s="3" t="inlineStr">
        <is>
          <t>555 mm X 490 mm X 105 mm</t>
        </is>
      </c>
      <c r="L568" s="3" t="inlineStr">
        <is>
          <t>Width</t>
        </is>
      </c>
      <c r="M568" s="3" t="inlineStr">
        <is>
          <t>150 mm</t>
        </is>
      </c>
      <c r="Q568" s="3" t="inlineStr">
        <is>
          <t>Manufacturer's Warranty</t>
        </is>
      </c>
      <c r="R568" s="3" t="inlineStr">
        <is>
          <t>BPO2SC2G-100-AT</t>
        </is>
      </c>
      <c r="Y568" s="3" t="inlineStr">
        <is>
          <t>EBCO_KS_SC_GLASS_BPO</t>
        </is>
      </c>
      <c r="Z568" s="3" t="n">
        <v>732393</v>
      </c>
      <c r="AE568" s="3" t="n">
        <v>9470</v>
      </c>
      <c r="AF568" s="4" t="n">
        <v>0.4</v>
      </c>
      <c r="AG568" s="3">
        <f>ROUND(AE568-(AE568*AF568),2)</f>
        <v/>
      </c>
      <c r="AH568" s="4" t="n">
        <v>0.18</v>
      </c>
      <c r="AI568" s="3">
        <f>ROUND(AG568+(AG568*AH568),2)</f>
        <v/>
      </c>
      <c r="AJ568" s="4" t="n">
        <v>0.1</v>
      </c>
      <c r="AK568" s="3">
        <f>ROUND(AI568*AJ568,2)</f>
        <v/>
      </c>
      <c r="AL568" s="3">
        <f>AI568+AK568</f>
        <v/>
      </c>
      <c r="AM568" s="3">
        <f>AE568-AL568</f>
        <v/>
      </c>
      <c r="AN568" s="4">
        <f>AM568/AE568</f>
        <v/>
      </c>
      <c r="AO568" s="3" t="inlineStr">
        <is>
          <t>60 mins</t>
        </is>
      </c>
      <c r="AQ568" s="3" t="inlineStr">
        <is>
          <t>Weight</t>
        </is>
      </c>
      <c r="AS568" s="3" t="inlineStr">
        <is>
          <t>A kitchen bottle pull-out (BPO) is a narrow, sliding cabinet accessory designed for vertical storage of bottles, jars, and condiments, usually located next to the stove for easy access</t>
        </is>
      </c>
      <c r="AT568" s="3" t="inlineStr">
        <is>
          <t>3 hrs</t>
        </is>
      </c>
    </row>
    <row r="569" ht="15.75" customHeight="1">
      <c r="A569" s="3" t="inlineStr">
        <is>
          <t>PROD_0132</t>
        </is>
      </c>
      <c r="B569" s="3" t="inlineStr">
        <is>
          <t>VAR_6</t>
        </is>
      </c>
      <c r="C569" s="3" t="inlineStr">
        <is>
          <t>Modular Hardware</t>
        </is>
      </c>
      <c r="D569" s="3" t="inlineStr">
        <is>
          <t>Kitchen Accessories</t>
        </is>
      </c>
      <c r="E569" s="3" t="inlineStr">
        <is>
          <t>Ebco</t>
        </is>
      </c>
      <c r="F569" s="3" t="inlineStr">
        <is>
          <t>Bottle Pullout (Soft Close)</t>
        </is>
      </c>
      <c r="H569" s="3" t="inlineStr">
        <is>
          <t>Base</t>
        </is>
      </c>
      <c r="I569" s="3" t="inlineStr">
        <is>
          <t>Glass</t>
        </is>
      </c>
      <c r="J569" s="3" t="inlineStr">
        <is>
          <t>Dimension</t>
        </is>
      </c>
      <c r="K569" s="3" t="inlineStr">
        <is>
          <t>555 mm X 490 mm X 155 mm</t>
        </is>
      </c>
      <c r="L569" s="3" t="inlineStr">
        <is>
          <t>Width</t>
        </is>
      </c>
      <c r="M569" s="3" t="inlineStr">
        <is>
          <t>200 mm</t>
        </is>
      </c>
      <c r="Q569" s="3" t="inlineStr">
        <is>
          <t>Manufacturer's Warranty</t>
        </is>
      </c>
      <c r="R569" s="3" t="inlineStr">
        <is>
          <t>BPO2SC2G-150-AT</t>
        </is>
      </c>
      <c r="Y569" s="3" t="inlineStr">
        <is>
          <t>EBCO_KS_SC_GLASS_BPO</t>
        </is>
      </c>
      <c r="Z569" s="3" t="n">
        <v>732393</v>
      </c>
      <c r="AE569" s="3" t="n">
        <v>10217</v>
      </c>
      <c r="AF569" s="4" t="n">
        <v>0.4</v>
      </c>
      <c r="AG569" s="3">
        <f>ROUND(AE569-(AE569*AF569),2)</f>
        <v/>
      </c>
      <c r="AH569" s="4" t="n">
        <v>0.18</v>
      </c>
      <c r="AI569" s="3">
        <f>ROUND(AG569+(AG569*AH569),2)</f>
        <v/>
      </c>
      <c r="AJ569" s="4" t="n">
        <v>0.1</v>
      </c>
      <c r="AK569" s="3">
        <f>ROUND(AI569*AJ569,2)</f>
        <v/>
      </c>
      <c r="AL569" s="3">
        <f>AI569+AK569</f>
        <v/>
      </c>
      <c r="AM569" s="3">
        <f>AE569-AL569</f>
        <v/>
      </c>
      <c r="AN569" s="4">
        <f>AM569/AE569</f>
        <v/>
      </c>
      <c r="AO569" s="3" t="inlineStr">
        <is>
          <t>60 mins</t>
        </is>
      </c>
      <c r="AQ569" s="3" t="inlineStr">
        <is>
          <t>Weight</t>
        </is>
      </c>
      <c r="AS569" s="3" t="inlineStr">
        <is>
          <t>A kitchen bottle pull-out (BPO) is a narrow, sliding cabinet accessory designed for vertical storage of bottles, jars, and condiments, usually located next to the stove for easy access</t>
        </is>
      </c>
      <c r="AT569" s="3" t="inlineStr">
        <is>
          <t>3 hrs</t>
        </is>
      </c>
    </row>
    <row r="570" ht="15.75" customHeight="1">
      <c r="A570" s="3" t="inlineStr">
        <is>
          <t>PROD_0132</t>
        </is>
      </c>
      <c r="B570" s="3" t="inlineStr">
        <is>
          <t>VAR_7</t>
        </is>
      </c>
      <c r="C570" s="3" t="inlineStr">
        <is>
          <t>Modular Hardware</t>
        </is>
      </c>
      <c r="D570" s="3" t="inlineStr">
        <is>
          <t>Kitchen Accessories</t>
        </is>
      </c>
      <c r="E570" s="3" t="inlineStr">
        <is>
          <t>Ebco</t>
        </is>
      </c>
      <c r="F570" s="3" t="inlineStr">
        <is>
          <t>Bottle Pullout (Soft Close)</t>
        </is>
      </c>
      <c r="H570" s="3" t="inlineStr">
        <is>
          <t>Base</t>
        </is>
      </c>
      <c r="I570" s="3" t="inlineStr">
        <is>
          <t>Glass</t>
        </is>
      </c>
      <c r="J570" s="3" t="inlineStr">
        <is>
          <t>Dimension</t>
        </is>
      </c>
      <c r="K570" s="3" t="inlineStr">
        <is>
          <t>555 mm X 490 mm X 205 mm</t>
        </is>
      </c>
      <c r="L570" s="3" t="inlineStr">
        <is>
          <t>Width</t>
        </is>
      </c>
      <c r="M570" s="3" t="inlineStr">
        <is>
          <t>250 mm</t>
        </is>
      </c>
      <c r="Q570" s="3" t="inlineStr">
        <is>
          <t>Manufacturer's Warranty</t>
        </is>
      </c>
      <c r="R570" s="3" t="inlineStr">
        <is>
          <t>BPO2SC2G-200-AT</t>
        </is>
      </c>
      <c r="Y570" s="3" t="inlineStr">
        <is>
          <t>EBCO_KS_SC_GLASS_BPO</t>
        </is>
      </c>
      <c r="Z570" s="3" t="n">
        <v>732393</v>
      </c>
      <c r="AE570" s="3" t="n">
        <v>10616</v>
      </c>
      <c r="AF570" s="4" t="n">
        <v>0.4</v>
      </c>
      <c r="AG570" s="3">
        <f>ROUND(AE570-(AE570*AF570),2)</f>
        <v/>
      </c>
      <c r="AH570" s="4" t="n">
        <v>0.18</v>
      </c>
      <c r="AI570" s="3">
        <f>ROUND(AG570+(AG570*AH570),2)</f>
        <v/>
      </c>
      <c r="AJ570" s="4" t="n">
        <v>0.1</v>
      </c>
      <c r="AK570" s="3">
        <f>ROUND(AI570*AJ570,2)</f>
        <v/>
      </c>
      <c r="AL570" s="3">
        <f>AI570+AK570</f>
        <v/>
      </c>
      <c r="AM570" s="3">
        <f>AE570-AL570</f>
        <v/>
      </c>
      <c r="AN570" s="4">
        <f>AM570/AE570</f>
        <v/>
      </c>
      <c r="AO570" s="3" t="inlineStr">
        <is>
          <t>60 mins</t>
        </is>
      </c>
      <c r="AQ570" s="3" t="inlineStr">
        <is>
          <t>Weight</t>
        </is>
      </c>
      <c r="AS570" s="3" t="inlineStr">
        <is>
          <t>A kitchen bottle pull-out (BPO) is a narrow, sliding cabinet accessory designed for vertical storage of bottles, jars, and condiments, usually located next to the stove for easy access</t>
        </is>
      </c>
      <c r="AT570" s="3" t="inlineStr">
        <is>
          <t>3 hrs</t>
        </is>
      </c>
    </row>
    <row r="571" ht="15.75" customHeight="1">
      <c r="A571" s="3" t="inlineStr">
        <is>
          <t>PROD_0132</t>
        </is>
      </c>
      <c r="B571" s="3" t="inlineStr">
        <is>
          <t>VAR_8</t>
        </is>
      </c>
      <c r="C571" s="3" t="inlineStr">
        <is>
          <t>Modular Hardware</t>
        </is>
      </c>
      <c r="D571" s="3" t="inlineStr">
        <is>
          <t>Kitchen Accessories</t>
        </is>
      </c>
      <c r="E571" s="3" t="inlineStr">
        <is>
          <t>Ebco</t>
        </is>
      </c>
      <c r="F571" s="3" t="inlineStr">
        <is>
          <t>Bottle Pullout (Soft Close)</t>
        </is>
      </c>
      <c r="H571" s="3" t="inlineStr">
        <is>
          <t>Base</t>
        </is>
      </c>
      <c r="I571" s="3" t="inlineStr">
        <is>
          <t>Glass</t>
        </is>
      </c>
      <c r="J571" s="3" t="inlineStr">
        <is>
          <t>Dimension</t>
        </is>
      </c>
      <c r="K571" s="3" t="inlineStr">
        <is>
          <t>555 mm X 490 mm X 255 mm</t>
        </is>
      </c>
      <c r="L571" s="3" t="inlineStr">
        <is>
          <t>Width</t>
        </is>
      </c>
      <c r="M571" s="3" t="inlineStr">
        <is>
          <t>300 mm</t>
        </is>
      </c>
      <c r="Q571" s="3" t="inlineStr">
        <is>
          <t>Manufacturer's Warranty</t>
        </is>
      </c>
      <c r="R571" s="3" t="inlineStr">
        <is>
          <t>BPO2SC2G-250-AT</t>
        </is>
      </c>
      <c r="Y571" s="3" t="inlineStr">
        <is>
          <t>EBCO_KS_SC_GLASS_BPO</t>
        </is>
      </c>
      <c r="Z571" s="3" t="n">
        <v>732393</v>
      </c>
      <c r="AE571" s="3" t="n">
        <v>11347</v>
      </c>
      <c r="AF571" s="4" t="n">
        <v>0.4</v>
      </c>
      <c r="AG571" s="3">
        <f>ROUND(AE571-(AE571*AF571),2)</f>
        <v/>
      </c>
      <c r="AH571" s="4" t="n">
        <v>0.18</v>
      </c>
      <c r="AI571" s="3">
        <f>ROUND(AG571+(AG571*AH571),2)</f>
        <v/>
      </c>
      <c r="AJ571" s="4" t="n">
        <v>0.1</v>
      </c>
      <c r="AK571" s="3">
        <f>ROUND(AI571*AJ571,2)</f>
        <v/>
      </c>
      <c r="AL571" s="3">
        <f>AI571+AK571</f>
        <v/>
      </c>
      <c r="AM571" s="3">
        <f>AE571-AL571</f>
        <v/>
      </c>
      <c r="AN571" s="4">
        <f>AM571/AE571</f>
        <v/>
      </c>
      <c r="AO571" s="3" t="inlineStr">
        <is>
          <t>60 mins</t>
        </is>
      </c>
      <c r="AQ571" s="3" t="inlineStr">
        <is>
          <t>Weight</t>
        </is>
      </c>
      <c r="AS571" s="3" t="inlineStr">
        <is>
          <t>A kitchen bottle pull-out (BPO) is a narrow, sliding cabinet accessory designed for vertical storage of bottles, jars, and condiments, usually located next to the stove for easy access</t>
        </is>
      </c>
      <c r="AT571" s="3" t="inlineStr">
        <is>
          <t>3 hrs</t>
        </is>
      </c>
    </row>
    <row r="572" ht="15.75" customHeight="1">
      <c r="A572" s="3" t="inlineStr">
        <is>
          <t>PROD_0133</t>
        </is>
      </c>
      <c r="B572" s="3" t="inlineStr">
        <is>
          <t>VAR_1</t>
        </is>
      </c>
      <c r="C572" s="3" t="inlineStr">
        <is>
          <t>Modular Hardware</t>
        </is>
      </c>
      <c r="D572" s="3" t="inlineStr">
        <is>
          <t>Kitchen Accessories</t>
        </is>
      </c>
      <c r="E572" s="3" t="inlineStr">
        <is>
          <t>Ebco</t>
        </is>
      </c>
      <c r="F572" s="3" t="inlineStr">
        <is>
          <t>Kitchen Plate Rack</t>
        </is>
      </c>
      <c r="H572" s="3" t="inlineStr">
        <is>
          <t>Finish</t>
        </is>
      </c>
      <c r="I572" s="3" t="inlineStr">
        <is>
          <t>Stainless Steel</t>
        </is>
      </c>
      <c r="J572" s="3" t="inlineStr">
        <is>
          <t>Dimension</t>
        </is>
      </c>
      <c r="K572" s="3" t="inlineStr">
        <is>
          <t>550 mm X 240 mm X 90 mm</t>
        </is>
      </c>
      <c r="L572" s="3" t="inlineStr">
        <is>
          <t>Width</t>
        </is>
      </c>
      <c r="M572" s="3" t="inlineStr">
        <is>
          <t>600 mm</t>
        </is>
      </c>
      <c r="Q572" s="3" t="inlineStr">
        <is>
          <t>Manufacturer's Warranty</t>
        </is>
      </c>
      <c r="R572" s="3" t="inlineStr">
        <is>
          <t>PT22-10</t>
        </is>
      </c>
      <c r="Y572" s="3" t="inlineStr">
        <is>
          <t>EBCO_KS_RACK</t>
        </is>
      </c>
      <c r="Z572" s="3" t="n">
        <v>732690</v>
      </c>
      <c r="AE572" s="3" t="n">
        <v>3893</v>
      </c>
      <c r="AF572" s="4" t="n">
        <v>0.4</v>
      </c>
      <c r="AG572" s="3">
        <f>ROUND(AE572-(AE572*AF572),2)</f>
        <v/>
      </c>
      <c r="AH572" s="4" t="n">
        <v>0.18</v>
      </c>
      <c r="AI572" s="3">
        <f>ROUND(AG572+(AG572*AH572),2)</f>
        <v/>
      </c>
      <c r="AJ572" s="4" t="n">
        <v>0.1</v>
      </c>
      <c r="AK572" s="3">
        <f>ROUND(AI572*AJ572,2)</f>
        <v/>
      </c>
      <c r="AL572" s="3">
        <f>AI572+AK572</f>
        <v/>
      </c>
      <c r="AM572" s="3">
        <f>AE572-AL572</f>
        <v/>
      </c>
      <c r="AN572" s="4">
        <f>AM572/AE572</f>
        <v/>
      </c>
      <c r="AO572" s="3" t="inlineStr">
        <is>
          <t>60 mins</t>
        </is>
      </c>
      <c r="AQ572" s="3" t="inlineStr">
        <is>
          <t>Weight</t>
        </is>
      </c>
      <c r="AS572" s="3" t="inlineStr">
        <is>
          <t>A plate rack is a functional and decorative kitchen organizer designed to store plates, bowls, and cookware vertically in cabinets, on countertops, or mounted on walls.</t>
        </is>
      </c>
      <c r="AT572" s="3" t="inlineStr">
        <is>
          <t>3 hrs</t>
        </is>
      </c>
    </row>
    <row r="573" ht="15.75" customHeight="1">
      <c r="A573" s="3" t="inlineStr">
        <is>
          <t>PROD_0133</t>
        </is>
      </c>
      <c r="B573" s="3" t="inlineStr">
        <is>
          <t>VAR_2</t>
        </is>
      </c>
      <c r="C573" s="3" t="inlineStr">
        <is>
          <t>Modular Hardware</t>
        </is>
      </c>
      <c r="D573" s="3" t="inlineStr">
        <is>
          <t>Kitchen Accessories</t>
        </is>
      </c>
      <c r="E573" s="3" t="inlineStr">
        <is>
          <t>Ebco</t>
        </is>
      </c>
      <c r="F573" s="3" t="inlineStr">
        <is>
          <t>Kitchen Plate Rack</t>
        </is>
      </c>
      <c r="H573" s="3" t="inlineStr">
        <is>
          <t>Finish</t>
        </is>
      </c>
      <c r="I573" s="3" t="inlineStr">
        <is>
          <t>Stainless Steel</t>
        </is>
      </c>
      <c r="J573" s="3" t="inlineStr">
        <is>
          <t>Dimension</t>
        </is>
      </c>
      <c r="K573" s="3" t="inlineStr">
        <is>
          <t>600 mm X 240 mm X 90 mm</t>
        </is>
      </c>
      <c r="L573" s="3" t="inlineStr">
        <is>
          <t>Width</t>
        </is>
      </c>
      <c r="M573" s="3" t="inlineStr">
        <is>
          <t>700 mm</t>
        </is>
      </c>
      <c r="Q573" s="3" t="inlineStr">
        <is>
          <t>Manufacturer's Warranty</t>
        </is>
      </c>
      <c r="R573" s="3" t="inlineStr">
        <is>
          <t>PT24-10</t>
        </is>
      </c>
      <c r="Y573" s="3" t="inlineStr">
        <is>
          <t>EBCO_KS_RACK</t>
        </is>
      </c>
      <c r="Z573" s="3" t="n">
        <v>732690</v>
      </c>
      <c r="AE573" s="3" t="n">
        <v>4010</v>
      </c>
      <c r="AF573" s="4" t="n">
        <v>0.4</v>
      </c>
      <c r="AG573" s="3">
        <f>ROUND(AE573-(AE573*AF573),2)</f>
        <v/>
      </c>
      <c r="AH573" s="4" t="n">
        <v>0.18</v>
      </c>
      <c r="AI573" s="3">
        <f>ROUND(AG573+(AG573*AH573),2)</f>
        <v/>
      </c>
      <c r="AJ573" s="4" t="n">
        <v>0.1</v>
      </c>
      <c r="AK573" s="3">
        <f>ROUND(AI573*AJ573,2)</f>
        <v/>
      </c>
      <c r="AL573" s="3">
        <f>AI573+AK573</f>
        <v/>
      </c>
      <c r="AM573" s="3">
        <f>AE573-AL573</f>
        <v/>
      </c>
      <c r="AN573" s="4">
        <f>AM573/AE573</f>
        <v/>
      </c>
      <c r="AO573" s="3" t="inlineStr">
        <is>
          <t>60 mins</t>
        </is>
      </c>
      <c r="AQ573" s="3" t="inlineStr">
        <is>
          <t>Weight</t>
        </is>
      </c>
      <c r="AS573" s="3" t="inlineStr">
        <is>
          <t>A plate rack is a functional and decorative kitchen organizer designed to store plates, bowls, and cookware vertically in cabinets, on countertops, or mounted on walls.</t>
        </is>
      </c>
      <c r="AT573" s="3" t="inlineStr">
        <is>
          <t>3 hrs</t>
        </is>
      </c>
    </row>
    <row r="574" ht="15.75" customHeight="1">
      <c r="A574" s="3" t="inlineStr">
        <is>
          <t>PROD_0133</t>
        </is>
      </c>
      <c r="B574" s="3" t="inlineStr">
        <is>
          <t>VAR_3</t>
        </is>
      </c>
      <c r="C574" s="3" t="inlineStr">
        <is>
          <t>Modular Hardware</t>
        </is>
      </c>
      <c r="D574" s="3" t="inlineStr">
        <is>
          <t>Kitchen Accessories</t>
        </is>
      </c>
      <c r="E574" s="3" t="inlineStr">
        <is>
          <t>Ebco</t>
        </is>
      </c>
      <c r="F574" s="3" t="inlineStr">
        <is>
          <t>Kitchen Plate Rack</t>
        </is>
      </c>
      <c r="H574" s="3" t="inlineStr">
        <is>
          <t>Finish</t>
        </is>
      </c>
      <c r="I574" s="3" t="inlineStr">
        <is>
          <t>Stainless Steel</t>
        </is>
      </c>
      <c r="J574" s="3" t="inlineStr">
        <is>
          <t>Dimension</t>
        </is>
      </c>
      <c r="K574" s="3" t="inlineStr">
        <is>
          <t>760 mm X 240 mm X 90 mm</t>
        </is>
      </c>
      <c r="L574" s="3" t="inlineStr">
        <is>
          <t>Width</t>
        </is>
      </c>
      <c r="M574" s="3" t="inlineStr">
        <is>
          <t>800 mm</t>
        </is>
      </c>
      <c r="Q574" s="3" t="inlineStr">
        <is>
          <t>Manufacturer's Warranty</t>
        </is>
      </c>
      <c r="R574" s="3" t="inlineStr">
        <is>
          <t>PT30-10</t>
        </is>
      </c>
      <c r="Y574" s="3" t="inlineStr">
        <is>
          <t>EBCO_KS_RACK</t>
        </is>
      </c>
      <c r="Z574" s="3" t="n">
        <v>732690</v>
      </c>
      <c r="AE574" s="3" t="n">
        <v>5324</v>
      </c>
      <c r="AF574" s="4" t="n">
        <v>0.4</v>
      </c>
      <c r="AG574" s="3">
        <f>ROUND(AE574-(AE574*AF574),2)</f>
        <v/>
      </c>
      <c r="AH574" s="4" t="n">
        <v>0.18</v>
      </c>
      <c r="AI574" s="3">
        <f>ROUND(AG574+(AG574*AH574),2)</f>
        <v/>
      </c>
      <c r="AJ574" s="4" t="n">
        <v>0.1</v>
      </c>
      <c r="AK574" s="3">
        <f>ROUND(AI574*AJ574,2)</f>
        <v/>
      </c>
      <c r="AL574" s="3">
        <f>AI574+AK574</f>
        <v/>
      </c>
      <c r="AM574" s="3">
        <f>AE574-AL574</f>
        <v/>
      </c>
      <c r="AN574" s="4">
        <f>AM574/AE574</f>
        <v/>
      </c>
      <c r="AO574" s="3" t="inlineStr">
        <is>
          <t>60 mins</t>
        </is>
      </c>
      <c r="AQ574" s="3" t="inlineStr">
        <is>
          <t>Weight</t>
        </is>
      </c>
      <c r="AS574" s="3" t="inlineStr">
        <is>
          <t>A plate rack is a functional and decorative kitchen organizer designed to store plates, bowls, and cookware vertically in cabinets, on countertops, or mounted on walls.</t>
        </is>
      </c>
      <c r="AT574" s="3" t="inlineStr">
        <is>
          <t>3 hrs</t>
        </is>
      </c>
    </row>
    <row r="575" ht="15.75" customHeight="1">
      <c r="A575" s="3" t="inlineStr">
        <is>
          <t>PROD_0133</t>
        </is>
      </c>
      <c r="B575" s="3" t="inlineStr">
        <is>
          <t>VAR_4</t>
        </is>
      </c>
      <c r="C575" s="3" t="inlineStr">
        <is>
          <t>Modular Hardware</t>
        </is>
      </c>
      <c r="D575" s="3" t="inlineStr">
        <is>
          <t>Kitchen Accessories</t>
        </is>
      </c>
      <c r="E575" s="3" t="inlineStr">
        <is>
          <t>Ebco</t>
        </is>
      </c>
      <c r="F575" s="3" t="inlineStr">
        <is>
          <t>Kitchen Plate Rack</t>
        </is>
      </c>
      <c r="H575" s="3" t="inlineStr">
        <is>
          <t>Finish</t>
        </is>
      </c>
      <c r="I575" s="3" t="inlineStr">
        <is>
          <t>Stainless Steel</t>
        </is>
      </c>
      <c r="J575" s="3" t="inlineStr">
        <is>
          <t>Dimension</t>
        </is>
      </c>
      <c r="K575" s="3" t="inlineStr">
        <is>
          <t>860 mm X 240 mm X 90 mm</t>
        </is>
      </c>
      <c r="L575" s="3" t="inlineStr">
        <is>
          <t>Width</t>
        </is>
      </c>
      <c r="M575" s="3" t="inlineStr">
        <is>
          <t>900 mm</t>
        </is>
      </c>
      <c r="Q575" s="3" t="inlineStr">
        <is>
          <t>Manufacturer's Warranty</t>
        </is>
      </c>
      <c r="R575" s="3" t="inlineStr">
        <is>
          <t>PT34-10</t>
        </is>
      </c>
      <c r="Y575" s="3" t="inlineStr">
        <is>
          <t>EBCO_KS_RACK</t>
        </is>
      </c>
      <c r="Z575" s="3" t="n">
        <v>732690</v>
      </c>
      <c r="AE575" s="3" t="n">
        <v>5830</v>
      </c>
      <c r="AF575" s="4" t="n">
        <v>0.4</v>
      </c>
      <c r="AG575" s="3">
        <f>ROUND(AE575-(AE575*AF575),2)</f>
        <v/>
      </c>
      <c r="AH575" s="4" t="n">
        <v>0.18</v>
      </c>
      <c r="AI575" s="3">
        <f>ROUND(AG575+(AG575*AH575),2)</f>
        <v/>
      </c>
      <c r="AJ575" s="4" t="n">
        <v>0.1</v>
      </c>
      <c r="AK575" s="3">
        <f>ROUND(AI575*AJ575,2)</f>
        <v/>
      </c>
      <c r="AL575" s="3">
        <f>AI575+AK575</f>
        <v/>
      </c>
      <c r="AM575" s="3">
        <f>AE575-AL575</f>
        <v/>
      </c>
      <c r="AN575" s="4">
        <f>AM575/AE575</f>
        <v/>
      </c>
      <c r="AO575" s="3" t="inlineStr">
        <is>
          <t>60 mins</t>
        </is>
      </c>
      <c r="AQ575" s="3" t="inlineStr">
        <is>
          <t>Weight</t>
        </is>
      </c>
      <c r="AS575" s="3" t="inlineStr">
        <is>
          <t>A plate rack is a functional and decorative kitchen organizer designed to store plates, bowls, and cookware vertically in cabinets, on countertops, or mounted on walls.</t>
        </is>
      </c>
      <c r="AT575" s="3" t="inlineStr">
        <is>
          <t>3 hrs</t>
        </is>
      </c>
    </row>
    <row r="576" ht="15.75" customHeight="1">
      <c r="A576" s="3" t="inlineStr">
        <is>
          <t>PROD_0134</t>
        </is>
      </c>
      <c r="B576" s="3" t="inlineStr">
        <is>
          <t>VAR_1</t>
        </is>
      </c>
      <c r="C576" s="3" t="inlineStr">
        <is>
          <t>Modular Hardware</t>
        </is>
      </c>
      <c r="D576" s="3" t="inlineStr">
        <is>
          <t>Kitchen Accessories</t>
        </is>
      </c>
      <c r="E576" s="3" t="inlineStr">
        <is>
          <t>Ebco</t>
        </is>
      </c>
      <c r="F576" s="3" t="inlineStr">
        <is>
          <t>Glass Rack</t>
        </is>
      </c>
      <c r="H576" s="3" t="inlineStr">
        <is>
          <t>Finish</t>
        </is>
      </c>
      <c r="I576" s="3" t="inlineStr">
        <is>
          <t>Stainless Steel</t>
        </is>
      </c>
      <c r="J576" s="3" t="inlineStr">
        <is>
          <t>Dimension</t>
        </is>
      </c>
      <c r="K576" s="3" t="inlineStr">
        <is>
          <t>550 mm X 240 mm X 19 mm</t>
        </is>
      </c>
      <c r="L576" s="3" t="inlineStr">
        <is>
          <t>Width</t>
        </is>
      </c>
      <c r="M576" s="3" t="inlineStr">
        <is>
          <t>600 mm</t>
        </is>
      </c>
      <c r="Q576" s="3" t="inlineStr">
        <is>
          <t>Manufacturer's Warranty</t>
        </is>
      </c>
      <c r="R576" s="3" t="inlineStr">
        <is>
          <t>GT22-10</t>
        </is>
      </c>
      <c r="Y576" s="3" t="inlineStr">
        <is>
          <t>EBCO_KS_RACK</t>
        </is>
      </c>
      <c r="Z576" s="3" t="n">
        <v>732690</v>
      </c>
      <c r="AE576" s="3" t="n">
        <v>2485</v>
      </c>
      <c r="AF576" s="4" t="n">
        <v>0.4</v>
      </c>
      <c r="AG576" s="3">
        <f>ROUND(AE576-(AE576*AF576),2)</f>
        <v/>
      </c>
      <c r="AH576" s="4" t="n">
        <v>0.18</v>
      </c>
      <c r="AI576" s="3">
        <f>ROUND(AG576+(AG576*AH576),2)</f>
        <v/>
      </c>
      <c r="AJ576" s="4" t="n">
        <v>0.1</v>
      </c>
      <c r="AK576" s="3">
        <f>ROUND(AI576*AJ576,2)</f>
        <v/>
      </c>
      <c r="AL576" s="3">
        <f>AI576+AK576</f>
        <v/>
      </c>
      <c r="AM576" s="3">
        <f>AE576-AL576</f>
        <v/>
      </c>
      <c r="AN576" s="4">
        <f>AM576/AE576</f>
        <v/>
      </c>
      <c r="AO576" s="3" t="inlineStr">
        <is>
          <t>60 mins</t>
        </is>
      </c>
      <c r="AQ576" s="3" t="inlineStr">
        <is>
          <t>Weight</t>
        </is>
      </c>
      <c r="AS576" s="3" t="inlineStr">
        <is>
          <t>A kitchen glass rack is a specialized storage or washing device—often made of stainless steel, wire, or plastic—designed to hold glasses, cups, and stemware securely.</t>
        </is>
      </c>
      <c r="AT576" s="3" t="inlineStr">
        <is>
          <t>3 hrs</t>
        </is>
      </c>
    </row>
    <row r="577" ht="15.75" customHeight="1">
      <c r="A577" s="3" t="inlineStr">
        <is>
          <t>PROD_0134</t>
        </is>
      </c>
      <c r="B577" s="3" t="inlineStr">
        <is>
          <t>VAR_2</t>
        </is>
      </c>
      <c r="C577" s="3" t="inlineStr">
        <is>
          <t>Modular Hardware</t>
        </is>
      </c>
      <c r="D577" s="3" t="inlineStr">
        <is>
          <t>Kitchen Accessories</t>
        </is>
      </c>
      <c r="E577" s="3" t="inlineStr">
        <is>
          <t>Ebco</t>
        </is>
      </c>
      <c r="F577" s="3" t="inlineStr">
        <is>
          <t>Glass Rack</t>
        </is>
      </c>
      <c r="H577" s="3" t="inlineStr">
        <is>
          <t>Finish</t>
        </is>
      </c>
      <c r="I577" s="3" t="inlineStr">
        <is>
          <t>Stainless Steel</t>
        </is>
      </c>
      <c r="J577" s="3" t="inlineStr">
        <is>
          <t>Dimension</t>
        </is>
      </c>
      <c r="K577" s="3" t="inlineStr">
        <is>
          <t>600 mm X 240 mm X 19 mm</t>
        </is>
      </c>
      <c r="L577" s="3" t="inlineStr">
        <is>
          <t>Width</t>
        </is>
      </c>
      <c r="M577" s="3" t="inlineStr">
        <is>
          <t>700 mm</t>
        </is>
      </c>
      <c r="Q577" s="3" t="inlineStr">
        <is>
          <t>Manufacturer's Warranty</t>
        </is>
      </c>
      <c r="R577" s="3" t="inlineStr">
        <is>
          <t>GT24-10</t>
        </is>
      </c>
      <c r="Y577" s="3" t="inlineStr">
        <is>
          <t>EBCO_KS_RACK</t>
        </is>
      </c>
      <c r="Z577" s="3" t="n">
        <v>732690</v>
      </c>
      <c r="AE577" s="3" t="n">
        <v>2641</v>
      </c>
      <c r="AF577" s="4" t="n">
        <v>0.4</v>
      </c>
      <c r="AG577" s="3">
        <f>ROUND(AE577-(AE577*AF577),2)</f>
        <v/>
      </c>
      <c r="AH577" s="4" t="n">
        <v>0.18</v>
      </c>
      <c r="AI577" s="3">
        <f>ROUND(AG577+(AG577*AH577),2)</f>
        <v/>
      </c>
      <c r="AJ577" s="4" t="n">
        <v>0.1</v>
      </c>
      <c r="AK577" s="3">
        <f>ROUND(AI577*AJ577,2)</f>
        <v/>
      </c>
      <c r="AL577" s="3">
        <f>AI577+AK577</f>
        <v/>
      </c>
      <c r="AM577" s="3">
        <f>AE577-AL577</f>
        <v/>
      </c>
      <c r="AN577" s="4">
        <f>AM577/AE577</f>
        <v/>
      </c>
      <c r="AO577" s="3" t="inlineStr">
        <is>
          <t>60 mins</t>
        </is>
      </c>
      <c r="AQ577" s="3" t="inlineStr">
        <is>
          <t>Weight</t>
        </is>
      </c>
      <c r="AS577" s="3" t="inlineStr">
        <is>
          <t>A kitchen glass rack is a specialized storage or washing device—often made of stainless steel, wire, or plastic—designed to hold glasses, cups, and stemware securely.</t>
        </is>
      </c>
      <c r="AT577" s="3" t="inlineStr">
        <is>
          <t>3 hrs</t>
        </is>
      </c>
    </row>
    <row r="578" ht="15.75" customHeight="1">
      <c r="A578" s="3" t="inlineStr">
        <is>
          <t>PROD_0134</t>
        </is>
      </c>
      <c r="B578" s="3" t="inlineStr">
        <is>
          <t>VAR_3</t>
        </is>
      </c>
      <c r="C578" s="3" t="inlineStr">
        <is>
          <t>Modular Hardware</t>
        </is>
      </c>
      <c r="D578" s="3" t="inlineStr">
        <is>
          <t>Kitchen Accessories</t>
        </is>
      </c>
      <c r="E578" s="3" t="inlineStr">
        <is>
          <t>Ebco</t>
        </is>
      </c>
      <c r="F578" s="3" t="inlineStr">
        <is>
          <t>Glass Rack</t>
        </is>
      </c>
      <c r="H578" s="3" t="inlineStr">
        <is>
          <t>Finish</t>
        </is>
      </c>
      <c r="I578" s="3" t="inlineStr">
        <is>
          <t>Stainless Steel</t>
        </is>
      </c>
      <c r="J578" s="3" t="inlineStr">
        <is>
          <t>Dimension</t>
        </is>
      </c>
      <c r="K578" s="3" t="inlineStr">
        <is>
          <t>760 mm X 240 mm X 19 mm</t>
        </is>
      </c>
      <c r="L578" s="3" t="inlineStr">
        <is>
          <t>Width</t>
        </is>
      </c>
      <c r="M578" s="3" t="inlineStr">
        <is>
          <t>800 mm</t>
        </is>
      </c>
      <c r="Q578" s="3" t="inlineStr">
        <is>
          <t>Manufacturer's Warranty</t>
        </is>
      </c>
      <c r="R578" s="3" t="inlineStr">
        <is>
          <t>GT30-10</t>
        </is>
      </c>
      <c r="Y578" s="3" t="inlineStr">
        <is>
          <t>EBCO_KS_RACK</t>
        </is>
      </c>
      <c r="Z578" s="3" t="n">
        <v>732690</v>
      </c>
      <c r="AE578" s="3" t="n">
        <v>3322</v>
      </c>
      <c r="AF578" s="4" t="n">
        <v>0.4</v>
      </c>
      <c r="AG578" s="3">
        <f>ROUND(AE578-(AE578*AF578),2)</f>
        <v/>
      </c>
      <c r="AH578" s="4" t="n">
        <v>0.18</v>
      </c>
      <c r="AI578" s="3">
        <f>ROUND(AG578+(AG578*AH578),2)</f>
        <v/>
      </c>
      <c r="AJ578" s="4" t="n">
        <v>0.1</v>
      </c>
      <c r="AK578" s="3">
        <f>ROUND(AI578*AJ578,2)</f>
        <v/>
      </c>
      <c r="AL578" s="3">
        <f>AI578+AK578</f>
        <v/>
      </c>
      <c r="AM578" s="3">
        <f>AE578-AL578</f>
        <v/>
      </c>
      <c r="AN578" s="4">
        <f>AM578/AE578</f>
        <v/>
      </c>
      <c r="AO578" s="3" t="inlineStr">
        <is>
          <t>60 mins</t>
        </is>
      </c>
      <c r="AQ578" s="3" t="inlineStr">
        <is>
          <t>Weight</t>
        </is>
      </c>
      <c r="AS578" s="3" t="inlineStr">
        <is>
          <t>A kitchen glass rack is a specialized storage or washing device—often made of stainless steel, wire, or plastic—designed to hold glasses, cups, and stemware securely.</t>
        </is>
      </c>
      <c r="AT578" s="3" t="inlineStr">
        <is>
          <t>3 hrs</t>
        </is>
      </c>
    </row>
    <row r="579" ht="15.75" customHeight="1">
      <c r="A579" s="3" t="inlineStr">
        <is>
          <t>PROD_0134</t>
        </is>
      </c>
      <c r="B579" s="3" t="inlineStr">
        <is>
          <t>VAR_4</t>
        </is>
      </c>
      <c r="C579" s="3" t="inlineStr">
        <is>
          <t>Modular Hardware</t>
        </is>
      </c>
      <c r="D579" s="3" t="inlineStr">
        <is>
          <t>Kitchen Accessories</t>
        </is>
      </c>
      <c r="E579" s="3" t="inlineStr">
        <is>
          <t>Ebco</t>
        </is>
      </c>
      <c r="F579" s="3" t="inlineStr">
        <is>
          <t>Glass Rack</t>
        </is>
      </c>
      <c r="H579" s="3" t="inlineStr">
        <is>
          <t>Finish</t>
        </is>
      </c>
      <c r="I579" s="3" t="inlineStr">
        <is>
          <t>Stainless Steel</t>
        </is>
      </c>
      <c r="J579" s="3" t="inlineStr">
        <is>
          <t>Dimension</t>
        </is>
      </c>
      <c r="K579" s="3" t="inlineStr">
        <is>
          <t>860 mm X 240 mm X 19 mm</t>
        </is>
      </c>
      <c r="L579" s="3" t="inlineStr">
        <is>
          <t>Width</t>
        </is>
      </c>
      <c r="M579" s="3" t="inlineStr">
        <is>
          <t>900 mm</t>
        </is>
      </c>
      <c r="Q579" s="3" t="inlineStr">
        <is>
          <t>Manufacturer's Warranty</t>
        </is>
      </c>
      <c r="R579" s="3" t="inlineStr">
        <is>
          <t>GT34-10</t>
        </is>
      </c>
      <c r="Y579" s="3" t="inlineStr">
        <is>
          <t>EBCO_KS_RACK</t>
        </is>
      </c>
      <c r="Z579" s="3" t="n">
        <v>732690</v>
      </c>
      <c r="AE579" s="3" t="n">
        <v>3680</v>
      </c>
      <c r="AF579" s="4" t="n">
        <v>0.4</v>
      </c>
      <c r="AG579" s="3">
        <f>ROUND(AE579-(AE579*AF579),2)</f>
        <v/>
      </c>
      <c r="AH579" s="4" t="n">
        <v>0.18</v>
      </c>
      <c r="AI579" s="3">
        <f>ROUND(AG579+(AG579*AH579),2)</f>
        <v/>
      </c>
      <c r="AJ579" s="4" t="n">
        <v>0.1</v>
      </c>
      <c r="AK579" s="3">
        <f>ROUND(AI579*AJ579,2)</f>
        <v/>
      </c>
      <c r="AL579" s="3">
        <f>AI579+AK579</f>
        <v/>
      </c>
      <c r="AM579" s="3">
        <f>AE579-AL579</f>
        <v/>
      </c>
      <c r="AN579" s="4">
        <f>AM579/AE579</f>
        <v/>
      </c>
      <c r="AO579" s="3" t="inlineStr">
        <is>
          <t>60 mins</t>
        </is>
      </c>
      <c r="AQ579" s="3" t="inlineStr">
        <is>
          <t>Weight</t>
        </is>
      </c>
      <c r="AS579" s="3" t="inlineStr">
        <is>
          <t>A kitchen glass rack is a specialized storage or washing device—often made of stainless steel, wire, or plastic—designed to hold glasses, cups, and stemware securely.</t>
        </is>
      </c>
      <c r="AT579" s="3" t="inlineStr">
        <is>
          <t>3 hrs</t>
        </is>
      </c>
    </row>
    <row r="580" ht="15.75" customHeight="1">
      <c r="A580" s="3" t="inlineStr">
        <is>
          <t>PROD_0135</t>
        </is>
      </c>
      <c r="B580" s="3" t="inlineStr">
        <is>
          <t>VAR_1</t>
        </is>
      </c>
      <c r="C580" s="3" t="inlineStr">
        <is>
          <t>Modular Hardware</t>
        </is>
      </c>
      <c r="D580" s="3" t="inlineStr">
        <is>
          <t>Kitchen Accessories</t>
        </is>
      </c>
      <c r="E580" s="3" t="inlineStr">
        <is>
          <t>Ebco</t>
        </is>
      </c>
      <c r="F580" s="3" t="inlineStr">
        <is>
          <t>Drip Tray</t>
        </is>
      </c>
      <c r="H580" s="3" t="inlineStr">
        <is>
          <t>Finish</t>
        </is>
      </c>
      <c r="I580" s="3" t="inlineStr">
        <is>
          <t>Stainless Steel</t>
        </is>
      </c>
      <c r="J580" s="3" t="inlineStr">
        <is>
          <t>Dimension</t>
        </is>
      </c>
      <c r="K580" s="3" t="inlineStr">
        <is>
          <t>550 mm X 240 mm X 22 mm</t>
        </is>
      </c>
      <c r="L580" s="3" t="inlineStr">
        <is>
          <t>Width</t>
        </is>
      </c>
      <c r="M580" s="3" t="inlineStr">
        <is>
          <t>600 mm</t>
        </is>
      </c>
      <c r="Q580" s="3" t="inlineStr">
        <is>
          <t>Manufacturer's Warranty</t>
        </is>
      </c>
      <c r="R580" s="3" t="inlineStr">
        <is>
          <t>DT22-10</t>
        </is>
      </c>
      <c r="Y580" s="3" t="inlineStr">
        <is>
          <t>EBCO_KS_RACK</t>
        </is>
      </c>
      <c r="Z580" s="3" t="n">
        <v>732690</v>
      </c>
      <c r="AE580" s="3" t="n">
        <v>1665</v>
      </c>
      <c r="AF580" s="4" t="n">
        <v>0.4</v>
      </c>
      <c r="AG580" s="3">
        <f>ROUND(AE580-(AE580*AF580),2)</f>
        <v/>
      </c>
      <c r="AH580" s="4" t="n">
        <v>0.18</v>
      </c>
      <c r="AI580" s="3">
        <f>ROUND(AG580+(AG580*AH580),2)</f>
        <v/>
      </c>
      <c r="AJ580" s="4" t="n">
        <v>0.1</v>
      </c>
      <c r="AK580" s="3">
        <f>ROUND(AI580*AJ580,2)</f>
        <v/>
      </c>
      <c r="AL580" s="3">
        <f>AI580+AK580</f>
        <v/>
      </c>
      <c r="AM580" s="3">
        <f>AE580-AL580</f>
        <v/>
      </c>
      <c r="AN580" s="4">
        <f>AM580/AE580</f>
        <v/>
      </c>
      <c r="AO580" s="3" t="inlineStr">
        <is>
          <t>60 mins</t>
        </is>
      </c>
      <c r="AQ580" s="3" t="inlineStr">
        <is>
          <t>Weight</t>
        </is>
      </c>
      <c r="AS580" s="3" t="inlineStr">
        <is>
          <t>A kitchen drip tray is a shallow, durable tray—commonly made of stainless steel or food-safe plastic—designed to catch excess water, grease, or spills.</t>
        </is>
      </c>
      <c r="AT580" s="3" t="inlineStr">
        <is>
          <t>3 hrs</t>
        </is>
      </c>
    </row>
    <row r="581" ht="15.75" customHeight="1">
      <c r="A581" s="3" t="inlineStr">
        <is>
          <t>PROD_0135</t>
        </is>
      </c>
      <c r="B581" s="3" t="inlineStr">
        <is>
          <t>VAR_2</t>
        </is>
      </c>
      <c r="C581" s="3" t="inlineStr">
        <is>
          <t>Modular Hardware</t>
        </is>
      </c>
      <c r="D581" s="3" t="inlineStr">
        <is>
          <t>Kitchen Accessories</t>
        </is>
      </c>
      <c r="E581" s="3" t="inlineStr">
        <is>
          <t>Ebco</t>
        </is>
      </c>
      <c r="F581" s="3" t="inlineStr">
        <is>
          <t>Drip Tray</t>
        </is>
      </c>
      <c r="H581" s="3" t="inlineStr">
        <is>
          <t>Finish</t>
        </is>
      </c>
      <c r="I581" s="3" t="inlineStr">
        <is>
          <t>Stainless Steel</t>
        </is>
      </c>
      <c r="J581" s="3" t="inlineStr">
        <is>
          <t>Dimension</t>
        </is>
      </c>
      <c r="K581" s="3" t="inlineStr">
        <is>
          <t>600 mm X 240 mm X 22 mm</t>
        </is>
      </c>
      <c r="L581" s="3" t="inlineStr">
        <is>
          <t>Width</t>
        </is>
      </c>
      <c r="M581" s="3" t="inlineStr">
        <is>
          <t>700 mm</t>
        </is>
      </c>
      <c r="Q581" s="3" t="inlineStr">
        <is>
          <t>Manufacturer's Warranty</t>
        </is>
      </c>
      <c r="R581" s="3" t="inlineStr">
        <is>
          <t>DT24-10</t>
        </is>
      </c>
      <c r="Y581" s="3" t="inlineStr">
        <is>
          <t>EBCO_KS_RACK</t>
        </is>
      </c>
      <c r="Z581" s="3" t="n">
        <v>732690</v>
      </c>
      <c r="AE581" s="3" t="n">
        <v>1798</v>
      </c>
      <c r="AF581" s="4" t="n">
        <v>0.4</v>
      </c>
      <c r="AG581" s="3">
        <f>ROUND(AE581-(AE581*AF581),2)</f>
        <v/>
      </c>
      <c r="AH581" s="4" t="n">
        <v>0.18</v>
      </c>
      <c r="AI581" s="3">
        <f>ROUND(AG581+(AG581*AH581),2)</f>
        <v/>
      </c>
      <c r="AJ581" s="4" t="n">
        <v>0.1</v>
      </c>
      <c r="AK581" s="3">
        <f>ROUND(AI581*AJ581,2)</f>
        <v/>
      </c>
      <c r="AL581" s="3">
        <f>AI581+AK581</f>
        <v/>
      </c>
      <c r="AM581" s="3">
        <f>AE581-AL581</f>
        <v/>
      </c>
      <c r="AN581" s="4">
        <f>AM581/AE581</f>
        <v/>
      </c>
      <c r="AO581" s="3" t="inlineStr">
        <is>
          <t>60 mins</t>
        </is>
      </c>
      <c r="AQ581" s="3" t="inlineStr">
        <is>
          <t>Weight</t>
        </is>
      </c>
      <c r="AS581" s="3" t="inlineStr">
        <is>
          <t>A kitchen drip tray is a shallow, durable tray—commonly made of stainless steel or food-safe plastic—designed to catch excess water, grease, or spills.</t>
        </is>
      </c>
      <c r="AT581" s="3" t="inlineStr">
        <is>
          <t>3 hrs</t>
        </is>
      </c>
    </row>
    <row r="582" ht="15.75" customHeight="1">
      <c r="A582" s="3" t="inlineStr">
        <is>
          <t>PROD_0135</t>
        </is>
      </c>
      <c r="B582" s="3" t="inlineStr">
        <is>
          <t>VAR_3</t>
        </is>
      </c>
      <c r="C582" s="3" t="inlineStr">
        <is>
          <t>Modular Hardware</t>
        </is>
      </c>
      <c r="D582" s="3" t="inlineStr">
        <is>
          <t>Kitchen Accessories</t>
        </is>
      </c>
      <c r="E582" s="3" t="inlineStr">
        <is>
          <t>Ebco</t>
        </is>
      </c>
      <c r="F582" s="3" t="inlineStr">
        <is>
          <t>Drip Tray</t>
        </is>
      </c>
      <c r="H582" s="3" t="inlineStr">
        <is>
          <t>Finish</t>
        </is>
      </c>
      <c r="I582" s="3" t="inlineStr">
        <is>
          <t>Stainless Steel</t>
        </is>
      </c>
      <c r="J582" s="3" t="inlineStr">
        <is>
          <t>Dimension</t>
        </is>
      </c>
      <c r="K582" s="3" t="inlineStr">
        <is>
          <t>760 mm X 240 mm X 22 mm</t>
        </is>
      </c>
      <c r="L582" s="3" t="inlineStr">
        <is>
          <t>Width</t>
        </is>
      </c>
      <c r="M582" s="3" t="inlineStr">
        <is>
          <t>800 mm</t>
        </is>
      </c>
      <c r="Q582" s="3" t="inlineStr">
        <is>
          <t>Manufacturer's Warranty</t>
        </is>
      </c>
      <c r="R582" s="3" t="inlineStr">
        <is>
          <t>DT30-10</t>
        </is>
      </c>
      <c r="Y582" s="3" t="inlineStr">
        <is>
          <t>EBCO_KS_RACK</t>
        </is>
      </c>
      <c r="Z582" s="3" t="n">
        <v>732690</v>
      </c>
      <c r="AE582" s="3" t="n">
        <v>2216</v>
      </c>
      <c r="AF582" s="4" t="n">
        <v>0.4</v>
      </c>
      <c r="AG582" s="3">
        <f>ROUND(AE582-(AE582*AF582),2)</f>
        <v/>
      </c>
      <c r="AH582" s="4" t="n">
        <v>0.18</v>
      </c>
      <c r="AI582" s="3">
        <f>ROUND(AG582+(AG582*AH582),2)</f>
        <v/>
      </c>
      <c r="AJ582" s="4" t="n">
        <v>0.1</v>
      </c>
      <c r="AK582" s="3">
        <f>ROUND(AI582*AJ582,2)</f>
        <v/>
      </c>
      <c r="AL582" s="3">
        <f>AI582+AK582</f>
        <v/>
      </c>
      <c r="AM582" s="3">
        <f>AE582-AL582</f>
        <v/>
      </c>
      <c r="AN582" s="4">
        <f>AM582/AE582</f>
        <v/>
      </c>
      <c r="AO582" s="3" t="inlineStr">
        <is>
          <t>60 mins</t>
        </is>
      </c>
      <c r="AQ582" s="3" t="inlineStr">
        <is>
          <t>Weight</t>
        </is>
      </c>
      <c r="AS582" s="3" t="inlineStr">
        <is>
          <t>A kitchen drip tray is a shallow, durable tray—commonly made of stainless steel or food-safe plastic—designed to catch excess water, grease, or spills.</t>
        </is>
      </c>
      <c r="AT582" s="3" t="inlineStr">
        <is>
          <t>3 hrs</t>
        </is>
      </c>
    </row>
    <row r="583" ht="15.75" customHeight="1">
      <c r="A583" s="3" t="inlineStr">
        <is>
          <t>PROD_0135</t>
        </is>
      </c>
      <c r="B583" s="3" t="inlineStr">
        <is>
          <t>VAR_4</t>
        </is>
      </c>
      <c r="C583" s="3" t="inlineStr">
        <is>
          <t>Modular Hardware</t>
        </is>
      </c>
      <c r="D583" s="3" t="inlineStr">
        <is>
          <t>Kitchen Accessories</t>
        </is>
      </c>
      <c r="E583" s="3" t="inlineStr">
        <is>
          <t>Ebco</t>
        </is>
      </c>
      <c r="F583" s="3" t="inlineStr">
        <is>
          <t>Drip Tray</t>
        </is>
      </c>
      <c r="H583" s="3" t="inlineStr">
        <is>
          <t>Finish</t>
        </is>
      </c>
      <c r="I583" s="3" t="inlineStr">
        <is>
          <t>Stainless Steel</t>
        </is>
      </c>
      <c r="J583" s="3" t="inlineStr">
        <is>
          <t>Dimension</t>
        </is>
      </c>
      <c r="K583" s="3" t="inlineStr">
        <is>
          <t>860 mm X 240 mm X 22 mm</t>
        </is>
      </c>
      <c r="L583" s="3" t="inlineStr">
        <is>
          <t>Width</t>
        </is>
      </c>
      <c r="M583" s="3" t="inlineStr">
        <is>
          <t>900 mm</t>
        </is>
      </c>
      <c r="Q583" s="3" t="inlineStr">
        <is>
          <t>Manufacturer's Warranty</t>
        </is>
      </c>
      <c r="R583" s="3" t="inlineStr">
        <is>
          <t>DT34-10</t>
        </is>
      </c>
      <c r="Y583" s="3" t="inlineStr">
        <is>
          <t>EBCO_KS_RACK</t>
        </is>
      </c>
      <c r="Z583" s="3" t="n">
        <v>732690</v>
      </c>
      <c r="AE583" s="3" t="n">
        <v>2480</v>
      </c>
      <c r="AF583" s="4" t="n">
        <v>0.4</v>
      </c>
      <c r="AG583" s="3">
        <f>ROUND(AE583-(AE583*AF583),2)</f>
        <v/>
      </c>
      <c r="AH583" s="4" t="n">
        <v>0.18</v>
      </c>
      <c r="AI583" s="3">
        <f>ROUND(AG583+(AG583*AH583),2)</f>
        <v/>
      </c>
      <c r="AJ583" s="4" t="n">
        <v>0.1</v>
      </c>
      <c r="AK583" s="3">
        <f>ROUND(AI583*AJ583,2)</f>
        <v/>
      </c>
      <c r="AL583" s="3">
        <f>AI583+AK583</f>
        <v/>
      </c>
      <c r="AM583" s="3">
        <f>AE583-AL583</f>
        <v/>
      </c>
      <c r="AN583" s="4">
        <f>AM583/AE583</f>
        <v/>
      </c>
      <c r="AO583" s="3" t="inlineStr">
        <is>
          <t>60 mins</t>
        </is>
      </c>
      <c r="AQ583" s="3" t="inlineStr">
        <is>
          <t>Weight</t>
        </is>
      </c>
      <c r="AS583" s="3" t="inlineStr">
        <is>
          <t>A kitchen drip tray is a shallow, durable tray—commonly made of stainless steel or food-safe plastic—designed to catch excess water, grease, or spills.</t>
        </is>
      </c>
      <c r="AT583" s="3" t="inlineStr">
        <is>
          <t>3 hrs</t>
        </is>
      </c>
    </row>
    <row r="584" ht="15.75" customHeight="1">
      <c r="A584" s="3" t="inlineStr">
        <is>
          <t>PROD_0136</t>
        </is>
      </c>
      <c r="B584" s="3" t="inlineStr">
        <is>
          <t>VAR_1</t>
        </is>
      </c>
      <c r="C584" s="3" t="inlineStr">
        <is>
          <t>Modular Hardware</t>
        </is>
      </c>
      <c r="D584" s="3" t="inlineStr">
        <is>
          <t>Kitchen Accessories</t>
        </is>
      </c>
      <c r="E584" s="3" t="inlineStr">
        <is>
          <t>Ebco</t>
        </is>
      </c>
      <c r="F584" s="3" t="inlineStr">
        <is>
          <t>Vegetable Basket</t>
        </is>
      </c>
      <c r="H584" s="3" t="inlineStr">
        <is>
          <t>Finish</t>
        </is>
      </c>
      <c r="I584" s="3" t="inlineStr">
        <is>
          <t>Wicker (Soft Close)</t>
        </is>
      </c>
      <c r="J584" s="3" t="inlineStr">
        <is>
          <t>Dimension</t>
        </is>
      </c>
      <c r="K584" s="3" t="inlineStr">
        <is>
          <t>412 mm X 496 mm X 100 mm</t>
        </is>
      </c>
      <c r="L584" s="3" t="inlineStr">
        <is>
          <t>Width</t>
        </is>
      </c>
      <c r="M584" s="3" t="inlineStr">
        <is>
          <t>450 mm</t>
        </is>
      </c>
      <c r="Q584" s="3" t="inlineStr">
        <is>
          <t>Manufacturer's Warranty</t>
        </is>
      </c>
      <c r="R584" s="3" t="inlineStr">
        <is>
          <t>PWBSC45-16-20-04</t>
        </is>
      </c>
      <c r="Y584" s="3" t="inlineStr">
        <is>
          <t>EBCO_KS_VEGGEBASKET</t>
        </is>
      </c>
      <c r="Z584" s="3" t="n">
        <v>46021911</v>
      </c>
      <c r="AE584" s="3" t="n">
        <v>7016</v>
      </c>
      <c r="AF584" s="4" t="n">
        <v>0.4</v>
      </c>
      <c r="AG584" s="3">
        <f>ROUND(AE584-(AE584*AF584),2)</f>
        <v/>
      </c>
      <c r="AH584" s="4" t="n">
        <v>0.18</v>
      </c>
      <c r="AI584" s="3">
        <f>ROUND(AG584+(AG584*AH584),2)</f>
        <v/>
      </c>
      <c r="AJ584" s="4" t="n">
        <v>0.1</v>
      </c>
      <c r="AK584" s="3">
        <f>ROUND(AI584*AJ584,2)</f>
        <v/>
      </c>
      <c r="AL584" s="3">
        <f>AI584+AK584</f>
        <v/>
      </c>
      <c r="AM584" s="3">
        <f>AE584-AL584</f>
        <v/>
      </c>
      <c r="AN584" s="4">
        <f>AM584/AE584</f>
        <v/>
      </c>
      <c r="AO584" s="3" t="inlineStr">
        <is>
          <t>60 mins</t>
        </is>
      </c>
      <c r="AQ584" s="3" t="inlineStr">
        <is>
          <t>Weight</t>
        </is>
      </c>
      <c r="AS584" s="3" t="inlineStr">
        <is>
          <t xml:space="preserve">A vegetable basket is a specialized, often open-weave container designed for the storage, organization, and preservation of fresh produce. </t>
        </is>
      </c>
      <c r="AT584" s="3" t="inlineStr">
        <is>
          <t>3 hrs</t>
        </is>
      </c>
    </row>
    <row r="585" ht="15.75" customHeight="1">
      <c r="A585" s="3" t="inlineStr">
        <is>
          <t>PROD_0136</t>
        </is>
      </c>
      <c r="B585" s="3" t="inlineStr">
        <is>
          <t>VAR_2</t>
        </is>
      </c>
      <c r="C585" s="3" t="inlineStr">
        <is>
          <t>Modular Hardware</t>
        </is>
      </c>
      <c r="D585" s="3" t="inlineStr">
        <is>
          <t>Kitchen Accessories</t>
        </is>
      </c>
      <c r="E585" s="3" t="inlineStr">
        <is>
          <t>Ebco</t>
        </is>
      </c>
      <c r="F585" s="3" t="inlineStr">
        <is>
          <t>Vegetable Basket</t>
        </is>
      </c>
      <c r="H585" s="3" t="inlineStr">
        <is>
          <t>Finish</t>
        </is>
      </c>
      <c r="I585" s="3" t="inlineStr">
        <is>
          <t>Wicker (Soft Close)</t>
        </is>
      </c>
      <c r="J585" s="3" t="inlineStr">
        <is>
          <t>Dimension</t>
        </is>
      </c>
      <c r="K585" s="3" t="inlineStr">
        <is>
          <t>412 mm X 496 mm X 150 mm</t>
        </is>
      </c>
      <c r="L585" s="3" t="inlineStr">
        <is>
          <t>Width</t>
        </is>
      </c>
      <c r="M585" s="3" t="inlineStr">
        <is>
          <t>450 mm</t>
        </is>
      </c>
      <c r="Q585" s="3" t="inlineStr">
        <is>
          <t>Manufacturer's Warranty</t>
        </is>
      </c>
      <c r="R585" s="3" t="inlineStr">
        <is>
          <t>PWBSC45-16-20-06</t>
        </is>
      </c>
      <c r="Y585" s="3" t="inlineStr">
        <is>
          <t>EBCO_KS_VEGGEBASKET</t>
        </is>
      </c>
      <c r="Z585" s="3" t="n">
        <v>46021911</v>
      </c>
      <c r="AE585" s="3" t="n">
        <v>7521</v>
      </c>
      <c r="AF585" s="4" t="n">
        <v>0.4</v>
      </c>
      <c r="AG585" s="3">
        <f>ROUND(AE585-(AE585*AF585),2)</f>
        <v/>
      </c>
      <c r="AH585" s="4" t="n">
        <v>0.18</v>
      </c>
      <c r="AI585" s="3">
        <f>ROUND(AG585+(AG585*AH585),2)</f>
        <v/>
      </c>
      <c r="AJ585" s="4" t="n">
        <v>0.1</v>
      </c>
      <c r="AK585" s="3">
        <f>ROUND(AI585*AJ585,2)</f>
        <v/>
      </c>
      <c r="AL585" s="3">
        <f>AI585+AK585</f>
        <v/>
      </c>
      <c r="AM585" s="3">
        <f>AE585-AL585</f>
        <v/>
      </c>
      <c r="AN585" s="4">
        <f>AM585/AE585</f>
        <v/>
      </c>
      <c r="AO585" s="3" t="inlineStr">
        <is>
          <t>60 mins</t>
        </is>
      </c>
      <c r="AQ585" s="3" t="inlineStr">
        <is>
          <t>Weight</t>
        </is>
      </c>
      <c r="AS585" s="3" t="inlineStr">
        <is>
          <t xml:space="preserve">A vegetable basket is a specialized, often open-weave container designed for the storage, organization, and preservation of fresh produce. </t>
        </is>
      </c>
      <c r="AT585" s="3" t="inlineStr">
        <is>
          <t>3 hrs</t>
        </is>
      </c>
    </row>
    <row r="586" ht="15.75" customHeight="1">
      <c r="A586" s="3" t="inlineStr">
        <is>
          <t>PROD_0136</t>
        </is>
      </c>
      <c r="B586" s="3" t="inlineStr">
        <is>
          <t>VAR_3</t>
        </is>
      </c>
      <c r="C586" s="3" t="inlineStr">
        <is>
          <t>Modular Hardware</t>
        </is>
      </c>
      <c r="D586" s="3" t="inlineStr">
        <is>
          <t>Kitchen Accessories</t>
        </is>
      </c>
      <c r="E586" s="3" t="inlineStr">
        <is>
          <t>Ebco</t>
        </is>
      </c>
      <c r="F586" s="3" t="inlineStr">
        <is>
          <t>Vegetable Basket</t>
        </is>
      </c>
      <c r="H586" s="3" t="inlineStr">
        <is>
          <t>Finish</t>
        </is>
      </c>
      <c r="I586" s="3" t="inlineStr">
        <is>
          <t>Wicker (Soft Close)</t>
        </is>
      </c>
      <c r="J586" s="3" t="inlineStr">
        <is>
          <t>Dimension</t>
        </is>
      </c>
      <c r="K586" s="3" t="inlineStr">
        <is>
          <t>412 mm X 496 mm X 200 mm</t>
        </is>
      </c>
      <c r="L586" s="3" t="inlineStr">
        <is>
          <t>Width</t>
        </is>
      </c>
      <c r="M586" s="3" t="inlineStr">
        <is>
          <t>450 mm</t>
        </is>
      </c>
      <c r="Q586" s="3" t="inlineStr">
        <is>
          <t>Manufacturer's Warranty</t>
        </is>
      </c>
      <c r="R586" s="3" t="inlineStr">
        <is>
          <t>PWBSC45-16-20-08</t>
        </is>
      </c>
      <c r="Y586" s="3" t="inlineStr">
        <is>
          <t>EBCO_KS_VEGGEBASKET</t>
        </is>
      </c>
      <c r="Z586" s="3" t="n">
        <v>46021911</v>
      </c>
      <c r="AE586" s="3" t="n">
        <v>8049</v>
      </c>
      <c r="AF586" s="4" t="n">
        <v>0.4</v>
      </c>
      <c r="AG586" s="3">
        <f>ROUND(AE586-(AE586*AF586),2)</f>
        <v/>
      </c>
      <c r="AH586" s="4" t="n">
        <v>0.18</v>
      </c>
      <c r="AI586" s="3">
        <f>ROUND(AG586+(AG586*AH586),2)</f>
        <v/>
      </c>
      <c r="AJ586" s="4" t="n">
        <v>0.1</v>
      </c>
      <c r="AK586" s="3">
        <f>ROUND(AI586*AJ586,2)</f>
        <v/>
      </c>
      <c r="AL586" s="3">
        <f>AI586+AK586</f>
        <v/>
      </c>
      <c r="AM586" s="3">
        <f>AE586-AL586</f>
        <v/>
      </c>
      <c r="AN586" s="4">
        <f>AM586/AE586</f>
        <v/>
      </c>
      <c r="AO586" s="3" t="inlineStr">
        <is>
          <t>60 mins</t>
        </is>
      </c>
      <c r="AQ586" s="3" t="inlineStr">
        <is>
          <t>Weight</t>
        </is>
      </c>
      <c r="AS586" s="3" t="inlineStr">
        <is>
          <t xml:space="preserve">A vegetable basket is a specialized, often open-weave container designed for the storage, organization, and preservation of fresh produce. </t>
        </is>
      </c>
      <c r="AT586" s="3" t="inlineStr">
        <is>
          <t>3 hrs</t>
        </is>
      </c>
    </row>
    <row r="587" ht="15.75" customHeight="1">
      <c r="A587" s="3" t="inlineStr">
        <is>
          <t>PROD_0136</t>
        </is>
      </c>
      <c r="B587" s="3" t="inlineStr">
        <is>
          <t>VAR_4</t>
        </is>
      </c>
      <c r="C587" s="3" t="inlineStr">
        <is>
          <t>Modular Hardware</t>
        </is>
      </c>
      <c r="D587" s="3" t="inlineStr">
        <is>
          <t>Kitchen Accessories</t>
        </is>
      </c>
      <c r="E587" s="3" t="inlineStr">
        <is>
          <t>Ebco</t>
        </is>
      </c>
      <c r="F587" s="3" t="inlineStr">
        <is>
          <t>Vegetable Basket</t>
        </is>
      </c>
      <c r="H587" s="3" t="inlineStr">
        <is>
          <t>Finish</t>
        </is>
      </c>
      <c r="I587" s="3" t="inlineStr">
        <is>
          <t>Wicker (Soft Close)</t>
        </is>
      </c>
      <c r="J587" s="3" t="inlineStr">
        <is>
          <t>Dimension</t>
        </is>
      </c>
      <c r="K587" s="3" t="inlineStr">
        <is>
          <t>562 mm X 496 mm X 100 mm</t>
        </is>
      </c>
      <c r="L587" s="3" t="inlineStr">
        <is>
          <t>Width</t>
        </is>
      </c>
      <c r="M587" s="3" t="inlineStr">
        <is>
          <t>600 mm</t>
        </is>
      </c>
      <c r="Q587" s="3" t="inlineStr">
        <is>
          <t>Manufacturer's Warranty</t>
        </is>
      </c>
      <c r="R587" s="3" t="inlineStr">
        <is>
          <t>PWBSC45-22-20-04</t>
        </is>
      </c>
      <c r="Y587" s="3" t="inlineStr">
        <is>
          <t>EBCO_KS_VEGGEBASKET</t>
        </is>
      </c>
      <c r="Z587" s="3" t="n">
        <v>46021911</v>
      </c>
      <c r="AE587" s="3" t="n">
        <v>8141</v>
      </c>
      <c r="AF587" s="4" t="n">
        <v>0.4</v>
      </c>
      <c r="AG587" s="3">
        <f>ROUND(AE587-(AE587*AF587),2)</f>
        <v/>
      </c>
      <c r="AH587" s="4" t="n">
        <v>0.18</v>
      </c>
      <c r="AI587" s="3">
        <f>ROUND(AG587+(AG587*AH587),2)</f>
        <v/>
      </c>
      <c r="AJ587" s="4" t="n">
        <v>0.1</v>
      </c>
      <c r="AK587" s="3">
        <f>ROUND(AI587*AJ587,2)</f>
        <v/>
      </c>
      <c r="AL587" s="3">
        <f>AI587+AK587</f>
        <v/>
      </c>
      <c r="AM587" s="3">
        <f>AE587-AL587</f>
        <v/>
      </c>
      <c r="AN587" s="4">
        <f>AM587/AE587</f>
        <v/>
      </c>
      <c r="AO587" s="3" t="inlineStr">
        <is>
          <t>60 mins</t>
        </is>
      </c>
      <c r="AQ587" s="3" t="inlineStr">
        <is>
          <t>Weight</t>
        </is>
      </c>
      <c r="AS587" s="3" t="inlineStr">
        <is>
          <t xml:space="preserve">A vegetable basket is a specialized, often open-weave container designed for the storage, organization, and preservation of fresh produce. </t>
        </is>
      </c>
      <c r="AT587" s="3" t="inlineStr">
        <is>
          <t>3 hrs</t>
        </is>
      </c>
    </row>
    <row r="588" ht="15.75" customHeight="1">
      <c r="A588" s="3" t="inlineStr">
        <is>
          <t>PROD_0136</t>
        </is>
      </c>
      <c r="B588" s="3" t="inlineStr">
        <is>
          <t>VAR_5</t>
        </is>
      </c>
      <c r="C588" s="3" t="inlineStr">
        <is>
          <t>Modular Hardware</t>
        </is>
      </c>
      <c r="D588" s="3" t="inlineStr">
        <is>
          <t>Kitchen Accessories</t>
        </is>
      </c>
      <c r="E588" s="3" t="inlineStr">
        <is>
          <t>Ebco</t>
        </is>
      </c>
      <c r="F588" s="3" t="inlineStr">
        <is>
          <t>Vegetable Basket</t>
        </is>
      </c>
      <c r="H588" s="3" t="inlineStr">
        <is>
          <t>Finish</t>
        </is>
      </c>
      <c r="I588" s="3" t="inlineStr">
        <is>
          <t>Wicker (Soft Close)</t>
        </is>
      </c>
      <c r="J588" s="3" t="inlineStr">
        <is>
          <t>Dimension</t>
        </is>
      </c>
      <c r="K588" s="3" t="inlineStr">
        <is>
          <t>562 mm X 496 mm X 150 mm</t>
        </is>
      </c>
      <c r="L588" s="3" t="inlineStr">
        <is>
          <t>Width</t>
        </is>
      </c>
      <c r="M588" s="3" t="inlineStr">
        <is>
          <t>600 mm</t>
        </is>
      </c>
      <c r="Q588" s="3" t="inlineStr">
        <is>
          <t>Manufacturer's Warranty</t>
        </is>
      </c>
      <c r="R588" s="3" t="inlineStr">
        <is>
          <t>PWBSC45-22-20-06</t>
        </is>
      </c>
      <c r="Y588" s="3" t="inlineStr">
        <is>
          <t>EBCO_KS_VEGGEBASKET</t>
        </is>
      </c>
      <c r="Z588" s="3" t="n">
        <v>46021911</v>
      </c>
      <c r="AE588" s="3" t="n">
        <v>8853</v>
      </c>
      <c r="AF588" s="4" t="n">
        <v>0.4</v>
      </c>
      <c r="AG588" s="3">
        <f>ROUND(AE588-(AE588*AF588),2)</f>
        <v/>
      </c>
      <c r="AH588" s="4" t="n">
        <v>0.18</v>
      </c>
      <c r="AI588" s="3">
        <f>ROUND(AG588+(AG588*AH588),2)</f>
        <v/>
      </c>
      <c r="AJ588" s="4" t="n">
        <v>0.1</v>
      </c>
      <c r="AK588" s="3">
        <f>ROUND(AI588*AJ588,2)</f>
        <v/>
      </c>
      <c r="AL588" s="3">
        <f>AI588+AK588</f>
        <v/>
      </c>
      <c r="AM588" s="3">
        <f>AE588-AL588</f>
        <v/>
      </c>
      <c r="AN588" s="4">
        <f>AM588/AE588</f>
        <v/>
      </c>
      <c r="AO588" s="3" t="inlineStr">
        <is>
          <t>60 mins</t>
        </is>
      </c>
      <c r="AQ588" s="3" t="inlineStr">
        <is>
          <t>Weight</t>
        </is>
      </c>
      <c r="AS588" s="3" t="inlineStr">
        <is>
          <t xml:space="preserve">A vegetable basket is a specialized, often open-weave container designed for the storage, organization, and preservation of fresh produce. </t>
        </is>
      </c>
      <c r="AT588" s="3" t="inlineStr">
        <is>
          <t>3 hrs</t>
        </is>
      </c>
    </row>
    <row r="589" ht="15.75" customHeight="1">
      <c r="A589" s="3" t="inlineStr">
        <is>
          <t>PROD_0136</t>
        </is>
      </c>
      <c r="B589" s="3" t="inlineStr">
        <is>
          <t>VAR_6</t>
        </is>
      </c>
      <c r="C589" s="3" t="inlineStr">
        <is>
          <t>Modular Hardware</t>
        </is>
      </c>
      <c r="D589" s="3" t="inlineStr">
        <is>
          <t>Kitchen Accessories</t>
        </is>
      </c>
      <c r="E589" s="3" t="inlineStr">
        <is>
          <t>Ebco</t>
        </is>
      </c>
      <c r="F589" s="3" t="inlineStr">
        <is>
          <t>Vegetable Basket</t>
        </is>
      </c>
      <c r="H589" s="3" t="inlineStr">
        <is>
          <t>Finish</t>
        </is>
      </c>
      <c r="I589" s="3" t="inlineStr">
        <is>
          <t>Wicker (Soft Close)</t>
        </is>
      </c>
      <c r="J589" s="3" t="inlineStr">
        <is>
          <t>Dimension</t>
        </is>
      </c>
      <c r="K589" s="3" t="inlineStr">
        <is>
          <t>562 mm X 496 mm X 200 mm</t>
        </is>
      </c>
      <c r="L589" s="3" t="inlineStr">
        <is>
          <t>Width</t>
        </is>
      </c>
      <c r="M589" s="3" t="inlineStr">
        <is>
          <t>600 mm</t>
        </is>
      </c>
      <c r="Q589" s="3" t="inlineStr">
        <is>
          <t>Manufacturer's Warranty</t>
        </is>
      </c>
      <c r="R589" s="3" t="inlineStr">
        <is>
          <t>PWBSC45-22-20-08</t>
        </is>
      </c>
      <c r="Y589" s="3" t="inlineStr">
        <is>
          <t>EBCO_KS_VEGGEBASKET</t>
        </is>
      </c>
      <c r="Z589" s="3" t="n">
        <v>46021911</v>
      </c>
      <c r="AE589" s="3" t="n">
        <v>9553</v>
      </c>
      <c r="AF589" s="4" t="n">
        <v>0.4</v>
      </c>
      <c r="AG589" s="3">
        <f>ROUND(AE589-(AE589*AF589),2)</f>
        <v/>
      </c>
      <c r="AH589" s="4" t="n">
        <v>0.18</v>
      </c>
      <c r="AI589" s="3">
        <f>ROUND(AG589+(AG589*AH589),2)</f>
        <v/>
      </c>
      <c r="AJ589" s="4" t="n">
        <v>0.1</v>
      </c>
      <c r="AK589" s="3">
        <f>ROUND(AI589*AJ589,2)</f>
        <v/>
      </c>
      <c r="AL589" s="3">
        <f>AI589+AK589</f>
        <v/>
      </c>
      <c r="AM589" s="3">
        <f>AE589-AL589</f>
        <v/>
      </c>
      <c r="AN589" s="4">
        <f>AM589/AE589</f>
        <v/>
      </c>
      <c r="AO589" s="3" t="inlineStr">
        <is>
          <t>60 mins</t>
        </is>
      </c>
      <c r="AQ589" s="3" t="inlineStr">
        <is>
          <t>Weight</t>
        </is>
      </c>
      <c r="AS589" s="3" t="inlineStr">
        <is>
          <t xml:space="preserve">A vegetable basket is a specialized, often open-weave container designed for the storage, organization, and preservation of fresh produce. </t>
        </is>
      </c>
      <c r="AT589" s="3" t="inlineStr">
        <is>
          <t>3 hrs</t>
        </is>
      </c>
    </row>
    <row r="590" ht="15.75" customHeight="1">
      <c r="A590" s="3" t="inlineStr">
        <is>
          <t>PROD_0136</t>
        </is>
      </c>
      <c r="B590" s="3" t="inlineStr">
        <is>
          <t>VAR_7</t>
        </is>
      </c>
      <c r="C590" s="3" t="inlineStr">
        <is>
          <t>Modular Hardware</t>
        </is>
      </c>
      <c r="D590" s="3" t="inlineStr">
        <is>
          <t>Kitchen Accessories</t>
        </is>
      </c>
      <c r="E590" s="3" t="inlineStr">
        <is>
          <t>Ebco</t>
        </is>
      </c>
      <c r="F590" s="3" t="inlineStr">
        <is>
          <t>Vegetable Basket</t>
        </is>
      </c>
      <c r="H590" s="3" t="inlineStr">
        <is>
          <t>Finish</t>
        </is>
      </c>
      <c r="I590" s="3" t="inlineStr">
        <is>
          <t>Wicker</t>
        </is>
      </c>
      <c r="J590" s="3" t="inlineStr">
        <is>
          <t>Dimension</t>
        </is>
      </c>
      <c r="K590" s="3" t="inlineStr">
        <is>
          <t>412 mm X 496 mm X 100 mm</t>
        </is>
      </c>
      <c r="L590" s="3" t="inlineStr">
        <is>
          <t>Width</t>
        </is>
      </c>
      <c r="M590" s="3" t="inlineStr">
        <is>
          <t>450 mm</t>
        </is>
      </c>
      <c r="Q590" s="3" t="inlineStr">
        <is>
          <t>Manufacturer's Warranty</t>
        </is>
      </c>
      <c r="R590" s="3" t="inlineStr">
        <is>
          <t>PWB-16-20-04</t>
        </is>
      </c>
      <c r="Y590" s="3" t="inlineStr">
        <is>
          <t>EBCO_KS_VEGGEBASKET</t>
        </is>
      </c>
      <c r="Z590" s="3" t="n">
        <v>46021911</v>
      </c>
      <c r="AE590" s="3" t="n">
        <v>6129</v>
      </c>
      <c r="AF590" s="4" t="n">
        <v>0.4</v>
      </c>
      <c r="AG590" s="3">
        <f>ROUND(AE590-(AE590*AF590),2)</f>
        <v/>
      </c>
      <c r="AH590" s="4" t="n">
        <v>0.18</v>
      </c>
      <c r="AI590" s="3">
        <f>ROUND(AG590+(AG590*AH590),2)</f>
        <v/>
      </c>
      <c r="AJ590" s="4" t="n">
        <v>0.1</v>
      </c>
      <c r="AK590" s="3">
        <f>ROUND(AI590*AJ590,2)</f>
        <v/>
      </c>
      <c r="AL590" s="3">
        <f>AI590+AK590</f>
        <v/>
      </c>
      <c r="AM590" s="3">
        <f>AE590-AL590</f>
        <v/>
      </c>
      <c r="AN590" s="4">
        <f>AM590/AE590</f>
        <v/>
      </c>
      <c r="AO590" s="3" t="inlineStr">
        <is>
          <t>60 mins</t>
        </is>
      </c>
      <c r="AQ590" s="3" t="inlineStr">
        <is>
          <t>Weight</t>
        </is>
      </c>
      <c r="AS590" s="3" t="inlineStr">
        <is>
          <t xml:space="preserve">A vegetable basket is a specialized, often open-weave container designed for the storage, organization, and preservation of fresh produce. </t>
        </is>
      </c>
      <c r="AT590" s="3" t="inlineStr">
        <is>
          <t>3 hrs</t>
        </is>
      </c>
    </row>
    <row r="591" ht="15.75" customHeight="1">
      <c r="A591" s="3" t="inlineStr">
        <is>
          <t>PROD_0136</t>
        </is>
      </c>
      <c r="B591" s="3" t="inlineStr">
        <is>
          <t>VAR_8</t>
        </is>
      </c>
      <c r="C591" s="3" t="inlineStr">
        <is>
          <t>Modular Hardware</t>
        </is>
      </c>
      <c r="D591" s="3" t="inlineStr">
        <is>
          <t>Kitchen Accessories</t>
        </is>
      </c>
      <c r="E591" s="3" t="inlineStr">
        <is>
          <t>Ebco</t>
        </is>
      </c>
      <c r="F591" s="3" t="inlineStr">
        <is>
          <t>Vegetable Basket</t>
        </is>
      </c>
      <c r="H591" s="3" t="inlineStr">
        <is>
          <t>Finish</t>
        </is>
      </c>
      <c r="I591" s="3" t="inlineStr">
        <is>
          <t>Wicker</t>
        </is>
      </c>
      <c r="J591" s="3" t="inlineStr">
        <is>
          <t>Dimension</t>
        </is>
      </c>
      <c r="K591" s="3" t="inlineStr">
        <is>
          <t>412 mm X 496 mm X 150 mm</t>
        </is>
      </c>
      <c r="L591" s="3" t="inlineStr">
        <is>
          <t>Width</t>
        </is>
      </c>
      <c r="M591" s="3" t="inlineStr">
        <is>
          <t>450 mm</t>
        </is>
      </c>
      <c r="Q591" s="3" t="inlineStr">
        <is>
          <t>Manufacturer's Warranty</t>
        </is>
      </c>
      <c r="R591" s="3" t="inlineStr">
        <is>
          <t>PWB-16-20-06</t>
        </is>
      </c>
      <c r="Y591" s="3" t="inlineStr">
        <is>
          <t>EBCO_KS_VEGGEBASKET</t>
        </is>
      </c>
      <c r="Z591" s="3" t="n">
        <v>46021911</v>
      </c>
      <c r="AE591" s="3" t="n">
        <v>6660</v>
      </c>
      <c r="AF591" s="4" t="n">
        <v>0.4</v>
      </c>
      <c r="AG591" s="3">
        <f>ROUND(AE591-(AE591*AF591),2)</f>
        <v/>
      </c>
      <c r="AH591" s="4" t="n">
        <v>0.18</v>
      </c>
      <c r="AI591" s="3">
        <f>ROUND(AG591+(AG591*AH591),2)</f>
        <v/>
      </c>
      <c r="AJ591" s="4" t="n">
        <v>0.1</v>
      </c>
      <c r="AK591" s="3">
        <f>ROUND(AI591*AJ591,2)</f>
        <v/>
      </c>
      <c r="AL591" s="3">
        <f>AI591+AK591</f>
        <v/>
      </c>
      <c r="AM591" s="3">
        <f>AE591-AL591</f>
        <v/>
      </c>
      <c r="AN591" s="4">
        <f>AM591/AE591</f>
        <v/>
      </c>
      <c r="AO591" s="3" t="inlineStr">
        <is>
          <t>60 mins</t>
        </is>
      </c>
      <c r="AQ591" s="3" t="inlineStr">
        <is>
          <t>Weight</t>
        </is>
      </c>
      <c r="AS591" s="3" t="inlineStr">
        <is>
          <t xml:space="preserve">A vegetable basket is a specialized, often open-weave container designed for the storage, organization, and preservation of fresh produce. </t>
        </is>
      </c>
      <c r="AT591" s="3" t="inlineStr">
        <is>
          <t>3 hrs</t>
        </is>
      </c>
    </row>
    <row r="592" ht="15.75" customHeight="1">
      <c r="A592" s="3" t="inlineStr">
        <is>
          <t>PROD_0136</t>
        </is>
      </c>
      <c r="B592" s="3" t="inlineStr">
        <is>
          <t>VAR_9</t>
        </is>
      </c>
      <c r="C592" s="3" t="inlineStr">
        <is>
          <t>Modular Hardware</t>
        </is>
      </c>
      <c r="D592" s="3" t="inlineStr">
        <is>
          <t>Kitchen Accessories</t>
        </is>
      </c>
      <c r="E592" s="3" t="inlineStr">
        <is>
          <t>Ebco</t>
        </is>
      </c>
      <c r="F592" s="3" t="inlineStr">
        <is>
          <t>Vegetable Basket</t>
        </is>
      </c>
      <c r="H592" s="3" t="inlineStr">
        <is>
          <t>Finish</t>
        </is>
      </c>
      <c r="I592" s="3" t="inlineStr">
        <is>
          <t>Wicker</t>
        </is>
      </c>
      <c r="J592" s="3" t="inlineStr">
        <is>
          <t>Dimension</t>
        </is>
      </c>
      <c r="K592" s="3" t="inlineStr">
        <is>
          <t>412 mm X 496 mm X 200 mm</t>
        </is>
      </c>
      <c r="L592" s="3" t="inlineStr">
        <is>
          <t>Width</t>
        </is>
      </c>
      <c r="M592" s="3" t="inlineStr">
        <is>
          <t>450 mm</t>
        </is>
      </c>
      <c r="Q592" s="3" t="inlineStr">
        <is>
          <t>Manufacturer's Warranty</t>
        </is>
      </c>
      <c r="R592" s="3" t="inlineStr">
        <is>
          <t>PWB-16-20-08</t>
        </is>
      </c>
      <c r="Y592" s="3" t="inlineStr">
        <is>
          <t>EBCO_KS_VEGGEBASKET</t>
        </is>
      </c>
      <c r="Z592" s="3" t="n">
        <v>46021911</v>
      </c>
      <c r="AE592" s="3" t="n">
        <v>7222</v>
      </c>
      <c r="AF592" s="4" t="n">
        <v>0.4</v>
      </c>
      <c r="AG592" s="3">
        <f>ROUND(AE592-(AE592*AF592),2)</f>
        <v/>
      </c>
      <c r="AH592" s="4" t="n">
        <v>0.18</v>
      </c>
      <c r="AI592" s="3">
        <f>ROUND(AG592+(AG592*AH592),2)</f>
        <v/>
      </c>
      <c r="AJ592" s="4" t="n">
        <v>0.1</v>
      </c>
      <c r="AK592" s="3">
        <f>ROUND(AI592*AJ592,2)</f>
        <v/>
      </c>
      <c r="AL592" s="3">
        <f>AI592+AK592</f>
        <v/>
      </c>
      <c r="AM592" s="3">
        <f>AE592-AL592</f>
        <v/>
      </c>
      <c r="AN592" s="4">
        <f>AM592/AE592</f>
        <v/>
      </c>
      <c r="AO592" s="3" t="inlineStr">
        <is>
          <t>60 mins</t>
        </is>
      </c>
      <c r="AQ592" s="3" t="inlineStr">
        <is>
          <t>Weight</t>
        </is>
      </c>
      <c r="AS592" s="3" t="inlineStr">
        <is>
          <t xml:space="preserve">A vegetable basket is a specialized, often open-weave container designed for the storage, organization, and preservation of fresh produce. </t>
        </is>
      </c>
      <c r="AT592" s="3" t="inlineStr">
        <is>
          <t>3 hrs</t>
        </is>
      </c>
    </row>
    <row r="593" ht="15.75" customHeight="1">
      <c r="A593" s="3" t="inlineStr">
        <is>
          <t>PROD_0136</t>
        </is>
      </c>
      <c r="B593" s="3" t="inlineStr">
        <is>
          <t>VAR_10</t>
        </is>
      </c>
      <c r="C593" s="3" t="inlineStr">
        <is>
          <t>Modular Hardware</t>
        </is>
      </c>
      <c r="D593" s="3" t="inlineStr">
        <is>
          <t>Kitchen Accessories</t>
        </is>
      </c>
      <c r="E593" s="3" t="inlineStr">
        <is>
          <t>Ebco</t>
        </is>
      </c>
      <c r="F593" s="3" t="inlineStr">
        <is>
          <t>Vegetable Basket</t>
        </is>
      </c>
      <c r="H593" s="3" t="inlineStr">
        <is>
          <t>Finish</t>
        </is>
      </c>
      <c r="I593" s="3" t="inlineStr">
        <is>
          <t>Wicker</t>
        </is>
      </c>
      <c r="J593" s="3" t="inlineStr">
        <is>
          <t>Dimension</t>
        </is>
      </c>
      <c r="K593" s="3" t="inlineStr">
        <is>
          <t>562 mm X 496 mm X 100 mm</t>
        </is>
      </c>
      <c r="L593" s="3" t="inlineStr">
        <is>
          <t>Width</t>
        </is>
      </c>
      <c r="M593" s="3" t="inlineStr">
        <is>
          <t>600 mm</t>
        </is>
      </c>
      <c r="Q593" s="3" t="inlineStr">
        <is>
          <t>Manufacturer's Warranty</t>
        </is>
      </c>
      <c r="R593" s="3" t="inlineStr">
        <is>
          <t>PWB-22-20-04</t>
        </is>
      </c>
      <c r="Y593" s="3" t="inlineStr">
        <is>
          <t>EBCO_KS_VEGGEBASKET</t>
        </is>
      </c>
      <c r="Z593" s="3" t="n">
        <v>46021911</v>
      </c>
      <c r="AE593" s="3" t="n">
        <v>7257</v>
      </c>
      <c r="AF593" s="4" t="n">
        <v>0.4</v>
      </c>
      <c r="AG593" s="3">
        <f>ROUND(AE593-(AE593*AF593),2)</f>
        <v/>
      </c>
      <c r="AH593" s="4" t="n">
        <v>0.18</v>
      </c>
      <c r="AI593" s="3">
        <f>ROUND(AG593+(AG593*AH593),2)</f>
        <v/>
      </c>
      <c r="AJ593" s="4" t="n">
        <v>0.1</v>
      </c>
      <c r="AK593" s="3">
        <f>ROUND(AI593*AJ593,2)</f>
        <v/>
      </c>
      <c r="AL593" s="3">
        <f>AI593+AK593</f>
        <v/>
      </c>
      <c r="AM593" s="3">
        <f>AE593-AL593</f>
        <v/>
      </c>
      <c r="AN593" s="4">
        <f>AM593/AE593</f>
        <v/>
      </c>
      <c r="AO593" s="3" t="inlineStr">
        <is>
          <t>60 mins</t>
        </is>
      </c>
      <c r="AQ593" s="3" t="inlineStr">
        <is>
          <t>Weight</t>
        </is>
      </c>
      <c r="AS593" s="3" t="inlineStr">
        <is>
          <t xml:space="preserve">A vegetable basket is a specialized, often open-weave container designed for the storage, organization, and preservation of fresh produce. </t>
        </is>
      </c>
      <c r="AT593" s="3" t="inlineStr">
        <is>
          <t>3 hrs</t>
        </is>
      </c>
    </row>
    <row r="594" ht="15.75" customHeight="1">
      <c r="A594" s="3" t="inlineStr">
        <is>
          <t>PROD_0136</t>
        </is>
      </c>
      <c r="B594" s="3" t="inlineStr">
        <is>
          <t>VAR_11</t>
        </is>
      </c>
      <c r="C594" s="3" t="inlineStr">
        <is>
          <t>Modular Hardware</t>
        </is>
      </c>
      <c r="D594" s="3" t="inlineStr">
        <is>
          <t>Kitchen Accessories</t>
        </is>
      </c>
      <c r="E594" s="3" t="inlineStr">
        <is>
          <t>Ebco</t>
        </is>
      </c>
      <c r="F594" s="3" t="inlineStr">
        <is>
          <t>Vegetable Basket</t>
        </is>
      </c>
      <c r="H594" s="3" t="inlineStr">
        <is>
          <t>Finish</t>
        </is>
      </c>
      <c r="I594" s="3" t="inlineStr">
        <is>
          <t>Wicker</t>
        </is>
      </c>
      <c r="J594" s="3" t="inlineStr">
        <is>
          <t>Dimension</t>
        </is>
      </c>
      <c r="K594" s="3" t="inlineStr">
        <is>
          <t>562 mm X 496 mm X 150 mm</t>
        </is>
      </c>
      <c r="L594" s="3" t="inlineStr">
        <is>
          <t>Width</t>
        </is>
      </c>
      <c r="M594" s="3" t="inlineStr">
        <is>
          <t>600 mm</t>
        </is>
      </c>
      <c r="Q594" s="3" t="inlineStr">
        <is>
          <t>Manufacturer's Warranty</t>
        </is>
      </c>
      <c r="R594" s="3" t="inlineStr">
        <is>
          <t>PWB-22-20-06</t>
        </is>
      </c>
      <c r="Y594" s="3" t="inlineStr">
        <is>
          <t>EBCO_KS_VEGGEBASKET</t>
        </is>
      </c>
      <c r="Z594" s="3" t="n">
        <v>46021911</v>
      </c>
      <c r="AE594" s="3" t="n">
        <v>8015</v>
      </c>
      <c r="AF594" s="4" t="n">
        <v>0.4</v>
      </c>
      <c r="AG594" s="3">
        <f>ROUND(AE594-(AE594*AF594),2)</f>
        <v/>
      </c>
      <c r="AH594" s="4" t="n">
        <v>0.18</v>
      </c>
      <c r="AI594" s="3">
        <f>ROUND(AG594+(AG594*AH594),2)</f>
        <v/>
      </c>
      <c r="AJ594" s="4" t="n">
        <v>0.1</v>
      </c>
      <c r="AK594" s="3">
        <f>ROUND(AI594*AJ594,2)</f>
        <v/>
      </c>
      <c r="AL594" s="3">
        <f>AI594+AK594</f>
        <v/>
      </c>
      <c r="AM594" s="3">
        <f>AE594-AL594</f>
        <v/>
      </c>
      <c r="AN594" s="4">
        <f>AM594/AE594</f>
        <v/>
      </c>
      <c r="AO594" s="3" t="inlineStr">
        <is>
          <t>60 mins</t>
        </is>
      </c>
      <c r="AQ594" s="3" t="inlineStr">
        <is>
          <t>Weight</t>
        </is>
      </c>
      <c r="AS594" s="3" t="inlineStr">
        <is>
          <t xml:space="preserve">A vegetable basket is a specialized, often open-weave container designed for the storage, organization, and preservation of fresh produce. </t>
        </is>
      </c>
      <c r="AT594" s="3" t="inlineStr">
        <is>
          <t>3 hrs</t>
        </is>
      </c>
    </row>
    <row r="595" ht="15.75" customHeight="1">
      <c r="A595" s="3" t="inlineStr">
        <is>
          <t>PROD_0136</t>
        </is>
      </c>
      <c r="B595" s="3" t="inlineStr">
        <is>
          <t>VAR_12</t>
        </is>
      </c>
      <c r="C595" s="3" t="inlineStr">
        <is>
          <t>Modular Hardware</t>
        </is>
      </c>
      <c r="D595" s="3" t="inlineStr">
        <is>
          <t>Kitchen Accessories</t>
        </is>
      </c>
      <c r="E595" s="3" t="inlineStr">
        <is>
          <t>Ebco</t>
        </is>
      </c>
      <c r="F595" s="3" t="inlineStr">
        <is>
          <t>Vegetable Basket</t>
        </is>
      </c>
      <c r="H595" s="3" t="inlineStr">
        <is>
          <t>Finish</t>
        </is>
      </c>
      <c r="I595" s="3" t="inlineStr">
        <is>
          <t>Wicker</t>
        </is>
      </c>
      <c r="J595" s="3" t="inlineStr">
        <is>
          <t>Dimension</t>
        </is>
      </c>
      <c r="K595" s="3" t="inlineStr">
        <is>
          <t>562 mm X 496 mm X 200 mm</t>
        </is>
      </c>
      <c r="L595" s="3" t="inlineStr">
        <is>
          <t>Width</t>
        </is>
      </c>
      <c r="M595" s="3" t="inlineStr">
        <is>
          <t>600 mm</t>
        </is>
      </c>
      <c r="Q595" s="3" t="inlineStr">
        <is>
          <t>Manufacturer's Warranty</t>
        </is>
      </c>
      <c r="R595" s="3" t="inlineStr">
        <is>
          <t>PWB-22-20-08</t>
        </is>
      </c>
      <c r="Y595" s="3" t="inlineStr">
        <is>
          <t>EBCO_KS_VEGGEBASKET</t>
        </is>
      </c>
      <c r="Z595" s="3" t="n">
        <v>46021911</v>
      </c>
      <c r="AE595" s="3" t="n">
        <v>8761</v>
      </c>
      <c r="AF595" s="4" t="n">
        <v>0.4</v>
      </c>
      <c r="AG595" s="3">
        <f>ROUND(AE595-(AE595*AF595),2)</f>
        <v/>
      </c>
      <c r="AH595" s="4" t="n">
        <v>0.18</v>
      </c>
      <c r="AI595" s="3">
        <f>ROUND(AG595+(AG595*AH595),2)</f>
        <v/>
      </c>
      <c r="AJ595" s="4" t="n">
        <v>0.1</v>
      </c>
      <c r="AK595" s="3">
        <f>ROUND(AI595*AJ595,2)</f>
        <v/>
      </c>
      <c r="AL595" s="3">
        <f>AI595+AK595</f>
        <v/>
      </c>
      <c r="AM595" s="3">
        <f>AE595-AL595</f>
        <v/>
      </c>
      <c r="AN595" s="4">
        <f>AM595/AE595</f>
        <v/>
      </c>
      <c r="AO595" s="3" t="inlineStr">
        <is>
          <t>60 mins</t>
        </is>
      </c>
      <c r="AQ595" s="3" t="inlineStr">
        <is>
          <t>Weight</t>
        </is>
      </c>
      <c r="AS595" s="3" t="inlineStr">
        <is>
          <t xml:space="preserve">A vegetable basket is a specialized, often open-weave container designed for the storage, organization, and preservation of fresh produce. </t>
        </is>
      </c>
      <c r="AT595" s="3" t="inlineStr">
        <is>
          <t>3 hrs</t>
        </is>
      </c>
    </row>
    <row r="596" ht="15.75" customHeight="1">
      <c r="A596" s="3" t="inlineStr">
        <is>
          <t>PROD_0137</t>
        </is>
      </c>
      <c r="B596" s="3" t="inlineStr">
        <is>
          <t>VAR_1</t>
        </is>
      </c>
      <c r="C596" s="3" t="inlineStr">
        <is>
          <t>Modular Hardware</t>
        </is>
      </c>
      <c r="D596" s="3" t="inlineStr">
        <is>
          <t>Kitchen Accessories</t>
        </is>
      </c>
      <c r="E596" s="3" t="inlineStr">
        <is>
          <t>Inox</t>
        </is>
      </c>
      <c r="F596" s="3" t="inlineStr">
        <is>
          <t>S Corner Unit</t>
        </is>
      </c>
      <c r="H596" s="3" t="inlineStr">
        <is>
          <t>Side</t>
        </is>
      </c>
      <c r="I596" s="3" t="inlineStr">
        <is>
          <t>Left</t>
        </is>
      </c>
      <c r="J596" s="3" t="inlineStr">
        <is>
          <t>Dimension</t>
        </is>
      </c>
      <c r="K596" s="3" t="inlineStr">
        <is>
          <t>817 mm X 400 mm X 730 mm</t>
        </is>
      </c>
      <c r="L596" s="3" t="inlineStr">
        <is>
          <t>Width</t>
        </is>
      </c>
      <c r="M596" s="3" t="inlineStr">
        <is>
          <t>1000 mm</t>
        </is>
      </c>
      <c r="Q596" s="3" t="inlineStr">
        <is>
          <t>Manufacturer's Warranty</t>
        </is>
      </c>
      <c r="R596" s="3" t="inlineStr">
        <is>
          <t>A6.01.401/A6.01.401F</t>
        </is>
      </c>
      <c r="Y596" s="3" t="inlineStr">
        <is>
          <t>INOX_KS_SCORNER_LEFT</t>
        </is>
      </c>
      <c r="Z596" s="3" t="n">
        <v>73241000</v>
      </c>
      <c r="AE596" s="3" t="n">
        <v>14499</v>
      </c>
      <c r="AF596" s="4" t="n">
        <v>0.5</v>
      </c>
      <c r="AG596" s="3">
        <f>ROUND(AE596-(AE596*AF596),2)</f>
        <v/>
      </c>
      <c r="AH596" s="4" t="n">
        <v>0.18</v>
      </c>
      <c r="AI596" s="3">
        <f>ROUND(AG596+(AG596*AH596),2)</f>
        <v/>
      </c>
      <c r="AJ596" s="4" t="n">
        <v>0.2</v>
      </c>
      <c r="AK596" s="3">
        <f>ROUND(AI596*AJ596,2)</f>
        <v/>
      </c>
      <c r="AL596" s="3">
        <f>AI596+AK596</f>
        <v/>
      </c>
      <c r="AM596" s="3">
        <f>AE596-AL596</f>
        <v/>
      </c>
      <c r="AN596" s="4">
        <f>AM596/AE596</f>
        <v/>
      </c>
      <c r="AO596" s="3" t="inlineStr">
        <is>
          <t>60 mins</t>
        </is>
      </c>
      <c r="AQ596" s="3" t="inlineStr">
        <is>
          <t>Weight</t>
        </is>
      </c>
      <c r="AS596" s="3" t="inlineStr">
        <is>
          <t>An S-Corner unit is a specialized, 360-degree rotating or swinging tray system for kitchen corner cabinets, designed to maximize storage by bringing items forward.</t>
        </is>
      </c>
      <c r="AT596" s="3" t="inlineStr">
        <is>
          <t>3 hrs</t>
        </is>
      </c>
    </row>
    <row r="597" ht="15.75" customHeight="1">
      <c r="A597" s="3" t="inlineStr">
        <is>
          <t>PROD_0137</t>
        </is>
      </c>
      <c r="B597" s="3" t="inlineStr">
        <is>
          <t>VAR_2</t>
        </is>
      </c>
      <c r="C597" s="3" t="inlineStr">
        <is>
          <t>Modular Hardware</t>
        </is>
      </c>
      <c r="D597" s="3" t="inlineStr">
        <is>
          <t>Kitchen Accessories</t>
        </is>
      </c>
      <c r="E597" s="3" t="inlineStr">
        <is>
          <t>Inox</t>
        </is>
      </c>
      <c r="F597" s="3" t="inlineStr">
        <is>
          <t>S Corner Unit</t>
        </is>
      </c>
      <c r="H597" s="3" t="inlineStr">
        <is>
          <t>Side</t>
        </is>
      </c>
      <c r="I597" s="3" t="inlineStr">
        <is>
          <t>Right</t>
        </is>
      </c>
      <c r="J597" s="3" t="inlineStr">
        <is>
          <t>Dimension</t>
        </is>
      </c>
      <c r="K597" s="3" t="inlineStr">
        <is>
          <t>817 mm X 400 mm X 730 mm</t>
        </is>
      </c>
      <c r="L597" s="3" t="inlineStr">
        <is>
          <t>Width</t>
        </is>
      </c>
      <c r="M597" s="3" t="inlineStr">
        <is>
          <t>1000 mm</t>
        </is>
      </c>
      <c r="Q597" s="3" t="inlineStr">
        <is>
          <t>Manufacturer's Warranty</t>
        </is>
      </c>
      <c r="R597" s="3" t="inlineStr">
        <is>
          <t>A6.01.402/A6.01.402F</t>
        </is>
      </c>
      <c r="Y597" s="3" t="inlineStr">
        <is>
          <t>INOX_KS_SCORNER_RIGHT</t>
        </is>
      </c>
      <c r="Z597" s="3" t="n">
        <v>73241000</v>
      </c>
      <c r="AE597" s="3" t="n">
        <v>14499</v>
      </c>
      <c r="AF597" s="4" t="n">
        <v>0.5</v>
      </c>
      <c r="AG597" s="3">
        <f>ROUND(AE597-(AE597*AF597),2)</f>
        <v/>
      </c>
      <c r="AH597" s="4" t="n">
        <v>0.18</v>
      </c>
      <c r="AI597" s="3">
        <f>ROUND(AG597+(AG597*AH597),2)</f>
        <v/>
      </c>
      <c r="AJ597" s="4" t="n">
        <v>0.2</v>
      </c>
      <c r="AK597" s="3">
        <f>ROUND(AI597*AJ597,2)</f>
        <v/>
      </c>
      <c r="AL597" s="3">
        <f>AI597+AK597</f>
        <v/>
      </c>
      <c r="AM597" s="3">
        <f>AE597-AL597</f>
        <v/>
      </c>
      <c r="AN597" s="4">
        <f>AM597/AE597</f>
        <v/>
      </c>
      <c r="AO597" s="3" t="inlineStr">
        <is>
          <t>60 mins</t>
        </is>
      </c>
      <c r="AQ597" s="3" t="inlineStr">
        <is>
          <t>Weight</t>
        </is>
      </c>
      <c r="AS597" s="3" t="inlineStr">
        <is>
          <t>An S-Corner unit is a specialized, 360-degree rotating or swinging tray system for kitchen corner cabinets, designed to maximize storage by bringing items forward.</t>
        </is>
      </c>
      <c r="AT597" s="3" t="inlineStr">
        <is>
          <t>3 hrs</t>
        </is>
      </c>
    </row>
    <row r="598" ht="15.75" customHeight="1">
      <c r="A598" s="3" t="inlineStr">
        <is>
          <t>PROD_0138</t>
        </is>
      </c>
      <c r="B598" s="3" t="inlineStr">
        <is>
          <t>VAR_1</t>
        </is>
      </c>
      <c r="C598" s="3" t="inlineStr">
        <is>
          <t>Modular Hardware</t>
        </is>
      </c>
      <c r="D598" s="3" t="inlineStr">
        <is>
          <t>Kitchen Accessories</t>
        </is>
      </c>
      <c r="E598" s="3" t="inlineStr">
        <is>
          <t>Inox</t>
        </is>
      </c>
      <c r="F598" s="3" t="inlineStr">
        <is>
          <t>Soho Pantry Unit</t>
        </is>
      </c>
      <c r="H598" s="3" t="inlineStr">
        <is>
          <t>Finish</t>
        </is>
      </c>
      <c r="I598" s="3" t="inlineStr">
        <is>
          <t>Stainless Steel</t>
        </is>
      </c>
      <c r="J598" s="3" t="inlineStr">
        <is>
          <t>Dimensions</t>
        </is>
      </c>
      <c r="K598" s="3" t="inlineStr">
        <is>
          <t>1250 - 1650 mm</t>
        </is>
      </c>
      <c r="L598" s="3" t="inlineStr">
        <is>
          <t>Width</t>
        </is>
      </c>
      <c r="M598" s="3" t="inlineStr">
        <is>
          <t>450 mm</t>
        </is>
      </c>
      <c r="N598" s="3" t="inlineStr">
        <is>
          <t>Basket Count</t>
        </is>
      </c>
      <c r="O598" s="3" t="n">
        <v>8</v>
      </c>
      <c r="Q598" s="3" t="inlineStr">
        <is>
          <t>Manufacturer's Warranty</t>
        </is>
      </c>
      <c r="R598" s="3" t="inlineStr">
        <is>
          <t>B3.01.101/83.01.101F</t>
        </is>
      </c>
      <c r="Y598" s="3" t="inlineStr">
        <is>
          <t>INOX_KS_PANTRY _UNIT_450MM_8B</t>
        </is>
      </c>
      <c r="Z598" s="3" t="n">
        <v>73241000</v>
      </c>
      <c r="AE598" s="3" t="n">
        <v>18198</v>
      </c>
      <c r="AF598" s="4" t="n">
        <v>0.5</v>
      </c>
      <c r="AG598" s="3">
        <f>ROUND(AE598-(AE598*AF598),2)</f>
        <v/>
      </c>
      <c r="AH598" s="4" t="n">
        <v>0.18</v>
      </c>
      <c r="AI598" s="3">
        <f>ROUND(AG598+(AG598*AH598),2)</f>
        <v/>
      </c>
      <c r="AJ598" s="4" t="n">
        <v>0.2</v>
      </c>
      <c r="AK598" s="3">
        <f>ROUND(AI598*AJ598,2)</f>
        <v/>
      </c>
      <c r="AL598" s="3">
        <f>AI598+AK598</f>
        <v/>
      </c>
      <c r="AM598" s="3">
        <f>AE598-AL598</f>
        <v/>
      </c>
      <c r="AN598" s="4">
        <f>AM598/AE598</f>
        <v/>
      </c>
      <c r="AO598" s="3" t="inlineStr">
        <is>
          <t>60 mins</t>
        </is>
      </c>
      <c r="AQ598" s="3" t="inlineStr">
        <is>
          <t>Weight</t>
        </is>
      </c>
      <c r="AS598" s="3" t="inlineStr">
        <is>
          <t>The Soho Pantry Unit by INOX Decor is a premium tall storage system designed for modern kitchens to maximize space and organization.</t>
        </is>
      </c>
      <c r="AT598" s="3" t="inlineStr">
        <is>
          <t>3 hrs</t>
        </is>
      </c>
    </row>
    <row r="599" ht="15.75" customHeight="1">
      <c r="A599" s="3" t="inlineStr">
        <is>
          <t>PROD_0138</t>
        </is>
      </c>
      <c r="B599" s="3" t="inlineStr">
        <is>
          <t>VAR_2</t>
        </is>
      </c>
      <c r="C599" s="3" t="inlineStr">
        <is>
          <t>Modular Hardware</t>
        </is>
      </c>
      <c r="D599" s="3" t="inlineStr">
        <is>
          <t>Kitchen Accessories</t>
        </is>
      </c>
      <c r="E599" s="3" t="inlineStr">
        <is>
          <t>Inox</t>
        </is>
      </c>
      <c r="F599" s="3" t="inlineStr">
        <is>
          <t>Soho Pantry Unit</t>
        </is>
      </c>
      <c r="H599" s="3" t="inlineStr">
        <is>
          <t>Finish</t>
        </is>
      </c>
      <c r="I599" s="3" t="inlineStr">
        <is>
          <t>Stainless Steel</t>
        </is>
      </c>
      <c r="J599" s="3" t="inlineStr">
        <is>
          <t>Dimensions</t>
        </is>
      </c>
      <c r="K599" s="3" t="inlineStr">
        <is>
          <t>1250 - 1650 mm</t>
        </is>
      </c>
      <c r="L599" s="3" t="inlineStr">
        <is>
          <t>Width</t>
        </is>
      </c>
      <c r="M599" s="3" t="inlineStr">
        <is>
          <t>450 mm</t>
        </is>
      </c>
      <c r="N599" s="3" t="inlineStr">
        <is>
          <t>Basket Count</t>
        </is>
      </c>
      <c r="O599" s="3" t="n">
        <v>12</v>
      </c>
      <c r="Q599" s="3" t="inlineStr">
        <is>
          <t>Manufacturer's Warranty</t>
        </is>
      </c>
      <c r="R599" s="3" t="inlineStr">
        <is>
          <t>B3.02.101/B3.02.101F</t>
        </is>
      </c>
      <c r="Y599" s="3" t="inlineStr">
        <is>
          <t>INOX_KS_PANTRY _UNIT_450MM_12B</t>
        </is>
      </c>
      <c r="Z599" s="3" t="n">
        <v>73241000</v>
      </c>
      <c r="AE599" s="3" t="n">
        <v>21848</v>
      </c>
      <c r="AF599" s="4" t="n">
        <v>0.5</v>
      </c>
      <c r="AG599" s="3">
        <f>ROUND(AE599-(AE599*AF599),2)</f>
        <v/>
      </c>
      <c r="AH599" s="4" t="n">
        <v>0.18</v>
      </c>
      <c r="AI599" s="3">
        <f>ROUND(AG599+(AG599*AH599),2)</f>
        <v/>
      </c>
      <c r="AJ599" s="4" t="n">
        <v>0.2</v>
      </c>
      <c r="AK599" s="3">
        <f>ROUND(AI599*AJ599,2)</f>
        <v/>
      </c>
      <c r="AL599" s="3">
        <f>AI599+AK599</f>
        <v/>
      </c>
      <c r="AM599" s="3">
        <f>AE599-AL599</f>
        <v/>
      </c>
      <c r="AN599" s="4">
        <f>AM599/AE599</f>
        <v/>
      </c>
      <c r="AO599" s="3" t="inlineStr">
        <is>
          <t>60 mins</t>
        </is>
      </c>
      <c r="AQ599" s="3" t="inlineStr">
        <is>
          <t>Weight</t>
        </is>
      </c>
      <c r="AS599" s="3" t="inlineStr">
        <is>
          <t>The Soho Pantry Unit by INOX Decor is a premium tall storage system designed for modern kitchens to maximize space and organization.</t>
        </is>
      </c>
      <c r="AT599" s="3" t="inlineStr">
        <is>
          <t>3 hrs</t>
        </is>
      </c>
    </row>
    <row r="600" ht="15.75" customHeight="1">
      <c r="A600" s="3" t="inlineStr">
        <is>
          <t>PROD_0138</t>
        </is>
      </c>
      <c r="B600" s="3" t="inlineStr">
        <is>
          <t>VAR_3</t>
        </is>
      </c>
      <c r="C600" s="3" t="inlineStr">
        <is>
          <t>Modular Hardware</t>
        </is>
      </c>
      <c r="D600" s="3" t="inlineStr">
        <is>
          <t>Kitchen Accessories</t>
        </is>
      </c>
      <c r="E600" s="3" t="inlineStr">
        <is>
          <t>Inox</t>
        </is>
      </c>
      <c r="F600" s="3" t="inlineStr">
        <is>
          <t>Soho Pantry Unit</t>
        </is>
      </c>
      <c r="H600" s="3" t="inlineStr">
        <is>
          <t>Finish</t>
        </is>
      </c>
      <c r="I600" s="3" t="inlineStr">
        <is>
          <t>Stainless Steel</t>
        </is>
      </c>
      <c r="J600" s="3" t="inlineStr">
        <is>
          <t>Dimensions</t>
        </is>
      </c>
      <c r="K600" s="3" t="inlineStr">
        <is>
          <t>1250 - 1650 mm</t>
        </is>
      </c>
      <c r="L600" s="3" t="inlineStr">
        <is>
          <t>Width</t>
        </is>
      </c>
      <c r="M600" s="3" t="inlineStr">
        <is>
          <t>600mm</t>
        </is>
      </c>
      <c r="N600" s="3" t="inlineStr">
        <is>
          <t>Basket Count</t>
        </is>
      </c>
      <c r="O600" s="3" t="n">
        <v>8</v>
      </c>
      <c r="Q600" s="3" t="inlineStr">
        <is>
          <t>Manufacturer's Warranty</t>
        </is>
      </c>
      <c r="R600" s="3" t="inlineStr">
        <is>
          <t>B3.01.102/B3.01.102F</t>
        </is>
      </c>
      <c r="Y600" s="3" t="inlineStr">
        <is>
          <t>INOX_KS_PANTRY _UNIT_600MM_8B</t>
        </is>
      </c>
      <c r="Z600" s="3" t="n">
        <v>73241000</v>
      </c>
      <c r="AE600" s="3" t="n">
        <v>24323</v>
      </c>
      <c r="AF600" s="4" t="n">
        <v>0.5</v>
      </c>
      <c r="AG600" s="3">
        <f>ROUND(AE600-(AE600*AF600),2)</f>
        <v/>
      </c>
      <c r="AH600" s="4" t="n">
        <v>0.18</v>
      </c>
      <c r="AI600" s="3">
        <f>ROUND(AG600+(AG600*AH600),2)</f>
        <v/>
      </c>
      <c r="AJ600" s="4" t="n">
        <v>0.2</v>
      </c>
      <c r="AK600" s="3">
        <f>ROUND(AI600*AJ600,2)</f>
        <v/>
      </c>
      <c r="AL600" s="3">
        <f>AI600+AK600</f>
        <v/>
      </c>
      <c r="AM600" s="3">
        <f>AE600-AL600</f>
        <v/>
      </c>
      <c r="AN600" s="4">
        <f>AM600/AE600</f>
        <v/>
      </c>
      <c r="AO600" s="3" t="inlineStr">
        <is>
          <t>60 mins</t>
        </is>
      </c>
      <c r="AQ600" s="3" t="inlineStr">
        <is>
          <t>Weight</t>
        </is>
      </c>
      <c r="AS600" s="3" t="inlineStr">
        <is>
          <t>The Soho Pantry Unit by INOX Decor is a premium tall storage system designed for modern kitchens to maximize space and organization.</t>
        </is>
      </c>
      <c r="AT600" s="3" t="inlineStr">
        <is>
          <t>3 hrs</t>
        </is>
      </c>
    </row>
    <row r="601" ht="15.75" customHeight="1">
      <c r="A601" s="3" t="inlineStr">
        <is>
          <t>PROD_0138</t>
        </is>
      </c>
      <c r="B601" s="3" t="inlineStr">
        <is>
          <t>VAR_4</t>
        </is>
      </c>
      <c r="C601" s="3" t="inlineStr">
        <is>
          <t>Modular Hardware</t>
        </is>
      </c>
      <c r="D601" s="3" t="inlineStr">
        <is>
          <t>Kitchen Accessories</t>
        </is>
      </c>
      <c r="E601" s="3" t="inlineStr">
        <is>
          <t>Inox</t>
        </is>
      </c>
      <c r="F601" s="3" t="inlineStr">
        <is>
          <t>Soho Pantry Unit</t>
        </is>
      </c>
      <c r="H601" s="3" t="inlineStr">
        <is>
          <t>Finish</t>
        </is>
      </c>
      <c r="I601" s="3" t="inlineStr">
        <is>
          <t>Stainless Steel</t>
        </is>
      </c>
      <c r="J601" s="3" t="inlineStr">
        <is>
          <t>Dimensions</t>
        </is>
      </c>
      <c r="K601" s="3" t="inlineStr">
        <is>
          <t>1250 - 1650 mm</t>
        </is>
      </c>
      <c r="L601" s="3" t="inlineStr">
        <is>
          <t>Width</t>
        </is>
      </c>
      <c r="M601" s="3" t="inlineStr">
        <is>
          <t>600mm</t>
        </is>
      </c>
      <c r="N601" s="3" t="inlineStr">
        <is>
          <t>Basket Count</t>
        </is>
      </c>
      <c r="O601" s="3" t="n">
        <v>12</v>
      </c>
      <c r="Q601" s="3" t="inlineStr">
        <is>
          <t>Manufacturer's Warranty</t>
        </is>
      </c>
      <c r="R601" s="3" t="inlineStr">
        <is>
          <t>B3.02.102/B3.02.102F</t>
        </is>
      </c>
      <c r="Y601" s="3" t="inlineStr">
        <is>
          <t>INOX_KS_PANTRY _UNIT_600MM_12B</t>
        </is>
      </c>
      <c r="Z601" s="3" t="n">
        <v>73241000</v>
      </c>
      <c r="AE601" s="3" t="n">
        <v>27688</v>
      </c>
      <c r="AF601" s="4" t="n">
        <v>0.5</v>
      </c>
      <c r="AG601" s="3">
        <f>ROUND(AE601-(AE601*AF601),2)</f>
        <v/>
      </c>
      <c r="AH601" s="4" t="n">
        <v>0.18</v>
      </c>
      <c r="AI601" s="3">
        <f>ROUND(AG601+(AG601*AH601),2)</f>
        <v/>
      </c>
      <c r="AJ601" s="4" t="n">
        <v>0.2</v>
      </c>
      <c r="AK601" s="3">
        <f>ROUND(AI601*AJ601,2)</f>
        <v/>
      </c>
      <c r="AL601" s="3">
        <f>AI601+AK601</f>
        <v/>
      </c>
      <c r="AM601" s="3">
        <f>AE601-AL601</f>
        <v/>
      </c>
      <c r="AN601" s="4">
        <f>AM601/AE601</f>
        <v/>
      </c>
      <c r="AO601" s="3" t="inlineStr">
        <is>
          <t>60 mins</t>
        </is>
      </c>
      <c r="AQ601" s="3" t="inlineStr">
        <is>
          <t>Weight</t>
        </is>
      </c>
      <c r="AS601" s="3" t="inlineStr">
        <is>
          <t>The Soho Pantry Unit by INOX Decor is a premium tall storage system designed for modern kitchens to maximize space and organization.</t>
        </is>
      </c>
      <c r="AT601" s="3" t="inlineStr">
        <is>
          <t>3 hrs</t>
        </is>
      </c>
    </row>
    <row r="602" ht="15.75" customHeight="1">
      <c r="A602" s="3" t="inlineStr">
        <is>
          <t>PROD_0139</t>
        </is>
      </c>
      <c r="B602" s="3" t="inlineStr">
        <is>
          <t>VAR_1</t>
        </is>
      </c>
      <c r="C602" s="3" t="inlineStr">
        <is>
          <t>Modular Hardware</t>
        </is>
      </c>
      <c r="D602" s="3" t="inlineStr">
        <is>
          <t>Kitchen Accessories</t>
        </is>
      </c>
      <c r="E602" s="3" t="inlineStr">
        <is>
          <t>Inox</t>
        </is>
      </c>
      <c r="F602" s="3" t="inlineStr">
        <is>
          <t>CW Soho Pantry Unit</t>
        </is>
      </c>
      <c r="H602" s="3" t="inlineStr">
        <is>
          <t>Finish</t>
        </is>
      </c>
      <c r="I602" s="3" t="inlineStr">
        <is>
          <t>Stainless Steel</t>
        </is>
      </c>
      <c r="J602" s="3" t="inlineStr">
        <is>
          <t>Dimensions</t>
        </is>
      </c>
      <c r="K602" s="3" t="inlineStr">
        <is>
          <t>1250 - 1650 mm</t>
        </is>
      </c>
      <c r="L602" s="3" t="inlineStr">
        <is>
          <t>Width</t>
        </is>
      </c>
      <c r="M602" s="3" t="inlineStr">
        <is>
          <t>450 mm</t>
        </is>
      </c>
      <c r="N602" s="3" t="inlineStr">
        <is>
          <t>Basket Count</t>
        </is>
      </c>
      <c r="O602" s="3" t="n">
        <v>8</v>
      </c>
      <c r="Q602" s="3" t="inlineStr">
        <is>
          <t>Manufacturer's Warranty</t>
        </is>
      </c>
      <c r="R602" s="3" t="inlineStr">
        <is>
          <t>B3.01.1015/B3.01.1015F</t>
        </is>
      </c>
      <c r="Y602" s="3" t="inlineStr">
        <is>
          <t>INOX_KS_CW_PANTRY _UNIT</t>
        </is>
      </c>
      <c r="Z602" s="3" t="n">
        <v>73241000</v>
      </c>
      <c r="AE602" s="3" t="n">
        <v>20898</v>
      </c>
      <c r="AF602" s="4" t="n">
        <v>0.5</v>
      </c>
      <c r="AG602" s="3">
        <f>ROUND(AE602-(AE602*AF602),2)</f>
        <v/>
      </c>
      <c r="AH602" s="4" t="n">
        <v>0.18</v>
      </c>
      <c r="AI602" s="3">
        <f>ROUND(AG602+(AG602*AH602),2)</f>
        <v/>
      </c>
      <c r="AJ602" s="4" t="n">
        <v>0.2</v>
      </c>
      <c r="AK602" s="3">
        <f>ROUND(AI602*AJ602,2)</f>
        <v/>
      </c>
      <c r="AL602" s="3">
        <f>AI602+AK602</f>
        <v/>
      </c>
      <c r="AM602" s="3">
        <f>AE602-AL602</f>
        <v/>
      </c>
      <c r="AN602" s="4">
        <f>AM602/AE602</f>
        <v/>
      </c>
      <c r="AO602" s="3" t="inlineStr">
        <is>
          <t>60 mins</t>
        </is>
      </c>
      <c r="AQ602" s="3" t="inlineStr">
        <is>
          <t>Weight</t>
        </is>
      </c>
      <c r="AS602" s="3" t="inlineStr">
        <is>
          <t>The Soho Pantry Unit by INOX Decor is a premium tall storage system designed for modern kitchens to maximize space and organization.</t>
        </is>
      </c>
      <c r="AT602" s="3" t="inlineStr">
        <is>
          <t>3 hrs</t>
        </is>
      </c>
    </row>
    <row r="603" ht="15.75" customHeight="1">
      <c r="A603" s="3" t="inlineStr">
        <is>
          <t>PROD_0139</t>
        </is>
      </c>
      <c r="B603" s="3" t="inlineStr">
        <is>
          <t>VAR_2</t>
        </is>
      </c>
      <c r="C603" s="3" t="inlineStr">
        <is>
          <t>Modular Hardware</t>
        </is>
      </c>
      <c r="D603" s="3" t="inlineStr">
        <is>
          <t>Kitchen Accessories</t>
        </is>
      </c>
      <c r="E603" s="3" t="inlineStr">
        <is>
          <t>Inox</t>
        </is>
      </c>
      <c r="F603" s="3" t="inlineStr">
        <is>
          <t>CW Soho Pantry Unit</t>
        </is>
      </c>
      <c r="H603" s="3" t="inlineStr">
        <is>
          <t>Finish</t>
        </is>
      </c>
      <c r="I603" s="3" t="inlineStr">
        <is>
          <t>Stainless Steel</t>
        </is>
      </c>
      <c r="J603" s="3" t="inlineStr">
        <is>
          <t>Dimensions</t>
        </is>
      </c>
      <c r="K603" s="3" t="inlineStr">
        <is>
          <t>1250 - 1650 mm</t>
        </is>
      </c>
      <c r="L603" s="3" t="inlineStr">
        <is>
          <t>Width</t>
        </is>
      </c>
      <c r="M603" s="3" t="inlineStr">
        <is>
          <t>450 mm</t>
        </is>
      </c>
      <c r="N603" s="3" t="inlineStr">
        <is>
          <t>Basket Count</t>
        </is>
      </c>
      <c r="O603" s="3" t="n">
        <v>12</v>
      </c>
      <c r="Q603" s="3" t="inlineStr">
        <is>
          <t>Manufacturer's Warranty</t>
        </is>
      </c>
      <c r="R603" s="3" t="inlineStr">
        <is>
          <t>B3.0.2.1015/B3.02.1015F</t>
        </is>
      </c>
      <c r="Y603" s="3" t="inlineStr">
        <is>
          <t>INOX_KS_CW_PANTRY _UNIT</t>
        </is>
      </c>
      <c r="Z603" s="3" t="n">
        <v>73241000</v>
      </c>
      <c r="AE603" s="3" t="n">
        <v>25448</v>
      </c>
      <c r="AF603" s="4" t="n">
        <v>0.5</v>
      </c>
      <c r="AG603" s="3">
        <f>ROUND(AE603-(AE603*AF603),2)</f>
        <v/>
      </c>
      <c r="AH603" s="4" t="n">
        <v>0.18</v>
      </c>
      <c r="AI603" s="3">
        <f>ROUND(AG603+(AG603*AH603),2)</f>
        <v/>
      </c>
      <c r="AJ603" s="4" t="n">
        <v>0.2</v>
      </c>
      <c r="AK603" s="3">
        <f>ROUND(AI603*AJ603,2)</f>
        <v/>
      </c>
      <c r="AL603" s="3">
        <f>AI603+AK603</f>
        <v/>
      </c>
      <c r="AM603" s="3">
        <f>AE603-AL603</f>
        <v/>
      </c>
      <c r="AN603" s="4">
        <f>AM603/AE603</f>
        <v/>
      </c>
      <c r="AO603" s="3" t="inlineStr">
        <is>
          <t>60 mins</t>
        </is>
      </c>
      <c r="AQ603" s="3" t="inlineStr">
        <is>
          <t>Weight</t>
        </is>
      </c>
      <c r="AS603" s="3" t="inlineStr">
        <is>
          <t>The Soho Pantry Unit by INOX Decor is a premium tall storage system designed for modern kitchens to maximize space and organization.</t>
        </is>
      </c>
      <c r="AT603" s="3" t="inlineStr">
        <is>
          <t>3 hrs</t>
        </is>
      </c>
    </row>
    <row r="604" ht="15.75" customHeight="1">
      <c r="A604" s="3" t="inlineStr">
        <is>
          <t>PROD_0139</t>
        </is>
      </c>
      <c r="B604" s="3" t="inlineStr">
        <is>
          <t>VAR_3</t>
        </is>
      </c>
      <c r="C604" s="3" t="inlineStr">
        <is>
          <t>Modular Hardware</t>
        </is>
      </c>
      <c r="D604" s="3" t="inlineStr">
        <is>
          <t>Kitchen Accessories</t>
        </is>
      </c>
      <c r="E604" s="3" t="inlineStr">
        <is>
          <t>Inox</t>
        </is>
      </c>
      <c r="F604" s="3" t="inlineStr">
        <is>
          <t>CW Soho Pantry Unit</t>
        </is>
      </c>
      <c r="H604" s="3" t="inlineStr">
        <is>
          <t>Finish</t>
        </is>
      </c>
      <c r="I604" s="3" t="inlineStr">
        <is>
          <t>Stainless Steel</t>
        </is>
      </c>
      <c r="J604" s="3" t="inlineStr">
        <is>
          <t>Dimensions</t>
        </is>
      </c>
      <c r="K604" s="3" t="inlineStr">
        <is>
          <t>1250 - 1650 mm</t>
        </is>
      </c>
      <c r="L604" s="3" t="inlineStr">
        <is>
          <t>Width</t>
        </is>
      </c>
      <c r="M604" s="3" t="inlineStr">
        <is>
          <t>600mm</t>
        </is>
      </c>
      <c r="N604" s="3" t="inlineStr">
        <is>
          <t>Basket Count</t>
        </is>
      </c>
      <c r="O604" s="3" t="n">
        <v>8</v>
      </c>
      <c r="Q604" s="3" t="inlineStr">
        <is>
          <t>Manufacturer's Warranty</t>
        </is>
      </c>
      <c r="R604" s="3" t="inlineStr">
        <is>
          <t>B3.01.1025/B3.01.1025F</t>
        </is>
      </c>
      <c r="Y604" s="3" t="inlineStr">
        <is>
          <t>INOX_KS_CW_PANTRY _UNIT</t>
        </is>
      </c>
      <c r="Z604" s="3" t="n">
        <v>73241000</v>
      </c>
      <c r="AE604" s="3" t="n">
        <v>27388</v>
      </c>
      <c r="AF604" s="4" t="n">
        <v>0.5</v>
      </c>
      <c r="AG604" s="3">
        <f>ROUND(AE604-(AE604*AF604),2)</f>
        <v/>
      </c>
      <c r="AH604" s="4" t="n">
        <v>0.18</v>
      </c>
      <c r="AI604" s="3">
        <f>ROUND(AG604+(AG604*AH604),2)</f>
        <v/>
      </c>
      <c r="AJ604" s="4" t="n">
        <v>0.2</v>
      </c>
      <c r="AK604" s="3">
        <f>ROUND(AI604*AJ604,2)</f>
        <v/>
      </c>
      <c r="AL604" s="3">
        <f>AI604+AK604</f>
        <v/>
      </c>
      <c r="AM604" s="3">
        <f>AE604-AL604</f>
        <v/>
      </c>
      <c r="AN604" s="4">
        <f>AM604/AE604</f>
        <v/>
      </c>
      <c r="AO604" s="3" t="inlineStr">
        <is>
          <t>60 mins</t>
        </is>
      </c>
      <c r="AQ604" s="3" t="inlineStr">
        <is>
          <t>Weight</t>
        </is>
      </c>
      <c r="AS604" s="3" t="inlineStr">
        <is>
          <t>The Soho Pantry Unit by INOX Decor is a premium tall storage system designed for modern kitchens to maximize space and organization.</t>
        </is>
      </c>
      <c r="AT604" s="3" t="inlineStr">
        <is>
          <t>3 hrs</t>
        </is>
      </c>
    </row>
    <row r="605" ht="15.75" customHeight="1">
      <c r="A605" s="3" t="inlineStr">
        <is>
          <t>PROD_0139</t>
        </is>
      </c>
      <c r="B605" s="3" t="inlineStr">
        <is>
          <t>VAR_4</t>
        </is>
      </c>
      <c r="C605" s="3" t="inlineStr">
        <is>
          <t>Modular Hardware</t>
        </is>
      </c>
      <c r="D605" s="3" t="inlineStr">
        <is>
          <t>Kitchen Accessories</t>
        </is>
      </c>
      <c r="E605" s="3" t="inlineStr">
        <is>
          <t>Inox</t>
        </is>
      </c>
      <c r="F605" s="3" t="inlineStr">
        <is>
          <t>CW Soho Pantry Unit</t>
        </is>
      </c>
      <c r="H605" s="3" t="inlineStr">
        <is>
          <t>Finish</t>
        </is>
      </c>
      <c r="I605" s="3" t="inlineStr">
        <is>
          <t>Stainless Steel</t>
        </is>
      </c>
      <c r="J605" s="3" t="inlineStr">
        <is>
          <t>Dimensions</t>
        </is>
      </c>
      <c r="K605" s="3" t="inlineStr">
        <is>
          <t>1250 - 1650 mm</t>
        </is>
      </c>
      <c r="L605" s="3" t="inlineStr">
        <is>
          <t>Width</t>
        </is>
      </c>
      <c r="M605" s="3" t="inlineStr">
        <is>
          <t>600mm</t>
        </is>
      </c>
      <c r="N605" s="3" t="inlineStr">
        <is>
          <t>Basket Count</t>
        </is>
      </c>
      <c r="O605" s="3" t="n">
        <v>12</v>
      </c>
      <c r="Q605" s="3" t="inlineStr">
        <is>
          <t>Manufacturer's Warranty</t>
        </is>
      </c>
      <c r="R605" s="3" t="inlineStr">
        <is>
          <t>B3.02.1025/B3.0121025F</t>
        </is>
      </c>
      <c r="Y605" s="3" t="inlineStr">
        <is>
          <t>INOX_KS_CW_PANTRY _UNIT</t>
        </is>
      </c>
      <c r="Z605" s="3" t="n">
        <v>73241000</v>
      </c>
      <c r="AE605" s="3" t="n">
        <v>32188</v>
      </c>
      <c r="AF605" s="4" t="n">
        <v>0.5</v>
      </c>
      <c r="AG605" s="3">
        <f>ROUND(AE605-(AE605*AF605),2)</f>
        <v/>
      </c>
      <c r="AH605" s="4" t="n">
        <v>0.18</v>
      </c>
      <c r="AI605" s="3">
        <f>ROUND(AG605+(AG605*AH605),2)</f>
        <v/>
      </c>
      <c r="AJ605" s="4" t="n">
        <v>0.2</v>
      </c>
      <c r="AK605" s="3">
        <f>ROUND(AI605*AJ605,2)</f>
        <v/>
      </c>
      <c r="AL605" s="3">
        <f>AI605+AK605</f>
        <v/>
      </c>
      <c r="AM605" s="3">
        <f>AE605-AL605</f>
        <v/>
      </c>
      <c r="AN605" s="4">
        <f>AM605/AE605</f>
        <v/>
      </c>
      <c r="AO605" s="3" t="inlineStr">
        <is>
          <t>60 mins</t>
        </is>
      </c>
      <c r="AQ605" s="3" t="inlineStr">
        <is>
          <t>Weight</t>
        </is>
      </c>
      <c r="AS605" s="3" t="inlineStr">
        <is>
          <t>The Soho Pantry Unit by INOX Decor is a premium tall storage system designed for modern kitchens to maximize space and organization.</t>
        </is>
      </c>
      <c r="AT605" s="3" t="inlineStr">
        <is>
          <t>3 hrs</t>
        </is>
      </c>
    </row>
    <row r="606" ht="15.75" customHeight="1">
      <c r="A606" s="3" t="inlineStr">
        <is>
          <t>PROD_0140</t>
        </is>
      </c>
      <c r="B606" s="3" t="inlineStr">
        <is>
          <t>VAR_1</t>
        </is>
      </c>
      <c r="C606" s="3" t="inlineStr">
        <is>
          <t>Modular Hardware</t>
        </is>
      </c>
      <c r="D606" s="3" t="inlineStr">
        <is>
          <t>Kitchen Accessories</t>
        </is>
      </c>
      <c r="E606" s="3" t="inlineStr">
        <is>
          <t>Inox</t>
        </is>
      </c>
      <c r="F606" s="3" t="inlineStr">
        <is>
          <t>Vegetable Basket</t>
        </is>
      </c>
      <c r="H606" s="3" t="inlineStr">
        <is>
          <t>Finish</t>
        </is>
      </c>
      <c r="I606" s="3" t="inlineStr">
        <is>
          <t>Wicker</t>
        </is>
      </c>
      <c r="J606" s="3" t="inlineStr">
        <is>
          <t>Dimensions</t>
        </is>
      </c>
      <c r="K606" s="3" t="inlineStr">
        <is>
          <t>414 mm X 500 mm X 200 mm</t>
        </is>
      </c>
      <c r="L606" s="3" t="inlineStr">
        <is>
          <t>Width</t>
        </is>
      </c>
      <c r="M606" s="3" t="inlineStr">
        <is>
          <t>450 mm</t>
        </is>
      </c>
      <c r="Q606" s="3" t="inlineStr">
        <is>
          <t>Manufacturer's Warranty</t>
        </is>
      </c>
      <c r="R606" s="3" t="inlineStr">
        <is>
          <t>W1.01.101</t>
        </is>
      </c>
      <c r="Y606" s="3" t="inlineStr">
        <is>
          <t>INOX_KS_VEGGI_BASKET</t>
        </is>
      </c>
      <c r="Z606" s="3" t="n">
        <v>46021911</v>
      </c>
      <c r="AE606" s="3" t="n">
        <v>5499</v>
      </c>
      <c r="AF606" s="4" t="n">
        <v>0.5</v>
      </c>
      <c r="AG606" s="3">
        <f>ROUND(AE606-(AE606*AF606),2)</f>
        <v/>
      </c>
      <c r="AH606" s="4" t="n">
        <v>0.18</v>
      </c>
      <c r="AI606" s="3">
        <f>ROUND(AG606+(AG606*AH606),2)</f>
        <v/>
      </c>
      <c r="AJ606" s="4" t="n">
        <v>0.2</v>
      </c>
      <c r="AK606" s="3">
        <f>ROUND(AI606*AJ606,2)</f>
        <v/>
      </c>
      <c r="AL606" s="3">
        <f>AI606+AK606</f>
        <v/>
      </c>
      <c r="AM606" s="3">
        <f>AE606-AL606</f>
        <v/>
      </c>
      <c r="AN606" s="4">
        <f>AM606/AE606</f>
        <v/>
      </c>
      <c r="AO606" s="3" t="inlineStr">
        <is>
          <t>60 mins</t>
        </is>
      </c>
      <c r="AQ606" s="3" t="inlineStr">
        <is>
          <t>Weight</t>
        </is>
      </c>
      <c r="AS606" s="3" t="inlineStr">
        <is>
          <t xml:space="preserve">A vegetable basket is a specialized, often open-weave container designed for the storage, organization, and preservation of fresh produce. </t>
        </is>
      </c>
      <c r="AT606" s="3" t="inlineStr">
        <is>
          <t>3 hrs</t>
        </is>
      </c>
    </row>
    <row r="607" ht="15.75" customHeight="1">
      <c r="A607" s="3" t="inlineStr">
        <is>
          <t>PROD_0140</t>
        </is>
      </c>
      <c r="B607" s="3" t="inlineStr">
        <is>
          <t>VAR_2</t>
        </is>
      </c>
      <c r="C607" s="3" t="inlineStr">
        <is>
          <t>Modular Hardware</t>
        </is>
      </c>
      <c r="D607" s="3" t="inlineStr">
        <is>
          <t>Kitchen Accessories</t>
        </is>
      </c>
      <c r="E607" s="3" t="inlineStr">
        <is>
          <t>Inox</t>
        </is>
      </c>
      <c r="F607" s="3" t="inlineStr">
        <is>
          <t>Vegetable Basket</t>
        </is>
      </c>
      <c r="H607" s="3" t="inlineStr">
        <is>
          <t>Finish</t>
        </is>
      </c>
      <c r="I607" s="3" t="inlineStr">
        <is>
          <t>Wicker</t>
        </is>
      </c>
      <c r="J607" s="3" t="inlineStr">
        <is>
          <t>Dimensions</t>
        </is>
      </c>
      <c r="K607" s="3" t="inlineStr">
        <is>
          <t>564 mm X 500 mm X 200 mm</t>
        </is>
      </c>
      <c r="L607" s="3" t="inlineStr">
        <is>
          <t>Width</t>
        </is>
      </c>
      <c r="M607" s="3" t="inlineStr">
        <is>
          <t>600 mm</t>
        </is>
      </c>
      <c r="Q607" s="3" t="inlineStr">
        <is>
          <t>Manufacturer's Warranty</t>
        </is>
      </c>
      <c r="R607" s="3" t="inlineStr">
        <is>
          <t>W1.01.102</t>
        </is>
      </c>
      <c r="Y607" s="3" t="inlineStr">
        <is>
          <t>INOX_KS_VEGGI_BASKET</t>
        </is>
      </c>
      <c r="Z607" s="3" t="n">
        <v>46021911</v>
      </c>
      <c r="AE607" s="3" t="n">
        <v>5949</v>
      </c>
      <c r="AF607" s="4" t="n">
        <v>0.5</v>
      </c>
      <c r="AG607" s="3">
        <f>ROUND(AE607-(AE607*AF607),2)</f>
        <v/>
      </c>
      <c r="AH607" s="4" t="n">
        <v>0.18</v>
      </c>
      <c r="AI607" s="3">
        <f>ROUND(AG607+(AG607*AH607),2)</f>
        <v/>
      </c>
      <c r="AJ607" s="4" t="n">
        <v>0.2</v>
      </c>
      <c r="AK607" s="3">
        <f>ROUND(AI607*AJ607,2)</f>
        <v/>
      </c>
      <c r="AL607" s="3">
        <f>AI607+AK607</f>
        <v/>
      </c>
      <c r="AM607" s="3">
        <f>AE607-AL607</f>
        <v/>
      </c>
      <c r="AN607" s="4">
        <f>AM607/AE607</f>
        <v/>
      </c>
      <c r="AO607" s="3" t="inlineStr">
        <is>
          <t>60 mins</t>
        </is>
      </c>
      <c r="AQ607" s="3" t="inlineStr">
        <is>
          <t>Weight</t>
        </is>
      </c>
      <c r="AS607" s="3" t="inlineStr">
        <is>
          <t xml:space="preserve">A vegetable basket is a specialized, often open-weave container designed for the storage, organization, and preservation of fresh produce. </t>
        </is>
      </c>
      <c r="AT607" s="3" t="inlineStr">
        <is>
          <t>3 hrs</t>
        </is>
      </c>
    </row>
    <row r="608" ht="15.75" customHeight="1">
      <c r="A608" s="3" t="inlineStr">
        <is>
          <t>PROD_0141</t>
        </is>
      </c>
      <c r="B608" s="3" t="inlineStr">
        <is>
          <t>VAR_1</t>
        </is>
      </c>
      <c r="C608" s="3" t="inlineStr">
        <is>
          <t>Modular Hardware</t>
        </is>
      </c>
      <c r="D608" s="3" t="inlineStr">
        <is>
          <t>Kitchen Accessories</t>
        </is>
      </c>
      <c r="E608" s="3" t="inlineStr">
        <is>
          <t>Inox</t>
        </is>
      </c>
      <c r="F608" s="3" t="inlineStr">
        <is>
          <t>Bottle Pullout</t>
        </is>
      </c>
      <c r="H608" s="3" t="inlineStr">
        <is>
          <t>Finish</t>
        </is>
      </c>
      <c r="I608" s="3" t="inlineStr">
        <is>
          <t>Satin</t>
        </is>
      </c>
      <c r="J608" s="3" t="inlineStr">
        <is>
          <t>Dimensions</t>
        </is>
      </c>
      <c r="K608" s="3" t="inlineStr">
        <is>
          <t>500 mm X 480 mm X 110 mm</t>
        </is>
      </c>
      <c r="L608" s="3" t="inlineStr">
        <is>
          <t>Width</t>
        </is>
      </c>
      <c r="M608" s="3" t="inlineStr">
        <is>
          <t>150 mm</t>
        </is>
      </c>
      <c r="N608" s="3" t="inlineStr">
        <is>
          <t>Shelves</t>
        </is>
      </c>
      <c r="O608" s="3" t="n">
        <v>2</v>
      </c>
      <c r="Q608" s="3" t="inlineStr">
        <is>
          <t>Manufacturer's Warranty</t>
        </is>
      </c>
      <c r="R608" s="3" t="inlineStr">
        <is>
          <t>S5.01..101//S5.00.100</t>
        </is>
      </c>
      <c r="Y608" s="3" t="inlineStr">
        <is>
          <t>INOX_KS_BPO_2 SHELVES</t>
        </is>
      </c>
      <c r="Z608" s="3" t="n">
        <v>73241000</v>
      </c>
      <c r="AE608" s="3" t="n">
        <v>5949</v>
      </c>
      <c r="AF608" s="4" t="n">
        <v>0.5</v>
      </c>
      <c r="AG608" s="3">
        <f>ROUND(AE608-(AE608*AF608),2)</f>
        <v/>
      </c>
      <c r="AH608" s="4" t="n">
        <v>0.18</v>
      </c>
      <c r="AI608" s="3">
        <f>ROUND(AG608+(AG608*AH608),2)</f>
        <v/>
      </c>
      <c r="AJ608" s="4" t="n">
        <v>0.2</v>
      </c>
      <c r="AK608" s="3">
        <f>ROUND(AI608*AJ608,2)</f>
        <v/>
      </c>
      <c r="AL608" s="3">
        <f>AI608+AK608</f>
        <v/>
      </c>
      <c r="AM608" s="3">
        <f>AE608-AL608</f>
        <v/>
      </c>
      <c r="AN608" s="4">
        <f>AM608/AE608</f>
        <v/>
      </c>
      <c r="AO608" s="3" t="inlineStr">
        <is>
          <t>60 mins</t>
        </is>
      </c>
      <c r="AQ608" s="3" t="inlineStr">
        <is>
          <t>Weight</t>
        </is>
      </c>
      <c r="AS608" s="3" t="inlineStr">
        <is>
          <t>A kitchen bottle pull-out (BPO) is a narrow, sliding cabinet accessory designed for vertical storage of bottles, jars, and condiments, usually located next to the stove for easy access</t>
        </is>
      </c>
      <c r="AT608" s="3" t="inlineStr">
        <is>
          <t>3 hrs</t>
        </is>
      </c>
    </row>
    <row r="609" ht="15.75" customHeight="1">
      <c r="A609" s="3" t="inlineStr">
        <is>
          <t>PROD_0141</t>
        </is>
      </c>
      <c r="B609" s="3" t="inlineStr">
        <is>
          <t>VAR_2</t>
        </is>
      </c>
      <c r="C609" s="3" t="inlineStr">
        <is>
          <t>Modular Hardware</t>
        </is>
      </c>
      <c r="D609" s="3" t="inlineStr">
        <is>
          <t>Kitchen Accessories</t>
        </is>
      </c>
      <c r="E609" s="3" t="inlineStr">
        <is>
          <t>Inox</t>
        </is>
      </c>
      <c r="F609" s="3" t="inlineStr">
        <is>
          <t>Bottle Pullout</t>
        </is>
      </c>
      <c r="H609" s="3" t="inlineStr">
        <is>
          <t>Finish</t>
        </is>
      </c>
      <c r="I609" s="3" t="inlineStr">
        <is>
          <t>Satin</t>
        </is>
      </c>
      <c r="J609" s="3" t="inlineStr">
        <is>
          <t>Dimensions</t>
        </is>
      </c>
      <c r="K609" s="3" t="inlineStr">
        <is>
          <t>500 mm X 480 mm X 154 mm</t>
        </is>
      </c>
      <c r="L609" s="3" t="inlineStr">
        <is>
          <t>Width</t>
        </is>
      </c>
      <c r="M609" s="3" t="inlineStr">
        <is>
          <t>200 mm</t>
        </is>
      </c>
      <c r="N609" s="3" t="inlineStr">
        <is>
          <t>Shelves</t>
        </is>
      </c>
      <c r="O609" s="3" t="n">
        <v>2</v>
      </c>
      <c r="Q609" s="3" t="inlineStr">
        <is>
          <t>Manufacturer's Warranty</t>
        </is>
      </c>
      <c r="R609" s="3" t="inlineStr">
        <is>
          <t>S5.01.103//S5.00.100</t>
        </is>
      </c>
      <c r="Y609" s="3" t="inlineStr">
        <is>
          <t>INOX_KS_BPO_2 SHELVES</t>
        </is>
      </c>
      <c r="Z609" s="3" t="n">
        <v>73241000</v>
      </c>
      <c r="AE609" s="3" t="n">
        <v>6399</v>
      </c>
      <c r="AF609" s="4" t="n">
        <v>0.5</v>
      </c>
      <c r="AG609" s="3">
        <f>ROUND(AE609-(AE609*AF609),2)</f>
        <v/>
      </c>
      <c r="AH609" s="4" t="n">
        <v>0.18</v>
      </c>
      <c r="AI609" s="3">
        <f>ROUND(AG609+(AG609*AH609),2)</f>
        <v/>
      </c>
      <c r="AJ609" s="4" t="n">
        <v>0.2</v>
      </c>
      <c r="AK609" s="3">
        <f>ROUND(AI609*AJ609,2)</f>
        <v/>
      </c>
      <c r="AL609" s="3">
        <f>AI609+AK609</f>
        <v/>
      </c>
      <c r="AM609" s="3">
        <f>AE609-AL609</f>
        <v/>
      </c>
      <c r="AN609" s="4">
        <f>AM609/AE609</f>
        <v/>
      </c>
      <c r="AO609" s="3" t="inlineStr">
        <is>
          <t>60 mins</t>
        </is>
      </c>
      <c r="AQ609" s="3" t="inlineStr">
        <is>
          <t>Weight</t>
        </is>
      </c>
      <c r="AS609" s="3" t="inlineStr">
        <is>
          <t>A kitchen bottle pull-out (BPO) is a narrow, sliding cabinet accessory designed for vertical storage of bottles, jars, and condiments, usually located next to the stove for easy access</t>
        </is>
      </c>
      <c r="AT609" s="3" t="inlineStr">
        <is>
          <t>3 hrs</t>
        </is>
      </c>
    </row>
    <row r="610" ht="15.75" customHeight="1">
      <c r="A610" s="3" t="inlineStr">
        <is>
          <t>PROD_0141</t>
        </is>
      </c>
      <c r="B610" s="3" t="inlineStr">
        <is>
          <t>VAR_3</t>
        </is>
      </c>
      <c r="C610" s="3" t="inlineStr">
        <is>
          <t>Modular Hardware</t>
        </is>
      </c>
      <c r="D610" s="3" t="inlineStr">
        <is>
          <t>Kitchen Accessories</t>
        </is>
      </c>
      <c r="E610" s="3" t="inlineStr">
        <is>
          <t>Inox</t>
        </is>
      </c>
      <c r="F610" s="3" t="inlineStr">
        <is>
          <t>Bottle Pullout</t>
        </is>
      </c>
      <c r="H610" s="3" t="inlineStr">
        <is>
          <t>Finish</t>
        </is>
      </c>
      <c r="I610" s="3" t="inlineStr">
        <is>
          <t>Satin</t>
        </is>
      </c>
      <c r="J610" s="3" t="inlineStr">
        <is>
          <t>Dimensions</t>
        </is>
      </c>
      <c r="K610" s="3" t="inlineStr">
        <is>
          <t>500 mm X 480 mm X 250 mm</t>
        </is>
      </c>
      <c r="L610" s="3" t="inlineStr">
        <is>
          <t>Width</t>
        </is>
      </c>
      <c r="M610" s="3" t="inlineStr">
        <is>
          <t>250 mm</t>
        </is>
      </c>
      <c r="N610" s="3" t="inlineStr">
        <is>
          <t>Shelves</t>
        </is>
      </c>
      <c r="O610" s="3" t="n">
        <v>2</v>
      </c>
      <c r="Q610" s="3" t="inlineStr">
        <is>
          <t>Manufacturer's Warranty</t>
        </is>
      </c>
      <c r="R610" s="3" t="inlineStr">
        <is>
          <t>S5.01.105//S5.00.100</t>
        </is>
      </c>
      <c r="Y610" s="3" t="inlineStr">
        <is>
          <t>INOX_KS_BPO_2 SHELVES</t>
        </is>
      </c>
      <c r="Z610" s="3" t="n">
        <v>73241000</v>
      </c>
      <c r="AE610" s="3" t="n">
        <v>6699</v>
      </c>
      <c r="AF610" s="4" t="n">
        <v>0.5</v>
      </c>
      <c r="AG610" s="3">
        <f>ROUND(AE610-(AE610*AF610),2)</f>
        <v/>
      </c>
      <c r="AH610" s="4" t="n">
        <v>0.18</v>
      </c>
      <c r="AI610" s="3">
        <f>ROUND(AG610+(AG610*AH610),2)</f>
        <v/>
      </c>
      <c r="AJ610" s="4" t="n">
        <v>0.2</v>
      </c>
      <c r="AK610" s="3">
        <f>ROUND(AI610*AJ610,2)</f>
        <v/>
      </c>
      <c r="AL610" s="3">
        <f>AI610+AK610</f>
        <v/>
      </c>
      <c r="AM610" s="3">
        <f>AE610-AL610</f>
        <v/>
      </c>
      <c r="AN610" s="4">
        <f>AM610/AE610</f>
        <v/>
      </c>
      <c r="AO610" s="3" t="inlineStr">
        <is>
          <t>60 mins</t>
        </is>
      </c>
      <c r="AQ610" s="3" t="inlineStr">
        <is>
          <t>Weight</t>
        </is>
      </c>
      <c r="AS610" s="3" t="inlineStr">
        <is>
          <t>A kitchen bottle pull-out (BPO) is a narrow, sliding cabinet accessory designed for vertical storage of bottles, jars, and condiments, usually located next to the stove for easy access</t>
        </is>
      </c>
      <c r="AT610" s="3" t="inlineStr">
        <is>
          <t>3 hrs</t>
        </is>
      </c>
    </row>
    <row r="611" ht="15.75" customHeight="1">
      <c r="A611" s="3" t="inlineStr">
        <is>
          <t>PROD_0141</t>
        </is>
      </c>
      <c r="B611" s="3" t="inlineStr">
        <is>
          <t>VAR_4</t>
        </is>
      </c>
      <c r="C611" s="3" t="inlineStr">
        <is>
          <t>Modular Hardware</t>
        </is>
      </c>
      <c r="D611" s="3" t="inlineStr">
        <is>
          <t>Kitchen Accessories</t>
        </is>
      </c>
      <c r="E611" s="3" t="inlineStr">
        <is>
          <t>Inox</t>
        </is>
      </c>
      <c r="F611" s="3" t="inlineStr">
        <is>
          <t>Bottle Pullout</t>
        </is>
      </c>
      <c r="H611" s="3" t="inlineStr">
        <is>
          <t>Finish</t>
        </is>
      </c>
      <c r="I611" s="3" t="inlineStr">
        <is>
          <t>Glass</t>
        </is>
      </c>
      <c r="J611" s="3" t="inlineStr">
        <is>
          <t>Dimensions</t>
        </is>
      </c>
      <c r="K611" s="3" t="inlineStr">
        <is>
          <t>500 mm X 560 mm X 150 mm</t>
        </is>
      </c>
      <c r="L611" s="3" t="inlineStr">
        <is>
          <t>Width</t>
        </is>
      </c>
      <c r="M611" s="3" t="inlineStr">
        <is>
          <t>200 mm</t>
        </is>
      </c>
      <c r="N611" s="3" t="inlineStr">
        <is>
          <t>Shelves</t>
        </is>
      </c>
      <c r="O611" s="3" t="n">
        <v>3</v>
      </c>
      <c r="Q611" s="3" t="inlineStr">
        <is>
          <t>Manufacturer's Warranty</t>
        </is>
      </c>
      <c r="R611" s="3" t="inlineStr">
        <is>
          <t>Q5.01.104/Q5.00.100</t>
        </is>
      </c>
      <c r="Y611" s="3" t="inlineStr">
        <is>
          <t>INOX_KS_BPO_GLASS</t>
        </is>
      </c>
      <c r="Z611" s="3" t="n">
        <v>73241000</v>
      </c>
      <c r="AE611" s="3" t="n">
        <v>8469</v>
      </c>
      <c r="AF611" s="4" t="n">
        <v>0.5</v>
      </c>
      <c r="AG611" s="3">
        <f>ROUND(AE611-(AE611*AF611),2)</f>
        <v/>
      </c>
      <c r="AH611" s="4" t="n">
        <v>0.18</v>
      </c>
      <c r="AI611" s="3">
        <f>ROUND(AG611+(AG611*AH611),2)</f>
        <v/>
      </c>
      <c r="AJ611" s="4" t="n">
        <v>0.2</v>
      </c>
      <c r="AK611" s="3">
        <f>ROUND(AI611*AJ611,2)</f>
        <v/>
      </c>
      <c r="AL611" s="3">
        <f>AI611+AK611</f>
        <v/>
      </c>
      <c r="AM611" s="3">
        <f>AE611-AL611</f>
        <v/>
      </c>
      <c r="AN611" s="4">
        <f>AM611/AE611</f>
        <v/>
      </c>
      <c r="AO611" s="3" t="inlineStr">
        <is>
          <t>60 mins</t>
        </is>
      </c>
      <c r="AQ611" s="3" t="inlineStr">
        <is>
          <t>Weight</t>
        </is>
      </c>
      <c r="AS611" s="3" t="inlineStr">
        <is>
          <t>A kitchen bottle pull-out (BPO) is a narrow, sliding cabinet accessory designed for vertical storage of bottles, jars, and condiments, usually located next to the stove for easy access</t>
        </is>
      </c>
      <c r="AT611" s="3" t="inlineStr">
        <is>
          <t>3 hrs</t>
        </is>
      </c>
    </row>
    <row r="612" ht="15.75" customHeight="1">
      <c r="A612" s="3" t="inlineStr">
        <is>
          <t>PROD_0142</t>
        </is>
      </c>
      <c r="B612" s="3" t="inlineStr">
        <is>
          <t>VAR_1</t>
        </is>
      </c>
      <c r="C612" s="3" t="inlineStr">
        <is>
          <t>Modular Hardware</t>
        </is>
      </c>
      <c r="D612" s="3" t="inlineStr">
        <is>
          <t>Kitchen Accessories</t>
        </is>
      </c>
      <c r="E612" s="3" t="inlineStr">
        <is>
          <t>Inox</t>
        </is>
      </c>
      <c r="F612" s="3" t="inlineStr">
        <is>
          <t>Corena White Magic Corner</t>
        </is>
      </c>
      <c r="H612" s="3" t="inlineStr">
        <is>
          <t>Finish</t>
        </is>
      </c>
      <c r="I612" s="3" t="inlineStr">
        <is>
          <t>Stainless Steel</t>
        </is>
      </c>
      <c r="J612" s="3" t="inlineStr">
        <is>
          <t>Dimensions</t>
        </is>
      </c>
      <c r="K612" s="3" t="inlineStr">
        <is>
          <t>500 mm X 560 mm X 150 mm</t>
        </is>
      </c>
      <c r="L612" s="3" t="inlineStr">
        <is>
          <t>Width</t>
        </is>
      </c>
      <c r="M612" s="3" t="inlineStr">
        <is>
          <t>1100 mm</t>
        </is>
      </c>
      <c r="Q612" s="3" t="inlineStr">
        <is>
          <t>Manufacturer's Warranty</t>
        </is>
      </c>
      <c r="R612" s="3" t="inlineStr">
        <is>
          <t>A3.01.401/A3.01.401F</t>
        </is>
      </c>
      <c r="Y612" s="3" t="inlineStr">
        <is>
          <t>INOX_KS_CW_ Magic Corner</t>
        </is>
      </c>
      <c r="Z612" s="3" t="n">
        <v>73241000</v>
      </c>
      <c r="AE612" s="3" t="n">
        <v>28998</v>
      </c>
      <c r="AF612" s="4" t="n">
        <v>0.5</v>
      </c>
      <c r="AG612" s="3">
        <f>ROUND(AE612-(AE612*AF612),2)</f>
        <v/>
      </c>
      <c r="AH612" s="4" t="n">
        <v>0.18</v>
      </c>
      <c r="AI612" s="3">
        <f>ROUND(AG612+(AG612*AH612),2)</f>
        <v/>
      </c>
      <c r="AJ612" s="4" t="n">
        <v>0.2</v>
      </c>
      <c r="AK612" s="3">
        <f>ROUND(AI612*AJ612,2)</f>
        <v/>
      </c>
      <c r="AL612" s="3">
        <f>AI612+AK612</f>
        <v/>
      </c>
      <c r="AM612" s="3">
        <f>AE612-AL612</f>
        <v/>
      </c>
      <c r="AN612" s="4">
        <f>AM612/AE612</f>
        <v/>
      </c>
      <c r="AO612" s="3" t="inlineStr">
        <is>
          <t>60 mins</t>
        </is>
      </c>
      <c r="AQ612" s="3" t="inlineStr">
        <is>
          <t>Weight</t>
        </is>
      </c>
      <c r="AT612" s="3" t="inlineStr">
        <is>
          <t>3 hrs</t>
        </is>
      </c>
    </row>
    <row r="613" ht="15.75" customHeight="1">
      <c r="A613" s="3" t="inlineStr">
        <is>
          <t>PROD_0143</t>
        </is>
      </c>
      <c r="B613" s="3" t="inlineStr">
        <is>
          <t>VAR_1</t>
        </is>
      </c>
      <c r="C613" s="3" t="inlineStr">
        <is>
          <t>Modular Hardware</t>
        </is>
      </c>
      <c r="D613" s="3" t="inlineStr">
        <is>
          <t>Kitchen Accessories</t>
        </is>
      </c>
      <c r="E613" s="3" t="inlineStr">
        <is>
          <t>Inox</t>
        </is>
      </c>
      <c r="F613" s="3" t="inlineStr">
        <is>
          <t>Graphite Magic Corner</t>
        </is>
      </c>
      <c r="H613" s="3" t="inlineStr">
        <is>
          <t>Finish</t>
        </is>
      </c>
      <c r="I613" s="3" t="inlineStr">
        <is>
          <t>Black</t>
        </is>
      </c>
      <c r="J613" s="3" t="inlineStr">
        <is>
          <t>Dimensions</t>
        </is>
      </c>
      <c r="K613" s="3" t="inlineStr">
        <is>
          <t>500 mm X 560 mm X 150 mm</t>
        </is>
      </c>
      <c r="L613" s="3" t="inlineStr">
        <is>
          <t>Width</t>
        </is>
      </c>
      <c r="M613" s="3" t="inlineStr">
        <is>
          <t>1100 mm</t>
        </is>
      </c>
      <c r="Q613" s="3" t="inlineStr">
        <is>
          <t>Manufacturer's Warranty</t>
        </is>
      </c>
      <c r="R613" s="3" t="inlineStr">
        <is>
          <t>A3.01.501/A3.01.401F</t>
        </is>
      </c>
      <c r="Y613" s="3" t="inlineStr">
        <is>
          <t>INOX_KS_GRAHITE_ Magic Corner</t>
        </is>
      </c>
      <c r="Z613" s="3" t="n">
        <v>73241000</v>
      </c>
      <c r="AE613" s="3" t="n">
        <v>26919</v>
      </c>
      <c r="AF613" s="4" t="n">
        <v>0.5</v>
      </c>
      <c r="AG613" s="3">
        <f>ROUND(AE613-(AE613*AF613),2)</f>
        <v/>
      </c>
      <c r="AH613" s="4" t="n">
        <v>0.18</v>
      </c>
      <c r="AI613" s="3">
        <f>ROUND(AG613+(AG613*AH613),2)</f>
        <v/>
      </c>
      <c r="AJ613" s="4" t="n">
        <v>0.2</v>
      </c>
      <c r="AK613" s="3">
        <f>ROUND(AI613*AJ613,2)</f>
        <v/>
      </c>
      <c r="AL613" s="3">
        <f>AI613+AK613</f>
        <v/>
      </c>
      <c r="AM613" s="3">
        <f>AE613-AL613</f>
        <v/>
      </c>
      <c r="AN613" s="4">
        <f>AM613/AE613</f>
        <v/>
      </c>
      <c r="AO613" s="3" t="inlineStr">
        <is>
          <t>60 mins</t>
        </is>
      </c>
      <c r="AQ613" s="3" t="inlineStr">
        <is>
          <t>Weight</t>
        </is>
      </c>
      <c r="AT613" s="3" t="inlineStr">
        <is>
          <t>3 hrs</t>
        </is>
      </c>
    </row>
    <row r="614" ht="15.75" customHeight="1">
      <c r="A614" s="3" t="inlineStr">
        <is>
          <t>PROD_0144</t>
        </is>
      </c>
      <c r="B614" s="3" t="inlineStr">
        <is>
          <t>VAR_1</t>
        </is>
      </c>
      <c r="C614" s="3" t="inlineStr">
        <is>
          <t>Modular Hardware</t>
        </is>
      </c>
      <c r="D614" s="3" t="inlineStr">
        <is>
          <t>Kitchen Accessories</t>
        </is>
      </c>
      <c r="E614" s="3" t="inlineStr">
        <is>
          <t>Inox</t>
        </is>
      </c>
      <c r="F614" s="3" t="inlineStr">
        <is>
          <t>Cutlery Tray</t>
        </is>
      </c>
      <c r="H614" s="3" t="inlineStr">
        <is>
          <t>Finish</t>
        </is>
      </c>
      <c r="I614" s="3" t="inlineStr">
        <is>
          <t>PVC</t>
        </is>
      </c>
      <c r="J614" s="3" t="inlineStr">
        <is>
          <t>Dimensions</t>
        </is>
      </c>
      <c r="K614" s="3" t="inlineStr">
        <is>
          <t>380 mm X 475 mm X 50 mm</t>
        </is>
      </c>
      <c r="M614" s="3" t="inlineStr">
        <is>
          <t>450 mm</t>
        </is>
      </c>
      <c r="Q614" s="3" t="inlineStr">
        <is>
          <t>Manufacturer's Warranty</t>
        </is>
      </c>
      <c r="R614" s="3" t="inlineStr">
        <is>
          <t>E1.02.101</t>
        </is>
      </c>
      <c r="Y614" s="3" t="inlineStr">
        <is>
          <t>INOX_KS_CUTLERY_PVC</t>
        </is>
      </c>
      <c r="Z614" s="3" t="n">
        <v>39249090</v>
      </c>
      <c r="AE614" s="3" t="n">
        <v>540</v>
      </c>
      <c r="AF614" s="4" t="n">
        <v>0.5</v>
      </c>
      <c r="AG614" s="3">
        <f>ROUND(AE614-(AE614*AF614),2)</f>
        <v/>
      </c>
      <c r="AH614" s="4" t="n">
        <v>0.18</v>
      </c>
      <c r="AI614" s="3">
        <f>ROUND(AG614+(AG614*AH614),2)</f>
        <v/>
      </c>
      <c r="AJ614" s="4" t="n">
        <v>0.2</v>
      </c>
      <c r="AK614" s="3">
        <f>ROUND(AI614*AJ614,2)</f>
        <v/>
      </c>
      <c r="AL614" s="3">
        <f>AI614+AK614</f>
        <v/>
      </c>
      <c r="AM614" s="3">
        <f>AE614-AL614</f>
        <v/>
      </c>
      <c r="AN614" s="4">
        <f>AM614/AE614</f>
        <v/>
      </c>
      <c r="AO614" s="3" t="inlineStr">
        <is>
          <t>60 mins</t>
        </is>
      </c>
      <c r="AQ614" s="3" t="inlineStr">
        <is>
          <t>Weight</t>
        </is>
      </c>
      <c r="AS614" s="3" t="inlineStr">
        <is>
          <t>A cutlery tray is a segmented kitchen drawer organizer designed to neatly store, separate, and protect silverware, knives, and cooking utensils.</t>
        </is>
      </c>
      <c r="AT614" s="3" t="inlineStr">
        <is>
          <t>60 mins</t>
        </is>
      </c>
    </row>
    <row r="615" ht="15.75" customHeight="1">
      <c r="A615" s="3" t="inlineStr">
        <is>
          <t>PROD_0144</t>
        </is>
      </c>
      <c r="B615" s="3" t="inlineStr">
        <is>
          <t>VAR_2</t>
        </is>
      </c>
      <c r="C615" s="3" t="inlineStr">
        <is>
          <t>Modular Hardware</t>
        </is>
      </c>
      <c r="D615" s="3" t="inlineStr">
        <is>
          <t>Kitchen Accessories</t>
        </is>
      </c>
      <c r="E615" s="3" t="inlineStr">
        <is>
          <t>Inox</t>
        </is>
      </c>
      <c r="F615" s="3" t="inlineStr">
        <is>
          <t>Cutlery Tray</t>
        </is>
      </c>
      <c r="H615" s="3" t="inlineStr">
        <is>
          <t>Finish</t>
        </is>
      </c>
      <c r="I615" s="3" t="inlineStr">
        <is>
          <t>PVC</t>
        </is>
      </c>
      <c r="J615" s="3" t="inlineStr">
        <is>
          <t>Dimensions</t>
        </is>
      </c>
      <c r="K615" s="3" t="inlineStr">
        <is>
          <t>575 mm X 475 mm X 50 mm</t>
        </is>
      </c>
      <c r="M615" s="3" t="inlineStr">
        <is>
          <t>600 mm</t>
        </is>
      </c>
      <c r="Q615" s="3" t="inlineStr">
        <is>
          <t>Manufacturer's Warranty</t>
        </is>
      </c>
      <c r="R615" s="3" t="inlineStr">
        <is>
          <t>E1.02.102</t>
        </is>
      </c>
      <c r="Y615" s="3" t="inlineStr">
        <is>
          <t>INOX_KS_CUTLERY_PVC</t>
        </is>
      </c>
      <c r="Z615" s="3" t="n">
        <v>39249090</v>
      </c>
      <c r="AE615" s="3" t="n">
        <v>729</v>
      </c>
      <c r="AF615" s="4" t="n">
        <v>0.5</v>
      </c>
      <c r="AG615" s="3">
        <f>ROUND(AE615-(AE615*AF615),2)</f>
        <v/>
      </c>
      <c r="AH615" s="4" t="n">
        <v>0.18</v>
      </c>
      <c r="AI615" s="3">
        <f>ROUND(AG615+(AG615*AH615),2)</f>
        <v/>
      </c>
      <c r="AJ615" s="4" t="n">
        <v>0.2</v>
      </c>
      <c r="AK615" s="3">
        <f>ROUND(AI615*AJ615,2)</f>
        <v/>
      </c>
      <c r="AL615" s="3">
        <f>AI615+AK615</f>
        <v/>
      </c>
      <c r="AM615" s="3">
        <f>AE615-AL615</f>
        <v/>
      </c>
      <c r="AN615" s="4">
        <f>AM615/AE615</f>
        <v/>
      </c>
      <c r="AO615" s="3" t="inlineStr">
        <is>
          <t>60 mins</t>
        </is>
      </c>
      <c r="AQ615" s="3" t="inlineStr">
        <is>
          <t>Weight</t>
        </is>
      </c>
      <c r="AS615" s="3" t="inlineStr">
        <is>
          <t>A cutlery tray is a segmented kitchen drawer organizer designed to neatly store, separate, and protect silverware, knives, and cooking utensils.</t>
        </is>
      </c>
      <c r="AT615" s="3" t="inlineStr">
        <is>
          <t>60 mins</t>
        </is>
      </c>
    </row>
    <row r="616" ht="15.75" customHeight="1">
      <c r="A616" s="3" t="inlineStr">
        <is>
          <t>PROD_0144</t>
        </is>
      </c>
      <c r="B616" s="3" t="inlineStr">
        <is>
          <t>VAR_3</t>
        </is>
      </c>
      <c r="C616" s="3" t="inlineStr">
        <is>
          <t>Modular Hardware</t>
        </is>
      </c>
      <c r="D616" s="3" t="inlineStr">
        <is>
          <t>Kitchen Accessories</t>
        </is>
      </c>
      <c r="E616" s="3" t="inlineStr">
        <is>
          <t>Inox</t>
        </is>
      </c>
      <c r="F616" s="3" t="inlineStr">
        <is>
          <t>Cutlery Tray</t>
        </is>
      </c>
      <c r="H616" s="3" t="inlineStr">
        <is>
          <t>Finish</t>
        </is>
      </c>
      <c r="I616" s="3" t="inlineStr">
        <is>
          <t>PVC</t>
        </is>
      </c>
      <c r="J616" s="3" t="inlineStr">
        <is>
          <t>Dimensions</t>
        </is>
      </c>
      <c r="K616" s="3" t="inlineStr">
        <is>
          <t>830 mm X 475 mm X 50 mm</t>
        </is>
      </c>
      <c r="M616" s="3" t="inlineStr">
        <is>
          <t>900 mm</t>
        </is>
      </c>
      <c r="Q616" s="3" t="inlineStr">
        <is>
          <t>Manufacturer's Warranty</t>
        </is>
      </c>
      <c r="R616" s="3" t="inlineStr">
        <is>
          <t>E1.02.103</t>
        </is>
      </c>
      <c r="Y616" s="3" t="inlineStr">
        <is>
          <t>INOX_KS_CUTLERY_PVC</t>
        </is>
      </c>
      <c r="Z616" s="3" t="n">
        <v>39249090</v>
      </c>
      <c r="AE616" s="3" t="n">
        <v>1269</v>
      </c>
      <c r="AF616" s="4" t="n">
        <v>0.5</v>
      </c>
      <c r="AG616" s="3">
        <f>ROUND(AE616-(AE616*AF616),2)</f>
        <v/>
      </c>
      <c r="AH616" s="4" t="n">
        <v>0.18</v>
      </c>
      <c r="AI616" s="3">
        <f>ROUND(AG616+(AG616*AH616),2)</f>
        <v/>
      </c>
      <c r="AJ616" s="4" t="n">
        <v>0.2</v>
      </c>
      <c r="AK616" s="3">
        <f>ROUND(AI616*AJ616,2)</f>
        <v/>
      </c>
      <c r="AL616" s="3">
        <f>AI616+AK616</f>
        <v/>
      </c>
      <c r="AM616" s="3">
        <f>AE616-AL616</f>
        <v/>
      </c>
      <c r="AN616" s="4">
        <f>AM616/AE616</f>
        <v/>
      </c>
      <c r="AO616" s="3" t="inlineStr">
        <is>
          <t>60 mins</t>
        </is>
      </c>
      <c r="AQ616" s="3" t="inlineStr">
        <is>
          <t>Weight</t>
        </is>
      </c>
      <c r="AS616" s="3" t="inlineStr">
        <is>
          <t>A cutlery tray is a segmented kitchen drawer organizer designed to neatly store, separate, and protect silverware, knives, and cooking utensils.</t>
        </is>
      </c>
      <c r="AT616" s="3" t="inlineStr">
        <is>
          <t>60 mins</t>
        </is>
      </c>
    </row>
    <row r="617" ht="15.75" customHeight="1">
      <c r="A617" s="3" t="inlineStr">
        <is>
          <t>PROD_0144</t>
        </is>
      </c>
      <c r="B617" s="3" t="inlineStr">
        <is>
          <t>VAR_4</t>
        </is>
      </c>
      <c r="C617" s="3" t="inlineStr">
        <is>
          <t>Modular Hardware</t>
        </is>
      </c>
      <c r="D617" s="3" t="inlineStr">
        <is>
          <t>Kitchen Accessories</t>
        </is>
      </c>
      <c r="E617" s="3" t="inlineStr">
        <is>
          <t>Inox</t>
        </is>
      </c>
      <c r="F617" s="3" t="inlineStr">
        <is>
          <t>Cutlery Tray</t>
        </is>
      </c>
      <c r="H617" s="3" t="inlineStr">
        <is>
          <t>Finish</t>
        </is>
      </c>
      <c r="I617" s="3" t="inlineStr">
        <is>
          <t>Wooden</t>
        </is>
      </c>
      <c r="J617" s="3" t="inlineStr">
        <is>
          <t>Width</t>
        </is>
      </c>
      <c r="K617" s="3" t="inlineStr">
        <is>
          <t>500 mm</t>
        </is>
      </c>
      <c r="M617" s="3" t="inlineStr">
        <is>
          <t>400-600  mm</t>
        </is>
      </c>
      <c r="Q617" s="3" t="inlineStr">
        <is>
          <t>Manufacturer's Warranty</t>
        </is>
      </c>
      <c r="R617" s="3" t="inlineStr">
        <is>
          <t>J12.02.101</t>
        </is>
      </c>
      <c r="Y617" s="3" t="inlineStr">
        <is>
          <t>INOX_KS_CUTLERY_WOODEN</t>
        </is>
      </c>
      <c r="Z617" s="3" t="n">
        <v>44190020</v>
      </c>
      <c r="AE617" s="3" t="n">
        <v>6399</v>
      </c>
      <c r="AF617" s="4" t="n">
        <v>0.5</v>
      </c>
      <c r="AG617" s="3">
        <f>ROUND(AE617-(AE617*AF617),2)</f>
        <v/>
      </c>
      <c r="AH617" s="4" t="n">
        <v>0.18</v>
      </c>
      <c r="AI617" s="3">
        <f>ROUND(AG617+(AG617*AH617),2)</f>
        <v/>
      </c>
      <c r="AJ617" s="4" t="n">
        <v>0.2</v>
      </c>
      <c r="AK617" s="3">
        <f>ROUND(AI617*AJ617,2)</f>
        <v/>
      </c>
      <c r="AL617" s="3">
        <f>AI617+AK617</f>
        <v/>
      </c>
      <c r="AM617" s="3">
        <f>AE617-AL617</f>
        <v/>
      </c>
      <c r="AN617" s="4">
        <f>AM617/AE617</f>
        <v/>
      </c>
      <c r="AO617" s="3" t="inlineStr">
        <is>
          <t>60 mins</t>
        </is>
      </c>
      <c r="AQ617" s="3" t="inlineStr">
        <is>
          <t>Weight</t>
        </is>
      </c>
      <c r="AS617" s="3" t="inlineStr">
        <is>
          <t>A cutlery tray is a segmented kitchen drawer organizer designed to neatly store, separate, and protect silverware, knives, and cooking utensils.</t>
        </is>
      </c>
      <c r="AT617" s="3" t="inlineStr">
        <is>
          <t>60 mins</t>
        </is>
      </c>
    </row>
    <row r="618" ht="15.75" customHeight="1">
      <c r="A618" s="3" t="inlineStr">
        <is>
          <t>PROD_0144</t>
        </is>
      </c>
      <c r="B618" s="3" t="inlineStr">
        <is>
          <t>VAR_5</t>
        </is>
      </c>
      <c r="C618" s="3" t="inlineStr">
        <is>
          <t>Modular Hardware</t>
        </is>
      </c>
      <c r="D618" s="3" t="inlineStr">
        <is>
          <t>Kitchen Accessories</t>
        </is>
      </c>
      <c r="E618" s="3" t="inlineStr">
        <is>
          <t>Inox</t>
        </is>
      </c>
      <c r="F618" s="3" t="inlineStr">
        <is>
          <t>Cutlery Tray</t>
        </is>
      </c>
      <c r="H618" s="3" t="inlineStr">
        <is>
          <t>Finish</t>
        </is>
      </c>
      <c r="I618" s="3" t="inlineStr">
        <is>
          <t>Wooden</t>
        </is>
      </c>
      <c r="J618" s="3" t="inlineStr">
        <is>
          <t>Width</t>
        </is>
      </c>
      <c r="K618" s="3" t="inlineStr">
        <is>
          <t>500 mm</t>
        </is>
      </c>
      <c r="M618" s="3" t="inlineStr">
        <is>
          <t>800-1200 mm</t>
        </is>
      </c>
      <c r="Q618" s="3" t="inlineStr">
        <is>
          <t>Manufacturer's Warranty</t>
        </is>
      </c>
      <c r="R618" s="3" t="inlineStr">
        <is>
          <t>J12.01.102</t>
        </is>
      </c>
      <c r="Y618" s="3" t="inlineStr">
        <is>
          <t>INOX_KS_CUTLERY_WOODEN</t>
        </is>
      </c>
      <c r="Z618" s="3" t="n">
        <v>44190020</v>
      </c>
      <c r="AE618" s="3" t="n">
        <v>9999</v>
      </c>
      <c r="AF618" s="4" t="n">
        <v>0.5</v>
      </c>
      <c r="AG618" s="3">
        <f>ROUND(AE618-(AE618*AF618),2)</f>
        <v/>
      </c>
      <c r="AH618" s="4" t="n">
        <v>0.18</v>
      </c>
      <c r="AI618" s="3">
        <f>ROUND(AG618+(AG618*AH618),2)</f>
        <v/>
      </c>
      <c r="AJ618" s="4" t="n">
        <v>0.2</v>
      </c>
      <c r="AK618" s="3">
        <f>ROUND(AI618*AJ618,2)</f>
        <v/>
      </c>
      <c r="AL618" s="3">
        <f>AI618+AK618</f>
        <v/>
      </c>
      <c r="AM618" s="3">
        <f>AE618-AL618</f>
        <v/>
      </c>
      <c r="AN618" s="4">
        <f>AM618/AE618</f>
        <v/>
      </c>
      <c r="AO618" s="3" t="inlineStr">
        <is>
          <t>60 mins</t>
        </is>
      </c>
      <c r="AQ618" s="3" t="inlineStr">
        <is>
          <t>Weight</t>
        </is>
      </c>
      <c r="AS618" s="3" t="inlineStr">
        <is>
          <t>A cutlery tray is a segmented kitchen drawer organizer designed to neatly store, separate, and protect silverware, knives, and cooking utensils.</t>
        </is>
      </c>
      <c r="AT618" s="3" t="inlineStr">
        <is>
          <t>60 mins</t>
        </is>
      </c>
    </row>
    <row r="619" ht="15.75" customHeight="1">
      <c r="A619" s="3" t="inlineStr">
        <is>
          <t>PROD_0145</t>
        </is>
      </c>
      <c r="B619" s="3" t="inlineStr">
        <is>
          <t>VAR_1</t>
        </is>
      </c>
      <c r="C619" s="3" t="inlineStr">
        <is>
          <t>Modular Hardware</t>
        </is>
      </c>
      <c r="D619" s="3" t="inlineStr">
        <is>
          <t>Kitchen Accessories</t>
        </is>
      </c>
      <c r="E619" s="3" t="inlineStr">
        <is>
          <t>Inox</t>
        </is>
      </c>
      <c r="F619" s="3" t="inlineStr">
        <is>
          <t>Dish Rack</t>
        </is>
      </c>
      <c r="H619" s="3" t="inlineStr">
        <is>
          <t>Finish</t>
        </is>
      </c>
      <c r="I619" s="3" t="inlineStr">
        <is>
          <t>Stainless Steel</t>
        </is>
      </c>
      <c r="J619" s="3" t="inlineStr">
        <is>
          <t>Width</t>
        </is>
      </c>
      <c r="K619" s="3" t="inlineStr">
        <is>
          <t>500 mm</t>
        </is>
      </c>
      <c r="M619" s="3" t="inlineStr">
        <is>
          <t>600 mm</t>
        </is>
      </c>
      <c r="Q619" s="3" t="inlineStr">
        <is>
          <t>Manufacturer's Warranty</t>
        </is>
      </c>
      <c r="R619" s="3" t="inlineStr">
        <is>
          <t>F2.01.101</t>
        </is>
      </c>
      <c r="Y619" s="3" t="inlineStr">
        <is>
          <t>INOX_KS_DISHRACK</t>
        </is>
      </c>
      <c r="Z619" s="3" t="n">
        <v>73239390</v>
      </c>
      <c r="AE619" s="3" t="n">
        <v>1999</v>
      </c>
      <c r="AF619" s="4" t="n">
        <v>0.5</v>
      </c>
      <c r="AG619" s="3">
        <f>ROUND(AE619-(AE619*AF619),2)</f>
        <v/>
      </c>
      <c r="AH619" s="4" t="n">
        <v>0.18</v>
      </c>
      <c r="AI619" s="3">
        <f>ROUND(AG619+(AG619*AH619),2)</f>
        <v/>
      </c>
      <c r="AJ619" s="4" t="n">
        <v>0.2</v>
      </c>
      <c r="AK619" s="3">
        <f>ROUND(AI619*AJ619,2)</f>
        <v/>
      </c>
      <c r="AL619" s="3">
        <f>AI619+AK619</f>
        <v/>
      </c>
      <c r="AM619" s="3">
        <f>AE619-AL619</f>
        <v/>
      </c>
      <c r="AN619" s="4">
        <f>AM619/AE619</f>
        <v/>
      </c>
      <c r="AO619" s="3" t="inlineStr">
        <is>
          <t>60 mins</t>
        </is>
      </c>
      <c r="AQ619" s="3" t="inlineStr">
        <is>
          <t>Weight</t>
        </is>
      </c>
      <c r="AS619" s="3" t="inlineStr">
        <is>
          <t>A dish rack is an essential, often multi-tiered, kitchen organizer made of metal, plastic, or wood, designed to air-dry washed dishes, plates, bowls, and cutlery</t>
        </is>
      </c>
      <c r="AT619" s="3" t="inlineStr">
        <is>
          <t>60 mins</t>
        </is>
      </c>
    </row>
    <row r="620" ht="15.75" customHeight="1">
      <c r="A620" s="3" t="inlineStr">
        <is>
          <t>PROD_0145</t>
        </is>
      </c>
      <c r="B620" s="3" t="inlineStr">
        <is>
          <t>VAR_2</t>
        </is>
      </c>
      <c r="C620" s="3" t="inlineStr">
        <is>
          <t>Modular Hardware</t>
        </is>
      </c>
      <c r="D620" s="3" t="inlineStr">
        <is>
          <t>Kitchen Accessories</t>
        </is>
      </c>
      <c r="E620" s="3" t="inlineStr">
        <is>
          <t>Inox</t>
        </is>
      </c>
      <c r="F620" s="3" t="inlineStr">
        <is>
          <t>Dish Rack</t>
        </is>
      </c>
      <c r="H620" s="3" t="inlineStr">
        <is>
          <t>Finish</t>
        </is>
      </c>
      <c r="I620" s="3" t="inlineStr">
        <is>
          <t>Stainless Steel</t>
        </is>
      </c>
      <c r="J620" s="3" t="inlineStr">
        <is>
          <t>Width</t>
        </is>
      </c>
      <c r="K620" s="3" t="inlineStr">
        <is>
          <t>500 mm</t>
        </is>
      </c>
      <c r="M620" s="3" t="inlineStr">
        <is>
          <t>800 mm</t>
        </is>
      </c>
      <c r="Q620" s="3" t="inlineStr">
        <is>
          <t>Manufacturer's Warranty</t>
        </is>
      </c>
      <c r="R620" s="3" t="inlineStr">
        <is>
          <t>F2.01.102</t>
        </is>
      </c>
      <c r="Y620" s="3" t="inlineStr">
        <is>
          <t>INOX_KS_DISHRACK</t>
        </is>
      </c>
      <c r="Z620" s="3" t="n">
        <v>73239390</v>
      </c>
      <c r="AE620" s="3" t="n">
        <v>2679</v>
      </c>
      <c r="AF620" s="4" t="n">
        <v>0.5</v>
      </c>
      <c r="AG620" s="3">
        <f>ROUND(AE620-(AE620*AF620),2)</f>
        <v/>
      </c>
      <c r="AH620" s="4" t="n">
        <v>0.18</v>
      </c>
      <c r="AI620" s="3">
        <f>ROUND(AG620+(AG620*AH620),2)</f>
        <v/>
      </c>
      <c r="AJ620" s="4" t="n">
        <v>0.2</v>
      </c>
      <c r="AK620" s="3">
        <f>ROUND(AI620*AJ620,2)</f>
        <v/>
      </c>
      <c r="AL620" s="3">
        <f>AI620+AK620</f>
        <v/>
      </c>
      <c r="AM620" s="3">
        <f>AE620-AL620</f>
        <v/>
      </c>
      <c r="AN620" s="4">
        <f>AM620/AE620</f>
        <v/>
      </c>
      <c r="AO620" s="3" t="inlineStr">
        <is>
          <t>60 mins</t>
        </is>
      </c>
      <c r="AQ620" s="3" t="inlineStr">
        <is>
          <t>Weight</t>
        </is>
      </c>
      <c r="AS620" s="3" t="inlineStr">
        <is>
          <t>A dish rack is an essential, often multi-tiered, kitchen organizer made of metal, plastic, or wood, designed to air-dry washed dishes, plates, bowls, and cutlery</t>
        </is>
      </c>
      <c r="AT620" s="3" t="inlineStr">
        <is>
          <t>60 mins</t>
        </is>
      </c>
    </row>
    <row r="621" ht="15.75" customHeight="1">
      <c r="A621" s="3" t="inlineStr">
        <is>
          <t>PROD_0145</t>
        </is>
      </c>
      <c r="B621" s="3" t="inlineStr">
        <is>
          <t>VAR_3</t>
        </is>
      </c>
      <c r="C621" s="3" t="inlineStr">
        <is>
          <t>Modular Hardware</t>
        </is>
      </c>
      <c r="D621" s="3" t="inlineStr">
        <is>
          <t>Kitchen Accessories</t>
        </is>
      </c>
      <c r="E621" s="3" t="inlineStr">
        <is>
          <t>Inox</t>
        </is>
      </c>
      <c r="F621" s="3" t="inlineStr">
        <is>
          <t>Dish Rack</t>
        </is>
      </c>
      <c r="H621" s="3" t="inlineStr">
        <is>
          <t>Finish</t>
        </is>
      </c>
      <c r="I621" s="3" t="inlineStr">
        <is>
          <t>Stainless Steel</t>
        </is>
      </c>
      <c r="J621" s="3" t="inlineStr">
        <is>
          <t>Width</t>
        </is>
      </c>
      <c r="K621" s="3" t="inlineStr">
        <is>
          <t>500 mm</t>
        </is>
      </c>
      <c r="M621" s="3" t="inlineStr">
        <is>
          <t>900 mm</t>
        </is>
      </c>
      <c r="Q621" s="3" t="inlineStr">
        <is>
          <t>Manufacturer's Warranty</t>
        </is>
      </c>
      <c r="R621" s="3" t="inlineStr">
        <is>
          <t>F2.01.103</t>
        </is>
      </c>
      <c r="Y621" s="3" t="inlineStr">
        <is>
          <t>INOX_KS_DISHRACK</t>
        </is>
      </c>
      <c r="Z621" s="3" t="n">
        <v>73239390</v>
      </c>
      <c r="AE621" s="3" t="n">
        <v>2979</v>
      </c>
      <c r="AF621" s="4" t="n">
        <v>0.5</v>
      </c>
      <c r="AG621" s="3">
        <f>ROUND(AE621-(AE621*AF621),2)</f>
        <v/>
      </c>
      <c r="AH621" s="4" t="n">
        <v>0.18</v>
      </c>
      <c r="AI621" s="3">
        <f>ROUND(AG621+(AG621*AH621),2)</f>
        <v/>
      </c>
      <c r="AJ621" s="4" t="n">
        <v>0.2</v>
      </c>
      <c r="AK621" s="3">
        <f>ROUND(AI621*AJ621,2)</f>
        <v/>
      </c>
      <c r="AL621" s="3">
        <f>AI621+AK621</f>
        <v/>
      </c>
      <c r="AM621" s="3">
        <f>AE621-AL621</f>
        <v/>
      </c>
      <c r="AN621" s="4">
        <f>AM621/AE621</f>
        <v/>
      </c>
      <c r="AO621" s="3" t="inlineStr">
        <is>
          <t>60 mins</t>
        </is>
      </c>
      <c r="AQ621" s="3" t="inlineStr">
        <is>
          <t>Weight</t>
        </is>
      </c>
      <c r="AS621" s="3" t="inlineStr">
        <is>
          <t>A dish rack is an essential, often multi-tiered, kitchen organizer made of metal, plastic, or wood, designed to air-dry washed dishes, plates, bowls, and cutlery</t>
        </is>
      </c>
      <c r="AT621" s="3" t="inlineStr">
        <is>
          <t>60 mins</t>
        </is>
      </c>
    </row>
    <row r="622" ht="15.75" customHeight="1">
      <c r="A622" s="3" t="inlineStr">
        <is>
          <t>PROD_0146</t>
        </is>
      </c>
      <c r="B622" s="3" t="inlineStr">
        <is>
          <t>VAR_1</t>
        </is>
      </c>
      <c r="C622" s="3" t="inlineStr">
        <is>
          <t>Modular Hardware</t>
        </is>
      </c>
      <c r="D622" s="3" t="inlineStr">
        <is>
          <t>Kitchen Accessories</t>
        </is>
      </c>
      <c r="E622" s="3" t="inlineStr">
        <is>
          <t>Imported</t>
        </is>
      </c>
      <c r="F622" s="3" t="inlineStr">
        <is>
          <t>S Corner Unit</t>
        </is>
      </c>
      <c r="H622" s="3" t="inlineStr">
        <is>
          <t>Side</t>
        </is>
      </c>
      <c r="I622" s="3" t="inlineStr">
        <is>
          <t>Left</t>
        </is>
      </c>
      <c r="J622" s="3" t="inlineStr">
        <is>
          <t>Width</t>
        </is>
      </c>
      <c r="K622" s="3" t="inlineStr">
        <is>
          <t>817 mm X 400 mm X 730 mm</t>
        </is>
      </c>
      <c r="L622" s="3" t="inlineStr">
        <is>
          <t>Door Size</t>
        </is>
      </c>
      <c r="M622" s="3" t="inlineStr">
        <is>
          <t>1000 mm</t>
        </is>
      </c>
      <c r="O622" s="3" t="inlineStr">
        <is>
          <t>448 mm</t>
        </is>
      </c>
      <c r="Q622" s="3" t="inlineStr">
        <is>
          <t>Manufacturer's Warranty</t>
        </is>
      </c>
      <c r="Y622" s="3" t="inlineStr">
        <is>
          <t>GEN_KS_SCORNER_RIGHT</t>
        </is>
      </c>
      <c r="Z622" s="3" t="n">
        <v>73241000</v>
      </c>
      <c r="AE622" s="3" t="n">
        <v>15390</v>
      </c>
      <c r="AF622" s="4" t="n">
        <v>0.5</v>
      </c>
      <c r="AG622" s="3">
        <f>ROUND(AE622-(AE622*AF622),2)</f>
        <v/>
      </c>
      <c r="AH622" s="4" t="n">
        <v>0.18</v>
      </c>
      <c r="AI622" s="3">
        <f>ROUND(AG622+(AG622*AH622),2)</f>
        <v/>
      </c>
      <c r="AJ622" s="4" t="n">
        <v>0.2</v>
      </c>
      <c r="AK622" s="3">
        <f>ROUND(AI622*AJ622,2)</f>
        <v/>
      </c>
      <c r="AL622" s="3">
        <f>AI622+AK622</f>
        <v/>
      </c>
      <c r="AM622" s="3">
        <f>AE622-AL622</f>
        <v/>
      </c>
      <c r="AN622" s="4">
        <f>AM622/AE622</f>
        <v/>
      </c>
      <c r="AO622" s="3" t="inlineStr">
        <is>
          <t>60 mins</t>
        </is>
      </c>
      <c r="AQ622" s="3" t="inlineStr">
        <is>
          <t>Weight</t>
        </is>
      </c>
      <c r="AS622" s="3" t="inlineStr">
        <is>
          <t>An S-corner unit is a premium, pull-out storage solution for modular kitchens, featuring two or more kidney-shaped shelves that swing completely out of a blind corner cabinet</t>
        </is>
      </c>
      <c r="AT622" s="3" t="inlineStr">
        <is>
          <t>3 hrs</t>
        </is>
      </c>
    </row>
    <row r="623" ht="15.75" customHeight="1">
      <c r="A623" s="3" t="inlineStr">
        <is>
          <t>PROD_0146</t>
        </is>
      </c>
      <c r="B623" s="3" t="inlineStr">
        <is>
          <t>VAR_2</t>
        </is>
      </c>
      <c r="C623" s="3" t="inlineStr">
        <is>
          <t>Modular Hardware</t>
        </is>
      </c>
      <c r="D623" s="3" t="inlineStr">
        <is>
          <t>Kitchen Accessories</t>
        </is>
      </c>
      <c r="E623" s="3" t="inlineStr">
        <is>
          <t>Imported</t>
        </is>
      </c>
      <c r="F623" s="3" t="inlineStr">
        <is>
          <t>S Corner Unit</t>
        </is>
      </c>
      <c r="H623" s="3" t="inlineStr">
        <is>
          <t>Side</t>
        </is>
      </c>
      <c r="I623" s="3" t="inlineStr">
        <is>
          <t>Right</t>
        </is>
      </c>
      <c r="J623" s="3" t="inlineStr">
        <is>
          <t>Width</t>
        </is>
      </c>
      <c r="K623" s="3" t="inlineStr">
        <is>
          <t>817 mm X 400 mm X 730 mm</t>
        </is>
      </c>
      <c r="L623" s="3" t="inlineStr">
        <is>
          <t>Door Size</t>
        </is>
      </c>
      <c r="M623" s="3" t="inlineStr">
        <is>
          <t>1000 mm</t>
        </is>
      </c>
      <c r="O623" s="3" t="inlineStr">
        <is>
          <t>448 mm</t>
        </is>
      </c>
      <c r="Q623" s="3" t="inlineStr">
        <is>
          <t>Manufacturer's Warranty</t>
        </is>
      </c>
      <c r="Y623" s="3" t="inlineStr">
        <is>
          <t xml:space="preserve">GEN_KS_SCORNER_LEFT </t>
        </is>
      </c>
      <c r="Z623" s="3" t="n">
        <v>73241000</v>
      </c>
      <c r="AE623" s="3" t="n">
        <v>15390</v>
      </c>
      <c r="AF623" s="4" t="n">
        <v>0.5</v>
      </c>
      <c r="AG623" s="3">
        <f>ROUND(AE623-(AE623*AF623),2)</f>
        <v/>
      </c>
      <c r="AH623" s="4" t="n">
        <v>0.18</v>
      </c>
      <c r="AI623" s="3">
        <f>ROUND(AG623+(AG623*AH623),2)</f>
        <v/>
      </c>
      <c r="AJ623" s="4" t="n">
        <v>0.2</v>
      </c>
      <c r="AK623" s="3">
        <f>ROUND(AI623*AJ623,2)</f>
        <v/>
      </c>
      <c r="AL623" s="3">
        <f>AI623+AK623</f>
        <v/>
      </c>
      <c r="AM623" s="3">
        <f>AE623-AL623</f>
        <v/>
      </c>
      <c r="AN623" s="4">
        <f>AM623/AE623</f>
        <v/>
      </c>
      <c r="AO623" s="3" t="inlineStr">
        <is>
          <t>60 mins</t>
        </is>
      </c>
      <c r="AQ623" s="3" t="inlineStr">
        <is>
          <t>Weight</t>
        </is>
      </c>
      <c r="AS623" s="3" t="inlineStr">
        <is>
          <t>An S-corner unit is a premium, pull-out storage solution for modular kitchens, featuring two or more kidney-shaped shelves that swing completely out of a blind corner cabinet</t>
        </is>
      </c>
      <c r="AT623" s="3" t="inlineStr">
        <is>
          <t>3 hrs</t>
        </is>
      </c>
    </row>
    <row r="624" ht="15.75" customHeight="1">
      <c r="A624" s="3" t="inlineStr">
        <is>
          <t>PROD_0147</t>
        </is>
      </c>
      <c r="B624" s="3" t="inlineStr">
        <is>
          <t>VAR_1</t>
        </is>
      </c>
      <c r="C624" s="3" t="inlineStr">
        <is>
          <t>Modular Hardware</t>
        </is>
      </c>
      <c r="D624" s="3" t="inlineStr">
        <is>
          <t>Kitchen Accessories</t>
        </is>
      </c>
      <c r="E624" s="3" t="inlineStr">
        <is>
          <t>Imported</t>
        </is>
      </c>
      <c r="F624" s="3" t="inlineStr">
        <is>
          <t xml:space="preserve"> Pantry Unit</t>
        </is>
      </c>
      <c r="H624" s="3" t="inlineStr">
        <is>
          <t>Finish</t>
        </is>
      </c>
      <c r="I624" s="3" t="inlineStr">
        <is>
          <t>Stainless Steel</t>
        </is>
      </c>
      <c r="J624" s="3" t="inlineStr">
        <is>
          <t>Height</t>
        </is>
      </c>
      <c r="K624" s="3" t="inlineStr">
        <is>
          <t>1250 - 1650 mm</t>
        </is>
      </c>
      <c r="L624" s="3" t="inlineStr">
        <is>
          <t>Width</t>
        </is>
      </c>
      <c r="M624" s="3" t="inlineStr">
        <is>
          <t>450 mm</t>
        </is>
      </c>
      <c r="N624" s="3" t="inlineStr">
        <is>
          <t>Basket</t>
        </is>
      </c>
      <c r="O624" s="3" t="n">
        <v>8</v>
      </c>
      <c r="Q624" s="3" t="inlineStr">
        <is>
          <t>Manufacturer's Warranty</t>
        </is>
      </c>
      <c r="Y624" s="3" t="inlineStr">
        <is>
          <t xml:space="preserve">GEN_KS_PANTRY _UNIT_450MM_8B </t>
        </is>
      </c>
      <c r="Z624" s="3" t="n">
        <v>73241000</v>
      </c>
      <c r="AE624" s="3" t="n">
        <v>14200</v>
      </c>
      <c r="AF624" s="4" t="n">
        <v>0.5</v>
      </c>
      <c r="AG624" s="3">
        <f>ROUND(AE624-(AE624*AF624),2)</f>
        <v/>
      </c>
      <c r="AH624" s="4" t="n">
        <v>0.18</v>
      </c>
      <c r="AI624" s="3">
        <f>ROUND(AG624+(AG624*AH624),2)</f>
        <v/>
      </c>
      <c r="AJ624" s="4" t="n">
        <v>0.2</v>
      </c>
      <c r="AK624" s="3">
        <f>ROUND(AI624*AJ624,2)</f>
        <v/>
      </c>
      <c r="AL624" s="3">
        <f>AI624+AK624</f>
        <v/>
      </c>
      <c r="AM624" s="3">
        <f>AE624-AL624</f>
        <v/>
      </c>
      <c r="AN624" s="4">
        <f>AM624/AE624</f>
        <v/>
      </c>
      <c r="AO624" s="3" t="inlineStr">
        <is>
          <t>60 mins</t>
        </is>
      </c>
      <c r="AQ624" s="3" t="inlineStr">
        <is>
          <t>Weight</t>
        </is>
      </c>
      <c r="AS624" s="3" t="inlineStr">
        <is>
          <t>A kitchen pantry unit is a specialized, high-capacity storage cabinet—ranging from tall pull-out racks to walk-in closets—designed to organize dry goods, canned items, spices, and small appliances</t>
        </is>
      </c>
      <c r="AT624" s="3" t="inlineStr">
        <is>
          <t>3 hrs</t>
        </is>
      </c>
    </row>
    <row r="625" ht="15.75" customHeight="1">
      <c r="A625" s="3" t="inlineStr">
        <is>
          <t>PROD_0147</t>
        </is>
      </c>
      <c r="B625" s="3" t="inlineStr">
        <is>
          <t>VAR_2</t>
        </is>
      </c>
      <c r="C625" s="3" t="inlineStr">
        <is>
          <t>Modular Hardware</t>
        </is>
      </c>
      <c r="D625" s="3" t="inlineStr">
        <is>
          <t>Kitchen Accessories</t>
        </is>
      </c>
      <c r="E625" s="3" t="inlineStr">
        <is>
          <t>Imported</t>
        </is>
      </c>
      <c r="F625" s="3" t="inlineStr">
        <is>
          <t xml:space="preserve"> Pantry Unit</t>
        </is>
      </c>
      <c r="H625" s="3" t="inlineStr">
        <is>
          <t>Finish</t>
        </is>
      </c>
      <c r="I625" s="3" t="inlineStr">
        <is>
          <t>Stainless Steel</t>
        </is>
      </c>
      <c r="J625" s="3" t="inlineStr">
        <is>
          <t>Height</t>
        </is>
      </c>
      <c r="K625" s="3" t="inlineStr">
        <is>
          <t>1250 - 1650 mm</t>
        </is>
      </c>
      <c r="L625" s="3" t="inlineStr">
        <is>
          <t>Width</t>
        </is>
      </c>
      <c r="M625" s="3" t="inlineStr">
        <is>
          <t>600 mm</t>
        </is>
      </c>
      <c r="N625" s="3" t="inlineStr">
        <is>
          <t>Basket</t>
        </is>
      </c>
      <c r="O625" s="3" t="n">
        <v>12</v>
      </c>
      <c r="Q625" s="3" t="inlineStr">
        <is>
          <t>Manufacturer's Warranty</t>
        </is>
      </c>
      <c r="Y625" s="3" t="inlineStr">
        <is>
          <t>GEN_KS_PANTRY _UNIT_450MM_12B</t>
        </is>
      </c>
      <c r="Z625" s="3" t="n">
        <v>73241000</v>
      </c>
      <c r="AE625" s="3" t="n">
        <v>19598</v>
      </c>
      <c r="AF625" s="4" t="n">
        <v>0.5</v>
      </c>
      <c r="AG625" s="3">
        <f>ROUND(AE625-(AE625*AF625),2)</f>
        <v/>
      </c>
      <c r="AH625" s="4" t="n">
        <v>0.18</v>
      </c>
      <c r="AI625" s="3">
        <f>ROUND(AG625+(AG625*AH625),2)</f>
        <v/>
      </c>
      <c r="AJ625" s="4" t="n">
        <v>0.2</v>
      </c>
      <c r="AK625" s="3">
        <f>ROUND(AI625*AJ625,2)</f>
        <v/>
      </c>
      <c r="AL625" s="3">
        <f>AI625+AK625</f>
        <v/>
      </c>
      <c r="AM625" s="3">
        <f>AE625-AL625</f>
        <v/>
      </c>
      <c r="AN625" s="4">
        <f>AM625/AE625</f>
        <v/>
      </c>
      <c r="AO625" s="3" t="inlineStr">
        <is>
          <t>60 mins</t>
        </is>
      </c>
      <c r="AQ625" s="3" t="inlineStr">
        <is>
          <t>Weight</t>
        </is>
      </c>
      <c r="AS625" s="3" t="inlineStr">
        <is>
          <t>A kitchen pantry unit is a specialized, high-capacity storage cabinet—ranging from tall pull-out racks to walk-in closets—designed to organize dry goods, canned items, spices, and small appliances</t>
        </is>
      </c>
      <c r="AT625" s="3" t="inlineStr">
        <is>
          <t>3 hrs</t>
        </is>
      </c>
    </row>
    <row r="626" ht="15.75" customHeight="1">
      <c r="A626" s="3" t="inlineStr">
        <is>
          <t>PROD_0147</t>
        </is>
      </c>
      <c r="B626" s="3" t="inlineStr">
        <is>
          <t>VAR_3</t>
        </is>
      </c>
      <c r="C626" s="3" t="inlineStr">
        <is>
          <t>Modular Hardware</t>
        </is>
      </c>
      <c r="D626" s="3" t="inlineStr">
        <is>
          <t>Kitchen Accessories</t>
        </is>
      </c>
      <c r="E626" s="3" t="inlineStr">
        <is>
          <t>Imported</t>
        </is>
      </c>
      <c r="F626" s="3" t="inlineStr">
        <is>
          <t xml:space="preserve"> Pantry Unit</t>
        </is>
      </c>
      <c r="H626" s="3" t="inlineStr">
        <is>
          <t>Finish</t>
        </is>
      </c>
      <c r="I626" s="3" t="inlineStr">
        <is>
          <t>Glass</t>
        </is>
      </c>
      <c r="J626" s="3" t="inlineStr">
        <is>
          <t>Height</t>
        </is>
      </c>
      <c r="K626" s="3" t="inlineStr">
        <is>
          <t>1250 - 1650 mm</t>
        </is>
      </c>
      <c r="L626" s="3" t="inlineStr">
        <is>
          <t>Width</t>
        </is>
      </c>
      <c r="M626" s="3" t="inlineStr">
        <is>
          <t>450 mm</t>
        </is>
      </c>
      <c r="N626" s="3" t="inlineStr">
        <is>
          <t>Basket</t>
        </is>
      </c>
      <c r="O626" s="3" t="n">
        <v>8</v>
      </c>
      <c r="Q626" s="3" t="inlineStr">
        <is>
          <t>Manufacturer's Warranty</t>
        </is>
      </c>
      <c r="Y626" s="3" t="inlineStr">
        <is>
          <t>GEN_KS_GLASS_PANTRY _UNIT_450MM_8B</t>
        </is>
      </c>
      <c r="Z626" s="3" t="n">
        <v>73241000</v>
      </c>
      <c r="AE626" s="3" t="n">
        <v>16300</v>
      </c>
      <c r="AF626" s="4" t="n">
        <v>0.5</v>
      </c>
      <c r="AG626" s="3">
        <f>ROUND(AE626-(AE626*AF626),2)</f>
        <v/>
      </c>
      <c r="AH626" s="4" t="n">
        <v>0.18</v>
      </c>
      <c r="AI626" s="3">
        <f>ROUND(AG626+(AG626*AH626),2)</f>
        <v/>
      </c>
      <c r="AJ626" s="4" t="n">
        <v>0.2</v>
      </c>
      <c r="AK626" s="3">
        <f>ROUND(AI626*AJ626,2)</f>
        <v/>
      </c>
      <c r="AL626" s="3">
        <f>AI626+AK626</f>
        <v/>
      </c>
      <c r="AM626" s="3">
        <f>AE626-AL626</f>
        <v/>
      </c>
      <c r="AN626" s="4">
        <f>AM626/AE626</f>
        <v/>
      </c>
      <c r="AO626" s="3" t="inlineStr">
        <is>
          <t>60 mins</t>
        </is>
      </c>
      <c r="AQ626" s="3" t="inlineStr">
        <is>
          <t>Weight</t>
        </is>
      </c>
      <c r="AS626" s="3" t="inlineStr">
        <is>
          <t>A kitchen pantry unit is a specialized, high-capacity storage cabinet—ranging from tall pull-out racks to walk-in closets—designed to organize dry goods, canned items, spices, and small appliances</t>
        </is>
      </c>
      <c r="AT626" s="3" t="inlineStr">
        <is>
          <t>3 hrs</t>
        </is>
      </c>
    </row>
    <row r="627" ht="15.75" customHeight="1">
      <c r="A627" s="3" t="inlineStr">
        <is>
          <t>PROD_0147</t>
        </is>
      </c>
      <c r="B627" s="3" t="inlineStr">
        <is>
          <t>VAR_4</t>
        </is>
      </c>
      <c r="C627" s="3" t="inlineStr">
        <is>
          <t>Modular Hardware</t>
        </is>
      </c>
      <c r="D627" s="3" t="inlineStr">
        <is>
          <t>Kitchen Accessories</t>
        </is>
      </c>
      <c r="E627" s="3" t="inlineStr">
        <is>
          <t>Imported</t>
        </is>
      </c>
      <c r="F627" s="3" t="inlineStr">
        <is>
          <t xml:space="preserve"> Pantry Unit</t>
        </is>
      </c>
      <c r="H627" s="3" t="inlineStr">
        <is>
          <t>Finish</t>
        </is>
      </c>
      <c r="I627" s="3" t="inlineStr">
        <is>
          <t>Glass</t>
        </is>
      </c>
      <c r="J627" s="3" t="inlineStr">
        <is>
          <t>Height</t>
        </is>
      </c>
      <c r="K627" s="3" t="inlineStr">
        <is>
          <t>1250 - 1650 mm</t>
        </is>
      </c>
      <c r="L627" s="3" t="inlineStr">
        <is>
          <t>Width</t>
        </is>
      </c>
      <c r="M627" s="3" t="inlineStr">
        <is>
          <t>600 mm</t>
        </is>
      </c>
      <c r="N627" s="3" t="inlineStr">
        <is>
          <t>Basket</t>
        </is>
      </c>
      <c r="O627" s="3" t="n">
        <v>12</v>
      </c>
      <c r="Q627" s="3" t="inlineStr">
        <is>
          <t>Manufacturer's Warranty</t>
        </is>
      </c>
      <c r="Y627" s="3" t="inlineStr">
        <is>
          <t>GEN_KS_GLASS_PANTRY _UNIT_450MM_12B</t>
        </is>
      </c>
      <c r="Z627" s="3" t="n">
        <v>73241000</v>
      </c>
      <c r="AE627" s="3" t="n">
        <v>21045</v>
      </c>
      <c r="AF627" s="4" t="n">
        <v>0.5</v>
      </c>
      <c r="AG627" s="3">
        <f>ROUND(AE627-(AE627*AF627),2)</f>
        <v/>
      </c>
      <c r="AH627" s="4" t="n">
        <v>0.18</v>
      </c>
      <c r="AI627" s="3">
        <f>ROUND(AG627+(AG627*AH627),2)</f>
        <v/>
      </c>
      <c r="AJ627" s="4" t="n">
        <v>0.2</v>
      </c>
      <c r="AK627" s="3">
        <f>ROUND(AI627*AJ627,2)</f>
        <v/>
      </c>
      <c r="AL627" s="3">
        <f>AI627+AK627</f>
        <v/>
      </c>
      <c r="AM627" s="3">
        <f>AE627-AL627</f>
        <v/>
      </c>
      <c r="AN627" s="4">
        <f>AM627/AE627</f>
        <v/>
      </c>
      <c r="AO627" s="3" t="inlineStr">
        <is>
          <t>60 mins</t>
        </is>
      </c>
      <c r="AQ627" s="3" t="inlineStr">
        <is>
          <t>Weight</t>
        </is>
      </c>
      <c r="AS627" s="3" t="inlineStr">
        <is>
          <t>A kitchen pantry unit is a specialized, high-capacity storage cabinet—ranging from tall pull-out racks to walk-in closets—designed to organize dry goods, canned items, spices, and small appliances</t>
        </is>
      </c>
      <c r="AT627" s="3" t="inlineStr">
        <is>
          <t>3 hrs</t>
        </is>
      </c>
    </row>
    <row r="628" ht="15.75" customHeight="1">
      <c r="A628" s="3" t="inlineStr">
        <is>
          <t>PROD_0148</t>
        </is>
      </c>
      <c r="B628" s="3" t="inlineStr">
        <is>
          <t>VAR_1</t>
        </is>
      </c>
      <c r="C628" s="3" t="inlineStr">
        <is>
          <t>Modular Hardware</t>
        </is>
      </c>
      <c r="D628" s="3" t="inlineStr">
        <is>
          <t>Kitchen Accessories</t>
        </is>
      </c>
      <c r="E628" s="3" t="inlineStr">
        <is>
          <t>Imported</t>
        </is>
      </c>
      <c r="F628" s="3" t="inlineStr">
        <is>
          <t>Vegetable Basket</t>
        </is>
      </c>
      <c r="H628" s="3" t="inlineStr">
        <is>
          <t>Finish</t>
        </is>
      </c>
      <c r="I628" s="3" t="inlineStr">
        <is>
          <t>Wicker</t>
        </is>
      </c>
      <c r="J628" s="3" t="inlineStr">
        <is>
          <t>Dimensions</t>
        </is>
      </c>
      <c r="K628" s="3" t="inlineStr">
        <is>
          <t>414 mm X 500 mm X 200 mm</t>
        </is>
      </c>
      <c r="L628" s="3" t="inlineStr">
        <is>
          <t>Width</t>
        </is>
      </c>
      <c r="M628" s="3" t="inlineStr">
        <is>
          <t>450 mm</t>
        </is>
      </c>
      <c r="Q628" s="3" t="inlineStr">
        <is>
          <t>Manufacturer's Warranty</t>
        </is>
      </c>
      <c r="Y628" s="3" t="inlineStr">
        <is>
          <t>IMP_KS_VEGGEBASKET</t>
        </is>
      </c>
      <c r="Z628" s="3" t="n">
        <v>46021911</v>
      </c>
      <c r="AE628" s="3" t="n">
        <v>2900</v>
      </c>
      <c r="AF628" s="4" t="n">
        <v>0.6</v>
      </c>
      <c r="AG628" s="3">
        <f>ROUND(AE628-(AE628*AF628),2)</f>
        <v/>
      </c>
      <c r="AH628" s="4" t="n">
        <v>0.18</v>
      </c>
      <c r="AI628" s="3">
        <f>ROUND(AG628+(AG628*AH628),2)</f>
        <v/>
      </c>
      <c r="AJ628" s="4" t="n">
        <v>0.2</v>
      </c>
      <c r="AK628" s="3">
        <f>ROUND(AI628*AJ628,2)</f>
        <v/>
      </c>
      <c r="AL628" s="3">
        <f>AI628+AK628</f>
        <v/>
      </c>
      <c r="AM628" s="3">
        <f>AE628-AL628</f>
        <v/>
      </c>
      <c r="AN628" s="4">
        <f>AM628/AE628</f>
        <v/>
      </c>
      <c r="AO628" s="3" t="inlineStr">
        <is>
          <t>60 mins</t>
        </is>
      </c>
      <c r="AQ628" s="3" t="inlineStr">
        <is>
          <t>Weight</t>
        </is>
      </c>
      <c r="AT628" s="3" t="inlineStr">
        <is>
          <t>3 hrs</t>
        </is>
      </c>
    </row>
    <row r="629" ht="15.75" customHeight="1">
      <c r="A629" s="3" t="inlineStr">
        <is>
          <t>PROD_0148</t>
        </is>
      </c>
      <c r="B629" s="3" t="inlineStr">
        <is>
          <t>VAR_2</t>
        </is>
      </c>
      <c r="C629" s="3" t="inlineStr">
        <is>
          <t>Modular Hardware</t>
        </is>
      </c>
      <c r="D629" s="3" t="inlineStr">
        <is>
          <t>Kitchen Accessories</t>
        </is>
      </c>
      <c r="E629" s="3" t="inlineStr">
        <is>
          <t>Imported</t>
        </is>
      </c>
      <c r="F629" s="3" t="inlineStr">
        <is>
          <t>Vegetable Basket</t>
        </is>
      </c>
      <c r="H629" s="3" t="inlineStr">
        <is>
          <t>Finish</t>
        </is>
      </c>
      <c r="I629" s="3" t="inlineStr">
        <is>
          <t>Wicker</t>
        </is>
      </c>
      <c r="J629" s="3" t="inlineStr">
        <is>
          <t>Dimensions</t>
        </is>
      </c>
      <c r="K629" s="3" t="inlineStr">
        <is>
          <t>564 mm X 500 mm X 200 mm</t>
        </is>
      </c>
      <c r="L629" s="3" t="inlineStr">
        <is>
          <t>Width</t>
        </is>
      </c>
      <c r="M629" s="3" t="inlineStr">
        <is>
          <t>600 mm</t>
        </is>
      </c>
      <c r="Q629" s="3" t="inlineStr">
        <is>
          <t>Manufacturer's Warranty</t>
        </is>
      </c>
      <c r="Y629" s="3" t="inlineStr">
        <is>
          <t>IMP_KS_VEGGEBASKET</t>
        </is>
      </c>
      <c r="Z629" s="3" t="n">
        <v>73241000</v>
      </c>
      <c r="AE629" s="3" t="n">
        <v>3300</v>
      </c>
      <c r="AF629" s="4" t="n">
        <v>0.6</v>
      </c>
      <c r="AG629" s="3">
        <f>ROUND(AE629-(AE629*AF629),2)</f>
        <v/>
      </c>
      <c r="AH629" s="4" t="n">
        <v>0.18</v>
      </c>
      <c r="AI629" s="3">
        <f>ROUND(AG629+(AG629*AH629),2)</f>
        <v/>
      </c>
      <c r="AJ629" s="4" t="n">
        <v>0.2</v>
      </c>
      <c r="AK629" s="3">
        <f>ROUND(AI629*AJ629,2)</f>
        <v/>
      </c>
      <c r="AL629" s="3">
        <f>AI629+AK629</f>
        <v/>
      </c>
      <c r="AM629" s="3">
        <f>AE629-AL629</f>
        <v/>
      </c>
      <c r="AN629" s="4">
        <f>AM629/AE629</f>
        <v/>
      </c>
      <c r="AO629" s="3" t="inlineStr">
        <is>
          <t>60 mins</t>
        </is>
      </c>
      <c r="AQ629" s="3" t="inlineStr">
        <is>
          <t>Weight</t>
        </is>
      </c>
      <c r="AT629" s="3" t="inlineStr">
        <is>
          <t>3 hrs</t>
        </is>
      </c>
    </row>
    <row r="630" ht="15.75" customHeight="1">
      <c r="A630" s="3" t="inlineStr">
        <is>
          <t>PROD_0149</t>
        </is>
      </c>
      <c r="B630" s="3" t="inlineStr">
        <is>
          <t>VAR_1</t>
        </is>
      </c>
      <c r="C630" s="3" t="inlineStr">
        <is>
          <t>Modular Hardware</t>
        </is>
      </c>
      <c r="D630" s="3" t="inlineStr">
        <is>
          <t>Kitchen Accessories</t>
        </is>
      </c>
      <c r="E630" s="3" t="inlineStr">
        <is>
          <t>Imported</t>
        </is>
      </c>
      <c r="F630" s="3" t="inlineStr">
        <is>
          <t>Bottle Pullout</t>
        </is>
      </c>
      <c r="H630" s="3" t="inlineStr">
        <is>
          <t>Finish</t>
        </is>
      </c>
      <c r="I630" s="3" t="inlineStr">
        <is>
          <t>Satin</t>
        </is>
      </c>
      <c r="J630" s="3" t="inlineStr">
        <is>
          <t>Dimensions</t>
        </is>
      </c>
      <c r="K630" s="3" t="inlineStr">
        <is>
          <t>500 mm X 480 mm X 110 mm</t>
        </is>
      </c>
      <c r="L630" s="3" t="inlineStr">
        <is>
          <t>Shelves</t>
        </is>
      </c>
      <c r="M630" s="3" t="inlineStr">
        <is>
          <t>150 mm</t>
        </is>
      </c>
      <c r="O630" s="3" t="n">
        <v>2</v>
      </c>
      <c r="Q630" s="3" t="inlineStr">
        <is>
          <t>Manufacturer's Warranty</t>
        </is>
      </c>
      <c r="Y630" s="3" t="inlineStr">
        <is>
          <t>IMP_KS_BPO_2 SHELVES 2</t>
        </is>
      </c>
      <c r="Z630" s="3" t="n">
        <v>73241000</v>
      </c>
      <c r="AE630" s="3" t="n">
        <v>4000</v>
      </c>
      <c r="AF630" s="4" t="n">
        <v>0.6</v>
      </c>
      <c r="AG630" s="3">
        <f>ROUND(AE630-(AE630*AF630),2)</f>
        <v/>
      </c>
      <c r="AH630" s="4" t="n">
        <v>0.18</v>
      </c>
      <c r="AI630" s="3">
        <f>ROUND(AG630+(AG630*AH630),2)</f>
        <v/>
      </c>
      <c r="AJ630" s="4" t="n">
        <v>0.2</v>
      </c>
      <c r="AK630" s="3">
        <f>ROUND(AI630*AJ630,2)</f>
        <v/>
      </c>
      <c r="AL630" s="3">
        <f>AI630+AK630</f>
        <v/>
      </c>
      <c r="AM630" s="3">
        <f>AE630-AL630</f>
        <v/>
      </c>
      <c r="AN630" s="4">
        <f>AM630/AE630</f>
        <v/>
      </c>
      <c r="AO630" s="3" t="inlineStr">
        <is>
          <t>60 mins</t>
        </is>
      </c>
      <c r="AQ630" s="3" t="inlineStr">
        <is>
          <t>Weight</t>
        </is>
      </c>
      <c r="AS630" s="3" t="inlineStr">
        <is>
          <t>A kitchen bottle pull-out is a narrow, vertical, sliding storage unit designed to fit between cabinets for organizing spices, oils, sauces, and jars</t>
        </is>
      </c>
      <c r="AT630" s="3" t="inlineStr">
        <is>
          <t>3 hrs</t>
        </is>
      </c>
    </row>
    <row r="631" ht="15.75" customHeight="1">
      <c r="A631" s="3" t="inlineStr">
        <is>
          <t>PROD_0149</t>
        </is>
      </c>
      <c r="B631" s="3" t="inlineStr">
        <is>
          <t>VAR_2</t>
        </is>
      </c>
      <c r="C631" s="3" t="inlineStr">
        <is>
          <t>Modular Hardware</t>
        </is>
      </c>
      <c r="D631" s="3" t="inlineStr">
        <is>
          <t>Kitchen Accessories</t>
        </is>
      </c>
      <c r="E631" s="3" t="inlineStr">
        <is>
          <t>Imported</t>
        </is>
      </c>
      <c r="F631" s="3" t="inlineStr">
        <is>
          <t>Bottle Pullout</t>
        </is>
      </c>
      <c r="H631" s="3" t="inlineStr">
        <is>
          <t>Finish</t>
        </is>
      </c>
      <c r="I631" s="3" t="inlineStr">
        <is>
          <t>Satin</t>
        </is>
      </c>
      <c r="J631" s="3" t="inlineStr">
        <is>
          <t>Dimensions</t>
        </is>
      </c>
      <c r="K631" s="3" t="inlineStr">
        <is>
          <t>500 mm X 480 mm X 154 mm</t>
        </is>
      </c>
      <c r="L631" s="3" t="inlineStr">
        <is>
          <t>Shelves</t>
        </is>
      </c>
      <c r="M631" s="3" t="inlineStr">
        <is>
          <t>200 mm</t>
        </is>
      </c>
      <c r="O631" s="3" t="n">
        <v>3</v>
      </c>
      <c r="Q631" s="3" t="inlineStr">
        <is>
          <t>Manufacturer's Warranty</t>
        </is>
      </c>
      <c r="Y631" s="3" t="inlineStr">
        <is>
          <t>GEN_KS_STAIN_BPO_3S</t>
        </is>
      </c>
      <c r="Z631" s="3" t="n">
        <v>73241000</v>
      </c>
      <c r="AE631" s="3" t="n">
        <v>4400</v>
      </c>
      <c r="AF631" s="4" t="n">
        <v>0.6</v>
      </c>
      <c r="AG631" s="3">
        <f>ROUND(AE631-(AE631*AF631),2)</f>
        <v/>
      </c>
      <c r="AH631" s="4" t="n">
        <v>0.18</v>
      </c>
      <c r="AI631" s="3">
        <f>ROUND(AG631+(AG631*AH631),2)</f>
        <v/>
      </c>
      <c r="AJ631" s="4" t="n">
        <v>0.2</v>
      </c>
      <c r="AK631" s="3">
        <f>ROUND(AI631*AJ631,2)</f>
        <v/>
      </c>
      <c r="AL631" s="3">
        <f>AI631+AK631</f>
        <v/>
      </c>
      <c r="AM631" s="3">
        <f>AE631-AL631</f>
        <v/>
      </c>
      <c r="AN631" s="4">
        <f>AM631/AE631</f>
        <v/>
      </c>
      <c r="AO631" s="3" t="inlineStr">
        <is>
          <t>60 mins</t>
        </is>
      </c>
      <c r="AQ631" s="3" t="inlineStr">
        <is>
          <t>Weight</t>
        </is>
      </c>
      <c r="AS631" s="3" t="inlineStr">
        <is>
          <t>A kitchen bottle pull-out is a narrow, vertical, sliding storage unit designed to fit between cabinets for organizing spices, oils, sauces, and jars</t>
        </is>
      </c>
      <c r="AT631" s="3" t="inlineStr">
        <is>
          <t>3 hrs</t>
        </is>
      </c>
    </row>
    <row r="632" ht="15.75" customHeight="1">
      <c r="A632" s="3" t="inlineStr">
        <is>
          <t>PROD_0149</t>
        </is>
      </c>
      <c r="B632" s="3" t="inlineStr">
        <is>
          <t>VAR_3</t>
        </is>
      </c>
      <c r="C632" s="3" t="inlineStr">
        <is>
          <t>Modular Hardware</t>
        </is>
      </c>
      <c r="D632" s="3" t="inlineStr">
        <is>
          <t>Kitchen Accessories</t>
        </is>
      </c>
      <c r="E632" s="3" t="inlineStr">
        <is>
          <t>Imported</t>
        </is>
      </c>
      <c r="F632" s="3" t="inlineStr">
        <is>
          <t>Bottle Pullout</t>
        </is>
      </c>
      <c r="H632" s="3" t="inlineStr">
        <is>
          <t>Finish</t>
        </is>
      </c>
      <c r="I632" s="3" t="inlineStr">
        <is>
          <t>Satin</t>
        </is>
      </c>
      <c r="J632" s="3" t="inlineStr">
        <is>
          <t>Dimensions</t>
        </is>
      </c>
      <c r="K632" s="3" t="inlineStr">
        <is>
          <t>500 mm X 480 mm X 250 mm</t>
        </is>
      </c>
      <c r="L632" s="3" t="inlineStr">
        <is>
          <t>Shelves</t>
        </is>
      </c>
      <c r="M632" s="3" t="inlineStr">
        <is>
          <t>300 mm</t>
        </is>
      </c>
      <c r="O632" s="3" t="n">
        <v>3</v>
      </c>
      <c r="Q632" s="3" t="inlineStr">
        <is>
          <t>Manufacturer's Warranty</t>
        </is>
      </c>
      <c r="Y632" s="3" t="inlineStr">
        <is>
          <t>GEN_KS_STAIN_BPO_3S</t>
        </is>
      </c>
      <c r="Z632" s="3" t="n">
        <v>73241000</v>
      </c>
      <c r="AE632" s="3" t="n">
        <v>5600</v>
      </c>
      <c r="AF632" s="4" t="n">
        <v>0.6</v>
      </c>
      <c r="AG632" s="3">
        <f>ROUND(AE632-(AE632*AF632),2)</f>
        <v/>
      </c>
      <c r="AH632" s="4" t="n">
        <v>0.18</v>
      </c>
      <c r="AI632" s="3">
        <f>ROUND(AG632+(AG632*AH632),2)</f>
        <v/>
      </c>
      <c r="AJ632" s="4" t="n">
        <v>0.2</v>
      </c>
      <c r="AK632" s="3">
        <f>ROUND(AI632*AJ632,2)</f>
        <v/>
      </c>
      <c r="AL632" s="3">
        <f>AI632+AK632</f>
        <v/>
      </c>
      <c r="AM632" s="3">
        <f>AE632-AL632</f>
        <v/>
      </c>
      <c r="AN632" s="4">
        <f>AM632/AE632</f>
        <v/>
      </c>
      <c r="AO632" s="3" t="inlineStr">
        <is>
          <t>60 mins</t>
        </is>
      </c>
      <c r="AQ632" s="3" t="inlineStr">
        <is>
          <t>Weight</t>
        </is>
      </c>
      <c r="AS632" s="3" t="inlineStr">
        <is>
          <t>A kitchen bottle pull-out is a narrow, vertical, sliding storage unit designed to fit between cabinets for organizing spices, oils, sauces, and jars</t>
        </is>
      </c>
      <c r="AT632" s="3" t="inlineStr">
        <is>
          <t>3 hrs</t>
        </is>
      </c>
    </row>
    <row r="633" ht="15.75" customHeight="1">
      <c r="A633" s="3" t="inlineStr">
        <is>
          <t>PROD_0149</t>
        </is>
      </c>
      <c r="B633" s="3" t="inlineStr">
        <is>
          <t>VAR_4</t>
        </is>
      </c>
      <c r="C633" s="3" t="inlineStr">
        <is>
          <t>Modular Hardware</t>
        </is>
      </c>
      <c r="D633" s="3" t="inlineStr">
        <is>
          <t>Kitchen Accessories</t>
        </is>
      </c>
      <c r="E633" s="3" t="inlineStr">
        <is>
          <t>Imported</t>
        </is>
      </c>
      <c r="F633" s="3" t="inlineStr">
        <is>
          <t>Bottle Pullout</t>
        </is>
      </c>
      <c r="H633" s="3" t="inlineStr">
        <is>
          <t>Finish</t>
        </is>
      </c>
      <c r="I633" s="3" t="inlineStr">
        <is>
          <t>Glass</t>
        </is>
      </c>
      <c r="J633" s="3" t="inlineStr">
        <is>
          <t>Dimensions</t>
        </is>
      </c>
      <c r="K633" s="3" t="inlineStr">
        <is>
          <t>500 mm X 560 mm X 150 mm</t>
        </is>
      </c>
      <c r="L633" s="3" t="inlineStr">
        <is>
          <t>Shelves</t>
        </is>
      </c>
      <c r="M633" s="3" t="inlineStr">
        <is>
          <t>200 mm</t>
        </is>
      </c>
      <c r="O633" s="3" t="n">
        <v>3</v>
      </c>
      <c r="Q633" s="3" t="inlineStr">
        <is>
          <t>Manufacturer's Warranty</t>
        </is>
      </c>
      <c r="Y633" s="3" t="inlineStr">
        <is>
          <t>GEN_GLASS_KS_BPO_GLASS</t>
        </is>
      </c>
      <c r="Z633" s="3" t="n">
        <v>73241000</v>
      </c>
      <c r="AE633" s="3" t="n">
        <v>4800</v>
      </c>
      <c r="AF633" s="4" t="n">
        <v>0.6</v>
      </c>
      <c r="AG633" s="3">
        <f>ROUND(AE633-(AE633*AF633),2)</f>
        <v/>
      </c>
      <c r="AH633" s="4" t="n">
        <v>0.18</v>
      </c>
      <c r="AI633" s="3">
        <f>ROUND(AG633+(AG633*AH633),2)</f>
        <v/>
      </c>
      <c r="AJ633" s="4" t="n">
        <v>0.2</v>
      </c>
      <c r="AK633" s="3">
        <f>ROUND(AI633*AJ633,2)</f>
        <v/>
      </c>
      <c r="AL633" s="3">
        <f>AI633+AK633</f>
        <v/>
      </c>
      <c r="AM633" s="3">
        <f>AE633-AL633</f>
        <v/>
      </c>
      <c r="AN633" s="4">
        <f>AM633/AE633</f>
        <v/>
      </c>
      <c r="AO633" s="3" t="inlineStr">
        <is>
          <t>60 mins</t>
        </is>
      </c>
      <c r="AQ633" s="3" t="inlineStr">
        <is>
          <t>Weight</t>
        </is>
      </c>
      <c r="AS633" s="3" t="inlineStr">
        <is>
          <t>A kitchen bottle pull-out is a narrow, vertical, sliding storage unit designed to fit between cabinets for organizing spices, oils, sauces, and jars</t>
        </is>
      </c>
      <c r="AT633" s="3" t="inlineStr">
        <is>
          <t>3 hrs</t>
        </is>
      </c>
    </row>
    <row r="634" ht="15.75" customHeight="1">
      <c r="A634" s="3" t="inlineStr">
        <is>
          <t>PROD_0150</t>
        </is>
      </c>
      <c r="B634" s="3" t="inlineStr">
        <is>
          <t>VAR_1</t>
        </is>
      </c>
      <c r="C634" s="3" t="inlineStr">
        <is>
          <t>Modular Hardware</t>
        </is>
      </c>
      <c r="D634" s="3" t="inlineStr">
        <is>
          <t>Kitchen Accessories</t>
        </is>
      </c>
      <c r="E634" s="3" t="inlineStr">
        <is>
          <t>Imported</t>
        </is>
      </c>
      <c r="F634" s="3" t="inlineStr">
        <is>
          <t>Magic Corner</t>
        </is>
      </c>
      <c r="H634" s="3" t="inlineStr">
        <is>
          <t>Finish</t>
        </is>
      </c>
      <c r="I634" s="3" t="inlineStr">
        <is>
          <t>Stainless Steel</t>
        </is>
      </c>
      <c r="J634" s="3" t="inlineStr">
        <is>
          <t>Width</t>
        </is>
      </c>
      <c r="K634" s="3" t="inlineStr">
        <is>
          <t>450 mm</t>
        </is>
      </c>
      <c r="L634" s="3" t="inlineStr">
        <is>
          <t>Box Size</t>
        </is>
      </c>
      <c r="M634" s="3" t="inlineStr">
        <is>
          <t>1100 mm</t>
        </is>
      </c>
      <c r="N634" s="3" t="inlineStr">
        <is>
          <t>Side</t>
        </is>
      </c>
      <c r="O634" s="3" t="inlineStr">
        <is>
          <t>Left</t>
        </is>
      </c>
      <c r="Q634" s="3" t="inlineStr">
        <is>
          <t>Manufacturer's Warranty</t>
        </is>
      </c>
      <c r="Y634" s="3" t="inlineStr">
        <is>
          <t>IMP_KS_CW_ Magic Corner 2.jpg</t>
        </is>
      </c>
      <c r="Z634" s="3" t="n">
        <v>73241000</v>
      </c>
      <c r="AE634" s="3" t="n">
        <v>15000</v>
      </c>
      <c r="AF634" s="4" t="n">
        <v>0.6</v>
      </c>
      <c r="AG634" s="3">
        <f>ROUND(AE634-(AE634*AF634),2)</f>
        <v/>
      </c>
      <c r="AH634" s="4" t="n">
        <v>0.18</v>
      </c>
      <c r="AI634" s="3">
        <f>ROUND(AG634+(AG634*AH634),2)</f>
        <v/>
      </c>
      <c r="AJ634" s="4" t="n">
        <v>0.2</v>
      </c>
      <c r="AK634" s="3">
        <f>ROUND(AI634*AJ634,2)</f>
        <v/>
      </c>
      <c r="AL634" s="3">
        <f>AI634+AK634</f>
        <v/>
      </c>
      <c r="AM634" s="3">
        <f>AE634-AL634</f>
        <v/>
      </c>
      <c r="AN634" s="4">
        <f>AM634/AE634</f>
        <v/>
      </c>
      <c r="AO634" s="3" t="inlineStr">
        <is>
          <t>60 mins</t>
        </is>
      </c>
      <c r="AQ634" s="3" t="inlineStr">
        <is>
          <t>Weight</t>
        </is>
      </c>
      <c r="AT634" s="3" t="inlineStr">
        <is>
          <t>3 hrs</t>
        </is>
      </c>
    </row>
    <row r="635" ht="15.75" customHeight="1">
      <c r="A635" s="3" t="inlineStr">
        <is>
          <t>PROD_0150</t>
        </is>
      </c>
      <c r="B635" s="3" t="inlineStr">
        <is>
          <t>VAR_2</t>
        </is>
      </c>
      <c r="C635" s="3" t="inlineStr">
        <is>
          <t>Modular Hardware</t>
        </is>
      </c>
      <c r="D635" s="3" t="inlineStr">
        <is>
          <t>Kitchen Accessories</t>
        </is>
      </c>
      <c r="E635" s="3" t="inlineStr">
        <is>
          <t>Imported</t>
        </is>
      </c>
      <c r="F635" s="3" t="inlineStr">
        <is>
          <t>Magic Corner</t>
        </is>
      </c>
      <c r="H635" s="3" t="inlineStr">
        <is>
          <t>Finish</t>
        </is>
      </c>
      <c r="I635" s="3" t="inlineStr">
        <is>
          <t>Stainless Steel</t>
        </is>
      </c>
      <c r="J635" s="3" t="inlineStr">
        <is>
          <t>Width</t>
        </is>
      </c>
      <c r="K635" s="3" t="inlineStr">
        <is>
          <t>450 mm</t>
        </is>
      </c>
      <c r="L635" s="3" t="inlineStr">
        <is>
          <t>Box Size</t>
        </is>
      </c>
      <c r="M635" s="3" t="inlineStr">
        <is>
          <t>1100 mm</t>
        </is>
      </c>
      <c r="N635" s="3" t="inlineStr">
        <is>
          <t>Side</t>
        </is>
      </c>
      <c r="O635" s="3" t="inlineStr">
        <is>
          <t>Right</t>
        </is>
      </c>
      <c r="Q635" s="3" t="inlineStr">
        <is>
          <t>Manufacturer's Warranty</t>
        </is>
      </c>
      <c r="Y635" s="3" t="inlineStr">
        <is>
          <t>IMP_KS_CW_ Magic Corner 2.jpg</t>
        </is>
      </c>
      <c r="Z635" s="3" t="n">
        <v>73241000</v>
      </c>
      <c r="AE635" s="3" t="n">
        <v>17000</v>
      </c>
      <c r="AF635" s="4" t="n">
        <v>0.6</v>
      </c>
      <c r="AG635" s="3">
        <f>ROUND(AE635-(AE635*AF635),2)</f>
        <v/>
      </c>
      <c r="AH635" s="4" t="n">
        <v>0.18</v>
      </c>
      <c r="AI635" s="3">
        <f>ROUND(AG635+(AG635*AH635),2)</f>
        <v/>
      </c>
      <c r="AJ635" s="4" t="n">
        <v>0.2</v>
      </c>
      <c r="AK635" s="3">
        <f>ROUND(AI635*AJ635,2)</f>
        <v/>
      </c>
      <c r="AL635" s="3">
        <f>AI635+AK635</f>
        <v/>
      </c>
      <c r="AM635" s="3">
        <f>AE635-AL635</f>
        <v/>
      </c>
      <c r="AN635" s="4">
        <f>AM635/AE635</f>
        <v/>
      </c>
      <c r="AO635" s="3" t="inlineStr">
        <is>
          <t>60 mins</t>
        </is>
      </c>
      <c r="AQ635" s="3" t="inlineStr">
        <is>
          <t>Weight</t>
        </is>
      </c>
      <c r="AT635" s="3" t="inlineStr">
        <is>
          <t>3 hrs</t>
        </is>
      </c>
    </row>
    <row r="636" ht="15.75" customHeight="1">
      <c r="A636" s="3" t="inlineStr">
        <is>
          <t>PROD_0151</t>
        </is>
      </c>
      <c r="B636" s="3" t="inlineStr">
        <is>
          <t>VAR_1</t>
        </is>
      </c>
      <c r="C636" s="3" t="inlineStr">
        <is>
          <t>Modular Hardware</t>
        </is>
      </c>
      <c r="D636" s="3" t="inlineStr">
        <is>
          <t>Kitchen Accessories</t>
        </is>
      </c>
      <c r="E636" s="3" t="inlineStr">
        <is>
          <t>Imported</t>
        </is>
      </c>
      <c r="F636" s="3" t="inlineStr">
        <is>
          <t>Cutlery Tray</t>
        </is>
      </c>
      <c r="H636" s="3" t="inlineStr">
        <is>
          <t>Finish</t>
        </is>
      </c>
      <c r="I636" s="3" t="inlineStr">
        <is>
          <t>PVC</t>
        </is>
      </c>
      <c r="L636" s="3" t="inlineStr">
        <is>
          <t>Width</t>
        </is>
      </c>
      <c r="M636" s="3" t="inlineStr">
        <is>
          <t>600 mm</t>
        </is>
      </c>
      <c r="Q636" s="3" t="inlineStr">
        <is>
          <t>Manufacturer's Warranty</t>
        </is>
      </c>
      <c r="Y636" s="3" t="inlineStr">
        <is>
          <t>IMP_KS_CUTLERY_PVC</t>
        </is>
      </c>
      <c r="Z636" s="3" t="n">
        <v>39249090</v>
      </c>
      <c r="AE636" s="3" t="n">
        <v>1220</v>
      </c>
      <c r="AF636" s="4" t="n">
        <v>0.6</v>
      </c>
      <c r="AG636" s="3">
        <f>ROUND(AE636-(AE636*AF636),2)</f>
        <v/>
      </c>
      <c r="AH636" s="4" t="n">
        <v>0.18</v>
      </c>
      <c r="AI636" s="3">
        <f>ROUND(AG636+(AG636*AH636),2)</f>
        <v/>
      </c>
      <c r="AJ636" s="4" t="n">
        <v>0.2</v>
      </c>
      <c r="AK636" s="3">
        <f>ROUND(AI636*AJ636,2)</f>
        <v/>
      </c>
      <c r="AL636" s="3">
        <f>AI636+AK636</f>
        <v/>
      </c>
      <c r="AM636" s="3">
        <f>AE636-AL636</f>
        <v/>
      </c>
      <c r="AN636" s="4">
        <f>AM636/AE636</f>
        <v/>
      </c>
      <c r="AO636" s="3" t="inlineStr">
        <is>
          <t>60 mins</t>
        </is>
      </c>
      <c r="AQ636" s="3" t="inlineStr">
        <is>
          <t>Weight</t>
        </is>
      </c>
      <c r="AS636" s="3" t="inlineStr">
        <is>
          <t>A cutlery tray is a segmented drawer organizer, typically made of plastic, wood, or metal, designed to compartmentalize spoons, forks, and knives</t>
        </is>
      </c>
      <c r="AT636" s="3" t="inlineStr">
        <is>
          <t>60 mins</t>
        </is>
      </c>
    </row>
    <row r="637" ht="15.75" customHeight="1">
      <c r="A637" s="3" t="inlineStr">
        <is>
          <t>PROD_0151</t>
        </is>
      </c>
      <c r="B637" s="3" t="inlineStr">
        <is>
          <t>VAR_2</t>
        </is>
      </c>
      <c r="C637" s="3" t="inlineStr">
        <is>
          <t>Modular Hardware</t>
        </is>
      </c>
      <c r="D637" s="3" t="inlineStr">
        <is>
          <t>Kitchen Accessories</t>
        </is>
      </c>
      <c r="E637" s="3" t="inlineStr">
        <is>
          <t>Imported</t>
        </is>
      </c>
      <c r="F637" s="3" t="inlineStr">
        <is>
          <t>Cutlery Tray</t>
        </is>
      </c>
      <c r="H637" s="3" t="inlineStr">
        <is>
          <t>Finish</t>
        </is>
      </c>
      <c r="I637" s="3" t="inlineStr">
        <is>
          <t>PVC</t>
        </is>
      </c>
      <c r="L637" s="3" t="inlineStr">
        <is>
          <t>Width</t>
        </is>
      </c>
      <c r="M637" s="3" t="inlineStr">
        <is>
          <t>700 mm</t>
        </is>
      </c>
      <c r="Q637" s="3" t="inlineStr">
        <is>
          <t>Manufacturer's Warranty</t>
        </is>
      </c>
      <c r="Y637" s="3" t="inlineStr">
        <is>
          <t>IMP_KS_CUTLERY_PVC</t>
        </is>
      </c>
      <c r="Z637" s="3" t="n">
        <v>39249090</v>
      </c>
      <c r="AE637" s="3" t="n">
        <v>1471</v>
      </c>
      <c r="AF637" s="4" t="n">
        <v>0.6</v>
      </c>
      <c r="AG637" s="3">
        <f>ROUND(AE637-(AE637*AF637),2)</f>
        <v/>
      </c>
      <c r="AH637" s="4" t="n">
        <v>0.18</v>
      </c>
      <c r="AI637" s="3">
        <f>ROUND(AG637+(AG637*AH637),2)</f>
        <v/>
      </c>
      <c r="AJ637" s="4" t="n">
        <v>0.2</v>
      </c>
      <c r="AK637" s="3">
        <f>ROUND(AI637*AJ637,2)</f>
        <v/>
      </c>
      <c r="AL637" s="3">
        <f>AI637+AK637</f>
        <v/>
      </c>
      <c r="AM637" s="3">
        <f>AE637-AL637</f>
        <v/>
      </c>
      <c r="AN637" s="4">
        <f>AM637/AE637</f>
        <v/>
      </c>
      <c r="AO637" s="3" t="inlineStr">
        <is>
          <t>60 mins</t>
        </is>
      </c>
      <c r="AQ637" s="3" t="inlineStr">
        <is>
          <t>Weight</t>
        </is>
      </c>
      <c r="AS637" s="3" t="inlineStr">
        <is>
          <t>A cutlery tray is a segmented drawer organizer, typically made of plastic, wood, or metal, designed to compartmentalize spoons, forks, and knives</t>
        </is>
      </c>
      <c r="AT637" s="3" t="inlineStr">
        <is>
          <t>60 mins</t>
        </is>
      </c>
    </row>
    <row r="638" ht="15.75" customHeight="1">
      <c r="A638" s="3" t="inlineStr">
        <is>
          <t>PROD_0151</t>
        </is>
      </c>
      <c r="B638" s="3" t="inlineStr">
        <is>
          <t>VAR_3</t>
        </is>
      </c>
      <c r="C638" s="3" t="inlineStr">
        <is>
          <t>Modular Hardware</t>
        </is>
      </c>
      <c r="D638" s="3" t="inlineStr">
        <is>
          <t>Kitchen Accessories</t>
        </is>
      </c>
      <c r="E638" s="3" t="inlineStr">
        <is>
          <t>Imported</t>
        </is>
      </c>
      <c r="F638" s="3" t="inlineStr">
        <is>
          <t>Cutlery Tray</t>
        </is>
      </c>
      <c r="H638" s="3" t="inlineStr">
        <is>
          <t>Finish</t>
        </is>
      </c>
      <c r="I638" s="3" t="inlineStr">
        <is>
          <t>PVC</t>
        </is>
      </c>
      <c r="L638" s="3" t="inlineStr">
        <is>
          <t>Width</t>
        </is>
      </c>
      <c r="M638" s="3" t="inlineStr">
        <is>
          <t>900 mm</t>
        </is>
      </c>
      <c r="Q638" s="3" t="inlineStr">
        <is>
          <t>Manufacturer's Warranty</t>
        </is>
      </c>
      <c r="Y638" s="3" t="inlineStr">
        <is>
          <t>IMP_KS_CUTLERY_PVC</t>
        </is>
      </c>
      <c r="Z638" s="3" t="n">
        <v>39249090</v>
      </c>
      <c r="AE638" s="3" t="n">
        <v>1964</v>
      </c>
      <c r="AF638" s="4" t="n">
        <v>0.6</v>
      </c>
      <c r="AG638" s="3">
        <f>ROUND(AE638-(AE638*AF638),2)</f>
        <v/>
      </c>
      <c r="AH638" s="4" t="n">
        <v>0.18</v>
      </c>
      <c r="AI638" s="3">
        <f>ROUND(AG638+(AG638*AH638),2)</f>
        <v/>
      </c>
      <c r="AJ638" s="4" t="n">
        <v>0.2</v>
      </c>
      <c r="AK638" s="3">
        <f>ROUND(AI638*AJ638,2)</f>
        <v/>
      </c>
      <c r="AL638" s="3">
        <f>AI638+AK638</f>
        <v/>
      </c>
      <c r="AM638" s="3">
        <f>AE638-AL638</f>
        <v/>
      </c>
      <c r="AN638" s="4">
        <f>AM638/AE638</f>
        <v/>
      </c>
      <c r="AO638" s="3" t="inlineStr">
        <is>
          <t>60 mins</t>
        </is>
      </c>
      <c r="AQ638" s="3" t="inlineStr">
        <is>
          <t>Weight</t>
        </is>
      </c>
      <c r="AS638" s="3" t="inlineStr">
        <is>
          <t>A cutlery tray is a segmented drawer organizer, typically made of plastic, wood, or metal, designed to compartmentalize spoons, forks, and knives</t>
        </is>
      </c>
      <c r="AT638" s="3" t="inlineStr">
        <is>
          <t>60 mins</t>
        </is>
      </c>
    </row>
    <row r="639" ht="15.75" customHeight="1">
      <c r="A639" s="3" t="inlineStr">
        <is>
          <t>PROD_0151</t>
        </is>
      </c>
      <c r="B639" s="3" t="inlineStr">
        <is>
          <t>VAR_4</t>
        </is>
      </c>
      <c r="C639" s="3" t="inlineStr">
        <is>
          <t>Modular Hardware</t>
        </is>
      </c>
      <c r="D639" s="3" t="inlineStr">
        <is>
          <t>Kitchen Accessories</t>
        </is>
      </c>
      <c r="E639" s="3" t="inlineStr">
        <is>
          <t>Imported</t>
        </is>
      </c>
      <c r="F639" s="3" t="inlineStr">
        <is>
          <t>Cutlery Tray</t>
        </is>
      </c>
      <c r="H639" s="3" t="inlineStr">
        <is>
          <t>Finish</t>
        </is>
      </c>
      <c r="I639" s="3" t="inlineStr">
        <is>
          <t>Wooden</t>
        </is>
      </c>
      <c r="J639" s="3" t="inlineStr">
        <is>
          <t>Depth</t>
        </is>
      </c>
      <c r="K639" s="3" t="inlineStr">
        <is>
          <t>500 mm</t>
        </is>
      </c>
      <c r="L639" s="3" t="inlineStr">
        <is>
          <t>Width</t>
        </is>
      </c>
      <c r="M639" s="3" t="inlineStr">
        <is>
          <t>400-600  mm</t>
        </is>
      </c>
      <c r="Q639" s="3" t="inlineStr">
        <is>
          <t>Manufacturer's Warranty</t>
        </is>
      </c>
      <c r="Y639" s="3" t="inlineStr">
        <is>
          <t>IMP_KS_CUTLERY_WOODEN</t>
        </is>
      </c>
      <c r="Z639" s="3" t="n">
        <v>44190020</v>
      </c>
      <c r="AE639" s="3" t="n">
        <v>4999</v>
      </c>
      <c r="AF639" s="4" t="n">
        <v>0.5</v>
      </c>
      <c r="AG639" s="3">
        <f>ROUND(AE639-(AE639*AF639),2)</f>
        <v/>
      </c>
      <c r="AH639" s="4" t="n">
        <v>0.18</v>
      </c>
      <c r="AI639" s="3">
        <f>ROUND(AG639+(AG639*AH639),2)</f>
        <v/>
      </c>
      <c r="AJ639" s="4" t="n">
        <v>0.2</v>
      </c>
      <c r="AK639" s="3">
        <f>ROUND(AI639*AJ639,2)</f>
        <v/>
      </c>
      <c r="AL639" s="3">
        <f>AI639+AK639</f>
        <v/>
      </c>
      <c r="AM639" s="3">
        <f>AE639-AL639</f>
        <v/>
      </c>
      <c r="AN639" s="4">
        <f>AM639/AE639</f>
        <v/>
      </c>
      <c r="AO639" s="3" t="inlineStr">
        <is>
          <t>60 mins</t>
        </is>
      </c>
      <c r="AQ639" s="3" t="inlineStr">
        <is>
          <t>Weight</t>
        </is>
      </c>
      <c r="AS639" s="3" t="inlineStr">
        <is>
          <t>A cutlery tray is a segmented drawer organizer, typically made of plastic, wood, or metal, designed to compartmentalize spoons, forks, and knives</t>
        </is>
      </c>
      <c r="AT639" s="3" t="inlineStr">
        <is>
          <t>60 mins</t>
        </is>
      </c>
    </row>
    <row r="640" ht="15.75" customHeight="1">
      <c r="A640" s="3" t="inlineStr">
        <is>
          <t>PROD_0151</t>
        </is>
      </c>
      <c r="B640" s="3" t="inlineStr">
        <is>
          <t>VAR_5</t>
        </is>
      </c>
      <c r="C640" s="3" t="inlineStr">
        <is>
          <t>Modular Hardware</t>
        </is>
      </c>
      <c r="D640" s="3" t="inlineStr">
        <is>
          <t>Kitchen Accessories</t>
        </is>
      </c>
      <c r="E640" s="3" t="inlineStr">
        <is>
          <t>Imported</t>
        </is>
      </c>
      <c r="F640" s="3" t="inlineStr">
        <is>
          <t>Cutlery Tray</t>
        </is>
      </c>
      <c r="H640" s="3" t="inlineStr">
        <is>
          <t>Finish</t>
        </is>
      </c>
      <c r="I640" s="3" t="inlineStr">
        <is>
          <t>Wooden</t>
        </is>
      </c>
      <c r="J640" s="3" t="inlineStr">
        <is>
          <t>Depth</t>
        </is>
      </c>
      <c r="K640" s="3" t="inlineStr">
        <is>
          <t>500 mm</t>
        </is>
      </c>
      <c r="L640" s="3" t="inlineStr">
        <is>
          <t>Width</t>
        </is>
      </c>
      <c r="M640" s="3" t="inlineStr">
        <is>
          <t>800-1200 mm</t>
        </is>
      </c>
      <c r="Q640" s="3" t="inlineStr">
        <is>
          <t>Manufacturer's Warranty</t>
        </is>
      </c>
      <c r="Y640" s="3" t="inlineStr">
        <is>
          <t>IMP_KS_CUTLERY_WOODEN</t>
        </is>
      </c>
      <c r="Z640" s="3" t="n">
        <v>44190020</v>
      </c>
      <c r="AE640" s="3" t="n">
        <v>5999</v>
      </c>
      <c r="AF640" s="4" t="n">
        <v>0.5</v>
      </c>
      <c r="AG640" s="3">
        <f>ROUND(AE640-(AE640*AF640),2)</f>
        <v/>
      </c>
      <c r="AH640" s="4" t="n">
        <v>0.18</v>
      </c>
      <c r="AI640" s="3">
        <f>ROUND(AG640+(AG640*AH640),2)</f>
        <v/>
      </c>
      <c r="AJ640" s="4" t="n">
        <v>0.2</v>
      </c>
      <c r="AK640" s="3">
        <f>ROUND(AI640*AJ640,2)</f>
        <v/>
      </c>
      <c r="AL640" s="3">
        <f>AI640+AK640</f>
        <v/>
      </c>
      <c r="AM640" s="3">
        <f>AE640-AL640</f>
        <v/>
      </c>
      <c r="AN640" s="4">
        <f>AM640/AE640</f>
        <v/>
      </c>
      <c r="AO640" s="3" t="inlineStr">
        <is>
          <t>60 mins</t>
        </is>
      </c>
      <c r="AQ640" s="3" t="inlineStr">
        <is>
          <t>Weight</t>
        </is>
      </c>
      <c r="AS640" s="3" t="inlineStr">
        <is>
          <t>A cutlery tray is a segmented drawer organizer, typically made of plastic, wood, or metal, designed to compartmentalize spoons, forks, and knives</t>
        </is>
      </c>
      <c r="AT640" s="3" t="inlineStr">
        <is>
          <t>60 mins</t>
        </is>
      </c>
    </row>
    <row r="641" ht="15.75" customHeight="1">
      <c r="A641" s="3" t="inlineStr">
        <is>
          <t>PROD_0152</t>
        </is>
      </c>
      <c r="B641" s="3" t="inlineStr">
        <is>
          <t>VAR_1</t>
        </is>
      </c>
      <c r="C641" s="3" t="inlineStr">
        <is>
          <t>Modular Hardware</t>
        </is>
      </c>
      <c r="D641" s="3" t="inlineStr">
        <is>
          <t>Kitchen Accessories</t>
        </is>
      </c>
      <c r="E641" s="3" t="inlineStr">
        <is>
          <t>Imported</t>
        </is>
      </c>
      <c r="F641" s="3" t="inlineStr">
        <is>
          <t>Dish Rack</t>
        </is>
      </c>
      <c r="H641" s="3" t="inlineStr">
        <is>
          <t>Finish</t>
        </is>
      </c>
      <c r="I641" s="3" t="inlineStr">
        <is>
          <t>Stainless Steel</t>
        </is>
      </c>
      <c r="J641" s="3" t="inlineStr">
        <is>
          <t>Width</t>
        </is>
      </c>
      <c r="L641" s="3" t="inlineStr">
        <is>
          <t>Width</t>
        </is>
      </c>
      <c r="M641" s="3" t="inlineStr">
        <is>
          <t>600 mm</t>
        </is>
      </c>
      <c r="Q641" s="3" t="inlineStr">
        <is>
          <t>Manufacturer's Warranty</t>
        </is>
      </c>
      <c r="Y641" s="3" t="inlineStr">
        <is>
          <t>IMP_KS_DISHRACK 2</t>
        </is>
      </c>
      <c r="Z641" s="3" t="n">
        <v>73239390</v>
      </c>
      <c r="AE641" s="3" t="n">
        <v>2399</v>
      </c>
      <c r="AF641" s="4" t="n">
        <v>0.6</v>
      </c>
      <c r="AG641" s="3">
        <f>ROUND(AE641-(AE641*AF641),2)</f>
        <v/>
      </c>
      <c r="AH641" s="4" t="n">
        <v>0.18</v>
      </c>
      <c r="AI641" s="3">
        <f>ROUND(AG641+(AG641*AH641),2)</f>
        <v/>
      </c>
      <c r="AJ641" s="4" t="n">
        <v>0.2</v>
      </c>
      <c r="AK641" s="3">
        <f>ROUND(AI641*AJ641,2)</f>
        <v/>
      </c>
      <c r="AL641" s="3">
        <f>AI641+AK641</f>
        <v/>
      </c>
      <c r="AM641" s="3">
        <f>AE641-AL641</f>
        <v/>
      </c>
      <c r="AN641" s="4">
        <f>AM641/AE641</f>
        <v/>
      </c>
      <c r="AO641" s="3" t="inlineStr">
        <is>
          <t>60 mins</t>
        </is>
      </c>
      <c r="AQ641" s="3" t="inlineStr">
        <is>
          <t>Weight</t>
        </is>
      </c>
      <c r="AT641" s="3" t="inlineStr">
        <is>
          <t>60 mins</t>
        </is>
      </c>
    </row>
    <row r="642" ht="15.75" customHeight="1">
      <c r="A642" s="3" t="inlineStr">
        <is>
          <t>PROD_0152</t>
        </is>
      </c>
      <c r="B642" s="3" t="inlineStr">
        <is>
          <t>VAR_2</t>
        </is>
      </c>
      <c r="C642" s="3" t="inlineStr">
        <is>
          <t>Modular Hardware</t>
        </is>
      </c>
      <c r="D642" s="3" t="inlineStr">
        <is>
          <t>Kitchen Accessories</t>
        </is>
      </c>
      <c r="E642" s="3" t="inlineStr">
        <is>
          <t>Imported</t>
        </is>
      </c>
      <c r="F642" s="3" t="inlineStr">
        <is>
          <t>Dish Rack</t>
        </is>
      </c>
      <c r="H642" s="3" t="inlineStr">
        <is>
          <t>Finish</t>
        </is>
      </c>
      <c r="I642" s="3" t="inlineStr">
        <is>
          <t>Stainless Steel</t>
        </is>
      </c>
      <c r="J642" s="3" t="inlineStr">
        <is>
          <t>Width</t>
        </is>
      </c>
      <c r="L642" s="3" t="inlineStr">
        <is>
          <t>Width</t>
        </is>
      </c>
      <c r="M642" s="3" t="inlineStr">
        <is>
          <t>700 mm</t>
        </is>
      </c>
      <c r="Q642" s="3" t="inlineStr">
        <is>
          <t>Manufacturer's Warranty</t>
        </is>
      </c>
      <c r="Y642" s="3" t="inlineStr">
        <is>
          <t>IMP_KS_DISHRACK 2</t>
        </is>
      </c>
      <c r="Z642" s="3" t="n">
        <v>73239390</v>
      </c>
      <c r="AE642" s="3" t="n">
        <v>2799</v>
      </c>
      <c r="AF642" s="4" t="n">
        <v>0.6</v>
      </c>
      <c r="AG642" s="3">
        <f>ROUND(AE642-(AE642*AF642),2)</f>
        <v/>
      </c>
      <c r="AH642" s="4" t="n">
        <v>0.18</v>
      </c>
      <c r="AI642" s="3">
        <f>ROUND(AG642+(AG642*AH642),2)</f>
        <v/>
      </c>
      <c r="AJ642" s="4" t="n">
        <v>0.2</v>
      </c>
      <c r="AK642" s="3">
        <f>ROUND(AI642*AJ642,2)</f>
        <v/>
      </c>
      <c r="AL642" s="3">
        <f>AI642+AK642</f>
        <v/>
      </c>
      <c r="AM642" s="3">
        <f>AE642-AL642</f>
        <v/>
      </c>
      <c r="AN642" s="4">
        <f>AM642/AE642</f>
        <v/>
      </c>
      <c r="AO642" s="3" t="inlineStr">
        <is>
          <t>60 mins</t>
        </is>
      </c>
      <c r="AQ642" s="3" t="inlineStr">
        <is>
          <t>Weight</t>
        </is>
      </c>
      <c r="AT642" s="3" t="inlineStr">
        <is>
          <t>60 mins</t>
        </is>
      </c>
    </row>
    <row r="643" ht="15.75" customHeight="1">
      <c r="A643" s="3" t="inlineStr">
        <is>
          <t>PROD_0152</t>
        </is>
      </c>
      <c r="B643" s="3" t="inlineStr">
        <is>
          <t>VAR_3</t>
        </is>
      </c>
      <c r="C643" s="3" t="inlineStr">
        <is>
          <t>Modular Hardware</t>
        </is>
      </c>
      <c r="D643" s="3" t="inlineStr">
        <is>
          <t>Kitchen Accessories</t>
        </is>
      </c>
      <c r="E643" s="3" t="inlineStr">
        <is>
          <t>Imported</t>
        </is>
      </c>
      <c r="F643" s="3" t="inlineStr">
        <is>
          <t>Dish Rack</t>
        </is>
      </c>
      <c r="H643" s="3" t="inlineStr">
        <is>
          <t>Finish</t>
        </is>
      </c>
      <c r="I643" s="3" t="inlineStr">
        <is>
          <t>Stainless Steel</t>
        </is>
      </c>
      <c r="J643" s="3" t="inlineStr">
        <is>
          <t>Width</t>
        </is>
      </c>
      <c r="L643" s="3" t="inlineStr">
        <is>
          <t>Width</t>
        </is>
      </c>
      <c r="M643" s="3" t="inlineStr">
        <is>
          <t>800 mm</t>
        </is>
      </c>
      <c r="Q643" s="3" t="inlineStr">
        <is>
          <t>Manufacturer's Warranty</t>
        </is>
      </c>
      <c r="Y643" s="3" t="inlineStr">
        <is>
          <t>IMP_KS_DISHRACK 2</t>
        </is>
      </c>
      <c r="Z643" s="3" t="n">
        <v>73239390</v>
      </c>
      <c r="AE643" s="3" t="n">
        <v>3199</v>
      </c>
      <c r="AF643" s="4" t="n">
        <v>0.6</v>
      </c>
      <c r="AG643" s="3">
        <f>ROUND(AE643-(AE643*AF643),2)</f>
        <v/>
      </c>
      <c r="AH643" s="4" t="n">
        <v>0.18</v>
      </c>
      <c r="AI643" s="3">
        <f>ROUND(AG643+(AG643*AH643),2)</f>
        <v/>
      </c>
      <c r="AJ643" s="4" t="n">
        <v>0.2</v>
      </c>
      <c r="AK643" s="3">
        <f>ROUND(AI643*AJ643,2)</f>
        <v/>
      </c>
      <c r="AL643" s="3">
        <f>AI643+AK643</f>
        <v/>
      </c>
      <c r="AM643" s="3">
        <f>AE643-AL643</f>
        <v/>
      </c>
      <c r="AN643" s="4">
        <f>AM643/AE643</f>
        <v/>
      </c>
      <c r="AO643" s="3" t="inlineStr">
        <is>
          <t>60 mins</t>
        </is>
      </c>
      <c r="AQ643" s="3" t="inlineStr">
        <is>
          <t>Weight</t>
        </is>
      </c>
      <c r="AT643" s="3" t="inlineStr">
        <is>
          <t>60 mins</t>
        </is>
      </c>
    </row>
    <row r="644" ht="15.75" customHeight="1">
      <c r="A644" s="3" t="inlineStr">
        <is>
          <t>PROD_0152</t>
        </is>
      </c>
      <c r="B644" s="3" t="inlineStr">
        <is>
          <t>VAR_4</t>
        </is>
      </c>
      <c r="C644" s="3" t="inlineStr">
        <is>
          <t>Modular Hardware</t>
        </is>
      </c>
      <c r="D644" s="3" t="inlineStr">
        <is>
          <t>Kitchen Accessories</t>
        </is>
      </c>
      <c r="E644" s="3" t="inlineStr">
        <is>
          <t>Imported</t>
        </is>
      </c>
      <c r="F644" s="3" t="inlineStr">
        <is>
          <t>Dish Rack</t>
        </is>
      </c>
      <c r="H644" s="3" t="inlineStr">
        <is>
          <t>Finish</t>
        </is>
      </c>
      <c r="I644" s="3" t="inlineStr">
        <is>
          <t>Stainless Steel</t>
        </is>
      </c>
      <c r="J644" s="3" t="inlineStr">
        <is>
          <t>Width</t>
        </is>
      </c>
      <c r="L644" s="3" t="inlineStr">
        <is>
          <t>Width</t>
        </is>
      </c>
      <c r="M644" s="3" t="inlineStr">
        <is>
          <t>900 mm</t>
        </is>
      </c>
      <c r="Q644" s="3" t="inlineStr">
        <is>
          <t>Manufacturer's Warranty</t>
        </is>
      </c>
      <c r="Y644" s="3" t="inlineStr">
        <is>
          <t>IMP_KS_DISHRACK 2</t>
        </is>
      </c>
      <c r="Z644" s="3" t="n">
        <v>73239390</v>
      </c>
      <c r="AE644" s="3" t="n">
        <v>3400</v>
      </c>
      <c r="AF644" s="4" t="n">
        <v>0.6</v>
      </c>
      <c r="AG644" s="3">
        <f>ROUND(AE644-(AE644*AF644),2)</f>
        <v/>
      </c>
      <c r="AH644" s="4" t="n">
        <v>0.18</v>
      </c>
      <c r="AI644" s="3">
        <f>ROUND(AG644+(AG644*AH644),2)</f>
        <v/>
      </c>
      <c r="AJ644" s="4" t="n">
        <v>0.2</v>
      </c>
      <c r="AK644" s="3">
        <f>ROUND(AI644*AJ644,2)</f>
        <v/>
      </c>
      <c r="AL644" s="3">
        <f>AI644+AK644</f>
        <v/>
      </c>
      <c r="AM644" s="3">
        <f>AE644-AL644</f>
        <v/>
      </c>
      <c r="AN644" s="4">
        <f>AM644/AE644</f>
        <v/>
      </c>
      <c r="AO644" s="3" t="inlineStr">
        <is>
          <t>60 mins</t>
        </is>
      </c>
      <c r="AQ644" s="3" t="inlineStr">
        <is>
          <t>Weight</t>
        </is>
      </c>
      <c r="AT644" s="3" t="inlineStr">
        <is>
          <t>60 mins</t>
        </is>
      </c>
    </row>
    <row r="645" ht="15.75" customHeight="1">
      <c r="A645" s="3" t="inlineStr">
        <is>
          <t>PROD_0152</t>
        </is>
      </c>
      <c r="B645" s="3" t="inlineStr">
        <is>
          <t>VAR_5</t>
        </is>
      </c>
      <c r="C645" s="3" t="inlineStr">
        <is>
          <t>Modular Hardware</t>
        </is>
      </c>
      <c r="D645" s="3" t="inlineStr">
        <is>
          <t>Kitchen Accessories</t>
        </is>
      </c>
      <c r="E645" s="3" t="inlineStr">
        <is>
          <t>Imported</t>
        </is>
      </c>
      <c r="F645" s="3" t="inlineStr">
        <is>
          <t>Dish Rack</t>
        </is>
      </c>
      <c r="H645" s="3" t="inlineStr">
        <is>
          <t>Finish</t>
        </is>
      </c>
      <c r="I645" s="3" t="inlineStr">
        <is>
          <t>Stainless Steel</t>
        </is>
      </c>
      <c r="J645" s="3" t="inlineStr">
        <is>
          <t>Width</t>
        </is>
      </c>
      <c r="L645" s="3" t="inlineStr">
        <is>
          <t>Width</t>
        </is>
      </c>
      <c r="M645" s="3" t="inlineStr">
        <is>
          <t>1000 mm</t>
        </is>
      </c>
      <c r="Q645" s="3" t="inlineStr">
        <is>
          <t>Manufacturer's Warranty</t>
        </is>
      </c>
      <c r="Y645" s="3" t="inlineStr">
        <is>
          <t>IMP_KS_DISHRACK 2</t>
        </is>
      </c>
      <c r="Z645" s="3" t="n">
        <v>73239390</v>
      </c>
      <c r="AE645" s="3" t="n">
        <v>3899</v>
      </c>
      <c r="AF645" s="4" t="n">
        <v>0.6</v>
      </c>
      <c r="AG645" s="3">
        <f>ROUND(AE645-(AE645*AF645),2)</f>
        <v/>
      </c>
      <c r="AH645" s="4" t="n">
        <v>0.18</v>
      </c>
      <c r="AI645" s="3">
        <f>ROUND(AG645+(AG645*AH645),2)</f>
        <v/>
      </c>
      <c r="AJ645" s="4" t="n">
        <v>0.2</v>
      </c>
      <c r="AK645" s="3">
        <f>ROUND(AI645*AJ645,2)</f>
        <v/>
      </c>
      <c r="AL645" s="3">
        <f>AI645+AK645</f>
        <v/>
      </c>
      <c r="AM645" s="3">
        <f>AE645-AL645</f>
        <v/>
      </c>
      <c r="AN645" s="4">
        <f>AM645/AE645</f>
        <v/>
      </c>
      <c r="AO645" s="3" t="inlineStr">
        <is>
          <t>60 mins</t>
        </is>
      </c>
      <c r="AQ645" s="3" t="inlineStr">
        <is>
          <t>Weight</t>
        </is>
      </c>
      <c r="AT645" s="3" t="inlineStr">
        <is>
          <t>60 mins</t>
        </is>
      </c>
    </row>
    <row r="646" ht="15.75" customHeight="1">
      <c r="A646" s="3" t="inlineStr">
        <is>
          <t>PROD_0153</t>
        </is>
      </c>
      <c r="B646" s="3" t="inlineStr">
        <is>
          <t>VAR_1</t>
        </is>
      </c>
      <c r="C646" s="3" t="inlineStr">
        <is>
          <t>Modular Hardware</t>
        </is>
      </c>
      <c r="D646" s="3" t="inlineStr">
        <is>
          <t>Kitchen Accessories</t>
        </is>
      </c>
      <c r="E646" s="3" t="inlineStr">
        <is>
          <t>Imported</t>
        </is>
      </c>
      <c r="F646" s="3" t="inlineStr">
        <is>
          <t>Rolling Shutter</t>
        </is>
      </c>
      <c r="H646" s="3" t="inlineStr">
        <is>
          <t>Finish</t>
        </is>
      </c>
      <c r="I646" s="3" t="inlineStr">
        <is>
          <t>PVC SS</t>
        </is>
      </c>
      <c r="J646" s="3" t="inlineStr">
        <is>
          <t>Height</t>
        </is>
      </c>
      <c r="K646" s="3" t="inlineStr">
        <is>
          <t>1300 mm</t>
        </is>
      </c>
      <c r="L646" s="3" t="inlineStr">
        <is>
          <t>Width</t>
        </is>
      </c>
      <c r="M646" s="3" t="inlineStr">
        <is>
          <t>450 mm</t>
        </is>
      </c>
      <c r="Q646" s="3" t="inlineStr">
        <is>
          <t>Manufacturer's Warranty</t>
        </is>
      </c>
      <c r="Y646" s="3" t="inlineStr">
        <is>
          <t>EBCO_KS_ROLL_SHUTTER_SL</t>
        </is>
      </c>
      <c r="Z646" s="3" t="n">
        <v>39263090</v>
      </c>
      <c r="AE646" s="3" t="n">
        <v>23399</v>
      </c>
      <c r="AF646" s="4" t="n">
        <v>0.6</v>
      </c>
      <c r="AG646" s="3">
        <f>ROUND(AE646-(AE646*AF646),2)</f>
        <v/>
      </c>
      <c r="AH646" s="4" t="n">
        <v>0.18</v>
      </c>
      <c r="AI646" s="3">
        <f>ROUND(AG646+(AG646*AH646),2)</f>
        <v/>
      </c>
      <c r="AJ646" s="4" t="n">
        <v>0.2</v>
      </c>
      <c r="AK646" s="3">
        <f>ROUND(AI646*AJ646,2)</f>
        <v/>
      </c>
      <c r="AL646" s="3">
        <f>AI646+AK646</f>
        <v/>
      </c>
      <c r="AM646" s="3">
        <f>AE646-AL646</f>
        <v/>
      </c>
      <c r="AN646" s="4">
        <f>AM646/AE646</f>
        <v/>
      </c>
      <c r="AO646" s="3" t="inlineStr">
        <is>
          <t>60 mins</t>
        </is>
      </c>
      <c r="AQ646" s="3" t="inlineStr">
        <is>
          <t>Weight</t>
        </is>
      </c>
      <c r="AT646" s="3" t="inlineStr">
        <is>
          <t>3 hrs</t>
        </is>
      </c>
    </row>
    <row r="647" ht="15.75" customHeight="1">
      <c r="A647" s="3" t="inlineStr">
        <is>
          <t>PROD_0153</t>
        </is>
      </c>
      <c r="B647" s="3" t="inlineStr">
        <is>
          <t>VAR_2</t>
        </is>
      </c>
      <c r="C647" s="3" t="inlineStr">
        <is>
          <t>Modular Hardware</t>
        </is>
      </c>
      <c r="D647" s="3" t="inlineStr">
        <is>
          <t>Kitchen Accessories</t>
        </is>
      </c>
      <c r="E647" s="3" t="inlineStr">
        <is>
          <t>Imported</t>
        </is>
      </c>
      <c r="F647" s="3" t="inlineStr">
        <is>
          <t>Rolling Shutter</t>
        </is>
      </c>
      <c r="H647" s="3" t="inlineStr">
        <is>
          <t>Finish</t>
        </is>
      </c>
      <c r="I647" s="3" t="inlineStr">
        <is>
          <t>PVC SS</t>
        </is>
      </c>
      <c r="J647" s="3" t="inlineStr">
        <is>
          <t>Height</t>
        </is>
      </c>
      <c r="K647" s="3" t="inlineStr">
        <is>
          <t>1300 mm</t>
        </is>
      </c>
      <c r="L647" s="3" t="inlineStr">
        <is>
          <t>Width</t>
        </is>
      </c>
      <c r="M647" s="3" t="inlineStr">
        <is>
          <t>600 mm</t>
        </is>
      </c>
      <c r="Q647" s="3" t="inlineStr">
        <is>
          <t>Manufacturer's Warranty</t>
        </is>
      </c>
      <c r="Y647" s="3" t="inlineStr">
        <is>
          <t>EBCO_KS_ROLL_SHUTTER_SL</t>
        </is>
      </c>
      <c r="Z647" s="3" t="n">
        <v>39263090</v>
      </c>
      <c r="AE647" s="3" t="n">
        <v>24399</v>
      </c>
      <c r="AF647" s="4" t="n">
        <v>0.6</v>
      </c>
      <c r="AG647" s="3">
        <f>ROUND(AE647-(AE647*AF647),2)</f>
        <v/>
      </c>
      <c r="AH647" s="4" t="n">
        <v>0.18</v>
      </c>
      <c r="AI647" s="3">
        <f>ROUND(AG647+(AG647*AH647),2)</f>
        <v/>
      </c>
      <c r="AJ647" s="4" t="n">
        <v>0.2</v>
      </c>
      <c r="AK647" s="3">
        <f>ROUND(AI647*AJ647,2)</f>
        <v/>
      </c>
      <c r="AL647" s="3">
        <f>AI647+AK647</f>
        <v/>
      </c>
      <c r="AM647" s="3">
        <f>AE647-AL647</f>
        <v/>
      </c>
      <c r="AN647" s="4">
        <f>AM647/AE647</f>
        <v/>
      </c>
      <c r="AO647" s="3" t="inlineStr">
        <is>
          <t>60 mins</t>
        </is>
      </c>
      <c r="AQ647" s="3" t="inlineStr">
        <is>
          <t>Weight</t>
        </is>
      </c>
      <c r="AT647" s="3" t="inlineStr">
        <is>
          <t>3 hrs</t>
        </is>
      </c>
    </row>
    <row r="648" ht="15.75" customHeight="1">
      <c r="A648" s="3" t="inlineStr">
        <is>
          <t>PROD_0154</t>
        </is>
      </c>
      <c r="B648" s="3" t="inlineStr">
        <is>
          <t>VAR_1</t>
        </is>
      </c>
      <c r="C648" s="3" t="inlineStr">
        <is>
          <t>Modular Hardware</t>
        </is>
      </c>
      <c r="D648" s="3" t="inlineStr">
        <is>
          <t>Wardrobe Accessories</t>
        </is>
      </c>
      <c r="E648" s="3" t="inlineStr">
        <is>
          <t>Hettich</t>
        </is>
      </c>
      <c r="F648" s="3" t="inlineStr">
        <is>
          <t>Cargo tie &amp; belt pull out</t>
        </is>
      </c>
      <c r="H648" s="3" t="inlineStr">
        <is>
          <t>Finish</t>
        </is>
      </c>
      <c r="I648" s="3" t="inlineStr">
        <is>
          <t>Stainless Steel</t>
        </is>
      </c>
      <c r="J648" s="3" t="inlineStr">
        <is>
          <t>Dimensions</t>
        </is>
      </c>
      <c r="K648" s="3" t="inlineStr">
        <is>
          <t>500 mm X 125 mm X 100 mm</t>
        </is>
      </c>
      <c r="L648" s="3" t="inlineStr">
        <is>
          <t>Width</t>
        </is>
      </c>
      <c r="M648" s="3" t="inlineStr">
        <is>
          <t>515 mm</t>
        </is>
      </c>
      <c r="Q648" s="3" t="inlineStr">
        <is>
          <t>Manufacturer's Warranty</t>
        </is>
      </c>
      <c r="R648" s="3" t="n">
        <v>9221099</v>
      </c>
      <c r="Y648" s="3" t="inlineStr">
        <is>
          <t>HT_WS_Cargo_tie.</t>
        </is>
      </c>
      <c r="Z648" s="3" t="n">
        <v>7326</v>
      </c>
      <c r="AE648" s="3" t="n">
        <v>7864</v>
      </c>
      <c r="AF648" s="4" t="n">
        <v>0.5</v>
      </c>
      <c r="AG648" s="3">
        <f>ROUND(AE648-(AE648*AF648),2)</f>
        <v/>
      </c>
      <c r="AH648" s="4" t="n">
        <v>0.18</v>
      </c>
      <c r="AI648" s="3">
        <f>ROUND(AG648+(AG648*AH648),2)</f>
        <v/>
      </c>
      <c r="AJ648" s="4" t="n">
        <v>0.2</v>
      </c>
      <c r="AK648" s="3">
        <f>ROUND(AI648*AJ648,2)</f>
        <v/>
      </c>
      <c r="AL648" s="3">
        <f>AI648+AK648</f>
        <v/>
      </c>
      <c r="AM648" s="3">
        <f>AE648-AL648</f>
        <v/>
      </c>
      <c r="AN648" s="4">
        <f>AM648/AE648</f>
        <v/>
      </c>
      <c r="AO648" s="3" t="inlineStr">
        <is>
          <t>60 mins</t>
        </is>
      </c>
      <c r="AQ648" s="3" t="inlineStr">
        <is>
          <t>Weight</t>
        </is>
      </c>
      <c r="AT648" s="3" t="inlineStr">
        <is>
          <t>3 hrs</t>
        </is>
      </c>
    </row>
    <row r="649" ht="15.75" customHeight="1">
      <c r="A649" s="3" t="inlineStr">
        <is>
          <t>PROD_0155</t>
        </is>
      </c>
      <c r="B649" s="3" t="inlineStr">
        <is>
          <t>VAR_1</t>
        </is>
      </c>
      <c r="C649" s="3" t="inlineStr">
        <is>
          <t>Modular Hardware</t>
        </is>
      </c>
      <c r="D649" s="3" t="inlineStr">
        <is>
          <t>Wardrobe Accessories</t>
        </is>
      </c>
      <c r="E649" s="3" t="inlineStr">
        <is>
          <t>Hettich</t>
        </is>
      </c>
      <c r="F649" s="3" t="inlineStr">
        <is>
          <t>Multipurpose Lock</t>
        </is>
      </c>
      <c r="H649" s="3" t="inlineStr">
        <is>
          <t>Finish</t>
        </is>
      </c>
      <c r="I649" s="3" t="inlineStr">
        <is>
          <t>Zinc</t>
        </is>
      </c>
      <c r="J649" s="3" t="inlineStr">
        <is>
          <t>Thickness</t>
        </is>
      </c>
      <c r="K649" s="3" t="inlineStr">
        <is>
          <t>22 mm</t>
        </is>
      </c>
      <c r="Q649" s="3" t="inlineStr">
        <is>
          <t>Manufacturer's Warranty</t>
        </is>
      </c>
      <c r="R649" s="3" t="inlineStr">
        <is>
          <t>9259400.S_P</t>
        </is>
      </c>
      <c r="Y649" s="3" t="inlineStr">
        <is>
          <t>HT_WS_LOCK</t>
        </is>
      </c>
      <c r="Z649" s="3" t="n">
        <v>83013000</v>
      </c>
      <c r="AE649" s="3" t="n">
        <v>405</v>
      </c>
      <c r="AF649" s="4" t="n">
        <v>0.5</v>
      </c>
      <c r="AG649" s="3">
        <f>ROUND(AE649-(AE649*AF649),2)</f>
        <v/>
      </c>
      <c r="AH649" s="4" t="n">
        <v>0.18</v>
      </c>
      <c r="AI649" s="3">
        <f>ROUND(AG649+(AG649*AH649),2)</f>
        <v/>
      </c>
      <c r="AJ649" s="4" t="n">
        <v>0.2</v>
      </c>
      <c r="AK649" s="3">
        <f>ROUND(AI649*AJ649,2)</f>
        <v/>
      </c>
      <c r="AL649" s="3">
        <f>AI649+AK649</f>
        <v/>
      </c>
      <c r="AM649" s="3">
        <f>AE649-AL649</f>
        <v/>
      </c>
      <c r="AN649" s="4">
        <f>AM649/AE649</f>
        <v/>
      </c>
      <c r="AO649" s="3" t="inlineStr">
        <is>
          <t>60 mins</t>
        </is>
      </c>
      <c r="AQ649" s="3" t="inlineStr">
        <is>
          <t>Weight</t>
        </is>
      </c>
      <c r="AT649" s="3" t="inlineStr">
        <is>
          <t>60 mins</t>
        </is>
      </c>
    </row>
    <row r="650" ht="15.75" customHeight="1">
      <c r="A650" s="3" t="inlineStr">
        <is>
          <t>PROD_0156</t>
        </is>
      </c>
      <c r="B650" s="3" t="inlineStr">
        <is>
          <t>VAR_1</t>
        </is>
      </c>
      <c r="C650" s="3" t="inlineStr">
        <is>
          <t>Modular Hardware</t>
        </is>
      </c>
      <c r="D650" s="3" t="inlineStr">
        <is>
          <t>Wardrobe Accessories</t>
        </is>
      </c>
      <c r="E650" s="3" t="inlineStr">
        <is>
          <t>Inox</t>
        </is>
      </c>
      <c r="F650" s="3" t="inlineStr">
        <is>
          <t>Oval Rod</t>
        </is>
      </c>
      <c r="H650" s="3" t="inlineStr">
        <is>
          <t>Finish</t>
        </is>
      </c>
      <c r="I650" s="3" t="inlineStr">
        <is>
          <t>Chrome</t>
        </is>
      </c>
      <c r="J650" s="3" t="inlineStr">
        <is>
          <t>Length</t>
        </is>
      </c>
      <c r="K650" s="3" t="inlineStr">
        <is>
          <t>3000 mm</t>
        </is>
      </c>
      <c r="Q650" s="3" t="inlineStr">
        <is>
          <t>Manufacturer's Warranty</t>
        </is>
      </c>
      <c r="R650" s="3" t="inlineStr">
        <is>
          <t>I12.01.101</t>
        </is>
      </c>
      <c r="Y650" s="3" t="inlineStr">
        <is>
          <t>INOX_WA_OVALROD</t>
        </is>
      </c>
      <c r="Z650" s="3" t="n">
        <v>83025000</v>
      </c>
      <c r="AE650" s="3" t="n">
        <v>891</v>
      </c>
      <c r="AF650" s="4" t="n">
        <v>0.5</v>
      </c>
      <c r="AG650" s="3">
        <f>ROUND(AE650-(AE650*AF650),2)</f>
        <v/>
      </c>
      <c r="AH650" s="4" t="n">
        <v>0.18</v>
      </c>
      <c r="AI650" s="3">
        <f>ROUND(AG650+(AG650*AH650),2)</f>
        <v/>
      </c>
      <c r="AJ650" s="4" t="n">
        <v>0.2</v>
      </c>
      <c r="AK650" s="3">
        <f>ROUND(AI650*AJ650,2)</f>
        <v/>
      </c>
      <c r="AL650" s="3">
        <f>AI650+AK650</f>
        <v/>
      </c>
      <c r="AM650" s="3">
        <f>AE650-AL650</f>
        <v/>
      </c>
      <c r="AN650" s="4">
        <f>AM650/AE650</f>
        <v/>
      </c>
      <c r="AO650" s="3" t="inlineStr">
        <is>
          <t>60 mins</t>
        </is>
      </c>
      <c r="AQ650" s="3" t="inlineStr">
        <is>
          <t>Weight</t>
        </is>
      </c>
      <c r="AT650" s="3" t="inlineStr">
        <is>
          <t>3 hrs</t>
        </is>
      </c>
    </row>
    <row r="651" ht="15.75" customHeight="1">
      <c r="A651" s="3" t="inlineStr">
        <is>
          <t>PROD_0156</t>
        </is>
      </c>
      <c r="B651" s="3" t="inlineStr">
        <is>
          <t>VAR_2</t>
        </is>
      </c>
      <c r="C651" s="3" t="inlineStr">
        <is>
          <t>Modular Hardware</t>
        </is>
      </c>
      <c r="D651" s="3" t="inlineStr">
        <is>
          <t>Wardrobe Accessories</t>
        </is>
      </c>
      <c r="E651" s="3" t="inlineStr">
        <is>
          <t>Inox</t>
        </is>
      </c>
      <c r="F651" s="3" t="inlineStr">
        <is>
          <t>Oval Rod</t>
        </is>
      </c>
      <c r="H651" s="3" t="inlineStr">
        <is>
          <t>Finish</t>
        </is>
      </c>
      <c r="I651" s="3" t="inlineStr">
        <is>
          <t>Aluminium</t>
        </is>
      </c>
      <c r="J651" s="3" t="inlineStr">
        <is>
          <t>Length</t>
        </is>
      </c>
      <c r="K651" s="3" t="inlineStr">
        <is>
          <t>3000 mm</t>
        </is>
      </c>
      <c r="Q651" s="3" t="inlineStr">
        <is>
          <t>Manufacturer's Warranty</t>
        </is>
      </c>
      <c r="R651" s="3" t="inlineStr">
        <is>
          <t>I12.04.101</t>
        </is>
      </c>
      <c r="Y651" s="3" t="inlineStr">
        <is>
          <t>INOX_WA_OVALROD_ALUM</t>
        </is>
      </c>
      <c r="Z651" s="3" t="n">
        <v>7604</v>
      </c>
      <c r="AE651" s="3" t="n">
        <v>2079</v>
      </c>
      <c r="AF651" s="4" t="n">
        <v>0.5</v>
      </c>
      <c r="AG651" s="3">
        <f>ROUND(AE651-(AE651*AF651),2)</f>
        <v/>
      </c>
      <c r="AH651" s="4" t="n">
        <v>0.18</v>
      </c>
      <c r="AI651" s="3">
        <f>ROUND(AG651+(AG651*AH651),2)</f>
        <v/>
      </c>
      <c r="AJ651" s="4" t="n">
        <v>0.2</v>
      </c>
      <c r="AK651" s="3">
        <f>ROUND(AI651*AJ651,2)</f>
        <v/>
      </c>
      <c r="AL651" s="3">
        <f>AI651+AK651</f>
        <v/>
      </c>
      <c r="AM651" s="3">
        <f>AE651-AL651</f>
        <v/>
      </c>
      <c r="AN651" s="4">
        <f>AM651/AE651</f>
        <v/>
      </c>
      <c r="AO651" s="3" t="inlineStr">
        <is>
          <t>60 mins</t>
        </is>
      </c>
      <c r="AQ651" s="3" t="inlineStr">
        <is>
          <t>Weight</t>
        </is>
      </c>
      <c r="AT651" s="3" t="inlineStr">
        <is>
          <t>3 hrs</t>
        </is>
      </c>
    </row>
    <row r="652" ht="15.75" customHeight="1">
      <c r="A652" s="3" t="inlineStr">
        <is>
          <t>PROD_0157</t>
        </is>
      </c>
      <c r="B652" s="3" t="inlineStr">
        <is>
          <t>VAR_1</t>
        </is>
      </c>
      <c r="C652" s="3" t="inlineStr">
        <is>
          <t>Modular Hardware</t>
        </is>
      </c>
      <c r="D652" s="3" t="inlineStr">
        <is>
          <t>Wardrobe Accessories</t>
        </is>
      </c>
      <c r="E652" s="3" t="inlineStr">
        <is>
          <t>Inox</t>
        </is>
      </c>
      <c r="F652" s="3" t="inlineStr">
        <is>
          <t>Soho Lift Soft Close(Cloth Pull Down Mechanism)</t>
        </is>
      </c>
      <c r="H652" s="3" t="inlineStr">
        <is>
          <t>Finish</t>
        </is>
      </c>
      <c r="I652" s="3" t="inlineStr">
        <is>
          <t>Stainless Steel</t>
        </is>
      </c>
      <c r="J652" s="3" t="inlineStr">
        <is>
          <t>Width</t>
        </is>
      </c>
      <c r="K652" s="3" t="inlineStr">
        <is>
          <t>830- 1150 mm</t>
        </is>
      </c>
      <c r="Q652" s="3" t="inlineStr">
        <is>
          <t>Manufacturer's Warranty</t>
        </is>
      </c>
      <c r="R652" s="3" t="inlineStr">
        <is>
          <t>I1.01.101</t>
        </is>
      </c>
      <c r="Y652" s="3" t="inlineStr">
        <is>
          <t>INOX_WS_CLOTHPULLOUT</t>
        </is>
      </c>
      <c r="Z652" s="3" t="n">
        <v>7326</v>
      </c>
      <c r="AE652" s="3" t="n">
        <v>5229</v>
      </c>
      <c r="AF652" s="4" t="n">
        <v>0.5</v>
      </c>
      <c r="AG652" s="3">
        <f>ROUND(AE652-(AE652*AF652),2)</f>
        <v/>
      </c>
      <c r="AH652" s="4" t="n">
        <v>0.18</v>
      </c>
      <c r="AI652" s="3">
        <f>ROUND(AG652+(AG652*AH652),2)</f>
        <v/>
      </c>
      <c r="AJ652" s="4" t="n">
        <v>0.2</v>
      </c>
      <c r="AK652" s="3">
        <f>ROUND(AI652*AJ652,2)</f>
        <v/>
      </c>
      <c r="AL652" s="3">
        <f>AI652+AK652</f>
        <v/>
      </c>
      <c r="AM652" s="3">
        <f>AE652-AL652</f>
        <v/>
      </c>
      <c r="AN652" s="4">
        <f>AM652/AE652</f>
        <v/>
      </c>
      <c r="AO652" s="3" t="inlineStr">
        <is>
          <t>60 mins</t>
        </is>
      </c>
      <c r="AQ652" s="3" t="inlineStr">
        <is>
          <t>Weight</t>
        </is>
      </c>
      <c r="AT652" s="3" t="inlineStr">
        <is>
          <t>3 hrs</t>
        </is>
      </c>
    </row>
    <row r="653" ht="15.75" customHeight="1">
      <c r="A653" s="3" t="inlineStr">
        <is>
          <t>PROD_0158</t>
        </is>
      </c>
      <c r="B653" s="3" t="inlineStr">
        <is>
          <t>VAR_1</t>
        </is>
      </c>
      <c r="C653" s="3" t="inlineStr">
        <is>
          <t>Modular Hardware</t>
        </is>
      </c>
      <c r="D653" s="3" t="inlineStr">
        <is>
          <t>Wardrobe Accessories</t>
        </is>
      </c>
      <c r="E653" s="3" t="inlineStr">
        <is>
          <t>Ebco</t>
        </is>
      </c>
      <c r="F653" s="3" t="inlineStr">
        <is>
          <t>Auto Latch Lock</t>
        </is>
      </c>
      <c r="H653" s="3" t="inlineStr">
        <is>
          <t>Finish</t>
        </is>
      </c>
      <c r="I653" s="3" t="inlineStr">
        <is>
          <t>Stainless Steel</t>
        </is>
      </c>
      <c r="J653" s="3" t="inlineStr">
        <is>
          <t>Thickness</t>
        </is>
      </c>
      <c r="K653" s="3" t="inlineStr">
        <is>
          <t>22 mm</t>
        </is>
      </c>
      <c r="Q653" s="3" t="inlineStr">
        <is>
          <t>Manufacturer's Warranty</t>
        </is>
      </c>
      <c r="R653" s="3" t="inlineStr">
        <is>
          <t>P-ALL1-22</t>
        </is>
      </c>
      <c r="Y653" s="3" t="inlineStr">
        <is>
          <t>EBCO_WS_AUTO LOCK</t>
        </is>
      </c>
      <c r="Z653" s="3" t="n">
        <v>7326</v>
      </c>
      <c r="AE653" s="3" t="n">
        <v>498</v>
      </c>
      <c r="AF653" s="4" t="n">
        <v>0.4</v>
      </c>
      <c r="AG653" s="3">
        <f>ROUND(AE653-(AE653*AF653),2)</f>
        <v/>
      </c>
      <c r="AH653" s="4" t="n">
        <v>0.18</v>
      </c>
      <c r="AI653" s="3">
        <f>ROUND(AG653+(AG653*AH653),2)</f>
        <v/>
      </c>
      <c r="AJ653" s="4" t="n">
        <v>0.1</v>
      </c>
      <c r="AK653" s="3">
        <f>ROUND(AI653*AJ653,2)</f>
        <v/>
      </c>
      <c r="AL653" s="3">
        <f>AI653+AK653</f>
        <v/>
      </c>
      <c r="AM653" s="3">
        <f>AE653-AL653</f>
        <v/>
      </c>
      <c r="AN653" s="4">
        <f>AM653/AE653</f>
        <v/>
      </c>
      <c r="AO653" s="3" t="inlineStr">
        <is>
          <t>60 mins</t>
        </is>
      </c>
      <c r="AQ653" s="3" t="inlineStr">
        <is>
          <t>Weight</t>
        </is>
      </c>
      <c r="AT653" s="3" t="inlineStr">
        <is>
          <t>3 hrs</t>
        </is>
      </c>
    </row>
    <row r="654" ht="15.75" customHeight="1">
      <c r="A654" s="3" t="inlineStr">
        <is>
          <t>PROD_0159</t>
        </is>
      </c>
      <c r="B654" s="3" t="inlineStr">
        <is>
          <t>VAR_1</t>
        </is>
      </c>
      <c r="C654" s="3" t="inlineStr">
        <is>
          <t>Modular Hardware</t>
        </is>
      </c>
      <c r="D654" s="3" t="inlineStr">
        <is>
          <t>Wardrobe Accessories</t>
        </is>
      </c>
      <c r="E654" s="3" t="inlineStr">
        <is>
          <t>Ebco</t>
        </is>
      </c>
      <c r="F654" s="3" t="inlineStr">
        <is>
          <t>Tie and Belt Holder</t>
        </is>
      </c>
      <c r="H654" s="3" t="inlineStr">
        <is>
          <t>Finish</t>
        </is>
      </c>
      <c r="I654" s="3" t="inlineStr">
        <is>
          <t>Stainless Steel</t>
        </is>
      </c>
      <c r="J654" s="3" t="inlineStr">
        <is>
          <t>Dimensions</t>
        </is>
      </c>
      <c r="K654" s="3" t="inlineStr">
        <is>
          <t>300 mm X 270 mm X 30 mm</t>
        </is>
      </c>
      <c r="Q654" s="3" t="inlineStr">
        <is>
          <t>Manufacturer's Warranty</t>
        </is>
      </c>
      <c r="R654" s="3" t="inlineStr">
        <is>
          <t>TH12</t>
        </is>
      </c>
      <c r="Y654" s="3" t="inlineStr">
        <is>
          <t>EBCO_WS_TIE_BELT</t>
        </is>
      </c>
      <c r="Z654" s="3" t="n">
        <v>7326</v>
      </c>
      <c r="AE654" s="3" t="n">
        <v>773</v>
      </c>
      <c r="AF654" s="4" t="n">
        <v>0.4</v>
      </c>
      <c r="AG654" s="3">
        <f>ROUND(AE654-(AE654*AF654),2)</f>
        <v/>
      </c>
      <c r="AH654" s="4" t="n">
        <v>0.18</v>
      </c>
      <c r="AI654" s="3">
        <f>ROUND(AG654+(AG654*AH654),2)</f>
        <v/>
      </c>
      <c r="AJ654" s="4" t="n">
        <v>0.1</v>
      </c>
      <c r="AK654" s="3">
        <f>ROUND(AI654*AJ654,2)</f>
        <v/>
      </c>
      <c r="AL654" s="3">
        <f>AI654+AK654</f>
        <v/>
      </c>
      <c r="AM654" s="3">
        <f>AE654-AL654</f>
        <v/>
      </c>
      <c r="AN654" s="4">
        <f>AM654/AE654</f>
        <v/>
      </c>
      <c r="AO654" s="3" t="inlineStr">
        <is>
          <t>60 mins</t>
        </is>
      </c>
      <c r="AQ654" s="3" t="inlineStr">
        <is>
          <t>Weight</t>
        </is>
      </c>
      <c r="AT654" s="3" t="inlineStr">
        <is>
          <t>3 hrs</t>
        </is>
      </c>
    </row>
    <row r="655" ht="15.75" customHeight="1">
      <c r="A655" s="3" t="inlineStr">
        <is>
          <t>PROD_0160</t>
        </is>
      </c>
      <c r="B655" s="3" t="inlineStr">
        <is>
          <t>VAR_1</t>
        </is>
      </c>
      <c r="C655" s="3" t="inlineStr">
        <is>
          <t>Modular Hardware</t>
        </is>
      </c>
      <c r="D655" s="3" t="inlineStr">
        <is>
          <t>Common Accessories</t>
        </is>
      </c>
      <c r="E655" s="3" t="inlineStr">
        <is>
          <t>Generic</t>
        </is>
      </c>
      <c r="F655" s="3" t="inlineStr">
        <is>
          <t>Skirting (Plinth)</t>
        </is>
      </c>
      <c r="H655" s="3" t="inlineStr">
        <is>
          <t>Finish</t>
        </is>
      </c>
      <c r="I655" s="3" t="inlineStr">
        <is>
          <t>PVC</t>
        </is>
      </c>
      <c r="J655" s="3" t="inlineStr">
        <is>
          <t>Length</t>
        </is>
      </c>
      <c r="K655" s="3" t="inlineStr">
        <is>
          <t>3000 mm</t>
        </is>
      </c>
      <c r="L655" s="3" t="inlineStr">
        <is>
          <t>Height</t>
        </is>
      </c>
      <c r="M655" s="3" t="inlineStr">
        <is>
          <t>100 mm</t>
        </is>
      </c>
      <c r="N655" s="3" t="inlineStr">
        <is>
          <t>Color</t>
        </is>
      </c>
      <c r="O655" s="3" t="inlineStr">
        <is>
          <t>Black</t>
        </is>
      </c>
      <c r="Q655" s="3" t="inlineStr">
        <is>
          <t>Manufacturer's Warranty</t>
        </is>
      </c>
      <c r="Y655" s="3" t="inlineStr">
        <is>
          <t>GEN_Skirting_BLACK</t>
        </is>
      </c>
      <c r="Z655" s="3" t="n">
        <v>8302</v>
      </c>
      <c r="AE655" s="3" t="n">
        <v>700</v>
      </c>
      <c r="AF655" s="4" t="n">
        <v>0.6</v>
      </c>
      <c r="AG655" s="3">
        <f>ROUND(AE655-(AE655*AF655),2)</f>
        <v/>
      </c>
      <c r="AH655" s="4" t="n">
        <v>0.18</v>
      </c>
      <c r="AI655" s="3">
        <f>ROUND(AG655+(AG655*AH655),2)</f>
        <v/>
      </c>
      <c r="AJ655" s="4" t="n">
        <v>0.3</v>
      </c>
      <c r="AK655" s="3">
        <f>ROUND(AI655*AJ655,2)</f>
        <v/>
      </c>
      <c r="AL655" s="3">
        <f>AI655+AK655</f>
        <v/>
      </c>
      <c r="AM655" s="3">
        <f>AE655-AL655</f>
        <v/>
      </c>
      <c r="AN655" s="4">
        <f>AM655/AE655</f>
        <v/>
      </c>
      <c r="AO655" s="3" t="inlineStr">
        <is>
          <t>60 mins</t>
        </is>
      </c>
      <c r="AQ655" s="3" t="inlineStr">
        <is>
          <t>Weight</t>
        </is>
      </c>
      <c r="AT655" s="3" t="inlineStr">
        <is>
          <t>60 mins</t>
        </is>
      </c>
    </row>
    <row r="656" ht="15.75" customHeight="1">
      <c r="A656" s="3" t="inlineStr">
        <is>
          <t>PROD_0160</t>
        </is>
      </c>
      <c r="B656" s="3" t="inlineStr">
        <is>
          <t>VAR_2</t>
        </is>
      </c>
      <c r="C656" s="3" t="inlineStr">
        <is>
          <t>Modular Hardware</t>
        </is>
      </c>
      <c r="D656" s="3" t="inlineStr">
        <is>
          <t>Common Accessories</t>
        </is>
      </c>
      <c r="E656" s="3" t="inlineStr">
        <is>
          <t>Generic</t>
        </is>
      </c>
      <c r="F656" s="3" t="inlineStr">
        <is>
          <t>Skirting (Plinth)</t>
        </is>
      </c>
      <c r="H656" s="3" t="inlineStr">
        <is>
          <t>Finish</t>
        </is>
      </c>
      <c r="I656" s="3" t="inlineStr">
        <is>
          <t>PVC</t>
        </is>
      </c>
      <c r="J656" s="3" t="inlineStr">
        <is>
          <t>Length</t>
        </is>
      </c>
      <c r="K656" s="3" t="inlineStr">
        <is>
          <t>3000 mm</t>
        </is>
      </c>
      <c r="L656" s="3" t="inlineStr">
        <is>
          <t>Height</t>
        </is>
      </c>
      <c r="M656" s="3" t="inlineStr">
        <is>
          <t>100 mm</t>
        </is>
      </c>
      <c r="N656" s="3" t="inlineStr">
        <is>
          <t>Color</t>
        </is>
      </c>
      <c r="O656" s="3" t="inlineStr">
        <is>
          <t>Silver</t>
        </is>
      </c>
      <c r="Q656" s="3" t="inlineStr">
        <is>
          <t>Manufacturer's Warranty</t>
        </is>
      </c>
      <c r="Y656" s="3" t="inlineStr">
        <is>
          <t>GEN_Skirting_SILVER</t>
        </is>
      </c>
      <c r="Z656" s="3" t="n">
        <v>8302</v>
      </c>
      <c r="AE656" s="3" t="n">
        <v>800</v>
      </c>
      <c r="AF656" s="4" t="n">
        <v>0.6</v>
      </c>
      <c r="AG656" s="3">
        <f>ROUND(AE656-(AE656*AF656),2)</f>
        <v/>
      </c>
      <c r="AH656" s="4" t="n">
        <v>0.18</v>
      </c>
      <c r="AI656" s="3">
        <f>ROUND(AG656+(AG656*AH656),2)</f>
        <v/>
      </c>
      <c r="AJ656" s="4" t="n">
        <v>0.3</v>
      </c>
      <c r="AK656" s="3">
        <f>ROUND(AI656*AJ656,2)</f>
        <v/>
      </c>
      <c r="AL656" s="3">
        <f>AI656+AK656</f>
        <v/>
      </c>
      <c r="AM656" s="3">
        <f>AE656-AL656</f>
        <v/>
      </c>
      <c r="AN656" s="4">
        <f>AM656/AE656</f>
        <v/>
      </c>
      <c r="AO656" s="3" t="inlineStr">
        <is>
          <t>60 mins</t>
        </is>
      </c>
      <c r="AQ656" s="3" t="inlineStr">
        <is>
          <t>Weight</t>
        </is>
      </c>
      <c r="AT656" s="3" t="inlineStr">
        <is>
          <t>60 mins</t>
        </is>
      </c>
    </row>
    <row r="657" ht="15.75" customHeight="1">
      <c r="A657" s="3" t="inlineStr">
        <is>
          <t>PROD_0160</t>
        </is>
      </c>
      <c r="B657" s="3" t="inlineStr">
        <is>
          <t>VAR_3</t>
        </is>
      </c>
      <c r="C657" s="3" t="inlineStr">
        <is>
          <t>Modular Hardware</t>
        </is>
      </c>
      <c r="D657" s="3" t="inlineStr">
        <is>
          <t>Common Accessories</t>
        </is>
      </c>
      <c r="E657" s="3" t="inlineStr">
        <is>
          <t>Generic</t>
        </is>
      </c>
      <c r="F657" s="3" t="inlineStr">
        <is>
          <t>Skirting (Plinth)</t>
        </is>
      </c>
      <c r="H657" s="3" t="inlineStr">
        <is>
          <t>Finish</t>
        </is>
      </c>
      <c r="I657" s="3" t="inlineStr">
        <is>
          <t>PVC</t>
        </is>
      </c>
      <c r="J657" s="3" t="inlineStr">
        <is>
          <t>Length</t>
        </is>
      </c>
      <c r="K657" s="3" t="inlineStr">
        <is>
          <t>3000 mm</t>
        </is>
      </c>
      <c r="L657" s="3" t="inlineStr">
        <is>
          <t>Height</t>
        </is>
      </c>
      <c r="M657" s="3" t="inlineStr">
        <is>
          <t>100 mm</t>
        </is>
      </c>
      <c r="N657" s="3" t="inlineStr">
        <is>
          <t>Color</t>
        </is>
      </c>
      <c r="O657" s="3" t="inlineStr">
        <is>
          <t>Rose Gold</t>
        </is>
      </c>
      <c r="Q657" s="3" t="inlineStr">
        <is>
          <t>Manufacturer's Warranty</t>
        </is>
      </c>
      <c r="Y657" s="3" t="inlineStr">
        <is>
          <t>GEN_Skirting_ROSE GOLD</t>
        </is>
      </c>
      <c r="Z657" s="3" t="n">
        <v>8302</v>
      </c>
      <c r="AE657" s="3" t="n">
        <v>900</v>
      </c>
      <c r="AF657" s="4" t="n">
        <v>0.6</v>
      </c>
      <c r="AG657" s="3">
        <f>ROUND(AE657-(AE657*AF657),2)</f>
        <v/>
      </c>
      <c r="AH657" s="4" t="n">
        <v>0.18</v>
      </c>
      <c r="AI657" s="3">
        <f>ROUND(AG657+(AG657*AH657),2)</f>
        <v/>
      </c>
      <c r="AJ657" s="4" t="n">
        <v>0.3</v>
      </c>
      <c r="AK657" s="3">
        <f>ROUND(AI657*AJ657,2)</f>
        <v/>
      </c>
      <c r="AL657" s="3">
        <f>AI657+AK657</f>
        <v/>
      </c>
      <c r="AM657" s="3">
        <f>AE657-AL657</f>
        <v/>
      </c>
      <c r="AN657" s="4">
        <f>AM657/AE657</f>
        <v/>
      </c>
      <c r="AO657" s="3" t="inlineStr">
        <is>
          <t>60 mins</t>
        </is>
      </c>
      <c r="AQ657" s="3" t="inlineStr">
        <is>
          <t>Weight</t>
        </is>
      </c>
      <c r="AT657" s="3" t="inlineStr">
        <is>
          <t>60 mins</t>
        </is>
      </c>
    </row>
    <row r="658" ht="15.75" customHeight="1">
      <c r="A658" s="3" t="inlineStr">
        <is>
          <t>PROD_0161</t>
        </is>
      </c>
      <c r="B658" s="3" t="inlineStr">
        <is>
          <t>VAR_1</t>
        </is>
      </c>
      <c r="C658" s="3" t="inlineStr">
        <is>
          <t>Modular Hardware</t>
        </is>
      </c>
      <c r="D658" s="3" t="inlineStr">
        <is>
          <t>Common Accessories</t>
        </is>
      </c>
      <c r="E658" s="3" t="inlineStr">
        <is>
          <t>Generic</t>
        </is>
      </c>
      <c r="F658" s="3" t="inlineStr">
        <is>
          <t>Skirting (Plinth) Connector</t>
        </is>
      </c>
      <c r="H658" s="3" t="inlineStr">
        <is>
          <t>Finish</t>
        </is>
      </c>
      <c r="I658" s="3" t="inlineStr">
        <is>
          <t>PVC</t>
        </is>
      </c>
      <c r="J658" s="3" t="inlineStr">
        <is>
          <t>Connection</t>
        </is>
      </c>
      <c r="K658" s="3" t="inlineStr">
        <is>
          <t>Jointer</t>
        </is>
      </c>
      <c r="L658" s="3" t="inlineStr">
        <is>
          <t>Height</t>
        </is>
      </c>
      <c r="M658" s="3" t="inlineStr">
        <is>
          <t>100 mm</t>
        </is>
      </c>
      <c r="N658" s="3" t="inlineStr">
        <is>
          <t>Color</t>
        </is>
      </c>
      <c r="O658" s="3" t="inlineStr">
        <is>
          <t>Black</t>
        </is>
      </c>
      <c r="Q658" s="3" t="inlineStr">
        <is>
          <t>Manufacturer's Warranty</t>
        </is>
      </c>
      <c r="Y658" s="3" t="inlineStr">
        <is>
          <t>GEN_Skirting_jointer_SILVER</t>
        </is>
      </c>
      <c r="Z658" s="3" t="n">
        <v>8302</v>
      </c>
      <c r="AE658" s="3" t="n">
        <v>80</v>
      </c>
      <c r="AF658" s="4" t="n">
        <v>0.6</v>
      </c>
      <c r="AG658" s="3">
        <f>ROUND(AE658-(AE658*AF658),2)</f>
        <v/>
      </c>
      <c r="AH658" s="4" t="n">
        <v>0.18</v>
      </c>
      <c r="AI658" s="3">
        <f>ROUND(AG658+(AG658*AH658),2)</f>
        <v/>
      </c>
      <c r="AJ658" s="4" t="n">
        <v>0.3</v>
      </c>
      <c r="AK658" s="3">
        <f>ROUND(AI658*AJ658,2)</f>
        <v/>
      </c>
      <c r="AL658" s="3">
        <f>AI658+AK658</f>
        <v/>
      </c>
      <c r="AM658" s="3">
        <f>AE658-AL658</f>
        <v/>
      </c>
      <c r="AN658" s="4">
        <f>AM658/AE658</f>
        <v/>
      </c>
      <c r="AO658" s="3" t="inlineStr">
        <is>
          <t>60 mins</t>
        </is>
      </c>
      <c r="AQ658" s="3" t="inlineStr">
        <is>
          <t>Weight</t>
        </is>
      </c>
      <c r="AT658" s="3" t="inlineStr">
        <is>
          <t>60 mins</t>
        </is>
      </c>
    </row>
    <row r="659" ht="15.75" customHeight="1">
      <c r="A659" s="3" t="inlineStr">
        <is>
          <t>PROD_0161</t>
        </is>
      </c>
      <c r="B659" s="3" t="inlineStr">
        <is>
          <t>VAR_2</t>
        </is>
      </c>
      <c r="C659" s="3" t="inlineStr">
        <is>
          <t>Modular Hardware</t>
        </is>
      </c>
      <c r="D659" s="3" t="inlineStr">
        <is>
          <t>Common Accessories</t>
        </is>
      </c>
      <c r="E659" s="3" t="inlineStr">
        <is>
          <t>Generic</t>
        </is>
      </c>
      <c r="F659" s="3" t="inlineStr">
        <is>
          <t>Skirting (Plinth) Connector</t>
        </is>
      </c>
      <c r="H659" s="3" t="inlineStr">
        <is>
          <t>Finish</t>
        </is>
      </c>
      <c r="I659" s="3" t="inlineStr">
        <is>
          <t>PVC</t>
        </is>
      </c>
      <c r="J659" s="3" t="inlineStr">
        <is>
          <t>Connection</t>
        </is>
      </c>
      <c r="K659" s="3" t="inlineStr">
        <is>
          <t>Corner</t>
        </is>
      </c>
      <c r="L659" s="3" t="inlineStr">
        <is>
          <t>Height</t>
        </is>
      </c>
      <c r="M659" s="3" t="inlineStr">
        <is>
          <t>100 mm</t>
        </is>
      </c>
      <c r="N659" s="3" t="inlineStr">
        <is>
          <t>Color</t>
        </is>
      </c>
      <c r="O659" s="3" t="inlineStr">
        <is>
          <t>Silver</t>
        </is>
      </c>
      <c r="Q659" s="3" t="inlineStr">
        <is>
          <t>Manufacturer's Warranty</t>
        </is>
      </c>
      <c r="Y659" s="3" t="inlineStr">
        <is>
          <t>GEN_Skirting_CORNER_SILVER</t>
        </is>
      </c>
      <c r="Z659" s="3" t="n">
        <v>8302</v>
      </c>
      <c r="AE659" s="3" t="n">
        <v>80</v>
      </c>
      <c r="AF659" s="4" t="n">
        <v>0.6</v>
      </c>
      <c r="AG659" s="3">
        <f>ROUND(AE659-(AE659*AF659),2)</f>
        <v/>
      </c>
      <c r="AH659" s="4" t="n">
        <v>0.18</v>
      </c>
      <c r="AI659" s="3">
        <f>ROUND(AG659+(AG659*AH659),2)</f>
        <v/>
      </c>
      <c r="AJ659" s="4" t="n">
        <v>0.3</v>
      </c>
      <c r="AK659" s="3">
        <f>ROUND(AI659*AJ659,2)</f>
        <v/>
      </c>
      <c r="AL659" s="3">
        <f>AI659+AK659</f>
        <v/>
      </c>
      <c r="AM659" s="3">
        <f>AE659-AL659</f>
        <v/>
      </c>
      <c r="AN659" s="4">
        <f>AM659/AE659</f>
        <v/>
      </c>
      <c r="AO659" s="3" t="inlineStr">
        <is>
          <t>60 mins</t>
        </is>
      </c>
      <c r="AQ659" s="3" t="inlineStr">
        <is>
          <t>Weight</t>
        </is>
      </c>
      <c r="AT659" s="3" t="inlineStr">
        <is>
          <t>60 mins</t>
        </is>
      </c>
    </row>
    <row r="660" ht="15.75" customHeight="1">
      <c r="A660" s="3" t="inlineStr">
        <is>
          <t>PROD_0162</t>
        </is>
      </c>
      <c r="B660" s="3" t="inlineStr">
        <is>
          <t>VAR_1</t>
        </is>
      </c>
      <c r="C660" s="3" t="inlineStr">
        <is>
          <t>Modular Hardware</t>
        </is>
      </c>
      <c r="D660" s="3" t="inlineStr">
        <is>
          <t>Common Accessories</t>
        </is>
      </c>
      <c r="E660" s="3" t="inlineStr">
        <is>
          <t>Generic</t>
        </is>
      </c>
      <c r="F660" s="3" t="inlineStr">
        <is>
          <t>Legs</t>
        </is>
      </c>
      <c r="H660" s="3" t="inlineStr">
        <is>
          <t>Finish</t>
        </is>
      </c>
      <c r="I660" s="3" t="inlineStr">
        <is>
          <t>PVC</t>
        </is>
      </c>
      <c r="J660" s="3" t="inlineStr">
        <is>
          <t>Height</t>
        </is>
      </c>
      <c r="K660" s="3" t="inlineStr">
        <is>
          <t>50 mm</t>
        </is>
      </c>
      <c r="Q660" s="3" t="inlineStr">
        <is>
          <t>Manufacturer's Warranty</t>
        </is>
      </c>
      <c r="Y660" s="3" t="inlineStr">
        <is>
          <t>GEN_PVC_LEG</t>
        </is>
      </c>
      <c r="Z660" s="3" t="n">
        <v>8302</v>
      </c>
      <c r="AE660" s="3" t="n">
        <v>32</v>
      </c>
      <c r="AF660" s="4" t="n">
        <v>0.6</v>
      </c>
      <c r="AG660" s="3">
        <f>ROUND(AE660-(AE660*AF660),2)</f>
        <v/>
      </c>
      <c r="AH660" s="4" t="n">
        <v>0.18</v>
      </c>
      <c r="AI660" s="3">
        <f>ROUND(AG660+(AG660*AH660),2)</f>
        <v/>
      </c>
      <c r="AJ660" s="4" t="n">
        <v>0.3</v>
      </c>
      <c r="AK660" s="3">
        <f>ROUND(AI660*AJ660,2)</f>
        <v/>
      </c>
      <c r="AL660" s="3">
        <f>AI660+AK660</f>
        <v/>
      </c>
      <c r="AM660" s="3">
        <f>AE660-AL660</f>
        <v/>
      </c>
      <c r="AN660" s="4">
        <f>AM660/AE660</f>
        <v/>
      </c>
      <c r="AO660" s="3" t="inlineStr">
        <is>
          <t>60 mins</t>
        </is>
      </c>
      <c r="AQ660" s="3" t="inlineStr">
        <is>
          <t>Weight</t>
        </is>
      </c>
      <c r="AT660" s="3" t="inlineStr">
        <is>
          <t>60 mins</t>
        </is>
      </c>
    </row>
    <row r="661" ht="15.75" customHeight="1">
      <c r="A661" s="3" t="inlineStr">
        <is>
          <t>PROD_0162</t>
        </is>
      </c>
      <c r="B661" s="3" t="inlineStr">
        <is>
          <t>VAR_2</t>
        </is>
      </c>
      <c r="C661" s="3" t="inlineStr">
        <is>
          <t>Modular Hardware</t>
        </is>
      </c>
      <c r="D661" s="3" t="inlineStr">
        <is>
          <t>Common Accessories</t>
        </is>
      </c>
      <c r="E661" s="3" t="inlineStr">
        <is>
          <t>Generic</t>
        </is>
      </c>
      <c r="F661" s="3" t="inlineStr">
        <is>
          <t>Legs</t>
        </is>
      </c>
      <c r="H661" s="3" t="inlineStr">
        <is>
          <t>Finish</t>
        </is>
      </c>
      <c r="I661" s="3" t="inlineStr">
        <is>
          <t>PVC</t>
        </is>
      </c>
      <c r="J661" s="3" t="inlineStr">
        <is>
          <t>Height</t>
        </is>
      </c>
      <c r="K661" s="3" t="inlineStr">
        <is>
          <t>75 mm</t>
        </is>
      </c>
      <c r="Q661" s="3" t="inlineStr">
        <is>
          <t>Manufacturer's Warranty</t>
        </is>
      </c>
      <c r="Y661" s="3" t="inlineStr">
        <is>
          <t>GEN_PVC_LEG</t>
        </is>
      </c>
      <c r="Z661" s="3" t="n">
        <v>8302</v>
      </c>
      <c r="AE661" s="3" t="n">
        <v>34</v>
      </c>
      <c r="AF661" s="4" t="n">
        <v>0.6</v>
      </c>
      <c r="AG661" s="3">
        <f>ROUND(AE661-(AE661*AF661),2)</f>
        <v/>
      </c>
      <c r="AH661" s="4" t="n">
        <v>0.18</v>
      </c>
      <c r="AI661" s="3">
        <f>ROUND(AG661+(AG661*AH661),2)</f>
        <v/>
      </c>
      <c r="AJ661" s="4" t="n">
        <v>0.3</v>
      </c>
      <c r="AK661" s="3">
        <f>ROUND(AI661*AJ661,2)</f>
        <v/>
      </c>
      <c r="AL661" s="3">
        <f>AI661+AK661</f>
        <v/>
      </c>
      <c r="AM661" s="3">
        <f>AE661-AL661</f>
        <v/>
      </c>
      <c r="AN661" s="4">
        <f>AM661/AE661</f>
        <v/>
      </c>
      <c r="AO661" s="3" t="inlineStr">
        <is>
          <t>60 mins</t>
        </is>
      </c>
      <c r="AQ661" s="3" t="inlineStr">
        <is>
          <t>Weight</t>
        </is>
      </c>
      <c r="AT661" s="3" t="inlineStr">
        <is>
          <t>60 mins</t>
        </is>
      </c>
    </row>
    <row r="662" ht="15.75" customHeight="1">
      <c r="A662" s="3" t="inlineStr">
        <is>
          <t>PROD_0162</t>
        </is>
      </c>
      <c r="B662" s="3" t="inlineStr">
        <is>
          <t>VAR_3</t>
        </is>
      </c>
      <c r="C662" s="3" t="inlineStr">
        <is>
          <t>Modular Hardware</t>
        </is>
      </c>
      <c r="D662" s="3" t="inlineStr">
        <is>
          <t>Common Accessories</t>
        </is>
      </c>
      <c r="E662" s="3" t="inlineStr">
        <is>
          <t>Generic</t>
        </is>
      </c>
      <c r="F662" s="3" t="inlineStr">
        <is>
          <t>Legs</t>
        </is>
      </c>
      <c r="H662" s="3" t="inlineStr">
        <is>
          <t>Finish</t>
        </is>
      </c>
      <c r="I662" s="3" t="inlineStr">
        <is>
          <t>PVC</t>
        </is>
      </c>
      <c r="J662" s="3" t="inlineStr">
        <is>
          <t>Height</t>
        </is>
      </c>
      <c r="K662" s="3" t="inlineStr">
        <is>
          <t>100 mm</t>
        </is>
      </c>
      <c r="Q662" s="3" t="inlineStr">
        <is>
          <t>Manufacturer's Warranty</t>
        </is>
      </c>
      <c r="Y662" s="3" t="inlineStr">
        <is>
          <t>GEN_PVC_LEG</t>
        </is>
      </c>
      <c r="Z662" s="3" t="n">
        <v>8302</v>
      </c>
      <c r="AE662" s="3" t="n">
        <v>36</v>
      </c>
      <c r="AF662" s="4" t="n">
        <v>0.6</v>
      </c>
      <c r="AG662" s="3">
        <f>ROUND(AE662-(AE662*AF662),2)</f>
        <v/>
      </c>
      <c r="AH662" s="4" t="n">
        <v>0.18</v>
      </c>
      <c r="AI662" s="3">
        <f>ROUND(AG662+(AG662*AH662),2)</f>
        <v/>
      </c>
      <c r="AJ662" s="4" t="n">
        <v>0.3</v>
      </c>
      <c r="AK662" s="3">
        <f>ROUND(AI662*AJ662,2)</f>
        <v/>
      </c>
      <c r="AL662" s="3">
        <f>AI662+AK662</f>
        <v/>
      </c>
      <c r="AM662" s="3">
        <f>AE662-AL662</f>
        <v/>
      </c>
      <c r="AN662" s="4">
        <f>AM662/AE662</f>
        <v/>
      </c>
      <c r="AO662" s="3" t="inlineStr">
        <is>
          <t>60 mins</t>
        </is>
      </c>
      <c r="AQ662" s="3" t="inlineStr">
        <is>
          <t>Weight</t>
        </is>
      </c>
      <c r="AT662" s="3" t="inlineStr">
        <is>
          <t>60 mins</t>
        </is>
      </c>
    </row>
    <row r="663" ht="15.75" customHeight="1">
      <c r="A663" s="3" t="inlineStr">
        <is>
          <t>PROD_0162</t>
        </is>
      </c>
      <c r="B663" s="3" t="inlineStr">
        <is>
          <t>VAR_4</t>
        </is>
      </c>
      <c r="C663" s="3" t="inlineStr">
        <is>
          <t>Modular Hardware</t>
        </is>
      </c>
      <c r="D663" s="3" t="inlineStr">
        <is>
          <t>Common Accessories</t>
        </is>
      </c>
      <c r="E663" s="3" t="inlineStr">
        <is>
          <t>Generic</t>
        </is>
      </c>
      <c r="F663" s="3" t="inlineStr">
        <is>
          <t>Legs</t>
        </is>
      </c>
      <c r="H663" s="3" t="inlineStr">
        <is>
          <t>Finish</t>
        </is>
      </c>
      <c r="I663" s="3" t="inlineStr">
        <is>
          <t>PVC</t>
        </is>
      </c>
      <c r="J663" s="3" t="inlineStr">
        <is>
          <t>Height</t>
        </is>
      </c>
      <c r="K663" s="3" t="inlineStr">
        <is>
          <t>150 mm</t>
        </is>
      </c>
      <c r="Q663" s="3" t="inlineStr">
        <is>
          <t>Manufacturer's Warranty</t>
        </is>
      </c>
      <c r="Y663" s="3" t="inlineStr">
        <is>
          <t>GEN_PVC_LEG</t>
        </is>
      </c>
      <c r="Z663" s="3" t="n">
        <v>8302</v>
      </c>
      <c r="AE663" s="3" t="n">
        <v>38</v>
      </c>
      <c r="AF663" s="4" t="n">
        <v>0.6</v>
      </c>
      <c r="AG663" s="3">
        <f>ROUND(AE663-(AE663*AF663),2)</f>
        <v/>
      </c>
      <c r="AH663" s="4" t="n">
        <v>0.18</v>
      </c>
      <c r="AI663" s="3">
        <f>ROUND(AG663+(AG663*AH663),2)</f>
        <v/>
      </c>
      <c r="AJ663" s="4" t="n">
        <v>0.3</v>
      </c>
      <c r="AK663" s="3">
        <f>ROUND(AI663*AJ663,2)</f>
        <v/>
      </c>
      <c r="AL663" s="3">
        <f>AI663+AK663</f>
        <v/>
      </c>
      <c r="AM663" s="3">
        <f>AE663-AL663</f>
        <v/>
      </c>
      <c r="AN663" s="4">
        <f>AM663/AE663</f>
        <v/>
      </c>
      <c r="AO663" s="3" t="inlineStr">
        <is>
          <t>60 mins</t>
        </is>
      </c>
      <c r="AQ663" s="3" t="inlineStr">
        <is>
          <t>Weight</t>
        </is>
      </c>
      <c r="AT663" s="3" t="inlineStr">
        <is>
          <t>60 mins</t>
        </is>
      </c>
    </row>
    <row r="664" ht="15.75" customHeight="1">
      <c r="A664" s="3" t="inlineStr">
        <is>
          <t>PROD_0163</t>
        </is>
      </c>
      <c r="B664" s="3" t="inlineStr">
        <is>
          <t>VAR_1</t>
        </is>
      </c>
      <c r="C664" s="3" t="inlineStr">
        <is>
          <t>Modular Hardware</t>
        </is>
      </c>
      <c r="D664" s="3" t="inlineStr">
        <is>
          <t>Common Accessories</t>
        </is>
      </c>
      <c r="E664" s="3" t="inlineStr">
        <is>
          <t>Generic</t>
        </is>
      </c>
      <c r="F664" s="3" t="inlineStr">
        <is>
          <t>Shelf Pin</t>
        </is>
      </c>
      <c r="H664" s="3" t="inlineStr">
        <is>
          <t>Finish</t>
        </is>
      </c>
      <c r="I664" s="3" t="inlineStr">
        <is>
          <t>Acrylic</t>
        </is>
      </c>
      <c r="Q664" s="3" t="inlineStr">
        <is>
          <t>Manufacturer's Warranty</t>
        </is>
      </c>
      <c r="Y664" s="3" t="inlineStr">
        <is>
          <t>GEN_Shelf_Pin</t>
        </is>
      </c>
      <c r="Z664" s="3" t="n">
        <v>8302</v>
      </c>
      <c r="AE664" s="3" t="n">
        <v>4</v>
      </c>
      <c r="AF664" s="4" t="n">
        <v>0.6</v>
      </c>
      <c r="AG664" s="3">
        <f>ROUND(AE664-(AE664*AF664),2)</f>
        <v/>
      </c>
      <c r="AH664" s="4" t="n">
        <v>0.18</v>
      </c>
      <c r="AI664" s="3">
        <f>ROUND(AG664+(AG664*AH664),2)</f>
        <v/>
      </c>
      <c r="AJ664" s="4" t="n">
        <v>0.3</v>
      </c>
      <c r="AK664" s="3">
        <f>ROUND(AI664*AJ664,2)</f>
        <v/>
      </c>
      <c r="AL664" s="3">
        <f>AI664+AK664</f>
        <v/>
      </c>
      <c r="AM664" s="3">
        <f>AE664-AL664</f>
        <v/>
      </c>
      <c r="AN664" s="4">
        <f>AM664/AE664</f>
        <v/>
      </c>
      <c r="AO664" s="3" t="inlineStr">
        <is>
          <t>60 mins</t>
        </is>
      </c>
      <c r="AQ664" s="3" t="inlineStr">
        <is>
          <t>Weight</t>
        </is>
      </c>
      <c r="AT664" s="3" t="inlineStr">
        <is>
          <t>60 mins</t>
        </is>
      </c>
    </row>
    <row r="665" ht="15.75" customHeight="1">
      <c r="A665" s="3" t="inlineStr">
        <is>
          <t>PROD_0163</t>
        </is>
      </c>
      <c r="B665" s="3" t="inlineStr">
        <is>
          <t>VAR_2</t>
        </is>
      </c>
      <c r="C665" s="3" t="inlineStr">
        <is>
          <t>Modular Hardware</t>
        </is>
      </c>
      <c r="D665" s="3" t="inlineStr">
        <is>
          <t>Common Accessories</t>
        </is>
      </c>
      <c r="E665" s="3" t="inlineStr">
        <is>
          <t>Generic</t>
        </is>
      </c>
      <c r="F665" s="3" t="inlineStr">
        <is>
          <t>Shelf Pin</t>
        </is>
      </c>
      <c r="H665" s="3" t="inlineStr">
        <is>
          <t>Finish</t>
        </is>
      </c>
      <c r="I665" s="3" t="inlineStr">
        <is>
          <t>Metal</t>
        </is>
      </c>
      <c r="Q665" s="3" t="inlineStr">
        <is>
          <t>Manufacturer's Warranty</t>
        </is>
      </c>
      <c r="Y665" s="3" t="inlineStr">
        <is>
          <t>GEN_Shelf_Pin_METAL</t>
        </is>
      </c>
      <c r="Z665" s="3" t="n">
        <v>8302</v>
      </c>
      <c r="AE665" s="3" t="n">
        <v>6</v>
      </c>
      <c r="AF665" s="4" t="n">
        <v>0.6</v>
      </c>
      <c r="AG665" s="3">
        <f>ROUND(AE665-(AE665*AF665),2)</f>
        <v/>
      </c>
      <c r="AH665" s="4" t="n">
        <v>0.18</v>
      </c>
      <c r="AI665" s="3">
        <f>ROUND(AG665+(AG665*AH665),2)</f>
        <v/>
      </c>
      <c r="AJ665" s="4" t="n">
        <v>0.3</v>
      </c>
      <c r="AK665" s="3">
        <f>ROUND(AI665*AJ665,2)</f>
        <v/>
      </c>
      <c r="AL665" s="3">
        <f>AI665+AK665</f>
        <v/>
      </c>
      <c r="AM665" s="3">
        <f>AE665-AL665</f>
        <v/>
      </c>
      <c r="AN665" s="4">
        <f>AM665/AE665</f>
        <v/>
      </c>
      <c r="AO665" s="3" t="inlineStr">
        <is>
          <t>60 mins</t>
        </is>
      </c>
      <c r="AQ665" s="3" t="inlineStr">
        <is>
          <t>Weight</t>
        </is>
      </c>
      <c r="AT665" s="3" t="inlineStr">
        <is>
          <t>60 mins</t>
        </is>
      </c>
    </row>
    <row r="666" ht="15.75" customHeight="1">
      <c r="A666" s="3" t="inlineStr">
        <is>
          <t>PROD_0164</t>
        </is>
      </c>
      <c r="B666" s="3" t="inlineStr">
        <is>
          <t>VAR_1</t>
        </is>
      </c>
      <c r="C666" s="3" t="inlineStr">
        <is>
          <t>Modular Hardware</t>
        </is>
      </c>
      <c r="D666" s="3" t="inlineStr">
        <is>
          <t>Fixtures</t>
        </is>
      </c>
      <c r="E666" s="3" t="inlineStr">
        <is>
          <t>Hettich</t>
        </is>
      </c>
      <c r="F666" s="3" t="inlineStr">
        <is>
          <t>Rastex (Minifix)</t>
        </is>
      </c>
      <c r="H666" s="3" t="inlineStr">
        <is>
          <t>Material</t>
        </is>
      </c>
      <c r="I666" s="3" t="inlineStr">
        <is>
          <t>Stainless Steel</t>
        </is>
      </c>
      <c r="J666" s="3" t="inlineStr">
        <is>
          <t>Size</t>
        </is>
      </c>
      <c r="K666" s="3" t="inlineStr">
        <is>
          <t>Silver</t>
        </is>
      </c>
      <c r="L666" s="3" t="inlineStr">
        <is>
          <t>Dimensions</t>
        </is>
      </c>
      <c r="M666" s="3" t="inlineStr">
        <is>
          <t>60 mm X 8 mm</t>
        </is>
      </c>
      <c r="Q666" s="3" t="inlineStr">
        <is>
          <t>Manufacturer's Warranty</t>
        </is>
      </c>
      <c r="R666" s="3" t="n">
        <v>9323002</v>
      </c>
      <c r="Y666" s="3" t="inlineStr">
        <is>
          <t>HT_MINIFIX</t>
        </is>
      </c>
      <c r="Z666" s="3" t="n">
        <v>8302</v>
      </c>
      <c r="AE666" s="3" t="n">
        <v>16</v>
      </c>
      <c r="AF666" s="4" t="n">
        <v>0.5</v>
      </c>
      <c r="AG666" s="3">
        <f>ROUND(AE666-(AE666*AF666),2)</f>
        <v/>
      </c>
      <c r="AH666" s="4" t="n">
        <v>0.18</v>
      </c>
      <c r="AI666" s="3">
        <f>ROUND(AG666+(AG666*AH666),2)</f>
        <v/>
      </c>
      <c r="AJ666" s="4" t="n">
        <v>0.2</v>
      </c>
      <c r="AK666" s="3">
        <f>ROUND(AI666*AJ666,2)</f>
        <v/>
      </c>
      <c r="AL666" s="3">
        <f>AI666+AK666</f>
        <v/>
      </c>
      <c r="AM666" s="3">
        <f>AE666-AL666</f>
        <v/>
      </c>
      <c r="AN666" s="4">
        <f>AM666/AE666</f>
        <v/>
      </c>
      <c r="AO666" s="3" t="inlineStr">
        <is>
          <t>60 mins</t>
        </is>
      </c>
      <c r="AQ666" s="3" t="inlineStr">
        <is>
          <t>Weight</t>
        </is>
      </c>
      <c r="AT666" s="3" t="inlineStr">
        <is>
          <t>60 mins</t>
        </is>
      </c>
    </row>
    <row r="667" ht="15.75" customHeight="1">
      <c r="A667" s="3" t="inlineStr">
        <is>
          <t>PROD_0165</t>
        </is>
      </c>
      <c r="B667" s="3" t="inlineStr">
        <is>
          <t>VAR_1</t>
        </is>
      </c>
      <c r="C667" s="3" t="inlineStr">
        <is>
          <t>Modular Hardware</t>
        </is>
      </c>
      <c r="D667" s="3" t="inlineStr">
        <is>
          <t>Fixtures</t>
        </is>
      </c>
      <c r="E667" s="3" t="inlineStr">
        <is>
          <t>Hettich</t>
        </is>
      </c>
      <c r="F667" s="3" t="inlineStr">
        <is>
          <t>Dowel</t>
        </is>
      </c>
      <c r="H667" s="3" t="inlineStr">
        <is>
          <t>Material</t>
        </is>
      </c>
      <c r="I667" s="3" t="inlineStr">
        <is>
          <t>Wooden</t>
        </is>
      </c>
      <c r="J667" s="3" t="inlineStr">
        <is>
          <t>Size</t>
        </is>
      </c>
      <c r="L667" s="3" t="inlineStr">
        <is>
          <t>Dimensions</t>
        </is>
      </c>
      <c r="M667" s="3" t="inlineStr">
        <is>
          <t>30 mm X 8 mm</t>
        </is>
      </c>
      <c r="Q667" s="3" t="inlineStr">
        <is>
          <t>Manufacturer's Warranty</t>
        </is>
      </c>
      <c r="R667" s="3" t="n">
        <v>9290706</v>
      </c>
      <c r="Y667" s="3" t="inlineStr">
        <is>
          <t>HT_FIX_DOWEL</t>
        </is>
      </c>
      <c r="Z667" s="3" t="n">
        <v>8302</v>
      </c>
      <c r="AE667" s="3" t="n">
        <v>1.11</v>
      </c>
      <c r="AF667" s="4" t="n">
        <v>0.6</v>
      </c>
      <c r="AG667" s="3">
        <f>ROUND(AE667-(AE667*AF667),2)</f>
        <v/>
      </c>
      <c r="AH667" s="4" t="n">
        <v>0.18</v>
      </c>
      <c r="AI667" s="3">
        <f>ROUND(AG667+(AG667*AH667),2)</f>
        <v/>
      </c>
      <c r="AJ667" s="4" t="n">
        <v>0.2</v>
      </c>
      <c r="AK667" s="3">
        <f>ROUND(AI667*AJ667,2)</f>
        <v/>
      </c>
      <c r="AL667" s="3">
        <f>AI667+AK667</f>
        <v/>
      </c>
      <c r="AM667" s="3">
        <f>AE667-AL667</f>
        <v/>
      </c>
      <c r="AN667" s="4">
        <f>AM667/AE667</f>
        <v/>
      </c>
      <c r="AO667" s="3" t="inlineStr">
        <is>
          <t>60 mins</t>
        </is>
      </c>
      <c r="AQ667" s="3" t="inlineStr">
        <is>
          <t>Weight</t>
        </is>
      </c>
      <c r="AT667" s="3" t="inlineStr">
        <is>
          <t>60 mins</t>
        </is>
      </c>
    </row>
    <row r="668" ht="15.75" customHeight="1">
      <c r="A668" s="3" t="inlineStr">
        <is>
          <t>PROD_0165</t>
        </is>
      </c>
      <c r="B668" s="3" t="inlineStr">
        <is>
          <t>VAR_2</t>
        </is>
      </c>
      <c r="C668" s="3" t="inlineStr">
        <is>
          <t>Modular Hardware</t>
        </is>
      </c>
      <c r="D668" s="3" t="inlineStr">
        <is>
          <t>Fixtures</t>
        </is>
      </c>
      <c r="E668" s="3" t="inlineStr">
        <is>
          <t>Hettich</t>
        </is>
      </c>
      <c r="F668" s="3" t="inlineStr">
        <is>
          <t>Dowel</t>
        </is>
      </c>
      <c r="H668" s="3" t="inlineStr">
        <is>
          <t>Material</t>
        </is>
      </c>
      <c r="I668" s="3" t="inlineStr">
        <is>
          <t>Wooden</t>
        </is>
      </c>
      <c r="J668" s="3" t="inlineStr">
        <is>
          <t>Size</t>
        </is>
      </c>
      <c r="L668" s="3" t="inlineStr">
        <is>
          <t>Dimensions</t>
        </is>
      </c>
      <c r="M668" s="3" t="inlineStr">
        <is>
          <t>35 mm X 8 mm</t>
        </is>
      </c>
      <c r="Q668" s="3" t="inlineStr">
        <is>
          <t>Manufacturer's Warranty</t>
        </is>
      </c>
      <c r="R668" s="3" t="n">
        <v>9290708</v>
      </c>
      <c r="Y668" s="3" t="inlineStr">
        <is>
          <t>HT_FIX_DOWEL</t>
        </is>
      </c>
      <c r="Z668" s="3" t="n">
        <v>8302</v>
      </c>
      <c r="AE668" s="3" t="n">
        <v>1.11</v>
      </c>
      <c r="AF668" s="4" t="n">
        <v>0.6</v>
      </c>
      <c r="AG668" s="3">
        <f>ROUND(AE668-(AE668*AF668),2)</f>
        <v/>
      </c>
      <c r="AH668" s="4" t="n">
        <v>0.18</v>
      </c>
      <c r="AI668" s="3">
        <f>ROUND(AG668+(AG668*AH668),2)</f>
        <v/>
      </c>
      <c r="AJ668" s="4" t="n">
        <v>0.2</v>
      </c>
      <c r="AK668" s="3">
        <f>ROUND(AI668*AJ668,2)</f>
        <v/>
      </c>
      <c r="AL668" s="3">
        <f>AI668+AK668</f>
        <v/>
      </c>
      <c r="AM668" s="3">
        <f>AE668-AL668</f>
        <v/>
      </c>
      <c r="AN668" s="4">
        <f>AM668/AE668</f>
        <v/>
      </c>
      <c r="AO668" s="3" t="inlineStr">
        <is>
          <t>60 mins</t>
        </is>
      </c>
      <c r="AQ668" s="3" t="inlineStr">
        <is>
          <t>Weight</t>
        </is>
      </c>
      <c r="AT668" s="3" t="inlineStr">
        <is>
          <t>60 mins</t>
        </is>
      </c>
    </row>
    <row r="669" ht="15.75" customHeight="1">
      <c r="A669" s="3" t="inlineStr">
        <is>
          <t>PROD_0165</t>
        </is>
      </c>
      <c r="B669" s="3" t="inlineStr">
        <is>
          <t>VAR_3</t>
        </is>
      </c>
      <c r="C669" s="3" t="inlineStr">
        <is>
          <t>Modular Hardware</t>
        </is>
      </c>
      <c r="D669" s="3" t="inlineStr">
        <is>
          <t>Fixtures</t>
        </is>
      </c>
      <c r="E669" s="3" t="inlineStr">
        <is>
          <t>Hettich</t>
        </is>
      </c>
      <c r="F669" s="3" t="inlineStr">
        <is>
          <t>Dowel</t>
        </is>
      </c>
      <c r="H669" s="3" t="inlineStr">
        <is>
          <t>Material</t>
        </is>
      </c>
      <c r="I669" s="3" t="inlineStr">
        <is>
          <t>Wooden</t>
        </is>
      </c>
      <c r="J669" s="3" t="inlineStr">
        <is>
          <t>Size</t>
        </is>
      </c>
      <c r="L669" s="3" t="inlineStr">
        <is>
          <t>Dimensions</t>
        </is>
      </c>
      <c r="M669" s="3" t="inlineStr">
        <is>
          <t>40 mm X 8 mm</t>
        </is>
      </c>
      <c r="Q669" s="3" t="inlineStr">
        <is>
          <t>Manufacturer's Warranty</t>
        </is>
      </c>
      <c r="R669" s="3" t="n">
        <v>9102465</v>
      </c>
      <c r="Y669" s="3" t="inlineStr">
        <is>
          <t>HT_FIX_DOWEL</t>
        </is>
      </c>
      <c r="Z669" s="3" t="n">
        <v>8302</v>
      </c>
      <c r="AE669" s="3" t="n">
        <v>1.25</v>
      </c>
      <c r="AF669" s="4" t="n">
        <v>0.6</v>
      </c>
      <c r="AG669" s="3">
        <f>ROUND(AE669-(AE669*AF669),2)</f>
        <v/>
      </c>
      <c r="AH669" s="4" t="n">
        <v>0.18</v>
      </c>
      <c r="AI669" s="3">
        <f>ROUND(AG669+(AG669*AH669),2)</f>
        <v/>
      </c>
      <c r="AJ669" s="4" t="n">
        <v>0.2</v>
      </c>
      <c r="AK669" s="3">
        <f>ROUND(AI669*AJ669,2)</f>
        <v/>
      </c>
      <c r="AL669" s="3">
        <f>AI669+AK669</f>
        <v/>
      </c>
      <c r="AM669" s="3">
        <f>AE669-AL669</f>
        <v/>
      </c>
      <c r="AN669" s="4">
        <f>AM669/AE669</f>
        <v/>
      </c>
      <c r="AO669" s="3" t="inlineStr">
        <is>
          <t>60 mins</t>
        </is>
      </c>
      <c r="AQ669" s="3" t="inlineStr">
        <is>
          <t>Weight</t>
        </is>
      </c>
      <c r="AT669" s="3" t="inlineStr">
        <is>
          <t>60 mins</t>
        </is>
      </c>
    </row>
    <row r="670" ht="15.75" customHeight="1">
      <c r="A670" s="3" t="inlineStr">
        <is>
          <t>PROD_0166</t>
        </is>
      </c>
      <c r="B670" s="3" t="inlineStr">
        <is>
          <t>VAR_1</t>
        </is>
      </c>
      <c r="C670" s="3" t="inlineStr">
        <is>
          <t>Modular Hardware</t>
        </is>
      </c>
      <c r="D670" s="3" t="inlineStr">
        <is>
          <t>Fixtures</t>
        </is>
      </c>
      <c r="E670" s="3" t="inlineStr">
        <is>
          <t>Inox</t>
        </is>
      </c>
      <c r="F670" s="3" t="inlineStr">
        <is>
          <t>Minifix (2 part)</t>
        </is>
      </c>
      <c r="H670" s="3" t="inlineStr">
        <is>
          <t>Material</t>
        </is>
      </c>
      <c r="I670" s="3" t="inlineStr">
        <is>
          <t>Stainless Steel</t>
        </is>
      </c>
      <c r="J670" s="3" t="inlineStr">
        <is>
          <t>Size</t>
        </is>
      </c>
      <c r="K670" s="3" t="inlineStr">
        <is>
          <t>Silver</t>
        </is>
      </c>
      <c r="L670" s="3" t="inlineStr">
        <is>
          <t>Dimensions</t>
        </is>
      </c>
      <c r="M670" s="3" t="inlineStr">
        <is>
          <t>60 mm X 6 mm</t>
        </is>
      </c>
      <c r="Q670" s="3" t="inlineStr">
        <is>
          <t>Manufacturer's Warranty</t>
        </is>
      </c>
      <c r="R670" s="3" t="inlineStr">
        <is>
          <t>K6.02.102</t>
        </is>
      </c>
      <c r="Y670" s="3" t="inlineStr">
        <is>
          <t>INOX_FIX_MINIFIX</t>
        </is>
      </c>
      <c r="Z670" s="3" t="n">
        <v>8302</v>
      </c>
      <c r="AE670" s="3" t="n">
        <v>10</v>
      </c>
      <c r="AF670" s="4" t="n">
        <v>0.5</v>
      </c>
      <c r="AG670" s="3">
        <f>ROUND(AE670-(AE670*AF670),2)</f>
        <v/>
      </c>
      <c r="AH670" s="4" t="n">
        <v>0.18</v>
      </c>
      <c r="AI670" s="3">
        <f>ROUND(AG670+(AG670*AH670),2)</f>
        <v/>
      </c>
      <c r="AJ670" s="4" t="n">
        <v>0.2</v>
      </c>
      <c r="AK670" s="3">
        <f>ROUND(AI670*AJ670,2)</f>
        <v/>
      </c>
      <c r="AL670" s="3">
        <f>AI670+AK670</f>
        <v/>
      </c>
      <c r="AM670" s="3">
        <f>AE670-AL670</f>
        <v/>
      </c>
      <c r="AN670" s="4">
        <f>AM670/AE670</f>
        <v/>
      </c>
      <c r="AO670" s="3" t="inlineStr">
        <is>
          <t>60 mins</t>
        </is>
      </c>
      <c r="AQ670" s="3" t="inlineStr">
        <is>
          <t>Weight</t>
        </is>
      </c>
      <c r="AT670" s="3" t="inlineStr">
        <is>
          <t>3 hrs</t>
        </is>
      </c>
    </row>
    <row r="671" ht="15.75" customHeight="1">
      <c r="A671" s="3" t="inlineStr">
        <is>
          <t>PROD_0167</t>
        </is>
      </c>
      <c r="B671" s="3" t="inlineStr">
        <is>
          <t>VAR_1</t>
        </is>
      </c>
      <c r="C671" s="3" t="inlineStr">
        <is>
          <t>Modular Hardware</t>
        </is>
      </c>
      <c r="D671" s="3" t="inlineStr">
        <is>
          <t>Fixtures</t>
        </is>
      </c>
      <c r="E671" s="3" t="inlineStr">
        <is>
          <t>Inox</t>
        </is>
      </c>
      <c r="F671" s="3" t="inlineStr">
        <is>
          <t>Minifix (3 part)</t>
        </is>
      </c>
      <c r="H671" s="3" t="inlineStr">
        <is>
          <t>Material</t>
        </is>
      </c>
      <c r="I671" s="3" t="inlineStr">
        <is>
          <t>Stainless Steel</t>
        </is>
      </c>
      <c r="J671" s="3" t="inlineStr">
        <is>
          <t>Size</t>
        </is>
      </c>
      <c r="K671" s="3" t="inlineStr">
        <is>
          <t>Silver</t>
        </is>
      </c>
      <c r="L671" s="3" t="inlineStr">
        <is>
          <t>Dimensions</t>
        </is>
      </c>
      <c r="M671" s="3" t="inlineStr">
        <is>
          <t>60 mm X 6 mm</t>
        </is>
      </c>
      <c r="Q671" s="3" t="inlineStr">
        <is>
          <t>Manufacturer's Warranty</t>
        </is>
      </c>
      <c r="R671" s="3" t="inlineStr">
        <is>
          <t>K6.02.101</t>
        </is>
      </c>
      <c r="Y671" s="3" t="inlineStr">
        <is>
          <t>INOX_FIX_MINIFIX</t>
        </is>
      </c>
      <c r="Z671" s="3" t="n">
        <v>8302</v>
      </c>
      <c r="AE671" s="3" t="n">
        <v>13</v>
      </c>
      <c r="AF671" s="4" t="n">
        <v>0.5</v>
      </c>
      <c r="AG671" s="3">
        <f>ROUND(AE671-(AE671*AF671),2)</f>
        <v/>
      </c>
      <c r="AH671" s="4" t="n">
        <v>0.18</v>
      </c>
      <c r="AI671" s="3">
        <f>ROUND(AG671+(AG671*AH671),2)</f>
        <v/>
      </c>
      <c r="AJ671" s="4" t="n">
        <v>0.2</v>
      </c>
      <c r="AK671" s="3">
        <f>ROUND(AI671*AJ671,2)</f>
        <v/>
      </c>
      <c r="AL671" s="3">
        <f>AI671+AK671</f>
        <v/>
      </c>
      <c r="AM671" s="3">
        <f>AE671-AL671</f>
        <v/>
      </c>
      <c r="AN671" s="4">
        <f>AM671/AE671</f>
        <v/>
      </c>
      <c r="AO671" s="3" t="inlineStr">
        <is>
          <t>60 mins</t>
        </is>
      </c>
      <c r="AQ671" s="3" t="inlineStr">
        <is>
          <t>Weight</t>
        </is>
      </c>
      <c r="AT671" s="3" t="inlineStr">
        <is>
          <t>3 hrs</t>
        </is>
      </c>
    </row>
    <row r="672" ht="15.75" customHeight="1">
      <c r="A672" s="3" t="inlineStr">
        <is>
          <t>PROD_0168</t>
        </is>
      </c>
      <c r="B672" s="3" t="inlineStr">
        <is>
          <t>VAR_1</t>
        </is>
      </c>
      <c r="C672" s="3" t="inlineStr">
        <is>
          <t>Modular Hardware</t>
        </is>
      </c>
      <c r="D672" s="3" t="inlineStr">
        <is>
          <t>Fixtures</t>
        </is>
      </c>
      <c r="E672" s="3" t="inlineStr">
        <is>
          <t>Inox</t>
        </is>
      </c>
      <c r="F672" s="3" t="inlineStr">
        <is>
          <t>Dowel</t>
        </is>
      </c>
      <c r="H672" s="3" t="inlineStr">
        <is>
          <t>Material</t>
        </is>
      </c>
      <c r="I672" s="3" t="inlineStr">
        <is>
          <t>Wooden</t>
        </is>
      </c>
      <c r="J672" s="3" t="inlineStr">
        <is>
          <t>Size</t>
        </is>
      </c>
      <c r="L672" s="3" t="inlineStr">
        <is>
          <t>Dimensions</t>
        </is>
      </c>
      <c r="M672" s="3" t="inlineStr">
        <is>
          <t>40 mm X 8 mm</t>
        </is>
      </c>
      <c r="Q672" s="3" t="inlineStr">
        <is>
          <t>Manufacturer's Warranty</t>
        </is>
      </c>
      <c r="R672" s="3" t="inlineStr">
        <is>
          <t>K7.01.102</t>
        </is>
      </c>
      <c r="Y672" s="3" t="inlineStr">
        <is>
          <t>INOX_FIX_DOWEL</t>
        </is>
      </c>
      <c r="Z672" s="3" t="n">
        <v>8302</v>
      </c>
      <c r="AE672" s="3" t="n">
        <v>0.88</v>
      </c>
      <c r="AF672" s="4" t="n">
        <v>0.5</v>
      </c>
      <c r="AG672" s="3">
        <f>ROUND(AE672-(AE672*AF672),2)</f>
        <v/>
      </c>
      <c r="AH672" s="4" t="n">
        <v>0.18</v>
      </c>
      <c r="AI672" s="3">
        <f>ROUND(AG672+(AG672*AH672),2)</f>
        <v/>
      </c>
      <c r="AJ672" s="4" t="n">
        <v>0.2</v>
      </c>
      <c r="AK672" s="3">
        <f>ROUND(AI672*AJ672,2)</f>
        <v/>
      </c>
      <c r="AL672" s="3">
        <f>AI672+AK672</f>
        <v/>
      </c>
      <c r="AM672" s="3">
        <f>AE672-AL672</f>
        <v/>
      </c>
      <c r="AN672" s="4">
        <f>AM672/AE672</f>
        <v/>
      </c>
      <c r="AO672" s="3" t="inlineStr">
        <is>
          <t>60 mins</t>
        </is>
      </c>
      <c r="AQ672" s="3" t="inlineStr">
        <is>
          <t>Weight</t>
        </is>
      </c>
      <c r="AT672" s="3" t="inlineStr">
        <is>
          <t>3 hrs</t>
        </is>
      </c>
    </row>
    <row r="673" ht="15.75" customHeight="1">
      <c r="A673" s="3" t="inlineStr">
        <is>
          <t>PROD_0169</t>
        </is>
      </c>
      <c r="B673" s="3" t="inlineStr">
        <is>
          <t>VAR_1</t>
        </is>
      </c>
      <c r="C673" s="3" t="inlineStr">
        <is>
          <t>Modular Hardware</t>
        </is>
      </c>
      <c r="D673" s="3" t="inlineStr">
        <is>
          <t>Fixtures</t>
        </is>
      </c>
      <c r="E673" s="3" t="inlineStr">
        <is>
          <t>Generic</t>
        </is>
      </c>
      <c r="F673" s="3" t="inlineStr">
        <is>
          <t>Screws</t>
        </is>
      </c>
      <c r="H673" s="3" t="inlineStr">
        <is>
          <t>Material</t>
        </is>
      </c>
      <c r="I673" s="3" t="inlineStr">
        <is>
          <t>Stainless Steel</t>
        </is>
      </c>
      <c r="J673" s="3" t="inlineStr">
        <is>
          <t>Color</t>
        </is>
      </c>
      <c r="K673" s="3" t="inlineStr">
        <is>
          <t>Silver</t>
        </is>
      </c>
      <c r="L673" s="3" t="inlineStr">
        <is>
          <t>Size</t>
        </is>
      </c>
      <c r="M673" s="3" t="inlineStr">
        <is>
          <t>.75 inch (20 mm)</t>
        </is>
      </c>
      <c r="Q673" s="3" t="inlineStr">
        <is>
          <t>Manufacturer's Warranty</t>
        </is>
      </c>
      <c r="Y673" s="3" t="inlineStr">
        <is>
          <t>GEN_FIX_SCREW_SILVER</t>
        </is>
      </c>
      <c r="Z673" s="3" t="n">
        <v>8302</v>
      </c>
      <c r="AA673" s="3" t="inlineStr">
        <is>
          <t>box</t>
        </is>
      </c>
      <c r="AE673" s="3" t="n">
        <v>700</v>
      </c>
      <c r="AF673" s="4" t="n">
        <v>0.5</v>
      </c>
      <c r="AG673" s="3">
        <f>ROUND(AE673-(AE673*AF673),2)</f>
        <v/>
      </c>
      <c r="AH673" s="4" t="n">
        <v>0.18</v>
      </c>
      <c r="AI673" s="3">
        <f>ROUND(AG673+(AG673*AH673),2)</f>
        <v/>
      </c>
      <c r="AJ673" s="4" t="n">
        <v>0.2</v>
      </c>
      <c r="AK673" s="3">
        <f>ROUND(AI673*AJ673,2)</f>
        <v/>
      </c>
      <c r="AL673" s="3">
        <f>AI673+AK673</f>
        <v/>
      </c>
      <c r="AM673" s="3">
        <f>AE673-AL673</f>
        <v/>
      </c>
      <c r="AN673" s="4">
        <f>AM673/AE673</f>
        <v/>
      </c>
      <c r="AO673" s="3" t="inlineStr">
        <is>
          <t>60 mins</t>
        </is>
      </c>
      <c r="AQ673" s="3" t="inlineStr">
        <is>
          <t>Weight</t>
        </is>
      </c>
      <c r="AS673" s="3" t="inlineStr">
        <is>
          <t>1000 Pcs Box( Strong Holding Power: Precision-cut, deep threads are designed for optimal holding power in wood and other materials. )</t>
        </is>
      </c>
      <c r="AT673" s="3" t="inlineStr">
        <is>
          <t>60 mins</t>
        </is>
      </c>
    </row>
    <row r="674" ht="15.75" customHeight="1">
      <c r="A674" s="3" t="inlineStr">
        <is>
          <t>PROD_0169</t>
        </is>
      </c>
      <c r="B674" s="3" t="inlineStr">
        <is>
          <t>VAR_2</t>
        </is>
      </c>
      <c r="C674" s="3" t="inlineStr">
        <is>
          <t>Modular Hardware</t>
        </is>
      </c>
      <c r="D674" s="3" t="inlineStr">
        <is>
          <t>Fixtures</t>
        </is>
      </c>
      <c r="E674" s="3" t="inlineStr">
        <is>
          <t>Generic</t>
        </is>
      </c>
      <c r="F674" s="3" t="inlineStr">
        <is>
          <t>Screws</t>
        </is>
      </c>
      <c r="H674" s="3" t="inlineStr">
        <is>
          <t>Material</t>
        </is>
      </c>
      <c r="I674" s="3" t="inlineStr">
        <is>
          <t>Stainless Steel</t>
        </is>
      </c>
      <c r="J674" s="3" t="inlineStr">
        <is>
          <t>Color</t>
        </is>
      </c>
      <c r="K674" s="3" t="inlineStr">
        <is>
          <t>Silver</t>
        </is>
      </c>
      <c r="L674" s="3" t="inlineStr">
        <is>
          <t>Size</t>
        </is>
      </c>
      <c r="M674" s="3" t="inlineStr">
        <is>
          <t>1 inch (25 mm)</t>
        </is>
      </c>
      <c r="Q674" s="3" t="inlineStr">
        <is>
          <t>Manufacturer's Warranty</t>
        </is>
      </c>
      <c r="Y674" s="3" t="inlineStr">
        <is>
          <t>GEN_FIX_SCREW</t>
        </is>
      </c>
      <c r="Z674" s="3" t="n">
        <v>8302</v>
      </c>
      <c r="AA674" s="3" t="inlineStr">
        <is>
          <t>box</t>
        </is>
      </c>
      <c r="AE674" s="3" t="n">
        <v>925</v>
      </c>
      <c r="AF674" s="4" t="n">
        <v>0.5</v>
      </c>
      <c r="AG674" s="3">
        <f>ROUND(AE674-(AE674*AF674),2)</f>
        <v/>
      </c>
      <c r="AH674" s="4" t="n">
        <v>0.18</v>
      </c>
      <c r="AI674" s="3">
        <f>ROUND(AG674+(AG674*AH674),2)</f>
        <v/>
      </c>
      <c r="AJ674" s="4" t="n">
        <v>0.2</v>
      </c>
      <c r="AK674" s="3">
        <f>ROUND(AI674*AJ674,2)</f>
        <v/>
      </c>
      <c r="AL674" s="3">
        <f>AI674+AK674</f>
        <v/>
      </c>
      <c r="AM674" s="3">
        <f>AE674-AL674</f>
        <v/>
      </c>
      <c r="AN674" s="4">
        <f>AM674/AE674</f>
        <v/>
      </c>
      <c r="AO674" s="3" t="inlineStr">
        <is>
          <t>60 mins</t>
        </is>
      </c>
      <c r="AQ674" s="3" t="inlineStr">
        <is>
          <t>Weight</t>
        </is>
      </c>
      <c r="AS674" s="3" t="inlineStr">
        <is>
          <t>1000 Pcs Box</t>
        </is>
      </c>
      <c r="AT674" s="3" t="inlineStr">
        <is>
          <t>60 mins</t>
        </is>
      </c>
    </row>
    <row r="675" ht="15.75" customHeight="1">
      <c r="A675" s="3" t="inlineStr">
        <is>
          <t>PROD_0169</t>
        </is>
      </c>
      <c r="B675" s="3" t="inlineStr">
        <is>
          <t>VAR_3</t>
        </is>
      </c>
      <c r="C675" s="3" t="inlineStr">
        <is>
          <t>Modular Hardware</t>
        </is>
      </c>
      <c r="D675" s="3" t="inlineStr">
        <is>
          <t>Fixtures</t>
        </is>
      </c>
      <c r="E675" s="3" t="inlineStr">
        <is>
          <t>Generic</t>
        </is>
      </c>
      <c r="F675" s="3" t="inlineStr">
        <is>
          <t>Screws</t>
        </is>
      </c>
      <c r="H675" s="3" t="inlineStr">
        <is>
          <t>Material</t>
        </is>
      </c>
      <c r="I675" s="3" t="inlineStr">
        <is>
          <t>Stainless Steel</t>
        </is>
      </c>
      <c r="J675" s="3" t="inlineStr">
        <is>
          <t>Color</t>
        </is>
      </c>
      <c r="K675" s="3" t="inlineStr">
        <is>
          <t>Silver</t>
        </is>
      </c>
      <c r="L675" s="3" t="inlineStr">
        <is>
          <t>Size</t>
        </is>
      </c>
      <c r="M675" s="3" t="inlineStr">
        <is>
          <t>1.25 inch (30 mm)</t>
        </is>
      </c>
      <c r="Q675" s="3" t="inlineStr">
        <is>
          <t>Manufacturer's Warranty</t>
        </is>
      </c>
      <c r="Y675" s="3" t="inlineStr">
        <is>
          <t>GEN_FIX_SCREW</t>
        </is>
      </c>
      <c r="Z675" s="3" t="n">
        <v>8302</v>
      </c>
      <c r="AA675" s="3" t="inlineStr">
        <is>
          <t>box</t>
        </is>
      </c>
      <c r="AE675" s="3" t="n">
        <v>1025</v>
      </c>
      <c r="AF675" s="4" t="n">
        <v>0.5</v>
      </c>
      <c r="AG675" s="3">
        <f>ROUND(AE675-(AE675*AF675),2)</f>
        <v/>
      </c>
      <c r="AH675" s="4" t="n">
        <v>0.18</v>
      </c>
      <c r="AI675" s="3">
        <f>ROUND(AG675+(AG675*AH675),2)</f>
        <v/>
      </c>
      <c r="AJ675" s="4" t="n">
        <v>0.2</v>
      </c>
      <c r="AK675" s="3">
        <f>ROUND(AI675*AJ675,2)</f>
        <v/>
      </c>
      <c r="AL675" s="3">
        <f>AI675+AK675</f>
        <v/>
      </c>
      <c r="AM675" s="3">
        <f>AE675-AL675</f>
        <v/>
      </c>
      <c r="AN675" s="4">
        <f>AM675/AE675</f>
        <v/>
      </c>
      <c r="AO675" s="3" t="inlineStr">
        <is>
          <t>60 mins</t>
        </is>
      </c>
      <c r="AQ675" s="3" t="inlineStr">
        <is>
          <t>Weight</t>
        </is>
      </c>
      <c r="AS675" s="3" t="inlineStr">
        <is>
          <t>1000 Pcs Box</t>
        </is>
      </c>
      <c r="AT675" s="3" t="inlineStr">
        <is>
          <t>60 mins</t>
        </is>
      </c>
    </row>
    <row r="676" ht="15.75" customHeight="1">
      <c r="A676" s="3" t="inlineStr">
        <is>
          <t>PROD_0169</t>
        </is>
      </c>
      <c r="B676" s="3" t="inlineStr">
        <is>
          <t>VAR_4</t>
        </is>
      </c>
      <c r="C676" s="3" t="inlineStr">
        <is>
          <t>Modular Hardware</t>
        </is>
      </c>
      <c r="D676" s="3" t="inlineStr">
        <is>
          <t>Fixtures</t>
        </is>
      </c>
      <c r="E676" s="3" t="inlineStr">
        <is>
          <t>Generic</t>
        </is>
      </c>
      <c r="F676" s="3" t="inlineStr">
        <is>
          <t>Screws</t>
        </is>
      </c>
      <c r="H676" s="3" t="inlineStr">
        <is>
          <t>Material</t>
        </is>
      </c>
      <c r="I676" s="3" t="inlineStr">
        <is>
          <t>Stainless Steel</t>
        </is>
      </c>
      <c r="J676" s="3" t="inlineStr">
        <is>
          <t>Color</t>
        </is>
      </c>
      <c r="K676" s="3" t="inlineStr">
        <is>
          <t>Silver</t>
        </is>
      </c>
      <c r="L676" s="3" t="inlineStr">
        <is>
          <t>Size</t>
        </is>
      </c>
      <c r="M676" s="3" t="inlineStr">
        <is>
          <t>1.5 inch (40 mm)</t>
        </is>
      </c>
      <c r="Q676" s="3" t="inlineStr">
        <is>
          <t>Manufacturer's Warranty</t>
        </is>
      </c>
      <c r="Y676" s="3" t="inlineStr">
        <is>
          <t>GEN_FIX_SCREW</t>
        </is>
      </c>
      <c r="Z676" s="3" t="n">
        <v>8302</v>
      </c>
      <c r="AA676" s="3" t="inlineStr">
        <is>
          <t>box</t>
        </is>
      </c>
      <c r="AE676" s="3" t="n">
        <v>650</v>
      </c>
      <c r="AF676" s="4" t="n">
        <v>0.5</v>
      </c>
      <c r="AG676" s="3">
        <f>ROUND(AE676-(AE676*AF676),2)</f>
        <v/>
      </c>
      <c r="AH676" s="4" t="n">
        <v>0.18</v>
      </c>
      <c r="AI676" s="3">
        <f>ROUND(AG676+(AG676*AH676),2)</f>
        <v/>
      </c>
      <c r="AJ676" s="4" t="n">
        <v>0.2</v>
      </c>
      <c r="AK676" s="3">
        <f>ROUND(AI676*AJ676,2)</f>
        <v/>
      </c>
      <c r="AL676" s="3">
        <f>AI676+AK676</f>
        <v/>
      </c>
      <c r="AM676" s="3">
        <f>AE676-AL676</f>
        <v/>
      </c>
      <c r="AN676" s="4">
        <f>AM676/AE676</f>
        <v/>
      </c>
      <c r="AO676" s="3" t="inlineStr">
        <is>
          <t>60 mins</t>
        </is>
      </c>
      <c r="AQ676" s="3" t="inlineStr">
        <is>
          <t>Weight</t>
        </is>
      </c>
      <c r="AS676" s="3" t="inlineStr">
        <is>
          <t>500 Pcs Box</t>
        </is>
      </c>
      <c r="AT676" s="3" t="inlineStr">
        <is>
          <t>60 mins</t>
        </is>
      </c>
    </row>
    <row r="677" ht="15.75" customHeight="1">
      <c r="A677" s="3" t="inlineStr">
        <is>
          <t>PROD_0169</t>
        </is>
      </c>
      <c r="B677" s="3" t="inlineStr">
        <is>
          <t>VAR_5</t>
        </is>
      </c>
      <c r="C677" s="3" t="inlineStr">
        <is>
          <t>Modular Hardware</t>
        </is>
      </c>
      <c r="D677" s="3" t="inlineStr">
        <is>
          <t>Fixtures</t>
        </is>
      </c>
      <c r="E677" s="3" t="inlineStr">
        <is>
          <t>Generic</t>
        </is>
      </c>
      <c r="F677" s="3" t="inlineStr">
        <is>
          <t>Screws</t>
        </is>
      </c>
      <c r="H677" s="3" t="inlineStr">
        <is>
          <t>Material</t>
        </is>
      </c>
      <c r="I677" s="3" t="inlineStr">
        <is>
          <t>Stainless Steel</t>
        </is>
      </c>
      <c r="J677" s="3" t="inlineStr">
        <is>
          <t>Color</t>
        </is>
      </c>
      <c r="K677" s="3" t="inlineStr">
        <is>
          <t>Silver</t>
        </is>
      </c>
      <c r="L677" s="3" t="inlineStr">
        <is>
          <t>Size</t>
        </is>
      </c>
      <c r="M677" s="3" t="inlineStr">
        <is>
          <t>2 inch (50 mm)</t>
        </is>
      </c>
      <c r="Q677" s="3" t="inlineStr">
        <is>
          <t>Manufacturer's Warranty</t>
        </is>
      </c>
      <c r="Y677" s="3" t="inlineStr">
        <is>
          <t>GEN_FIX_SCREW</t>
        </is>
      </c>
      <c r="Z677" s="3" t="n">
        <v>8302</v>
      </c>
      <c r="AA677" s="3" t="inlineStr">
        <is>
          <t>box</t>
        </is>
      </c>
      <c r="AE677" s="3" t="n">
        <v>900</v>
      </c>
      <c r="AF677" s="4" t="n">
        <v>0.5</v>
      </c>
      <c r="AG677" s="3">
        <f>ROUND(AE677-(AE677*AF677),2)</f>
        <v/>
      </c>
      <c r="AH677" s="4" t="n">
        <v>0.18</v>
      </c>
      <c r="AI677" s="3">
        <f>ROUND(AG677+(AG677*AH677),2)</f>
        <v/>
      </c>
      <c r="AJ677" s="4" t="n">
        <v>0.2</v>
      </c>
      <c r="AK677" s="3">
        <f>ROUND(AI677*AJ677,2)</f>
        <v/>
      </c>
      <c r="AL677" s="3">
        <f>AI677+AK677</f>
        <v/>
      </c>
      <c r="AM677" s="3">
        <f>AE677-AL677</f>
        <v/>
      </c>
      <c r="AN677" s="4">
        <f>AM677/AE677</f>
        <v/>
      </c>
      <c r="AO677" s="3" t="inlineStr">
        <is>
          <t>60 mins</t>
        </is>
      </c>
      <c r="AQ677" s="3" t="inlineStr">
        <is>
          <t>Weight</t>
        </is>
      </c>
      <c r="AS677" s="3" t="inlineStr">
        <is>
          <t>500 Pcs Box</t>
        </is>
      </c>
      <c r="AT677" s="3" t="inlineStr">
        <is>
          <t>60 mins</t>
        </is>
      </c>
    </row>
    <row r="678" ht="15.75" customHeight="1">
      <c r="A678" s="3" t="inlineStr">
        <is>
          <t>PROD_0169</t>
        </is>
      </c>
      <c r="B678" s="3" t="inlineStr">
        <is>
          <t>VAR_6</t>
        </is>
      </c>
      <c r="C678" s="3" t="inlineStr">
        <is>
          <t>Modular Hardware</t>
        </is>
      </c>
      <c r="D678" s="3" t="inlineStr">
        <is>
          <t>Fixtures</t>
        </is>
      </c>
      <c r="E678" s="3" t="inlineStr">
        <is>
          <t>Generic</t>
        </is>
      </c>
      <c r="F678" s="3" t="inlineStr">
        <is>
          <t>Screws</t>
        </is>
      </c>
      <c r="H678" s="3" t="inlineStr">
        <is>
          <t>Material</t>
        </is>
      </c>
      <c r="I678" s="3" t="inlineStr">
        <is>
          <t>Stainless Steel</t>
        </is>
      </c>
      <c r="J678" s="3" t="inlineStr">
        <is>
          <t>Color</t>
        </is>
      </c>
      <c r="K678" s="3" t="inlineStr">
        <is>
          <t>Black</t>
        </is>
      </c>
      <c r="L678" s="3" t="inlineStr">
        <is>
          <t>Size</t>
        </is>
      </c>
      <c r="M678" s="3" t="inlineStr">
        <is>
          <t>.75 inch (20 mm)</t>
        </is>
      </c>
      <c r="Q678" s="3" t="inlineStr">
        <is>
          <t>Manufacturer's Warranty</t>
        </is>
      </c>
      <c r="Y678" s="3" t="inlineStr">
        <is>
          <t>GEN_FIX_SCREW_SILVER</t>
        </is>
      </c>
      <c r="Z678" s="3" t="n">
        <v>8302</v>
      </c>
      <c r="AA678" s="3" t="inlineStr">
        <is>
          <t>box</t>
        </is>
      </c>
      <c r="AE678" s="3" t="n">
        <v>700</v>
      </c>
      <c r="AF678" s="4" t="n">
        <v>0.5</v>
      </c>
      <c r="AG678" s="3">
        <f>ROUND(AE678-(AE678*AF678),2)</f>
        <v/>
      </c>
      <c r="AH678" s="4" t="n">
        <v>0.18</v>
      </c>
      <c r="AI678" s="3">
        <f>ROUND(AG678+(AG678*AH678),2)</f>
        <v/>
      </c>
      <c r="AJ678" s="4" t="n">
        <v>0.2</v>
      </c>
      <c r="AK678" s="3">
        <f>ROUND(AI678*AJ678,2)</f>
        <v/>
      </c>
      <c r="AL678" s="3">
        <f>AI678+AK678</f>
        <v/>
      </c>
      <c r="AM678" s="3">
        <f>AE678-AL678</f>
        <v/>
      </c>
      <c r="AN678" s="4">
        <f>AM678/AE678</f>
        <v/>
      </c>
      <c r="AO678" s="3" t="inlineStr">
        <is>
          <t>60 mins</t>
        </is>
      </c>
      <c r="AQ678" s="3" t="inlineStr">
        <is>
          <t>Weight</t>
        </is>
      </c>
      <c r="AS678" s="3" t="inlineStr">
        <is>
          <t>1000 Pcs Box( Strong Holding Power: Precision-cut, deep threads are designed for optimal holding power in wood and other materials. )</t>
        </is>
      </c>
      <c r="AT678" s="3" t="inlineStr">
        <is>
          <t>60 mins</t>
        </is>
      </c>
    </row>
    <row r="679" ht="15.75" customHeight="1">
      <c r="A679" s="3" t="inlineStr">
        <is>
          <t>PROD_0169</t>
        </is>
      </c>
      <c r="B679" s="3" t="inlineStr">
        <is>
          <t>VAR_7</t>
        </is>
      </c>
      <c r="C679" s="3" t="inlineStr">
        <is>
          <t>Modular Hardware</t>
        </is>
      </c>
      <c r="D679" s="3" t="inlineStr">
        <is>
          <t>Fixtures</t>
        </is>
      </c>
      <c r="E679" s="3" t="inlineStr">
        <is>
          <t>Generic</t>
        </is>
      </c>
      <c r="F679" s="3" t="inlineStr">
        <is>
          <t>Screws</t>
        </is>
      </c>
      <c r="H679" s="3" t="inlineStr">
        <is>
          <t>Material</t>
        </is>
      </c>
      <c r="I679" s="3" t="inlineStr">
        <is>
          <t>Stainless Steel</t>
        </is>
      </c>
      <c r="J679" s="3" t="inlineStr">
        <is>
          <t>Color</t>
        </is>
      </c>
      <c r="K679" s="3" t="inlineStr">
        <is>
          <t>Black</t>
        </is>
      </c>
      <c r="L679" s="3" t="inlineStr">
        <is>
          <t>Size</t>
        </is>
      </c>
      <c r="M679" s="3" t="inlineStr">
        <is>
          <t>1 inch (25 mm)</t>
        </is>
      </c>
      <c r="Q679" s="3" t="inlineStr">
        <is>
          <t>Manufacturer's Warranty</t>
        </is>
      </c>
      <c r="Y679" s="3" t="inlineStr">
        <is>
          <t>GEN_FIX_SCREW</t>
        </is>
      </c>
      <c r="Z679" s="3" t="n">
        <v>8302</v>
      </c>
      <c r="AA679" s="3" t="inlineStr">
        <is>
          <t>box</t>
        </is>
      </c>
      <c r="AE679" s="3" t="n">
        <v>925</v>
      </c>
      <c r="AF679" s="4" t="n">
        <v>0.5</v>
      </c>
      <c r="AG679" s="3">
        <f>ROUND(AE679-(AE679*AF679),2)</f>
        <v/>
      </c>
      <c r="AH679" s="4" t="n">
        <v>0.18</v>
      </c>
      <c r="AI679" s="3">
        <f>ROUND(AG679+(AG679*AH679),2)</f>
        <v/>
      </c>
      <c r="AJ679" s="4" t="n">
        <v>0.2</v>
      </c>
      <c r="AK679" s="3">
        <f>ROUND(AI679*AJ679,2)</f>
        <v/>
      </c>
      <c r="AL679" s="3">
        <f>AI679+AK679</f>
        <v/>
      </c>
      <c r="AM679" s="3">
        <f>AE679-AL679</f>
        <v/>
      </c>
      <c r="AN679" s="4">
        <f>AM679/AE679</f>
        <v/>
      </c>
      <c r="AO679" s="3" t="inlineStr">
        <is>
          <t>60 mins</t>
        </is>
      </c>
      <c r="AQ679" s="3" t="inlineStr">
        <is>
          <t>Weight</t>
        </is>
      </c>
      <c r="AS679" s="3" t="inlineStr">
        <is>
          <t>1000 Pcs Box</t>
        </is>
      </c>
      <c r="AT679" s="3" t="inlineStr">
        <is>
          <t>60 mins</t>
        </is>
      </c>
    </row>
    <row r="680" ht="15.75" customHeight="1">
      <c r="A680" s="3" t="inlineStr">
        <is>
          <t>PROD_0169</t>
        </is>
      </c>
      <c r="B680" s="3" t="inlineStr">
        <is>
          <t>VAR_8</t>
        </is>
      </c>
      <c r="C680" s="3" t="inlineStr">
        <is>
          <t>Modular Hardware</t>
        </is>
      </c>
      <c r="D680" s="3" t="inlineStr">
        <is>
          <t>Fixtures</t>
        </is>
      </c>
      <c r="E680" s="3" t="inlineStr">
        <is>
          <t>Generic</t>
        </is>
      </c>
      <c r="F680" s="3" t="inlineStr">
        <is>
          <t>Screws</t>
        </is>
      </c>
      <c r="H680" s="3" t="inlineStr">
        <is>
          <t>Material</t>
        </is>
      </c>
      <c r="I680" s="3" t="inlineStr">
        <is>
          <t>Stainless Steel</t>
        </is>
      </c>
      <c r="J680" s="3" t="inlineStr">
        <is>
          <t>Color</t>
        </is>
      </c>
      <c r="K680" s="3" t="inlineStr">
        <is>
          <t>Black</t>
        </is>
      </c>
      <c r="L680" s="3" t="inlineStr">
        <is>
          <t>Size</t>
        </is>
      </c>
      <c r="M680" s="3" t="inlineStr">
        <is>
          <t>1.25 inch (30 mm)</t>
        </is>
      </c>
      <c r="Q680" s="3" t="inlineStr">
        <is>
          <t>Manufacturer's Warranty</t>
        </is>
      </c>
      <c r="Y680" s="3" t="inlineStr">
        <is>
          <t>GEN_FIX_SCREW</t>
        </is>
      </c>
      <c r="Z680" s="3" t="n">
        <v>8302</v>
      </c>
      <c r="AA680" s="3" t="inlineStr">
        <is>
          <t>box</t>
        </is>
      </c>
      <c r="AE680" s="3" t="n">
        <v>1025</v>
      </c>
      <c r="AF680" s="4" t="n">
        <v>0.5</v>
      </c>
      <c r="AG680" s="3">
        <f>ROUND(AE680-(AE680*AF680),2)</f>
        <v/>
      </c>
      <c r="AH680" s="4" t="n">
        <v>0.18</v>
      </c>
      <c r="AI680" s="3">
        <f>ROUND(AG680+(AG680*AH680),2)</f>
        <v/>
      </c>
      <c r="AJ680" s="4" t="n">
        <v>0.2</v>
      </c>
      <c r="AK680" s="3">
        <f>ROUND(AI680*AJ680,2)</f>
        <v/>
      </c>
      <c r="AL680" s="3">
        <f>AI680+AK680</f>
        <v/>
      </c>
      <c r="AM680" s="3">
        <f>AE680-AL680</f>
        <v/>
      </c>
      <c r="AN680" s="4">
        <f>AM680/AE680</f>
        <v/>
      </c>
      <c r="AO680" s="3" t="inlineStr">
        <is>
          <t>60 mins</t>
        </is>
      </c>
      <c r="AQ680" s="3" t="inlineStr">
        <is>
          <t>Weight</t>
        </is>
      </c>
      <c r="AS680" s="3" t="inlineStr">
        <is>
          <t>1000 Pcs Box</t>
        </is>
      </c>
      <c r="AT680" s="3" t="inlineStr">
        <is>
          <t>60 mins</t>
        </is>
      </c>
    </row>
    <row r="681" ht="15.75" customHeight="1">
      <c r="A681" s="3" t="inlineStr">
        <is>
          <t>PROD_0169</t>
        </is>
      </c>
      <c r="B681" s="3" t="inlineStr">
        <is>
          <t>VAR_9</t>
        </is>
      </c>
      <c r="C681" s="3" t="inlineStr">
        <is>
          <t>Modular Hardware</t>
        </is>
      </c>
      <c r="D681" s="3" t="inlineStr">
        <is>
          <t>Fixtures</t>
        </is>
      </c>
      <c r="E681" s="3" t="inlineStr">
        <is>
          <t>Generic</t>
        </is>
      </c>
      <c r="F681" s="3" t="inlineStr">
        <is>
          <t>Screws</t>
        </is>
      </c>
      <c r="H681" s="3" t="inlineStr">
        <is>
          <t>Material</t>
        </is>
      </c>
      <c r="I681" s="3" t="inlineStr">
        <is>
          <t>Stainless Steel</t>
        </is>
      </c>
      <c r="J681" s="3" t="inlineStr">
        <is>
          <t>Color</t>
        </is>
      </c>
      <c r="K681" s="3" t="inlineStr">
        <is>
          <t>Black</t>
        </is>
      </c>
      <c r="L681" s="3" t="inlineStr">
        <is>
          <t>Size</t>
        </is>
      </c>
      <c r="M681" s="3" t="inlineStr">
        <is>
          <t>1.5 inch (40 mm)</t>
        </is>
      </c>
      <c r="Q681" s="3" t="inlineStr">
        <is>
          <t>Manufacturer's Warranty</t>
        </is>
      </c>
      <c r="Y681" s="3" t="inlineStr">
        <is>
          <t>GEN_FIX_SCREW</t>
        </is>
      </c>
      <c r="Z681" s="3" t="n">
        <v>8302</v>
      </c>
      <c r="AA681" s="3" t="inlineStr">
        <is>
          <t>box</t>
        </is>
      </c>
      <c r="AE681" s="3" t="n">
        <v>650</v>
      </c>
      <c r="AF681" s="4" t="n">
        <v>0.5</v>
      </c>
      <c r="AG681" s="3">
        <f>ROUND(AE681-(AE681*AF681),2)</f>
        <v/>
      </c>
      <c r="AH681" s="4" t="n">
        <v>0.18</v>
      </c>
      <c r="AI681" s="3">
        <f>ROUND(AG681+(AG681*AH681),2)</f>
        <v/>
      </c>
      <c r="AJ681" s="4" t="n">
        <v>0.2</v>
      </c>
      <c r="AK681" s="3">
        <f>ROUND(AI681*AJ681,2)</f>
        <v/>
      </c>
      <c r="AL681" s="3">
        <f>AI681+AK681</f>
        <v/>
      </c>
      <c r="AM681" s="3">
        <f>AE681-AL681</f>
        <v/>
      </c>
      <c r="AN681" s="4">
        <f>AM681/AE681</f>
        <v/>
      </c>
      <c r="AO681" s="3" t="inlineStr">
        <is>
          <t>60 mins</t>
        </is>
      </c>
      <c r="AQ681" s="3" t="inlineStr">
        <is>
          <t>Weight</t>
        </is>
      </c>
      <c r="AS681" s="3" t="inlineStr">
        <is>
          <t>500 Pcs Box</t>
        </is>
      </c>
      <c r="AT681" s="3" t="inlineStr">
        <is>
          <t>60 mins</t>
        </is>
      </c>
    </row>
    <row r="682" ht="15.75" customHeight="1">
      <c r="A682" s="3" t="inlineStr">
        <is>
          <t>PROD_0169</t>
        </is>
      </c>
      <c r="B682" s="3" t="inlineStr">
        <is>
          <t>VAR_10</t>
        </is>
      </c>
      <c r="C682" s="3" t="inlineStr">
        <is>
          <t>Modular Hardware</t>
        </is>
      </c>
      <c r="D682" s="3" t="inlineStr">
        <is>
          <t>Fixtures</t>
        </is>
      </c>
      <c r="E682" s="3" t="inlineStr">
        <is>
          <t>Generic</t>
        </is>
      </c>
      <c r="F682" s="3" t="inlineStr">
        <is>
          <t>Screws</t>
        </is>
      </c>
      <c r="H682" s="3" t="inlineStr">
        <is>
          <t>Material</t>
        </is>
      </c>
      <c r="I682" s="3" t="inlineStr">
        <is>
          <t>Stainless Steel</t>
        </is>
      </c>
      <c r="J682" s="3" t="inlineStr">
        <is>
          <t>Color</t>
        </is>
      </c>
      <c r="K682" s="3" t="inlineStr">
        <is>
          <t>Black</t>
        </is>
      </c>
      <c r="L682" s="3" t="inlineStr">
        <is>
          <t>Size</t>
        </is>
      </c>
      <c r="M682" s="3" t="inlineStr">
        <is>
          <t>2 inch (50 mm)</t>
        </is>
      </c>
      <c r="Q682" s="3" t="inlineStr">
        <is>
          <t>Manufacturer's Warranty</t>
        </is>
      </c>
      <c r="Y682" s="3" t="inlineStr">
        <is>
          <t>GEN_FIX_SCREW</t>
        </is>
      </c>
      <c r="Z682" s="3" t="n">
        <v>8302</v>
      </c>
      <c r="AA682" s="3" t="inlineStr">
        <is>
          <t>box</t>
        </is>
      </c>
      <c r="AE682" s="3" t="n">
        <v>900</v>
      </c>
      <c r="AF682" s="4" t="n">
        <v>0.5</v>
      </c>
      <c r="AG682" s="3">
        <f>ROUND(AE682-(AE682*AF682),2)</f>
        <v/>
      </c>
      <c r="AH682" s="4" t="n">
        <v>0.18</v>
      </c>
      <c r="AI682" s="3">
        <f>ROUND(AG682+(AG682*AH682),2)</f>
        <v/>
      </c>
      <c r="AJ682" s="4" t="n">
        <v>0.2</v>
      </c>
      <c r="AK682" s="3">
        <f>ROUND(AI682*AJ682,2)</f>
        <v/>
      </c>
      <c r="AL682" s="3">
        <f>AI682+AK682</f>
        <v/>
      </c>
      <c r="AM682" s="3">
        <f>AE682-AL682</f>
        <v/>
      </c>
      <c r="AN682" s="4">
        <f>AM682/AE682</f>
        <v/>
      </c>
      <c r="AO682" s="3" t="inlineStr">
        <is>
          <t>60 mins</t>
        </is>
      </c>
      <c r="AQ682" s="3" t="inlineStr">
        <is>
          <t>Weight</t>
        </is>
      </c>
      <c r="AS682" s="3" t="inlineStr">
        <is>
          <t>500 Pcs Box</t>
        </is>
      </c>
      <c r="AT682" s="3" t="inlineStr">
        <is>
          <t>60 mins</t>
        </is>
      </c>
    </row>
    <row r="683" ht="15.75" customHeight="1">
      <c r="A683" s="3" t="inlineStr">
        <is>
          <t>PROD_0170</t>
        </is>
      </c>
      <c r="B683" s="3" t="inlineStr">
        <is>
          <t>VAR_1</t>
        </is>
      </c>
      <c r="C683" s="3" t="inlineStr">
        <is>
          <t>Modular Hardware</t>
        </is>
      </c>
      <c r="D683" s="3" t="inlineStr">
        <is>
          <t>Fixtures</t>
        </is>
      </c>
      <c r="E683" s="3" t="inlineStr">
        <is>
          <t>Generic</t>
        </is>
      </c>
      <c r="F683" s="3" t="inlineStr">
        <is>
          <t>Minifix (2 part)</t>
        </is>
      </c>
      <c r="H683" s="3" t="inlineStr">
        <is>
          <t>Material</t>
        </is>
      </c>
      <c r="I683" s="3" t="inlineStr">
        <is>
          <t>Stainless Steel</t>
        </is>
      </c>
      <c r="J683" s="3" t="inlineStr">
        <is>
          <t>Color</t>
        </is>
      </c>
      <c r="K683" s="3" t="inlineStr">
        <is>
          <t>Silver</t>
        </is>
      </c>
      <c r="L683" s="3" t="inlineStr">
        <is>
          <t>Dimensions</t>
        </is>
      </c>
      <c r="M683" s="3" t="inlineStr">
        <is>
          <t>60 mm X 6 mm</t>
        </is>
      </c>
      <c r="Q683" s="3" t="inlineStr">
        <is>
          <t>Manufacturer's Warranty</t>
        </is>
      </c>
      <c r="Y683" s="3" t="inlineStr">
        <is>
          <t>GEN_MIMI_FIX_2PART</t>
        </is>
      </c>
      <c r="Z683" s="3" t="n">
        <v>8302</v>
      </c>
      <c r="AE683" s="3" t="n">
        <v>16</v>
      </c>
      <c r="AF683" s="4" t="n">
        <v>0.5</v>
      </c>
      <c r="AG683" s="3">
        <f>ROUND(AE683-(AE683*AF683),2)</f>
        <v/>
      </c>
      <c r="AH683" s="4" t="n">
        <v>0.18</v>
      </c>
      <c r="AI683" s="3">
        <f>ROUND(AG683+(AG683*AH683),2)</f>
        <v/>
      </c>
      <c r="AJ683" s="4" t="n">
        <v>0.2</v>
      </c>
      <c r="AK683" s="3">
        <f>ROUND(AI683*AJ683,2)</f>
        <v/>
      </c>
      <c r="AL683" s="3">
        <f>AI683+AK683</f>
        <v/>
      </c>
      <c r="AM683" s="3">
        <f>AE683-AL683</f>
        <v/>
      </c>
      <c r="AN683" s="4">
        <f>AM683/AE683</f>
        <v/>
      </c>
      <c r="AO683" s="3" t="inlineStr">
        <is>
          <t>60 mins</t>
        </is>
      </c>
      <c r="AQ683" s="3" t="inlineStr">
        <is>
          <t>Weight</t>
        </is>
      </c>
      <c r="AT683" s="3" t="inlineStr">
        <is>
          <t>60 mins</t>
        </is>
      </c>
    </row>
    <row r="684" ht="15.75" customHeight="1">
      <c r="A684" s="3" t="inlineStr">
        <is>
          <t>PROD_0171</t>
        </is>
      </c>
      <c r="B684" s="3" t="inlineStr">
        <is>
          <t>VAR_1</t>
        </is>
      </c>
      <c r="C684" s="3" t="inlineStr">
        <is>
          <t>Modular Hardware</t>
        </is>
      </c>
      <c r="D684" s="3" t="inlineStr">
        <is>
          <t>Fixtures</t>
        </is>
      </c>
      <c r="E684" s="3" t="inlineStr">
        <is>
          <t>Generic</t>
        </is>
      </c>
      <c r="F684" s="3" t="inlineStr">
        <is>
          <t>Minifix (3 part)</t>
        </is>
      </c>
      <c r="H684" s="3" t="inlineStr">
        <is>
          <t>Material</t>
        </is>
      </c>
      <c r="I684" s="3" t="inlineStr">
        <is>
          <t>Stainless Steel</t>
        </is>
      </c>
      <c r="J684" s="3" t="inlineStr">
        <is>
          <t>Color</t>
        </is>
      </c>
      <c r="K684" s="3" t="inlineStr">
        <is>
          <t>Silver</t>
        </is>
      </c>
      <c r="L684" s="3" t="inlineStr">
        <is>
          <t>Dimensions</t>
        </is>
      </c>
      <c r="M684" s="3" t="inlineStr">
        <is>
          <t>60 mm X 6 mm</t>
        </is>
      </c>
      <c r="Q684" s="3" t="inlineStr">
        <is>
          <t>Manufacturer's Warranty</t>
        </is>
      </c>
      <c r="Y684" s="3" t="inlineStr">
        <is>
          <t>GEN_MIMI_FIX_3PART</t>
        </is>
      </c>
      <c r="Z684" s="3" t="n">
        <v>8302</v>
      </c>
      <c r="AE684" s="3" t="n">
        <v>18</v>
      </c>
      <c r="AF684" s="4" t="n">
        <v>0.5</v>
      </c>
      <c r="AG684" s="3">
        <f>ROUND(AE684-(AE684*AF684),2)</f>
        <v/>
      </c>
      <c r="AH684" s="4" t="n">
        <v>0.18</v>
      </c>
      <c r="AI684" s="3">
        <f>ROUND(AG684+(AG684*AH684),2)</f>
        <v/>
      </c>
      <c r="AJ684" s="4" t="n">
        <v>0.2</v>
      </c>
      <c r="AK684" s="3">
        <f>ROUND(AI684*AJ684,2)</f>
        <v/>
      </c>
      <c r="AL684" s="3">
        <f>AI684+AK684</f>
        <v/>
      </c>
      <c r="AM684" s="3">
        <f>AE684-AL684</f>
        <v/>
      </c>
      <c r="AN684" s="4">
        <f>AM684/AE684</f>
        <v/>
      </c>
      <c r="AO684" s="3" t="inlineStr">
        <is>
          <t>60 mins</t>
        </is>
      </c>
      <c r="AQ684" s="3" t="inlineStr">
        <is>
          <t>Weight</t>
        </is>
      </c>
      <c r="AT684" s="3" t="inlineStr">
        <is>
          <t>60 mins</t>
        </is>
      </c>
    </row>
    <row r="685" ht="15.75" customHeight="1">
      <c r="A685" s="3" t="inlineStr">
        <is>
          <t>PROD_0172</t>
        </is>
      </c>
      <c r="B685" s="3" t="inlineStr">
        <is>
          <t>VAR_1</t>
        </is>
      </c>
      <c r="C685" s="3" t="inlineStr">
        <is>
          <t>Modular Hardware</t>
        </is>
      </c>
      <c r="D685" s="3" t="inlineStr">
        <is>
          <t>Fixtures</t>
        </is>
      </c>
      <c r="E685" s="3" t="inlineStr">
        <is>
          <t>Generic</t>
        </is>
      </c>
      <c r="F685" s="3" t="inlineStr">
        <is>
          <t>Dowel</t>
        </is>
      </c>
      <c r="H685" s="3" t="inlineStr">
        <is>
          <t>Material</t>
        </is>
      </c>
      <c r="I685" s="3" t="inlineStr">
        <is>
          <t>Wooden</t>
        </is>
      </c>
      <c r="L685" s="3" t="inlineStr">
        <is>
          <t>Dimensions</t>
        </is>
      </c>
      <c r="M685" s="3" t="inlineStr">
        <is>
          <t>40 mm X 8 mm</t>
        </is>
      </c>
      <c r="Q685" s="3" t="inlineStr">
        <is>
          <t>Manufacturer's Warranty</t>
        </is>
      </c>
      <c r="Y685" s="3" t="inlineStr">
        <is>
          <t>GEN_FIX_DOWEL</t>
        </is>
      </c>
      <c r="Z685" s="3" t="n">
        <v>8302</v>
      </c>
      <c r="AE685" s="3" t="n">
        <v>2</v>
      </c>
      <c r="AF685" s="4" t="n">
        <v>0.5</v>
      </c>
      <c r="AG685" s="3">
        <f>ROUND(AE685-(AE685*AF685),2)</f>
        <v/>
      </c>
      <c r="AH685" s="4" t="n">
        <v>0.18</v>
      </c>
      <c r="AI685" s="3">
        <f>ROUND(AG685+(AG685*AH685),2)</f>
        <v/>
      </c>
      <c r="AJ685" s="4" t="n">
        <v>0.2</v>
      </c>
      <c r="AK685" s="3">
        <f>ROUND(AI685*AJ685,2)</f>
        <v/>
      </c>
      <c r="AL685" s="3">
        <f>AI685+AK685</f>
        <v/>
      </c>
      <c r="AM685" s="3">
        <f>AE685-AL685</f>
        <v/>
      </c>
      <c r="AN685" s="4">
        <f>AM685/AE685</f>
        <v/>
      </c>
      <c r="AO685" s="3" t="inlineStr">
        <is>
          <t>60 mins</t>
        </is>
      </c>
      <c r="AQ685" s="3" t="inlineStr">
        <is>
          <t>Weight</t>
        </is>
      </c>
      <c r="AT685" s="3" t="inlineStr">
        <is>
          <t>60 mins</t>
        </is>
      </c>
    </row>
    <row r="686" ht="15.75" customHeight="1">
      <c r="A686" s="3" t="inlineStr">
        <is>
          <t>PROD_0173</t>
        </is>
      </c>
      <c r="B686" s="3" t="inlineStr">
        <is>
          <t>VAR_1</t>
        </is>
      </c>
      <c r="C686" s="3" t="inlineStr">
        <is>
          <t>Modular Hardware</t>
        </is>
      </c>
      <c r="D686" s="3" t="inlineStr">
        <is>
          <t>Fixtures</t>
        </is>
      </c>
      <c r="E686" s="3" t="inlineStr">
        <is>
          <t>Generic</t>
        </is>
      </c>
      <c r="F686" s="3" t="inlineStr">
        <is>
          <t>Fastener</t>
        </is>
      </c>
      <c r="H686" s="3" t="inlineStr">
        <is>
          <t>Type</t>
        </is>
      </c>
      <c r="I686" s="3" t="inlineStr">
        <is>
          <t>Nail</t>
        </is>
      </c>
      <c r="J686" s="3" t="inlineStr">
        <is>
          <t>Size</t>
        </is>
      </c>
      <c r="K686" s="3" t="inlineStr">
        <is>
          <t>100 mm X 8 mm</t>
        </is>
      </c>
      <c r="Q686" s="3" t="inlineStr">
        <is>
          <t>Manufacturer's Warranty</t>
        </is>
      </c>
      <c r="Y686" s="3" t="inlineStr">
        <is>
          <t>GEN_FIX_Fastener</t>
        </is>
      </c>
      <c r="Z686" s="3" t="n">
        <v>8302</v>
      </c>
      <c r="AE686" s="3" t="n">
        <v>15.5</v>
      </c>
      <c r="AF686" s="4" t="n">
        <v>0.5</v>
      </c>
      <c r="AG686" s="3">
        <f>ROUND(AE686-(AE686*AF686),2)</f>
        <v/>
      </c>
      <c r="AH686" s="4" t="n">
        <v>0.18</v>
      </c>
      <c r="AI686" s="3">
        <f>ROUND(AG686+(AG686*AH686),2)</f>
        <v/>
      </c>
      <c r="AJ686" s="4" t="n">
        <v>0.2</v>
      </c>
      <c r="AK686" s="3">
        <f>ROUND(AI686*AJ686,2)</f>
        <v/>
      </c>
      <c r="AL686" s="3">
        <f>AI686+AK686</f>
        <v/>
      </c>
      <c r="AM686" s="3">
        <f>AE686-AL686</f>
        <v/>
      </c>
      <c r="AN686" s="4">
        <f>AM686/AE686</f>
        <v/>
      </c>
      <c r="AO686" s="3" t="inlineStr">
        <is>
          <t>60 mins</t>
        </is>
      </c>
      <c r="AQ686" s="3" t="inlineStr">
        <is>
          <t>Weight</t>
        </is>
      </c>
      <c r="AT686" s="3" t="inlineStr">
        <is>
          <t>60 mins</t>
        </is>
      </c>
    </row>
    <row r="687" ht="15.75" customHeight="1">
      <c r="A687" s="3" t="inlineStr">
        <is>
          <t>PROD_0173</t>
        </is>
      </c>
      <c r="B687" s="3" t="inlineStr">
        <is>
          <t>VAR_2</t>
        </is>
      </c>
      <c r="C687" s="3" t="inlineStr">
        <is>
          <t>Modular Hardware</t>
        </is>
      </c>
      <c r="D687" s="3" t="inlineStr">
        <is>
          <t>Fixtures</t>
        </is>
      </c>
      <c r="E687" s="3" t="inlineStr">
        <is>
          <t>Generic</t>
        </is>
      </c>
      <c r="F687" s="3" t="inlineStr">
        <is>
          <t>Fastener</t>
        </is>
      </c>
      <c r="H687" s="3" t="inlineStr">
        <is>
          <t>Type</t>
        </is>
      </c>
      <c r="I687" s="3" t="inlineStr">
        <is>
          <t>Nail</t>
        </is>
      </c>
      <c r="J687" s="3" t="inlineStr">
        <is>
          <t>Size</t>
        </is>
      </c>
      <c r="K687" s="3" t="inlineStr">
        <is>
          <t>120 mm X 10 mm</t>
        </is>
      </c>
      <c r="Q687" s="3" t="inlineStr">
        <is>
          <t>Manufacturer's Warranty</t>
        </is>
      </c>
      <c r="Y687" s="3" t="inlineStr">
        <is>
          <t>GEN_FIX_Fastener</t>
        </is>
      </c>
      <c r="Z687" s="3" t="n">
        <v>8302</v>
      </c>
      <c r="AE687" s="3" t="n">
        <v>24</v>
      </c>
      <c r="AF687" s="4" t="n">
        <v>0.5</v>
      </c>
      <c r="AG687" s="3">
        <f>ROUND(AE687-(AE687*AF687),2)</f>
        <v/>
      </c>
      <c r="AH687" s="4" t="n">
        <v>0.18</v>
      </c>
      <c r="AI687" s="3">
        <f>ROUND(AG687+(AG687*AH687),2)</f>
        <v/>
      </c>
      <c r="AJ687" s="4" t="n">
        <v>0.2</v>
      </c>
      <c r="AK687" s="3">
        <f>ROUND(AI687*AJ687,2)</f>
        <v/>
      </c>
      <c r="AL687" s="3">
        <f>AI687+AK687</f>
        <v/>
      </c>
      <c r="AM687" s="3">
        <f>AE687-AL687</f>
        <v/>
      </c>
      <c r="AN687" s="4">
        <f>AM687/AE687</f>
        <v/>
      </c>
      <c r="AO687" s="3" t="inlineStr">
        <is>
          <t>60 mins</t>
        </is>
      </c>
      <c r="AQ687" s="3" t="inlineStr">
        <is>
          <t>Weight</t>
        </is>
      </c>
      <c r="AT687" s="3" t="inlineStr">
        <is>
          <t>60 mins</t>
        </is>
      </c>
    </row>
    <row r="688" ht="15.75" customHeight="1">
      <c r="A688" s="3" t="inlineStr">
        <is>
          <t>PROD_0173</t>
        </is>
      </c>
      <c r="B688" s="3" t="inlineStr">
        <is>
          <t>VAR_3</t>
        </is>
      </c>
      <c r="C688" s="3" t="inlineStr">
        <is>
          <t>Modular Hardware</t>
        </is>
      </c>
      <c r="D688" s="3" t="inlineStr">
        <is>
          <t>Fixtures</t>
        </is>
      </c>
      <c r="E688" s="3" t="inlineStr">
        <is>
          <t>Generic</t>
        </is>
      </c>
      <c r="F688" s="3" t="inlineStr">
        <is>
          <t>Fastener</t>
        </is>
      </c>
      <c r="H688" s="3" t="inlineStr">
        <is>
          <t>Type</t>
        </is>
      </c>
      <c r="I688" s="3" t="inlineStr">
        <is>
          <t>Nail</t>
        </is>
      </c>
      <c r="J688" s="3" t="inlineStr">
        <is>
          <t>Size</t>
        </is>
      </c>
      <c r="K688" s="3" t="inlineStr">
        <is>
          <t>10 mm X 150 mm</t>
        </is>
      </c>
      <c r="Q688" s="3" t="inlineStr">
        <is>
          <t>Manufacturer's Warranty</t>
        </is>
      </c>
      <c r="Y688" s="3" t="inlineStr">
        <is>
          <t>GEN_FIX_Fastener</t>
        </is>
      </c>
      <c r="Z688" s="3" t="n">
        <v>8302</v>
      </c>
      <c r="AE688" s="3" t="n">
        <v>26</v>
      </c>
      <c r="AF688" s="4" t="n">
        <v>0.5</v>
      </c>
      <c r="AG688" s="3">
        <f>ROUND(AE688-(AE688*AF688),2)</f>
        <v/>
      </c>
      <c r="AH688" s="4" t="n">
        <v>0.18</v>
      </c>
      <c r="AI688" s="3">
        <f>ROUND(AG688+(AG688*AH688),2)</f>
        <v/>
      </c>
      <c r="AJ688" s="4" t="n">
        <v>0.2</v>
      </c>
      <c r="AK688" s="3">
        <f>ROUND(AI688*AJ688,2)</f>
        <v/>
      </c>
      <c r="AL688" s="3">
        <f>AI688+AK688</f>
        <v/>
      </c>
      <c r="AM688" s="3">
        <f>AE688-AL688</f>
        <v/>
      </c>
      <c r="AN688" s="4">
        <f>AM688/AE688</f>
        <v/>
      </c>
      <c r="AO688" s="3" t="inlineStr">
        <is>
          <t>60 mins</t>
        </is>
      </c>
      <c r="AQ688" s="3" t="inlineStr">
        <is>
          <t>Weight</t>
        </is>
      </c>
      <c r="AT688" s="3" t="inlineStr">
        <is>
          <t>60 mins</t>
        </is>
      </c>
    </row>
    <row r="689" ht="15.75" customHeight="1">
      <c r="A689" s="3" t="inlineStr">
        <is>
          <t>PROD_0173</t>
        </is>
      </c>
      <c r="B689" s="3" t="inlineStr">
        <is>
          <t>VAR_4</t>
        </is>
      </c>
      <c r="C689" s="3" t="inlineStr">
        <is>
          <t>Modular Hardware</t>
        </is>
      </c>
      <c r="D689" s="3" t="inlineStr">
        <is>
          <t>Fixtures</t>
        </is>
      </c>
      <c r="E689" s="3" t="inlineStr">
        <is>
          <t>Generic</t>
        </is>
      </c>
      <c r="F689" s="3" t="inlineStr">
        <is>
          <t>Fastener</t>
        </is>
      </c>
      <c r="H689" s="3" t="inlineStr">
        <is>
          <t>Type</t>
        </is>
      </c>
      <c r="I689" s="3" t="inlineStr">
        <is>
          <t>Nail</t>
        </is>
      </c>
      <c r="J689" s="3" t="inlineStr">
        <is>
          <t>Size</t>
        </is>
      </c>
      <c r="K689" s="3" t="inlineStr">
        <is>
          <t>12mm X 120 mm</t>
        </is>
      </c>
      <c r="Q689" s="3" t="inlineStr">
        <is>
          <t>Manufacturer's Warranty</t>
        </is>
      </c>
      <c r="Y689" s="3" t="inlineStr">
        <is>
          <t>GEN_FIX_Fastener</t>
        </is>
      </c>
      <c r="Z689" s="3" t="n">
        <v>8302</v>
      </c>
      <c r="AE689" s="3" t="n">
        <v>32</v>
      </c>
      <c r="AF689" s="4" t="n">
        <v>0.5</v>
      </c>
      <c r="AG689" s="3">
        <f>ROUND(AE689-(AE689*AF689),2)</f>
        <v/>
      </c>
      <c r="AH689" s="4" t="n">
        <v>0.18</v>
      </c>
      <c r="AI689" s="3">
        <f>ROUND(AG689+(AG689*AH689),2)</f>
        <v/>
      </c>
      <c r="AJ689" s="4" t="n">
        <v>0.2</v>
      </c>
      <c r="AK689" s="3">
        <f>ROUND(AI689*AJ689,2)</f>
        <v/>
      </c>
      <c r="AL689" s="3">
        <f>AI689+AK689</f>
        <v/>
      </c>
      <c r="AM689" s="3">
        <f>AE689-AL689</f>
        <v/>
      </c>
      <c r="AN689" s="4">
        <f>AM689/AE689</f>
        <v/>
      </c>
      <c r="AO689" s="3" t="inlineStr">
        <is>
          <t>60 mins</t>
        </is>
      </c>
      <c r="AQ689" s="3" t="inlineStr">
        <is>
          <t>Weight</t>
        </is>
      </c>
      <c r="AT689" s="3" t="inlineStr">
        <is>
          <t>60 mins</t>
        </is>
      </c>
    </row>
    <row r="690" ht="15.75" customHeight="1">
      <c r="A690" s="3" t="inlineStr">
        <is>
          <t>PROD_0173</t>
        </is>
      </c>
      <c r="B690" s="3" t="inlineStr">
        <is>
          <t>VAR_5</t>
        </is>
      </c>
      <c r="C690" s="3" t="inlineStr">
        <is>
          <t>Modular Hardware</t>
        </is>
      </c>
      <c r="D690" s="3" t="inlineStr">
        <is>
          <t>Fixtures</t>
        </is>
      </c>
      <c r="E690" s="3" t="inlineStr">
        <is>
          <t>Generic</t>
        </is>
      </c>
      <c r="F690" s="3" t="inlineStr">
        <is>
          <t>Fastener</t>
        </is>
      </c>
      <c r="H690" s="3" t="inlineStr">
        <is>
          <t>Type</t>
        </is>
      </c>
      <c r="I690" s="3" t="inlineStr">
        <is>
          <t>Nail</t>
        </is>
      </c>
      <c r="J690" s="3" t="inlineStr">
        <is>
          <t>Size</t>
        </is>
      </c>
      <c r="K690" s="3" t="inlineStr">
        <is>
          <t>12mm X 150 mm</t>
        </is>
      </c>
      <c r="Q690" s="3" t="inlineStr">
        <is>
          <t>Manufacturer's Warranty</t>
        </is>
      </c>
      <c r="Y690" s="3" t="inlineStr">
        <is>
          <t>GEN_FIX_Fastener</t>
        </is>
      </c>
      <c r="Z690" s="3" t="n">
        <v>8302</v>
      </c>
      <c r="AE690" s="3" t="n">
        <v>38</v>
      </c>
      <c r="AF690" s="4" t="n">
        <v>0.5</v>
      </c>
      <c r="AG690" s="3">
        <f>ROUND(AE690-(AE690*AF690),2)</f>
        <v/>
      </c>
      <c r="AH690" s="4" t="n">
        <v>0.18</v>
      </c>
      <c r="AI690" s="3">
        <f>ROUND(AG690+(AG690*AH690),2)</f>
        <v/>
      </c>
      <c r="AJ690" s="4" t="n">
        <v>0.2</v>
      </c>
      <c r="AK690" s="3">
        <f>ROUND(AI690*AJ690,2)</f>
        <v/>
      </c>
      <c r="AL690" s="3">
        <f>AI690+AK690</f>
        <v/>
      </c>
      <c r="AM690" s="3">
        <f>AE690-AL690</f>
        <v/>
      </c>
      <c r="AN690" s="4">
        <f>AM690/AE690</f>
        <v/>
      </c>
      <c r="AO690" s="3" t="inlineStr">
        <is>
          <t>60 mins</t>
        </is>
      </c>
      <c r="AQ690" s="3" t="inlineStr">
        <is>
          <t>Weight</t>
        </is>
      </c>
      <c r="AT690" s="3" t="inlineStr">
        <is>
          <t>60 mins</t>
        </is>
      </c>
    </row>
    <row r="691" ht="15.75" customHeight="1">
      <c r="A691" s="3" t="inlineStr">
        <is>
          <t>PROD_0173</t>
        </is>
      </c>
      <c r="B691" s="3" t="inlineStr">
        <is>
          <t>VAR_6</t>
        </is>
      </c>
      <c r="C691" s="3" t="inlineStr">
        <is>
          <t>Modular Hardware</t>
        </is>
      </c>
      <c r="D691" s="3" t="inlineStr">
        <is>
          <t>Fixtures</t>
        </is>
      </c>
      <c r="E691" s="3" t="inlineStr">
        <is>
          <t>Generic</t>
        </is>
      </c>
      <c r="F691" s="3" t="inlineStr">
        <is>
          <t>Fastener</t>
        </is>
      </c>
      <c r="H691" s="3" t="inlineStr">
        <is>
          <t>Type</t>
        </is>
      </c>
      <c r="I691" s="3" t="inlineStr">
        <is>
          <t>PVC</t>
        </is>
      </c>
      <c r="J691" s="3" t="inlineStr">
        <is>
          <t>Size</t>
        </is>
      </c>
      <c r="K691" s="3" t="inlineStr">
        <is>
          <t>10 mm X 120 mm</t>
        </is>
      </c>
      <c r="Q691" s="3" t="inlineStr">
        <is>
          <t>Manufacturer's Warranty</t>
        </is>
      </c>
      <c r="Y691" s="3" t="inlineStr">
        <is>
          <t>GEN_FIX_Fastener_PVC</t>
        </is>
      </c>
      <c r="Z691" s="3" t="n">
        <v>8302</v>
      </c>
      <c r="AE691" s="3" t="n">
        <v>15</v>
      </c>
      <c r="AF691" s="4" t="n">
        <v>0.5</v>
      </c>
      <c r="AG691" s="3">
        <f>ROUND(AE691-(AE691*AF691),2)</f>
        <v/>
      </c>
      <c r="AH691" s="4" t="n">
        <v>0.18</v>
      </c>
      <c r="AI691" s="3">
        <f>ROUND(AG691+(AG691*AH691),2)</f>
        <v/>
      </c>
      <c r="AJ691" s="4" t="n">
        <v>0.2</v>
      </c>
      <c r="AK691" s="3">
        <f>ROUND(AI691*AJ691,2)</f>
        <v/>
      </c>
      <c r="AL691" s="3">
        <f>AI691+AK691</f>
        <v/>
      </c>
      <c r="AM691" s="3">
        <f>AE691-AL691</f>
        <v/>
      </c>
      <c r="AN691" s="4">
        <f>AM691/AE691</f>
        <v/>
      </c>
      <c r="AO691" s="3" t="inlineStr">
        <is>
          <t>60 mins</t>
        </is>
      </c>
      <c r="AQ691" s="3" t="inlineStr">
        <is>
          <t>Weight</t>
        </is>
      </c>
      <c r="AT691" s="3" t="inlineStr">
        <is>
          <t>60 mins</t>
        </is>
      </c>
    </row>
    <row r="692" ht="15.75" customHeight="1">
      <c r="A692" s="3" t="inlineStr">
        <is>
          <t>PROD_0173</t>
        </is>
      </c>
      <c r="B692" s="3" t="inlineStr">
        <is>
          <t>VAR_7</t>
        </is>
      </c>
      <c r="C692" s="3" t="inlineStr">
        <is>
          <t>Modular Hardware</t>
        </is>
      </c>
      <c r="D692" s="3" t="inlineStr">
        <is>
          <t>Fixtures</t>
        </is>
      </c>
      <c r="E692" s="3" t="inlineStr">
        <is>
          <t>Generic</t>
        </is>
      </c>
      <c r="F692" s="3" t="inlineStr">
        <is>
          <t>Fastener</t>
        </is>
      </c>
      <c r="H692" s="3" t="inlineStr">
        <is>
          <t>Type</t>
        </is>
      </c>
      <c r="I692" s="3" t="inlineStr">
        <is>
          <t>PVC</t>
        </is>
      </c>
      <c r="J692" s="3" t="inlineStr">
        <is>
          <t>Size</t>
        </is>
      </c>
      <c r="K692" s="3" t="inlineStr">
        <is>
          <t>10 mm X 140 mm</t>
        </is>
      </c>
      <c r="Q692" s="3" t="inlineStr">
        <is>
          <t>Manufacturer's Warranty</t>
        </is>
      </c>
      <c r="Y692" s="3" t="inlineStr">
        <is>
          <t>GEN_FIX_Fastener_PVC</t>
        </is>
      </c>
      <c r="Z692" s="3" t="n">
        <v>8302</v>
      </c>
      <c r="AE692" s="3" t="n">
        <v>18</v>
      </c>
      <c r="AF692" s="4" t="n">
        <v>0.5</v>
      </c>
      <c r="AG692" s="3">
        <f>ROUND(AE692-(AE692*AF692),2)</f>
        <v/>
      </c>
      <c r="AH692" s="4" t="n">
        <v>0.18</v>
      </c>
      <c r="AI692" s="3">
        <f>ROUND(AG692+(AG692*AH692),2)</f>
        <v/>
      </c>
      <c r="AJ692" s="4" t="n">
        <v>0.2</v>
      </c>
      <c r="AK692" s="3">
        <f>ROUND(AI692*AJ692,2)</f>
        <v/>
      </c>
      <c r="AL692" s="3">
        <f>AI692+AK692</f>
        <v/>
      </c>
      <c r="AM692" s="3">
        <f>AE692-AL692</f>
        <v/>
      </c>
      <c r="AN692" s="4">
        <f>AM692/AE692</f>
        <v/>
      </c>
      <c r="AO692" s="3" t="inlineStr">
        <is>
          <t>60 mins</t>
        </is>
      </c>
      <c r="AQ692" s="3" t="inlineStr">
        <is>
          <t>Weight</t>
        </is>
      </c>
      <c r="AT692" s="3" t="inlineStr">
        <is>
          <t>60 mins</t>
        </is>
      </c>
    </row>
    <row r="693" ht="15.75" customHeight="1">
      <c r="A693" s="3" t="inlineStr">
        <is>
          <t>PROD_0173</t>
        </is>
      </c>
      <c r="B693" s="3" t="inlineStr">
        <is>
          <t>VAR_8</t>
        </is>
      </c>
      <c r="C693" s="3" t="inlineStr">
        <is>
          <t>Modular Hardware</t>
        </is>
      </c>
      <c r="D693" s="3" t="inlineStr">
        <is>
          <t>Fixtures</t>
        </is>
      </c>
      <c r="E693" s="3" t="inlineStr">
        <is>
          <t>Generic</t>
        </is>
      </c>
      <c r="F693" s="3" t="inlineStr">
        <is>
          <t>Fastener</t>
        </is>
      </c>
      <c r="H693" s="3" t="inlineStr">
        <is>
          <t>Type</t>
        </is>
      </c>
      <c r="I693" s="3" t="inlineStr">
        <is>
          <t>PVC</t>
        </is>
      </c>
      <c r="J693" s="3" t="inlineStr">
        <is>
          <t>Size</t>
        </is>
      </c>
      <c r="K693" s="3" t="inlineStr">
        <is>
          <t>10 mm X 160 mm</t>
        </is>
      </c>
      <c r="Q693" s="3" t="inlineStr">
        <is>
          <t>Manufacturer's Warranty</t>
        </is>
      </c>
      <c r="Y693" s="3" t="inlineStr">
        <is>
          <t>GEN_FIX_Fastener_PVC</t>
        </is>
      </c>
      <c r="Z693" s="3" t="n">
        <v>8302</v>
      </c>
      <c r="AE693" s="3" t="n">
        <v>19</v>
      </c>
      <c r="AF693" s="4" t="n">
        <v>0.5</v>
      </c>
      <c r="AG693" s="3">
        <f>ROUND(AE693-(AE693*AF693),2)</f>
        <v/>
      </c>
      <c r="AH693" s="4" t="n">
        <v>0.18</v>
      </c>
      <c r="AI693" s="3">
        <f>ROUND(AG693+(AG693*AH693),2)</f>
        <v/>
      </c>
      <c r="AJ693" s="4" t="n">
        <v>0.2</v>
      </c>
      <c r="AK693" s="3">
        <f>ROUND(AI693*AJ693,2)</f>
        <v/>
      </c>
      <c r="AL693" s="3">
        <f>AI693+AK693</f>
        <v/>
      </c>
      <c r="AM693" s="3">
        <f>AE693-AL693</f>
        <v/>
      </c>
      <c r="AN693" s="4">
        <f>AM693/AE693</f>
        <v/>
      </c>
      <c r="AO693" s="3" t="inlineStr">
        <is>
          <t>60 mins</t>
        </is>
      </c>
      <c r="AQ693" s="3" t="inlineStr">
        <is>
          <t>Weight</t>
        </is>
      </c>
      <c r="AT693" s="3" t="inlineStr">
        <is>
          <t>60 mins</t>
        </is>
      </c>
    </row>
    <row r="694" ht="15.75" customHeight="1">
      <c r="A694" s="3" t="inlineStr">
        <is>
          <t>PROD_0173</t>
        </is>
      </c>
      <c r="B694" s="3" t="inlineStr">
        <is>
          <t>VAR_9</t>
        </is>
      </c>
      <c r="C694" s="3" t="inlineStr">
        <is>
          <t>Modular Hardware</t>
        </is>
      </c>
      <c r="D694" s="3" t="inlineStr">
        <is>
          <t>Fixtures</t>
        </is>
      </c>
      <c r="E694" s="3" t="inlineStr">
        <is>
          <t>Generic</t>
        </is>
      </c>
      <c r="F694" s="3" t="inlineStr">
        <is>
          <t>Fastener</t>
        </is>
      </c>
      <c r="H694" s="3" t="inlineStr">
        <is>
          <t>Type</t>
        </is>
      </c>
      <c r="I694" s="3" t="inlineStr">
        <is>
          <t>Bolt</t>
        </is>
      </c>
      <c r="J694" s="3" t="inlineStr">
        <is>
          <t>Size</t>
        </is>
      </c>
      <c r="K694" s="3" t="inlineStr">
        <is>
          <t>50 mm X 8 mm</t>
        </is>
      </c>
      <c r="Q694" s="3" t="inlineStr">
        <is>
          <t>Manufacturer's Warranty</t>
        </is>
      </c>
      <c r="Y694" s="3" t="inlineStr">
        <is>
          <t>GEN_FIX_Fastener_Bolt</t>
        </is>
      </c>
      <c r="Z694" s="3" t="n">
        <v>8302</v>
      </c>
      <c r="AE694" s="3" t="n">
        <v>14</v>
      </c>
      <c r="AF694" s="4" t="n">
        <v>0.5</v>
      </c>
      <c r="AG694" s="3">
        <f>ROUND(AE694-(AE694*AF694),2)</f>
        <v/>
      </c>
      <c r="AH694" s="4" t="n">
        <v>0.18</v>
      </c>
      <c r="AI694" s="3">
        <f>ROUND(AG694+(AG694*AH694),2)</f>
        <v/>
      </c>
      <c r="AJ694" s="4" t="n">
        <v>0.2</v>
      </c>
      <c r="AK694" s="3">
        <f>ROUND(AI694*AJ694,2)</f>
        <v/>
      </c>
      <c r="AL694" s="3">
        <f>AI694+AK694</f>
        <v/>
      </c>
      <c r="AM694" s="3">
        <f>AE694-AL694</f>
        <v/>
      </c>
      <c r="AN694" s="4">
        <f>AM694/AE694</f>
        <v/>
      </c>
      <c r="AO694" s="3" t="inlineStr">
        <is>
          <t>60 mins</t>
        </is>
      </c>
      <c r="AQ694" s="3" t="inlineStr">
        <is>
          <t>Weight</t>
        </is>
      </c>
      <c r="AT694" s="3" t="inlineStr">
        <is>
          <t>60 mins</t>
        </is>
      </c>
    </row>
    <row r="695" ht="15.75" customHeight="1">
      <c r="A695" s="3" t="inlineStr">
        <is>
          <t>PROD_0173</t>
        </is>
      </c>
      <c r="B695" s="3" t="inlineStr">
        <is>
          <t>VAR_10</t>
        </is>
      </c>
      <c r="C695" s="3" t="inlineStr">
        <is>
          <t>Modular Hardware</t>
        </is>
      </c>
      <c r="D695" s="3" t="inlineStr">
        <is>
          <t>Fixtures</t>
        </is>
      </c>
      <c r="E695" s="3" t="inlineStr">
        <is>
          <t>Generic</t>
        </is>
      </c>
      <c r="F695" s="3" t="inlineStr">
        <is>
          <t>Fastener</t>
        </is>
      </c>
      <c r="H695" s="3" t="inlineStr">
        <is>
          <t>Type</t>
        </is>
      </c>
      <c r="I695" s="3" t="inlineStr">
        <is>
          <t>Bolt</t>
        </is>
      </c>
      <c r="J695" s="3" t="inlineStr">
        <is>
          <t>Size</t>
        </is>
      </c>
      <c r="K695" s="3" t="inlineStr">
        <is>
          <t>60 mm X 8 mm</t>
        </is>
      </c>
      <c r="Q695" s="3" t="inlineStr">
        <is>
          <t>Manufacturer's Warranty</t>
        </is>
      </c>
      <c r="Y695" s="3" t="inlineStr">
        <is>
          <t>GEN_FIX_Fastener_Bolt</t>
        </is>
      </c>
      <c r="Z695" s="3" t="n">
        <v>8302</v>
      </c>
      <c r="AE695" s="3" t="n">
        <v>16</v>
      </c>
      <c r="AF695" s="4" t="n">
        <v>0.5</v>
      </c>
      <c r="AG695" s="3">
        <f>ROUND(AE695-(AE695*AF695),2)</f>
        <v/>
      </c>
      <c r="AH695" s="4" t="n">
        <v>0.18</v>
      </c>
      <c r="AI695" s="3">
        <f>ROUND(AG695+(AG695*AH695),2)</f>
        <v/>
      </c>
      <c r="AJ695" s="4" t="n">
        <v>0.2</v>
      </c>
      <c r="AK695" s="3">
        <f>ROUND(AI695*AJ695,2)</f>
        <v/>
      </c>
      <c r="AL695" s="3">
        <f>AI695+AK695</f>
        <v/>
      </c>
      <c r="AM695" s="3">
        <f>AE695-AL695</f>
        <v/>
      </c>
      <c r="AN695" s="4">
        <f>AM695/AE695</f>
        <v/>
      </c>
      <c r="AO695" s="3" t="inlineStr">
        <is>
          <t>60 mins</t>
        </is>
      </c>
      <c r="AQ695" s="3" t="inlineStr">
        <is>
          <t>Weight</t>
        </is>
      </c>
      <c r="AT695" s="3" t="inlineStr">
        <is>
          <t>60 mins</t>
        </is>
      </c>
    </row>
    <row r="696" ht="15.75" customHeight="1">
      <c r="A696" s="3" t="inlineStr">
        <is>
          <t>PROD_0173</t>
        </is>
      </c>
      <c r="B696" s="3" t="inlineStr">
        <is>
          <t>VAR_11</t>
        </is>
      </c>
      <c r="C696" s="3" t="inlineStr">
        <is>
          <t>Modular Hardware</t>
        </is>
      </c>
      <c r="D696" s="3" t="inlineStr">
        <is>
          <t>Fixtures</t>
        </is>
      </c>
      <c r="E696" s="3" t="inlineStr">
        <is>
          <t>Generic</t>
        </is>
      </c>
      <c r="F696" s="3" t="inlineStr">
        <is>
          <t>Fastener</t>
        </is>
      </c>
      <c r="H696" s="3" t="inlineStr">
        <is>
          <t>Type</t>
        </is>
      </c>
      <c r="I696" s="3" t="inlineStr">
        <is>
          <t>Bolt</t>
        </is>
      </c>
      <c r="J696" s="3" t="inlineStr">
        <is>
          <t>Size</t>
        </is>
      </c>
      <c r="K696" s="3" t="inlineStr">
        <is>
          <t>100 mm X 8 mm</t>
        </is>
      </c>
      <c r="Q696" s="3" t="inlineStr">
        <is>
          <t>Manufacturer's Warranty</t>
        </is>
      </c>
      <c r="Y696" s="3" t="inlineStr">
        <is>
          <t>GEN_FIX_Fastener_Bolt</t>
        </is>
      </c>
      <c r="Z696" s="3" t="n">
        <v>8302</v>
      </c>
      <c r="AE696" s="3" t="n">
        <v>21</v>
      </c>
      <c r="AF696" s="4" t="n">
        <v>0.5</v>
      </c>
      <c r="AG696" s="3">
        <f>ROUND(AE696-(AE696*AF696),2)</f>
        <v/>
      </c>
      <c r="AH696" s="4" t="n">
        <v>0.18</v>
      </c>
      <c r="AI696" s="3">
        <f>ROUND(AG696+(AG696*AH696),2)</f>
        <v/>
      </c>
      <c r="AJ696" s="4" t="n">
        <v>0.2</v>
      </c>
      <c r="AK696" s="3">
        <f>ROUND(AI696*AJ696,2)</f>
        <v/>
      </c>
      <c r="AL696" s="3">
        <f>AI696+AK696</f>
        <v/>
      </c>
      <c r="AM696" s="3">
        <f>AE696-AL696</f>
        <v/>
      </c>
      <c r="AN696" s="4">
        <f>AM696/AE696</f>
        <v/>
      </c>
      <c r="AO696" s="3" t="inlineStr">
        <is>
          <t>60 mins</t>
        </is>
      </c>
      <c r="AQ696" s="3" t="inlineStr">
        <is>
          <t>Weight</t>
        </is>
      </c>
      <c r="AT696" s="3" t="inlineStr">
        <is>
          <t>60 mins</t>
        </is>
      </c>
    </row>
    <row r="697" ht="15.75" customHeight="1">
      <c r="A697" s="3" t="inlineStr">
        <is>
          <t>PROD_0173</t>
        </is>
      </c>
      <c r="B697" s="3" t="inlineStr">
        <is>
          <t>VAR_12</t>
        </is>
      </c>
      <c r="C697" s="3" t="inlineStr">
        <is>
          <t>Modular Hardware</t>
        </is>
      </c>
      <c r="D697" s="3" t="inlineStr">
        <is>
          <t>Fixtures</t>
        </is>
      </c>
      <c r="E697" s="3" t="inlineStr">
        <is>
          <t>Generic</t>
        </is>
      </c>
      <c r="F697" s="3" t="inlineStr">
        <is>
          <t>Fastener</t>
        </is>
      </c>
      <c r="H697" s="3" t="inlineStr">
        <is>
          <t>Type</t>
        </is>
      </c>
      <c r="I697" s="3" t="inlineStr">
        <is>
          <t>Bolt</t>
        </is>
      </c>
      <c r="J697" s="3" t="inlineStr">
        <is>
          <t>Size</t>
        </is>
      </c>
      <c r="K697" s="3" t="inlineStr">
        <is>
          <t>10 mm X 100 mm</t>
        </is>
      </c>
      <c r="Q697" s="3" t="inlineStr">
        <is>
          <t>Manufacturer's Warranty</t>
        </is>
      </c>
      <c r="Y697" s="3" t="inlineStr">
        <is>
          <t>GEN_FIX_Fastener_Bolt</t>
        </is>
      </c>
      <c r="Z697" s="3" t="n">
        <v>8302</v>
      </c>
      <c r="AE697" s="3" t="n">
        <v>33</v>
      </c>
      <c r="AF697" s="4" t="n">
        <v>0.5</v>
      </c>
      <c r="AG697" s="3">
        <f>ROUND(AE697-(AE697*AF697),2)</f>
        <v/>
      </c>
      <c r="AH697" s="4" t="n">
        <v>0.18</v>
      </c>
      <c r="AI697" s="3">
        <f>ROUND(AG697+(AG697*AH697),2)</f>
        <v/>
      </c>
      <c r="AJ697" s="4" t="n">
        <v>0.2</v>
      </c>
      <c r="AK697" s="3">
        <f>ROUND(AI697*AJ697,2)</f>
        <v/>
      </c>
      <c r="AL697" s="3">
        <f>AI697+AK697</f>
        <v/>
      </c>
      <c r="AM697" s="3">
        <f>AE697-AL697</f>
        <v/>
      </c>
      <c r="AN697" s="4">
        <f>AM697/AE697</f>
        <v/>
      </c>
      <c r="AO697" s="3" t="inlineStr">
        <is>
          <t>60 mins</t>
        </is>
      </c>
      <c r="AQ697" s="3" t="inlineStr">
        <is>
          <t>Weight</t>
        </is>
      </c>
      <c r="AT697" s="3" t="inlineStr">
        <is>
          <t>60 mins</t>
        </is>
      </c>
    </row>
    <row r="698" ht="15.75" customHeight="1">
      <c r="A698" s="3" t="inlineStr">
        <is>
          <t>PROD_0173</t>
        </is>
      </c>
      <c r="B698" s="3" t="inlineStr">
        <is>
          <t>VAR_13</t>
        </is>
      </c>
      <c r="C698" s="3" t="inlineStr">
        <is>
          <t>Modular Hardware</t>
        </is>
      </c>
      <c r="D698" s="3" t="inlineStr">
        <is>
          <t>Fixtures</t>
        </is>
      </c>
      <c r="E698" s="3" t="inlineStr">
        <is>
          <t>Generic</t>
        </is>
      </c>
      <c r="F698" s="3" t="inlineStr">
        <is>
          <t>Fastener</t>
        </is>
      </c>
      <c r="H698" s="3" t="inlineStr">
        <is>
          <t>Type</t>
        </is>
      </c>
      <c r="I698" s="3" t="inlineStr">
        <is>
          <t>Bolt</t>
        </is>
      </c>
      <c r="J698" s="3" t="inlineStr">
        <is>
          <t>Size</t>
        </is>
      </c>
      <c r="K698" s="3" t="inlineStr">
        <is>
          <t>8 mm X 150 mm</t>
        </is>
      </c>
      <c r="Q698" s="3" t="inlineStr">
        <is>
          <t>Manufacturer's Warranty</t>
        </is>
      </c>
      <c r="Y698" s="3" t="inlineStr">
        <is>
          <t>GEN_FIX_Fastener_Bolt</t>
        </is>
      </c>
      <c r="Z698" s="3" t="n">
        <v>8302</v>
      </c>
      <c r="AE698" s="3" t="n">
        <v>33</v>
      </c>
      <c r="AF698" s="4" t="n">
        <v>0.5</v>
      </c>
      <c r="AG698" s="3">
        <f>ROUND(AE698-(AE698*AF698),2)</f>
        <v/>
      </c>
      <c r="AH698" s="4" t="n">
        <v>0.18</v>
      </c>
      <c r="AI698" s="3">
        <f>ROUND(AG698+(AG698*AH698),2)</f>
        <v/>
      </c>
      <c r="AJ698" s="4" t="n">
        <v>0.2</v>
      </c>
      <c r="AK698" s="3">
        <f>ROUND(AI698*AJ698,2)</f>
        <v/>
      </c>
      <c r="AL698" s="3">
        <f>AI698+AK698</f>
        <v/>
      </c>
      <c r="AM698" s="3">
        <f>AE698-AL698</f>
        <v/>
      </c>
      <c r="AN698" s="4">
        <f>AM698/AE698</f>
        <v/>
      </c>
      <c r="AO698" s="3" t="inlineStr">
        <is>
          <t>60 mins</t>
        </is>
      </c>
      <c r="AQ698" s="3" t="inlineStr">
        <is>
          <t>Weight</t>
        </is>
      </c>
      <c r="AT698" s="3" t="inlineStr">
        <is>
          <t>60 mins</t>
        </is>
      </c>
    </row>
    <row r="699" ht="15.75" customHeight="1">
      <c r="A699" s="3" t="inlineStr">
        <is>
          <t>PROD_0173</t>
        </is>
      </c>
      <c r="B699" s="3" t="inlineStr">
        <is>
          <t>VAR_14</t>
        </is>
      </c>
      <c r="C699" s="3" t="inlineStr">
        <is>
          <t>Modular Hardware</t>
        </is>
      </c>
      <c r="D699" s="3" t="inlineStr">
        <is>
          <t>Fixtures</t>
        </is>
      </c>
      <c r="E699" s="3" t="inlineStr">
        <is>
          <t>Generic</t>
        </is>
      </c>
      <c r="F699" s="3" t="inlineStr">
        <is>
          <t>Fastener</t>
        </is>
      </c>
      <c r="H699" s="3" t="inlineStr">
        <is>
          <t>Type</t>
        </is>
      </c>
      <c r="I699" s="3" t="inlineStr">
        <is>
          <t>Bolt</t>
        </is>
      </c>
      <c r="J699" s="3" t="inlineStr">
        <is>
          <t>Size</t>
        </is>
      </c>
      <c r="K699" s="3" t="inlineStr">
        <is>
          <t>10 mm X 150mm</t>
        </is>
      </c>
      <c r="Q699" s="3" t="inlineStr">
        <is>
          <t>Manufacturer's Warranty</t>
        </is>
      </c>
      <c r="Y699" s="3" t="inlineStr">
        <is>
          <t>GEN_FIX_Fastener_Bolt</t>
        </is>
      </c>
      <c r="Z699" s="3" t="n">
        <v>8302</v>
      </c>
      <c r="AE699" s="3" t="n">
        <v>42</v>
      </c>
      <c r="AF699" s="4" t="n">
        <v>0.5</v>
      </c>
      <c r="AG699" s="3">
        <f>ROUND(AE699-(AE699*AF699),2)</f>
        <v/>
      </c>
      <c r="AH699" s="4" t="n">
        <v>0.18</v>
      </c>
      <c r="AI699" s="3">
        <f>ROUND(AG699+(AG699*AH699),2)</f>
        <v/>
      </c>
      <c r="AJ699" s="4" t="n">
        <v>0.2</v>
      </c>
      <c r="AK699" s="3">
        <f>ROUND(AI699*AJ699,2)</f>
        <v/>
      </c>
      <c r="AL699" s="3">
        <f>AI699+AK699</f>
        <v/>
      </c>
      <c r="AM699" s="3">
        <f>AE699-AL699</f>
        <v/>
      </c>
      <c r="AN699" s="4">
        <f>AM699/AE699</f>
        <v/>
      </c>
      <c r="AO699" s="3" t="inlineStr">
        <is>
          <t>60 mins</t>
        </is>
      </c>
      <c r="AQ699" s="3" t="inlineStr">
        <is>
          <t>Weight</t>
        </is>
      </c>
      <c r="AT699" s="3" t="inlineStr">
        <is>
          <t>60 mins</t>
        </is>
      </c>
    </row>
    <row r="700" ht="15.75" customHeight="1">
      <c r="A700" s="3" t="inlineStr">
        <is>
          <t>PROD_0174</t>
        </is>
      </c>
      <c r="B700" s="3" t="inlineStr">
        <is>
          <t>VAR_1</t>
        </is>
      </c>
      <c r="C700" s="3" t="inlineStr">
        <is>
          <t>Cieling</t>
        </is>
      </c>
      <c r="D700" s="3" t="inlineStr">
        <is>
          <t>POP</t>
        </is>
      </c>
      <c r="E700" s="3" t="inlineStr">
        <is>
          <t>Sakarni</t>
        </is>
      </c>
      <c r="F700" s="3" t="inlineStr">
        <is>
          <t>POP</t>
        </is>
      </c>
      <c r="H700" s="3" t="inlineStr">
        <is>
          <t>Bag Weight</t>
        </is>
      </c>
      <c r="I700" s="3" t="inlineStr">
        <is>
          <t>25 kg</t>
        </is>
      </c>
      <c r="Q700" s="3" t="inlineStr">
        <is>
          <t>Manufacturer's Warranty</t>
        </is>
      </c>
      <c r="Y700" s="3" t="inlineStr">
        <is>
          <t>CLN_SKRN_POP</t>
        </is>
      </c>
      <c r="Z700" s="3" t="n">
        <v>2520</v>
      </c>
      <c r="AF700" s="4" t="n"/>
      <c r="AG700" s="3" t="n">
        <v>220</v>
      </c>
      <c r="AH700" s="4" t="n">
        <v>0.05</v>
      </c>
      <c r="AI700" s="3">
        <f>ROUND(AG700+(AG700*AH700),2)</f>
        <v/>
      </c>
      <c r="AJ700" s="4" t="n">
        <v>0.115</v>
      </c>
      <c r="AK700" s="3">
        <f>ROUND(AI700*AJ700,2)</f>
        <v/>
      </c>
      <c r="AL700" s="3">
        <f>AI700+AK700</f>
        <v/>
      </c>
      <c r="AM700" s="3">
        <f>AE700-AL700</f>
        <v/>
      </c>
      <c r="AN700" s="4">
        <f>AM700/AE700</f>
        <v/>
      </c>
      <c r="AO700" s="3" t="inlineStr">
        <is>
          <t>60 mins</t>
        </is>
      </c>
      <c r="AQ700" s="3" t="inlineStr">
        <is>
          <t>Weight</t>
        </is>
      </c>
      <c r="AR700" s="3" t="inlineStr">
        <is>
          <t>To Check</t>
        </is>
      </c>
    </row>
    <row r="701" ht="15.75" customHeight="1">
      <c r="A701" s="3" t="inlineStr">
        <is>
          <t>PROD_0174</t>
        </is>
      </c>
      <c r="B701" s="3" t="inlineStr">
        <is>
          <t>VAR_2</t>
        </is>
      </c>
      <c r="C701" s="3" t="inlineStr">
        <is>
          <t>Cieling</t>
        </is>
      </c>
      <c r="D701" s="3" t="inlineStr">
        <is>
          <t>POP</t>
        </is>
      </c>
      <c r="E701" s="3" t="inlineStr">
        <is>
          <t>Sakarni</t>
        </is>
      </c>
      <c r="F701" s="3" t="inlineStr">
        <is>
          <t>POP</t>
        </is>
      </c>
      <c r="H701" s="3" t="inlineStr">
        <is>
          <t>Bag Weight</t>
        </is>
      </c>
      <c r="I701" s="3" t="inlineStr">
        <is>
          <t>40 kg</t>
        </is>
      </c>
      <c r="Q701" s="3" t="inlineStr">
        <is>
          <t>Manufacturer's Warranty</t>
        </is>
      </c>
      <c r="Y701" s="3" t="inlineStr">
        <is>
          <t>CLN_SKRN_POP</t>
        </is>
      </c>
      <c r="Z701" s="3" t="n">
        <v>2520</v>
      </c>
      <c r="AF701" s="4" t="n"/>
      <c r="AG701" s="3" t="n">
        <v>320</v>
      </c>
      <c r="AH701" s="4" t="n">
        <v>0.05</v>
      </c>
      <c r="AI701" s="3">
        <f>ROUND(AG701+(AG701*AH701),2)</f>
        <v/>
      </c>
      <c r="AJ701" s="4" t="n">
        <v>0.115</v>
      </c>
      <c r="AK701" s="3">
        <f>ROUND(AI701*AJ701,2)</f>
        <v/>
      </c>
      <c r="AL701" s="3">
        <f>AI701+AK701</f>
        <v/>
      </c>
      <c r="AM701" s="3">
        <f>AE701-AL701</f>
        <v/>
      </c>
      <c r="AN701" s="4">
        <f>AM701/AE701</f>
        <v/>
      </c>
      <c r="AO701" s="3" t="inlineStr">
        <is>
          <t>60 mins</t>
        </is>
      </c>
      <c r="AQ701" s="3" t="inlineStr">
        <is>
          <t>Weight</t>
        </is>
      </c>
      <c r="AR701" s="3" t="inlineStr">
        <is>
          <t>To Check</t>
        </is>
      </c>
    </row>
    <row r="702" ht="15.75" customHeight="1">
      <c r="A702" s="3" t="inlineStr">
        <is>
          <t>PROD_0175</t>
        </is>
      </c>
      <c r="B702" s="3" t="inlineStr">
        <is>
          <t>VAR_1</t>
        </is>
      </c>
      <c r="C702" s="3" t="inlineStr">
        <is>
          <t>Cieling</t>
        </is>
      </c>
      <c r="D702" s="3" t="inlineStr">
        <is>
          <t>POP</t>
        </is>
      </c>
      <c r="E702" s="3" t="inlineStr">
        <is>
          <t>JK</t>
        </is>
      </c>
      <c r="F702" s="3" t="inlineStr">
        <is>
          <t>POP</t>
        </is>
      </c>
      <c r="H702" s="3" t="inlineStr">
        <is>
          <t>Bag Weight</t>
        </is>
      </c>
      <c r="I702" s="3" t="inlineStr">
        <is>
          <t>25 kg</t>
        </is>
      </c>
      <c r="Q702" s="3" t="inlineStr">
        <is>
          <t>Manufacturer's Warranty</t>
        </is>
      </c>
      <c r="Y702" s="3" t="inlineStr">
        <is>
          <t>CLN_JK_POP</t>
        </is>
      </c>
      <c r="Z702" s="3" t="n">
        <v>2520</v>
      </c>
      <c r="AF702" s="4" t="n"/>
      <c r="AG702" s="3" t="n">
        <v>206</v>
      </c>
      <c r="AH702" s="4" t="n">
        <v>0.05</v>
      </c>
      <c r="AI702" s="3">
        <f>ROUND(AG702+(AG702*AH702),2)</f>
        <v/>
      </c>
      <c r="AJ702" s="4" t="n">
        <v>0.115</v>
      </c>
      <c r="AK702" s="3">
        <f>ROUND(AI702*AJ702,2)</f>
        <v/>
      </c>
      <c r="AL702" s="3">
        <f>AI702+AK702</f>
        <v/>
      </c>
      <c r="AM702" s="3">
        <f>AE702-AL702</f>
        <v/>
      </c>
      <c r="AN702" s="4">
        <f>AM702/AE702</f>
        <v/>
      </c>
      <c r="AO702" s="3" t="inlineStr">
        <is>
          <t>60 mins</t>
        </is>
      </c>
      <c r="AQ702" s="3" t="inlineStr">
        <is>
          <t>Weight</t>
        </is>
      </c>
    </row>
    <row r="703" ht="15.75" customHeight="1">
      <c r="A703" s="3" t="inlineStr">
        <is>
          <t>PROD_0175</t>
        </is>
      </c>
      <c r="B703" s="3" t="inlineStr">
        <is>
          <t>VAR_2</t>
        </is>
      </c>
      <c r="C703" s="3" t="inlineStr">
        <is>
          <t>Cieling</t>
        </is>
      </c>
      <c r="D703" s="3" t="inlineStr">
        <is>
          <t>POP</t>
        </is>
      </c>
      <c r="E703" s="3" t="inlineStr">
        <is>
          <t>JK</t>
        </is>
      </c>
      <c r="F703" s="3" t="inlineStr">
        <is>
          <t>POP</t>
        </is>
      </c>
      <c r="H703" s="3" t="inlineStr">
        <is>
          <t>Bag Weight</t>
        </is>
      </c>
      <c r="I703" s="3" t="inlineStr">
        <is>
          <t>40 kg</t>
        </is>
      </c>
      <c r="Q703" s="3" t="inlineStr">
        <is>
          <t>Manufacturer's Warranty</t>
        </is>
      </c>
      <c r="Y703" s="3" t="inlineStr">
        <is>
          <t>CLN_JK_POP</t>
        </is>
      </c>
      <c r="Z703" s="3" t="n">
        <v>2520</v>
      </c>
      <c r="AF703" s="4" t="n"/>
      <c r="AG703" s="3" t="n">
        <v>298</v>
      </c>
      <c r="AH703" s="4" t="n">
        <v>0.05</v>
      </c>
      <c r="AI703" s="3">
        <f>ROUND(AG703+(AG703*AH703),2)</f>
        <v/>
      </c>
      <c r="AJ703" s="4" t="n">
        <v>0.115</v>
      </c>
      <c r="AK703" s="3">
        <f>ROUND(AI703*AJ703,2)</f>
        <v/>
      </c>
      <c r="AL703" s="3">
        <f>AI703+AK703</f>
        <v/>
      </c>
      <c r="AM703" s="3">
        <f>AE703-AL703</f>
        <v/>
      </c>
      <c r="AN703" s="4">
        <f>AM703/AE703</f>
        <v/>
      </c>
      <c r="AO703" s="3" t="inlineStr">
        <is>
          <t>60 mins</t>
        </is>
      </c>
      <c r="AQ703" s="3" t="inlineStr">
        <is>
          <t>Weight</t>
        </is>
      </c>
    </row>
    <row r="704" ht="15.75" customHeight="1">
      <c r="A704" s="3" t="inlineStr">
        <is>
          <t>PROD_0176</t>
        </is>
      </c>
      <c r="B704" s="3" t="inlineStr">
        <is>
          <t>VAR_1</t>
        </is>
      </c>
      <c r="C704" s="3" t="inlineStr">
        <is>
          <t>Cieling</t>
        </is>
      </c>
      <c r="D704" s="3" t="inlineStr">
        <is>
          <t>POP</t>
        </is>
      </c>
      <c r="E704" s="3" t="inlineStr">
        <is>
          <t>Trimurti</t>
        </is>
      </c>
      <c r="F704" s="3" t="inlineStr">
        <is>
          <t>POP</t>
        </is>
      </c>
      <c r="H704" s="3" t="inlineStr">
        <is>
          <t>Bag Weight</t>
        </is>
      </c>
      <c r="I704" s="3" t="inlineStr">
        <is>
          <t>25 kg</t>
        </is>
      </c>
      <c r="Q704" s="3" t="inlineStr">
        <is>
          <t>Manufacturer's Warranty</t>
        </is>
      </c>
      <c r="Y704" s="3" t="inlineStr">
        <is>
          <t>CLN_TRMR_POP_25KG</t>
        </is>
      </c>
      <c r="Z704" s="3" t="n">
        <v>2520</v>
      </c>
      <c r="AF704" s="4" t="n"/>
      <c r="AG704" s="3" t="n">
        <v>200</v>
      </c>
      <c r="AH704" s="4" t="n">
        <v>0.05</v>
      </c>
      <c r="AI704" s="3">
        <f>ROUND(AG704+(AG704*AH704),2)</f>
        <v/>
      </c>
      <c r="AJ704" s="4" t="n">
        <v>0.115</v>
      </c>
      <c r="AK704" s="3">
        <f>ROUND(AI704*AJ704,2)</f>
        <v/>
      </c>
      <c r="AL704" s="3">
        <f>AI704+AK704</f>
        <v/>
      </c>
      <c r="AM704" s="3">
        <f>AE704-AL704</f>
        <v/>
      </c>
      <c r="AN704" s="4">
        <f>AM704/AE704</f>
        <v/>
      </c>
      <c r="AO704" s="3" t="inlineStr">
        <is>
          <t>60 mins</t>
        </is>
      </c>
      <c r="AQ704" s="3" t="inlineStr">
        <is>
          <t>Weight</t>
        </is>
      </c>
    </row>
    <row r="705" ht="15.75" customHeight="1">
      <c r="A705" s="3" t="inlineStr">
        <is>
          <t>PROD_0176</t>
        </is>
      </c>
      <c r="B705" s="3" t="inlineStr">
        <is>
          <t>VAR_2</t>
        </is>
      </c>
      <c r="C705" s="3" t="inlineStr">
        <is>
          <t>Cieling</t>
        </is>
      </c>
      <c r="D705" s="3" t="inlineStr">
        <is>
          <t>POP</t>
        </is>
      </c>
      <c r="E705" s="3" t="inlineStr">
        <is>
          <t>Trimurti</t>
        </is>
      </c>
      <c r="F705" s="3" t="inlineStr">
        <is>
          <t>POP</t>
        </is>
      </c>
      <c r="H705" s="3" t="inlineStr">
        <is>
          <t>Bag Weight</t>
        </is>
      </c>
      <c r="I705" s="3" t="inlineStr">
        <is>
          <t>40 kg</t>
        </is>
      </c>
      <c r="Q705" s="3" t="inlineStr">
        <is>
          <t>Manufacturer's Warranty</t>
        </is>
      </c>
      <c r="Y705" s="3" t="inlineStr">
        <is>
          <t>CLN_TRMR_POP_40KG</t>
        </is>
      </c>
      <c r="Z705" s="3" t="n">
        <v>2520</v>
      </c>
      <c r="AF705" s="4" t="n"/>
      <c r="AG705" s="3" t="n">
        <v>300</v>
      </c>
      <c r="AH705" s="4" t="n">
        <v>0.05</v>
      </c>
      <c r="AI705" s="3">
        <f>ROUND(AG705+(AG705*AH705),2)</f>
        <v/>
      </c>
      <c r="AJ705" s="4" t="n">
        <v>0.115</v>
      </c>
      <c r="AK705" s="3">
        <f>ROUND(AI705*AJ705,2)</f>
        <v/>
      </c>
      <c r="AL705" s="3">
        <f>AI705+AK705</f>
        <v/>
      </c>
      <c r="AM705" s="3">
        <f>AE705-AL705</f>
        <v/>
      </c>
      <c r="AN705" s="4">
        <f>AM705/AE705</f>
        <v/>
      </c>
      <c r="AO705" s="3" t="inlineStr">
        <is>
          <t>60 mins</t>
        </is>
      </c>
      <c r="AQ705" s="3" t="inlineStr">
        <is>
          <t>Weight</t>
        </is>
      </c>
    </row>
    <row r="706" ht="15.75" customHeight="1">
      <c r="A706" s="3" t="inlineStr">
        <is>
          <t>PROD_0177</t>
        </is>
      </c>
      <c r="B706" s="3" t="inlineStr">
        <is>
          <t>VAR_1</t>
        </is>
      </c>
      <c r="C706" s="3" t="inlineStr">
        <is>
          <t>Cieling</t>
        </is>
      </c>
      <c r="D706" s="3" t="inlineStr">
        <is>
          <t>Gypsum Board</t>
        </is>
      </c>
      <c r="E706" s="3" t="inlineStr">
        <is>
          <t>Sakarni</t>
        </is>
      </c>
      <c r="F706" s="3" t="inlineStr">
        <is>
          <t>India Gypsum Board</t>
        </is>
      </c>
      <c r="H706" s="3" t="inlineStr">
        <is>
          <t>Dimensions</t>
        </is>
      </c>
      <c r="I706" s="3" t="inlineStr">
        <is>
          <t>6ft X 4ft</t>
        </is>
      </c>
      <c r="J706" s="3" t="inlineStr">
        <is>
          <t>Thickness</t>
        </is>
      </c>
      <c r="K706" s="3" t="inlineStr">
        <is>
          <t>12.5 mm</t>
        </is>
      </c>
      <c r="Q706" s="3" t="inlineStr">
        <is>
          <t>Manufacturer's Warranty</t>
        </is>
      </c>
      <c r="Y706" s="3" t="inlineStr">
        <is>
          <t>CLN_SKRN_GPSMBRD</t>
        </is>
      </c>
      <c r="Z706" s="3" t="n">
        <v>6809</v>
      </c>
      <c r="AF706" s="4" t="n"/>
      <c r="AG706" s="3" t="n">
        <v>333.45</v>
      </c>
      <c r="AH706" s="4" t="n">
        <v>0.05</v>
      </c>
      <c r="AI706" s="3">
        <f>ROUND(AG706+(AG706*AH706),2)</f>
        <v/>
      </c>
      <c r="AJ706" s="4" t="n">
        <v>0.115</v>
      </c>
      <c r="AK706" s="3">
        <f>ROUND(AI706*AJ706,2)</f>
        <v/>
      </c>
      <c r="AL706" s="3">
        <f>AI706+AK706</f>
        <v/>
      </c>
      <c r="AM706" s="3">
        <f>AE706-AL706</f>
        <v/>
      </c>
      <c r="AN706" s="4">
        <f>AM706/AE706</f>
        <v/>
      </c>
      <c r="AO706" s="3" t="inlineStr">
        <is>
          <t>3 hrs</t>
        </is>
      </c>
      <c r="AQ706" s="3" t="inlineStr">
        <is>
          <t>Length Weight</t>
        </is>
      </c>
    </row>
    <row r="707" ht="15.75" customHeight="1">
      <c r="A707" s="3" t="inlineStr">
        <is>
          <t>PROD_0178</t>
        </is>
      </c>
      <c r="B707" s="3" t="inlineStr">
        <is>
          <t>VAR_1</t>
        </is>
      </c>
      <c r="C707" s="3" t="inlineStr">
        <is>
          <t>Cieling</t>
        </is>
      </c>
      <c r="D707" s="3" t="inlineStr">
        <is>
          <t>Gypsum Board</t>
        </is>
      </c>
      <c r="E707" s="3" t="inlineStr">
        <is>
          <t>Gyproc</t>
        </is>
      </c>
      <c r="F707" s="3" t="inlineStr">
        <is>
          <t>Board</t>
        </is>
      </c>
      <c r="H707" s="3" t="inlineStr">
        <is>
          <t>Dimensions</t>
        </is>
      </c>
      <c r="I707" s="3" t="inlineStr">
        <is>
          <t>6ft X 4ft</t>
        </is>
      </c>
      <c r="J707" s="3" t="inlineStr">
        <is>
          <t>Thickness</t>
        </is>
      </c>
      <c r="K707" s="3" t="inlineStr">
        <is>
          <t>12.5 mm</t>
        </is>
      </c>
      <c r="Q707" s="3" t="inlineStr">
        <is>
          <t>Manufacturer's Warranty</t>
        </is>
      </c>
      <c r="Y707" s="3" t="inlineStr">
        <is>
          <t>CLN_GPRC_GPSMBRD</t>
        </is>
      </c>
      <c r="Z707" s="3" t="n">
        <v>6809</v>
      </c>
      <c r="AF707" s="4" t="n"/>
      <c r="AG707" s="3" t="n">
        <v>333.45</v>
      </c>
      <c r="AH707" s="4" t="n">
        <v>0.05</v>
      </c>
      <c r="AI707" s="3">
        <f>ROUND(AG707+(AG707*AH707),2)</f>
        <v/>
      </c>
      <c r="AJ707" s="4" t="n">
        <v>0.115</v>
      </c>
      <c r="AK707" s="3">
        <f>ROUND(AI707*AJ707,2)</f>
        <v/>
      </c>
      <c r="AL707" s="3">
        <f>AI707+AK707</f>
        <v/>
      </c>
      <c r="AM707" s="3">
        <f>AE707-AL707</f>
        <v/>
      </c>
      <c r="AN707" s="4">
        <f>AM707/AE707</f>
        <v/>
      </c>
      <c r="AO707" s="3" t="inlineStr">
        <is>
          <t>3 hrs</t>
        </is>
      </c>
      <c r="AQ707" s="3" t="inlineStr">
        <is>
          <t>Length Weight</t>
        </is>
      </c>
    </row>
    <row r="708" ht="15.75" customHeight="1">
      <c r="A708" s="3" t="inlineStr">
        <is>
          <t>PROD_0179</t>
        </is>
      </c>
      <c r="B708" s="3" t="inlineStr">
        <is>
          <t>VAR_1</t>
        </is>
      </c>
      <c r="C708" s="3" t="inlineStr">
        <is>
          <t>Cieling</t>
        </is>
      </c>
      <c r="D708" s="3" t="inlineStr">
        <is>
          <t>Fasteners</t>
        </is>
      </c>
      <c r="E708" s="3" t="inlineStr">
        <is>
          <t>Trimurti</t>
        </is>
      </c>
      <c r="F708" s="3" t="inlineStr">
        <is>
          <t>Fasteners</t>
        </is>
      </c>
      <c r="H708" s="3" t="inlineStr">
        <is>
          <t>Thickness</t>
        </is>
      </c>
      <c r="I708" s="3" t="inlineStr">
        <is>
          <t>6 mm</t>
        </is>
      </c>
      <c r="Q708" s="3" t="inlineStr">
        <is>
          <t>Manufacturer's Warranty</t>
        </is>
      </c>
      <c r="Y708" s="3" t="inlineStr">
        <is>
          <t>CLN_TRMR_FSTN</t>
        </is>
      </c>
      <c r="Z708" s="3" t="n">
        <v>7318</v>
      </c>
      <c r="AA708" s="3" t="inlineStr">
        <is>
          <t>Pack</t>
        </is>
      </c>
      <c r="AC708" s="3" t="n">
        <v>100</v>
      </c>
      <c r="AD708" s="3" t="n">
        <v>8.99</v>
      </c>
      <c r="AE708" s="3" t="n">
        <v>899</v>
      </c>
      <c r="AF708" s="4" t="n">
        <v>0.58</v>
      </c>
      <c r="AG708" s="3">
        <f>ROUND(AE708-(AE708*AF708),2)</f>
        <v/>
      </c>
      <c r="AH708" s="4" t="n">
        <v>0.18</v>
      </c>
      <c r="AI708" s="3">
        <f>ROUND(AG708+(AG708*AH708),2)</f>
        <v/>
      </c>
      <c r="AJ708" s="4" t="n">
        <v>0.2</v>
      </c>
      <c r="AK708" s="3">
        <f>ROUND(AI708*AJ708,2)</f>
        <v/>
      </c>
      <c r="AL708" s="3">
        <f>AI708+AK708</f>
        <v/>
      </c>
      <c r="AM708" s="3">
        <f>AE708-AL708</f>
        <v/>
      </c>
      <c r="AN708" s="4">
        <f>AM708/AE708</f>
        <v/>
      </c>
      <c r="AO708" s="3" t="inlineStr">
        <is>
          <t>60 mins</t>
        </is>
      </c>
      <c r="AQ708" s="3" t="inlineStr">
        <is>
          <t>Weight</t>
        </is>
      </c>
    </row>
    <row r="709" ht="15.75" customHeight="1">
      <c r="A709" s="3" t="inlineStr">
        <is>
          <t>PROD_0179</t>
        </is>
      </c>
      <c r="B709" s="3" t="inlineStr">
        <is>
          <t>VAR_2</t>
        </is>
      </c>
      <c r="C709" s="3" t="inlineStr">
        <is>
          <t>Cieling</t>
        </is>
      </c>
      <c r="D709" s="3" t="inlineStr">
        <is>
          <t>Fasteners</t>
        </is>
      </c>
      <c r="E709" s="3" t="inlineStr">
        <is>
          <t>Trimurti</t>
        </is>
      </c>
      <c r="F709" s="3" t="inlineStr">
        <is>
          <t>Fasteners</t>
        </is>
      </c>
      <c r="H709" s="3" t="inlineStr">
        <is>
          <t>Thickness</t>
        </is>
      </c>
      <c r="I709" s="3" t="inlineStr">
        <is>
          <t>8 mm</t>
        </is>
      </c>
      <c r="Q709" s="3" t="inlineStr">
        <is>
          <t>Manufacturer's Warranty</t>
        </is>
      </c>
      <c r="Y709" s="3" t="inlineStr">
        <is>
          <t>CLN_TRMR_FSTN</t>
        </is>
      </c>
      <c r="Z709" s="3" t="n">
        <v>7318</v>
      </c>
      <c r="AE709" s="3" t="n">
        <v>899</v>
      </c>
      <c r="AF709" s="4" t="n">
        <v>0.37</v>
      </c>
      <c r="AG709" s="3">
        <f>ROUND(AE709-(AE709*AF709),2)</f>
        <v/>
      </c>
      <c r="AH709" s="4" t="n">
        <v>0.18</v>
      </c>
      <c r="AI709" s="3">
        <f>ROUND(AG709+(AG709*AH709),2)</f>
        <v/>
      </c>
      <c r="AJ709" s="4" t="n">
        <v>0.2</v>
      </c>
      <c r="AK709" s="3">
        <f>ROUND(AI709*AJ709,2)</f>
        <v/>
      </c>
      <c r="AL709" s="3">
        <f>AI709+AK709</f>
        <v/>
      </c>
      <c r="AM709" s="3">
        <f>AE709-AL709</f>
        <v/>
      </c>
      <c r="AN709" s="4">
        <f>AM709/AE709</f>
        <v/>
      </c>
      <c r="AO709" s="3" t="inlineStr">
        <is>
          <t>60 mins</t>
        </is>
      </c>
      <c r="AQ709" s="3" t="inlineStr">
        <is>
          <t>Weight</t>
        </is>
      </c>
    </row>
    <row r="710" ht="15.75" customHeight="1">
      <c r="A710" s="3" t="inlineStr">
        <is>
          <t>PROD_0179</t>
        </is>
      </c>
      <c r="B710" s="3" t="inlineStr">
        <is>
          <t>VAR_3</t>
        </is>
      </c>
      <c r="C710" s="3" t="inlineStr">
        <is>
          <t>Cieling</t>
        </is>
      </c>
      <c r="D710" s="3" t="inlineStr">
        <is>
          <t>Fasteners</t>
        </is>
      </c>
      <c r="E710" s="3" t="inlineStr">
        <is>
          <t>Trimurti</t>
        </is>
      </c>
      <c r="F710" s="3" t="inlineStr">
        <is>
          <t>Fasteners</t>
        </is>
      </c>
      <c r="H710" s="3" t="inlineStr">
        <is>
          <t>Thickness</t>
        </is>
      </c>
      <c r="I710" s="3" t="inlineStr">
        <is>
          <t>10 mm</t>
        </is>
      </c>
      <c r="Q710" s="3" t="inlineStr">
        <is>
          <t>Manufacturer's Warranty</t>
        </is>
      </c>
      <c r="Y710" s="3" t="inlineStr">
        <is>
          <t>CLN_TRMR_FSTN</t>
        </is>
      </c>
      <c r="Z710" s="3" t="n">
        <v>7318</v>
      </c>
      <c r="AE710" s="3" t="n">
        <v>899</v>
      </c>
      <c r="AF710" s="4" t="n">
        <v>0.37</v>
      </c>
      <c r="AG710" s="3">
        <f>ROUND(AE710-(AE710*AF710),2)</f>
        <v/>
      </c>
      <c r="AH710" s="4" t="n">
        <v>0.18</v>
      </c>
      <c r="AI710" s="3">
        <f>ROUND(AG710+(AG710*AH710),2)</f>
        <v/>
      </c>
      <c r="AJ710" s="4" t="n">
        <v>0.2</v>
      </c>
      <c r="AK710" s="3">
        <f>ROUND(AI710*AJ710,2)</f>
        <v/>
      </c>
      <c r="AL710" s="3">
        <f>AI710+AK710</f>
        <v/>
      </c>
      <c r="AM710" s="3">
        <f>AE710-AL710</f>
        <v/>
      </c>
      <c r="AN710" s="4">
        <f>AM710/AE710</f>
        <v/>
      </c>
      <c r="AO710" s="3" t="inlineStr">
        <is>
          <t>60 mins</t>
        </is>
      </c>
      <c r="AQ710" s="3" t="inlineStr">
        <is>
          <t>Weight</t>
        </is>
      </c>
    </row>
    <row r="711" ht="15.75" customHeight="1">
      <c r="A711" s="3" t="inlineStr">
        <is>
          <t>PROD_0180</t>
        </is>
      </c>
      <c r="B711" s="3" t="inlineStr">
        <is>
          <t>VAR_1</t>
        </is>
      </c>
      <c r="C711" s="3" t="inlineStr">
        <is>
          <t>Cieling</t>
        </is>
      </c>
      <c r="D711" s="3" t="inlineStr">
        <is>
          <t>Fasteners</t>
        </is>
      </c>
      <c r="E711" s="3" t="inlineStr">
        <is>
          <t>Sakarni</t>
        </is>
      </c>
      <c r="F711" s="3" t="inlineStr">
        <is>
          <t>Fasteners</t>
        </is>
      </c>
      <c r="H711" s="3" t="inlineStr">
        <is>
          <t>Thickness</t>
        </is>
      </c>
      <c r="I711" s="3" t="inlineStr">
        <is>
          <t>6 mm</t>
        </is>
      </c>
      <c r="Q711" s="3" t="inlineStr">
        <is>
          <t>Manufacturer's Warranty</t>
        </is>
      </c>
      <c r="Y711" s="3" t="inlineStr">
        <is>
          <t>CLN_SKRN_FSTN</t>
        </is>
      </c>
      <c r="Z711" s="3" t="n">
        <v>7318</v>
      </c>
      <c r="AA711" s="3" t="inlineStr">
        <is>
          <t>Pack</t>
        </is>
      </c>
      <c r="AC711" s="3" t="n">
        <v>100</v>
      </c>
      <c r="AD711" s="3" t="n">
        <v>12</v>
      </c>
      <c r="AE711" s="3" t="n">
        <v>1200</v>
      </c>
      <c r="AF711" s="4" t="n">
        <v>0.37</v>
      </c>
      <c r="AG711" s="3">
        <f>ROUND(AE711-(AE711*AF711),2)</f>
        <v/>
      </c>
      <c r="AH711" s="4" t="n">
        <v>0.18</v>
      </c>
      <c r="AI711" s="3">
        <f>ROUND(AG711+(AG711*AH711),2)</f>
        <v/>
      </c>
      <c r="AJ711" s="4" t="n">
        <v>0.2</v>
      </c>
      <c r="AK711" s="3">
        <f>ROUND(AI711*AJ711,2)</f>
        <v/>
      </c>
      <c r="AL711" s="3">
        <f>AI711+AK711</f>
        <v/>
      </c>
      <c r="AM711" s="3">
        <f>AE711-AL711</f>
        <v/>
      </c>
      <c r="AN711" s="4">
        <f>AM711/AE711</f>
        <v/>
      </c>
      <c r="AO711" s="3" t="inlineStr">
        <is>
          <t>60 mins</t>
        </is>
      </c>
      <c r="AQ711" s="3" t="inlineStr">
        <is>
          <t>Weight</t>
        </is>
      </c>
    </row>
    <row r="712" ht="15.75" customHeight="1">
      <c r="A712" s="3" t="inlineStr">
        <is>
          <t>PROD_0180</t>
        </is>
      </c>
      <c r="B712" s="3" t="inlineStr">
        <is>
          <t>VAR_2</t>
        </is>
      </c>
      <c r="C712" s="3" t="inlineStr">
        <is>
          <t>Cieling</t>
        </is>
      </c>
      <c r="D712" s="3" t="inlineStr">
        <is>
          <t>Fasteners</t>
        </is>
      </c>
      <c r="E712" s="3" t="inlineStr">
        <is>
          <t>Sakarni</t>
        </is>
      </c>
      <c r="F712" s="3" t="inlineStr">
        <is>
          <t>Fasteners</t>
        </is>
      </c>
      <c r="H712" s="3" t="inlineStr">
        <is>
          <t>Thickness</t>
        </is>
      </c>
      <c r="I712" s="3" t="inlineStr">
        <is>
          <t>8 mm</t>
        </is>
      </c>
      <c r="Q712" s="3" t="inlineStr">
        <is>
          <t>Manufacturer's Warranty</t>
        </is>
      </c>
      <c r="Y712" s="3" t="inlineStr">
        <is>
          <t>CLN_SKRN_FSTN</t>
        </is>
      </c>
      <c r="Z712" s="3" t="n">
        <v>7318</v>
      </c>
      <c r="AE712" s="3" t="n">
        <v>1200</v>
      </c>
      <c r="AF712" s="4" t="n">
        <v>0.37</v>
      </c>
      <c r="AG712" s="3">
        <f>ROUND(AE712-(AE712*AF712),2)</f>
        <v/>
      </c>
      <c r="AH712" s="4" t="n">
        <v>0.18</v>
      </c>
      <c r="AI712" s="3">
        <f>ROUND(AG712+(AG712*AH712),2)</f>
        <v/>
      </c>
      <c r="AJ712" s="4" t="n">
        <v>0.2</v>
      </c>
      <c r="AK712" s="3">
        <f>ROUND(AI712*AJ712,2)</f>
        <v/>
      </c>
      <c r="AL712" s="3">
        <f>AI712+AK712</f>
        <v/>
      </c>
      <c r="AM712" s="3">
        <f>AE712-AL712</f>
        <v/>
      </c>
      <c r="AN712" s="4">
        <f>AM712/AE712</f>
        <v/>
      </c>
      <c r="AO712" s="3" t="inlineStr">
        <is>
          <t>60 mins</t>
        </is>
      </c>
      <c r="AQ712" s="3" t="inlineStr">
        <is>
          <t>Weight</t>
        </is>
      </c>
    </row>
    <row r="713" ht="15.75" customHeight="1">
      <c r="A713" s="3" t="inlineStr">
        <is>
          <t>PROD_0180</t>
        </is>
      </c>
      <c r="B713" s="3" t="inlineStr">
        <is>
          <t>VAR_3</t>
        </is>
      </c>
      <c r="C713" s="3" t="inlineStr">
        <is>
          <t>Cieling</t>
        </is>
      </c>
      <c r="D713" s="3" t="inlineStr">
        <is>
          <t>Fasteners</t>
        </is>
      </c>
      <c r="E713" s="3" t="inlineStr">
        <is>
          <t>Sakarni</t>
        </is>
      </c>
      <c r="F713" s="3" t="inlineStr">
        <is>
          <t>Fasteners</t>
        </is>
      </c>
      <c r="H713" s="3" t="inlineStr">
        <is>
          <t>Thickness</t>
        </is>
      </c>
      <c r="I713" s="3" t="inlineStr">
        <is>
          <t>10 mm</t>
        </is>
      </c>
      <c r="Q713" s="3" t="inlineStr">
        <is>
          <t>Manufacturer's Warranty</t>
        </is>
      </c>
      <c r="Y713" s="3" t="inlineStr">
        <is>
          <t>CLN_SKRN_FSTN</t>
        </is>
      </c>
      <c r="Z713" s="3" t="n">
        <v>7318</v>
      </c>
      <c r="AE713" s="3" t="n">
        <v>1200</v>
      </c>
      <c r="AF713" s="4" t="n">
        <v>0.37</v>
      </c>
      <c r="AG713" s="3">
        <f>ROUND(AE713-(AE713*AF713),2)</f>
        <v/>
      </c>
      <c r="AH713" s="4" t="n">
        <v>0.18</v>
      </c>
      <c r="AI713" s="3">
        <f>ROUND(AG713+(AG713*AH713),2)</f>
        <v/>
      </c>
      <c r="AJ713" s="4" t="n">
        <v>0.2</v>
      </c>
      <c r="AK713" s="3">
        <f>ROUND(AI713*AJ713,2)</f>
        <v/>
      </c>
      <c r="AL713" s="3">
        <f>AI713+AK713</f>
        <v/>
      </c>
      <c r="AM713" s="3">
        <f>AE713-AL713</f>
        <v/>
      </c>
      <c r="AN713" s="4">
        <f>AM713/AE713</f>
        <v/>
      </c>
      <c r="AO713" s="3" t="inlineStr">
        <is>
          <t>60 mins</t>
        </is>
      </c>
      <c r="AQ713" s="3" t="inlineStr">
        <is>
          <t>Weight</t>
        </is>
      </c>
    </row>
    <row r="714" ht="15.75" customHeight="1">
      <c r="A714" s="3" t="inlineStr">
        <is>
          <t>PROD_0181</t>
        </is>
      </c>
      <c r="B714" s="3" t="inlineStr">
        <is>
          <t>VAR_1</t>
        </is>
      </c>
      <c r="C714" s="3" t="inlineStr">
        <is>
          <t>Cieling</t>
        </is>
      </c>
      <c r="D714" s="3" t="inlineStr">
        <is>
          <t>Fasteners</t>
        </is>
      </c>
      <c r="E714" s="3" t="inlineStr">
        <is>
          <t>Generic</t>
        </is>
      </c>
      <c r="F714" s="3" t="inlineStr">
        <is>
          <t>Fasteners</t>
        </is>
      </c>
      <c r="H714" s="3" t="inlineStr">
        <is>
          <t>Thickness</t>
        </is>
      </c>
      <c r="I714" s="3" t="inlineStr">
        <is>
          <t>6 mm</t>
        </is>
      </c>
      <c r="Q714" s="3" t="inlineStr">
        <is>
          <t>Manufacturer's Warranty</t>
        </is>
      </c>
      <c r="Y714" s="3" t="inlineStr">
        <is>
          <t>CLN_GEN_FSTN</t>
        </is>
      </c>
      <c r="Z714" s="3" t="n">
        <v>7318</v>
      </c>
      <c r="AA714" s="3" t="inlineStr">
        <is>
          <t>Pack</t>
        </is>
      </c>
      <c r="AC714" s="3" t="n">
        <v>100</v>
      </c>
      <c r="AD714" s="3" t="n">
        <v>8.5</v>
      </c>
      <c r="AE714" s="3" t="n">
        <v>850</v>
      </c>
      <c r="AF714" s="4" t="n">
        <v>0.37</v>
      </c>
      <c r="AG714" s="3">
        <f>ROUND(AE714-(AE714*AF714),2)</f>
        <v/>
      </c>
      <c r="AH714" s="4" t="n">
        <v>0.18</v>
      </c>
      <c r="AI714" s="3">
        <f>ROUND(AG714+(AG714*AH714),2)</f>
        <v/>
      </c>
      <c r="AJ714" s="4" t="n">
        <v>0.2</v>
      </c>
      <c r="AK714" s="3">
        <f>ROUND(AI714*AJ714,2)</f>
        <v/>
      </c>
      <c r="AL714" s="3">
        <f>AI714+AK714</f>
        <v/>
      </c>
      <c r="AM714" s="3">
        <f>AE714-AL714</f>
        <v/>
      </c>
      <c r="AN714" s="4">
        <f>AM714/AE714</f>
        <v/>
      </c>
      <c r="AO714" s="3" t="inlineStr">
        <is>
          <t>60 mins</t>
        </is>
      </c>
      <c r="AQ714" s="3" t="inlineStr">
        <is>
          <t>Weight</t>
        </is>
      </c>
    </row>
    <row r="715" ht="15.75" customHeight="1">
      <c r="A715" s="3" t="inlineStr">
        <is>
          <t>PROD_0181</t>
        </is>
      </c>
      <c r="B715" s="3" t="inlineStr">
        <is>
          <t>VAR_2</t>
        </is>
      </c>
      <c r="C715" s="3" t="inlineStr">
        <is>
          <t>Cieling</t>
        </is>
      </c>
      <c r="D715" s="3" t="inlineStr">
        <is>
          <t>Fasteners</t>
        </is>
      </c>
      <c r="E715" s="3" t="inlineStr">
        <is>
          <t>Generic</t>
        </is>
      </c>
      <c r="F715" s="3" t="inlineStr">
        <is>
          <t>Fasteners</t>
        </is>
      </c>
      <c r="H715" s="3" t="inlineStr">
        <is>
          <t>Thickness</t>
        </is>
      </c>
      <c r="I715" s="3" t="inlineStr">
        <is>
          <t>8 mm</t>
        </is>
      </c>
      <c r="Q715" s="3" t="inlineStr">
        <is>
          <t>Manufacturer's Warranty</t>
        </is>
      </c>
      <c r="Y715" s="3" t="inlineStr">
        <is>
          <t>CLN_GEN_FSTN</t>
        </is>
      </c>
      <c r="Z715" s="3" t="n">
        <v>7318</v>
      </c>
      <c r="AE715" s="3" t="n">
        <v>850</v>
      </c>
      <c r="AF715" s="4" t="n">
        <v>0.37</v>
      </c>
      <c r="AG715" s="3">
        <f>ROUND(AE715-(AE715*AF715),2)</f>
        <v/>
      </c>
      <c r="AH715" s="4" t="n">
        <v>0.18</v>
      </c>
      <c r="AI715" s="3">
        <f>ROUND(AG715+(AG715*AH715),2)</f>
        <v/>
      </c>
      <c r="AJ715" s="4" t="n">
        <v>0.2</v>
      </c>
      <c r="AK715" s="3">
        <f>ROUND(AI715*AJ715,2)</f>
        <v/>
      </c>
      <c r="AL715" s="3">
        <f>AI715+AK715</f>
        <v/>
      </c>
      <c r="AM715" s="3">
        <f>AE715-AL715</f>
        <v/>
      </c>
      <c r="AN715" s="4">
        <f>AM715/AE715</f>
        <v/>
      </c>
      <c r="AO715" s="3" t="inlineStr">
        <is>
          <t>60 mins</t>
        </is>
      </c>
      <c r="AQ715" s="3" t="inlineStr">
        <is>
          <t>Weight</t>
        </is>
      </c>
    </row>
    <row r="716" ht="15.75" customHeight="1">
      <c r="A716" s="3" t="inlineStr">
        <is>
          <t>PROD_0181</t>
        </is>
      </c>
      <c r="B716" s="3" t="inlineStr">
        <is>
          <t>VAR_3</t>
        </is>
      </c>
      <c r="C716" s="3" t="inlineStr">
        <is>
          <t>Cieling</t>
        </is>
      </c>
      <c r="D716" s="3" t="inlineStr">
        <is>
          <t>Fasteners</t>
        </is>
      </c>
      <c r="E716" s="3" t="inlineStr">
        <is>
          <t>Generic</t>
        </is>
      </c>
      <c r="F716" s="3" t="inlineStr">
        <is>
          <t>Fasteners</t>
        </is>
      </c>
      <c r="H716" s="3" t="inlineStr">
        <is>
          <t>Thickness</t>
        </is>
      </c>
      <c r="I716" s="3" t="inlineStr">
        <is>
          <t>10 mm</t>
        </is>
      </c>
      <c r="Q716" s="3" t="inlineStr">
        <is>
          <t>Manufacturer's Warranty</t>
        </is>
      </c>
      <c r="Y716" s="3" t="inlineStr">
        <is>
          <t>CLN_GEN_FSTN</t>
        </is>
      </c>
      <c r="Z716" s="3" t="n">
        <v>7318</v>
      </c>
      <c r="AE716" s="3" t="n">
        <v>850</v>
      </c>
      <c r="AF716" s="4" t="n">
        <v>0.37</v>
      </c>
      <c r="AG716" s="3">
        <f>ROUND(AE716-(AE716*AF716),2)</f>
        <v/>
      </c>
      <c r="AH716" s="4" t="n">
        <v>0.18</v>
      </c>
      <c r="AI716" s="3">
        <f>ROUND(AG716+(AG716*AH716),2)</f>
        <v/>
      </c>
      <c r="AJ716" s="4" t="n">
        <v>0.2</v>
      </c>
      <c r="AK716" s="3">
        <f>ROUND(AI716*AJ716,2)</f>
        <v/>
      </c>
      <c r="AL716" s="3">
        <f>AI716+AK716</f>
        <v/>
      </c>
      <c r="AM716" s="3">
        <f>AE716-AL716</f>
        <v/>
      </c>
      <c r="AN716" s="4">
        <f>AM716/AE716</f>
        <v/>
      </c>
      <c r="AO716" s="3" t="inlineStr">
        <is>
          <t>60 mins</t>
        </is>
      </c>
      <c r="AQ716" s="3" t="inlineStr">
        <is>
          <t>Weight</t>
        </is>
      </c>
    </row>
    <row r="717" ht="15.75" customHeight="1">
      <c r="A717" s="3" t="inlineStr">
        <is>
          <t>PROD_0182</t>
        </is>
      </c>
      <c r="B717" s="3" t="inlineStr">
        <is>
          <t>VAR_1</t>
        </is>
      </c>
      <c r="C717" s="3" t="inlineStr">
        <is>
          <t>Cieling</t>
        </is>
      </c>
      <c r="D717" s="3" t="inlineStr">
        <is>
          <t>GI Wire Mesh (Jaali)</t>
        </is>
      </c>
      <c r="E717" s="3" t="inlineStr">
        <is>
          <t>Trimurti</t>
        </is>
      </c>
      <c r="F717" s="3" t="inlineStr">
        <is>
          <t>Jaali</t>
        </is>
      </c>
      <c r="H717" s="3" t="inlineStr">
        <is>
          <t>Weight</t>
        </is>
      </c>
      <c r="I717" s="3" t="inlineStr">
        <is>
          <t>4 kg</t>
        </is>
      </c>
      <c r="Q717" s="3" t="inlineStr">
        <is>
          <t>Manufacturer's Warranty</t>
        </is>
      </c>
      <c r="Y717" s="3" t="inlineStr">
        <is>
          <t>CLN_TRMR_WRMSH</t>
        </is>
      </c>
      <c r="Z717" s="3" t="n">
        <v>7314</v>
      </c>
      <c r="AE717" s="3" t="n">
        <v>984</v>
      </c>
      <c r="AF717" s="4" t="n">
        <v>0.58</v>
      </c>
      <c r="AG717" s="3">
        <f>ROUND(AE717-(AE717*AF717),2)</f>
        <v/>
      </c>
      <c r="AH717" s="4" t="n">
        <v>0.18</v>
      </c>
      <c r="AI717" s="3">
        <f>ROUND(AG717+(AG717*AH717),2)</f>
        <v/>
      </c>
      <c r="AJ717" s="4" t="n">
        <v>0.115</v>
      </c>
      <c r="AK717" s="3">
        <f>ROUND(AI717*AJ717,2)</f>
        <v/>
      </c>
      <c r="AL717" s="3">
        <f>AI717+AK717</f>
        <v/>
      </c>
      <c r="AM717" s="3">
        <f>AE717-AL717</f>
        <v/>
      </c>
      <c r="AN717" s="4">
        <f>AM717/AE717</f>
        <v/>
      </c>
      <c r="AO717" s="3" t="inlineStr">
        <is>
          <t>60 mins</t>
        </is>
      </c>
      <c r="AQ717" s="3" t="inlineStr">
        <is>
          <t>Weight</t>
        </is>
      </c>
    </row>
    <row r="718" ht="15.75" customHeight="1">
      <c r="A718" s="3" t="inlineStr">
        <is>
          <t>PROD_0182</t>
        </is>
      </c>
      <c r="B718" s="3" t="inlineStr">
        <is>
          <t>VAR_2</t>
        </is>
      </c>
      <c r="C718" s="3" t="inlineStr">
        <is>
          <t>Cieling</t>
        </is>
      </c>
      <c r="D718" s="3" t="inlineStr">
        <is>
          <t>GI Wire Mesh (Jaali)</t>
        </is>
      </c>
      <c r="E718" s="3" t="inlineStr">
        <is>
          <t>Trimurti</t>
        </is>
      </c>
      <c r="F718" s="3" t="inlineStr">
        <is>
          <t>Jaali</t>
        </is>
      </c>
      <c r="H718" s="3" t="inlineStr">
        <is>
          <t>Weight</t>
        </is>
      </c>
      <c r="I718" s="3" t="inlineStr">
        <is>
          <t>8 kg</t>
        </is>
      </c>
      <c r="Q718" s="3" t="inlineStr">
        <is>
          <t>Manufacturer's Warranty</t>
        </is>
      </c>
      <c r="Y718" s="3" t="inlineStr">
        <is>
          <t>CLN_TRMR_WRMSH</t>
        </is>
      </c>
      <c r="Z718" s="3" t="n">
        <v>7314</v>
      </c>
      <c r="AE718" s="3" t="n">
        <v>1968</v>
      </c>
      <c r="AF718" s="4" t="n">
        <v>0.58</v>
      </c>
      <c r="AG718" s="3">
        <f>ROUND(AE718-(AE718*AF718),2)</f>
        <v/>
      </c>
      <c r="AH718" s="4" t="n">
        <v>0.18</v>
      </c>
      <c r="AI718" s="3">
        <f>ROUND(AG718+(AG718*AH718),2)</f>
        <v/>
      </c>
      <c r="AJ718" s="4" t="n">
        <v>0.115</v>
      </c>
      <c r="AK718" s="3">
        <f>ROUND(AI718*AJ718,2)</f>
        <v/>
      </c>
      <c r="AL718" s="3">
        <f>AI718+AK718</f>
        <v/>
      </c>
      <c r="AM718" s="3">
        <f>AE718-AL718</f>
        <v/>
      </c>
      <c r="AN718" s="4">
        <f>AM718/AE718</f>
        <v/>
      </c>
      <c r="AO718" s="3" t="inlineStr">
        <is>
          <t>60 mins</t>
        </is>
      </c>
      <c r="AQ718" s="3" t="inlineStr">
        <is>
          <t>Weight</t>
        </is>
      </c>
    </row>
    <row r="719" ht="15.75" customHeight="1">
      <c r="A719" s="3" t="inlineStr">
        <is>
          <t>PROD_0182</t>
        </is>
      </c>
      <c r="B719" s="3" t="inlineStr">
        <is>
          <t>VAR_3</t>
        </is>
      </c>
      <c r="C719" s="3" t="inlineStr">
        <is>
          <t>Cieling</t>
        </is>
      </c>
      <c r="D719" s="3" t="inlineStr">
        <is>
          <t>GI Wire Mesh (Jaali)</t>
        </is>
      </c>
      <c r="E719" s="3" t="inlineStr">
        <is>
          <t>Trimurti</t>
        </is>
      </c>
      <c r="F719" s="3" t="inlineStr">
        <is>
          <t>Jaali</t>
        </is>
      </c>
      <c r="H719" s="3" t="inlineStr">
        <is>
          <t>Weight</t>
        </is>
      </c>
      <c r="I719" s="3" t="inlineStr">
        <is>
          <t>12 kg</t>
        </is>
      </c>
      <c r="Q719" s="3" t="inlineStr">
        <is>
          <t>Manufacturer's Warranty</t>
        </is>
      </c>
      <c r="Y719" s="3" t="inlineStr">
        <is>
          <t>CLN_TRMR_WRMSH</t>
        </is>
      </c>
      <c r="Z719" s="3" t="n">
        <v>7314</v>
      </c>
      <c r="AE719" s="3" t="n">
        <v>2952</v>
      </c>
      <c r="AF719" s="4" t="n">
        <v>0.58</v>
      </c>
      <c r="AG719" s="3">
        <f>ROUND(AE719-(AE719*AF719),2)</f>
        <v/>
      </c>
      <c r="AH719" s="4" t="n">
        <v>0.18</v>
      </c>
      <c r="AI719" s="3">
        <f>ROUND(AG719+(AG719*AH719),2)</f>
        <v/>
      </c>
      <c r="AJ719" s="4" t="n">
        <v>0.115</v>
      </c>
      <c r="AK719" s="3">
        <f>ROUND(AI719*AJ719,2)</f>
        <v/>
      </c>
      <c r="AL719" s="3">
        <f>AI719+AK719</f>
        <v/>
      </c>
      <c r="AM719" s="3">
        <f>AE719-AL719</f>
        <v/>
      </c>
      <c r="AN719" s="4">
        <f>AM719/AE719</f>
        <v/>
      </c>
      <c r="AO719" s="3" t="inlineStr">
        <is>
          <t>60 mins</t>
        </is>
      </c>
      <c r="AQ719" s="3" t="inlineStr">
        <is>
          <t>Weight</t>
        </is>
      </c>
    </row>
    <row r="720" ht="15.75" customHeight="1">
      <c r="A720" s="3" t="inlineStr">
        <is>
          <t>PROD_0182</t>
        </is>
      </c>
      <c r="B720" s="3" t="inlineStr">
        <is>
          <t>VAR_4</t>
        </is>
      </c>
      <c r="C720" s="3" t="inlineStr">
        <is>
          <t>Cieling</t>
        </is>
      </c>
      <c r="D720" s="3" t="inlineStr">
        <is>
          <t>GI Wire Mesh (Jaali)</t>
        </is>
      </c>
      <c r="E720" s="3" t="inlineStr">
        <is>
          <t>Trimurti</t>
        </is>
      </c>
      <c r="F720" s="3" t="inlineStr">
        <is>
          <t>Jaali</t>
        </is>
      </c>
      <c r="H720" s="3" t="inlineStr">
        <is>
          <t>Weight</t>
        </is>
      </c>
      <c r="I720" s="3" t="inlineStr">
        <is>
          <t>16 kg</t>
        </is>
      </c>
      <c r="Q720" s="3" t="inlineStr">
        <is>
          <t>Manufacturer's Warranty</t>
        </is>
      </c>
      <c r="Y720" s="3" t="inlineStr">
        <is>
          <t>CLN_TRMR_WRMSH</t>
        </is>
      </c>
      <c r="Z720" s="3" t="n">
        <v>7314</v>
      </c>
      <c r="AE720" s="3" t="n">
        <v>3936</v>
      </c>
      <c r="AF720" s="4" t="n">
        <v>0.58</v>
      </c>
      <c r="AG720" s="3">
        <f>ROUND(AE720-(AE720*AF720),2)</f>
        <v/>
      </c>
      <c r="AH720" s="4" t="n">
        <v>0.18</v>
      </c>
      <c r="AI720" s="3">
        <f>ROUND(AG720+(AG720*AH720),2)</f>
        <v/>
      </c>
      <c r="AJ720" s="4" t="n">
        <v>0.115</v>
      </c>
      <c r="AK720" s="3">
        <f>ROUND(AI720*AJ720,2)</f>
        <v/>
      </c>
      <c r="AL720" s="3">
        <f>AI720+AK720</f>
        <v/>
      </c>
      <c r="AM720" s="3">
        <f>AE720-AL720</f>
        <v/>
      </c>
      <c r="AN720" s="4">
        <f>AM720/AE720</f>
        <v/>
      </c>
      <c r="AO720" s="3" t="inlineStr">
        <is>
          <t>60 mins</t>
        </is>
      </c>
      <c r="AQ720" s="3" t="inlineStr">
        <is>
          <t>Weight</t>
        </is>
      </c>
    </row>
    <row r="721" ht="15.75" customHeight="1">
      <c r="A721" s="3" t="inlineStr">
        <is>
          <t>PROD_0183</t>
        </is>
      </c>
      <c r="B721" s="3" t="inlineStr">
        <is>
          <t>VAR_1</t>
        </is>
      </c>
      <c r="C721" s="3" t="inlineStr">
        <is>
          <t>Cieling</t>
        </is>
      </c>
      <c r="D721" s="3" t="inlineStr">
        <is>
          <t>GI Wire Mesh (Jaali)</t>
        </is>
      </c>
      <c r="E721" s="3" t="inlineStr">
        <is>
          <t>Sakarni</t>
        </is>
      </c>
      <c r="F721" s="3" t="inlineStr">
        <is>
          <t>Jaali</t>
        </is>
      </c>
      <c r="H721" s="3" t="inlineStr">
        <is>
          <t>Weight</t>
        </is>
      </c>
      <c r="I721" s="3" t="inlineStr">
        <is>
          <t>4 kg</t>
        </is>
      </c>
      <c r="Q721" s="3" t="inlineStr">
        <is>
          <t>Manufacturer's Warranty</t>
        </is>
      </c>
      <c r="Y721" s="3" t="inlineStr">
        <is>
          <t>CLN_SKRN_WRMSH</t>
        </is>
      </c>
      <c r="Z721" s="3" t="n">
        <v>7314</v>
      </c>
      <c r="AE721" s="3" t="n">
        <v>1230</v>
      </c>
      <c r="AF721" s="4" t="n">
        <v>0.58</v>
      </c>
      <c r="AG721" s="3">
        <f>ROUND(AE721-(AE721*AF721),2)</f>
        <v/>
      </c>
      <c r="AH721" s="4" t="n">
        <v>0.18</v>
      </c>
      <c r="AI721" s="3">
        <f>ROUND(AG721+(AG721*AH721),2)</f>
        <v/>
      </c>
      <c r="AJ721" s="4" t="n">
        <v>0.115</v>
      </c>
      <c r="AK721" s="3">
        <f>ROUND(AI721*AJ721,2)</f>
        <v/>
      </c>
      <c r="AL721" s="3">
        <f>AI721+AK721</f>
        <v/>
      </c>
      <c r="AM721" s="3">
        <f>AE721-AL721</f>
        <v/>
      </c>
      <c r="AN721" s="4">
        <f>AM721/AE721</f>
        <v/>
      </c>
      <c r="AO721" s="3" t="inlineStr">
        <is>
          <t>60 mins</t>
        </is>
      </c>
      <c r="AQ721" s="3" t="inlineStr">
        <is>
          <t>Weight</t>
        </is>
      </c>
    </row>
    <row r="722" ht="15.75" customHeight="1">
      <c r="A722" s="3" t="inlineStr">
        <is>
          <t>PROD_0183</t>
        </is>
      </c>
      <c r="B722" s="3" t="inlineStr">
        <is>
          <t>VAR_2</t>
        </is>
      </c>
      <c r="C722" s="3" t="inlineStr">
        <is>
          <t>Cieling</t>
        </is>
      </c>
      <c r="D722" s="3" t="inlineStr">
        <is>
          <t>GI Wire Mesh (Jaali)</t>
        </is>
      </c>
      <c r="E722" s="3" t="inlineStr">
        <is>
          <t>Sakarni</t>
        </is>
      </c>
      <c r="F722" s="3" t="inlineStr">
        <is>
          <t>Jaali</t>
        </is>
      </c>
      <c r="H722" s="3" t="inlineStr">
        <is>
          <t>Weight</t>
        </is>
      </c>
      <c r="I722" s="3" t="inlineStr">
        <is>
          <t>8 kg</t>
        </is>
      </c>
      <c r="Q722" s="3" t="inlineStr">
        <is>
          <t>Manufacturer's Warranty</t>
        </is>
      </c>
      <c r="Y722" s="3" t="inlineStr">
        <is>
          <t>CLN_SKRN_WRMSH</t>
        </is>
      </c>
      <c r="Z722" s="3" t="n">
        <v>7314</v>
      </c>
      <c r="AE722" s="3" t="n">
        <v>2448</v>
      </c>
      <c r="AF722" s="4" t="n">
        <v>0.58</v>
      </c>
      <c r="AG722" s="3">
        <f>ROUND(AE722-(AE722*AF722),2)</f>
        <v/>
      </c>
      <c r="AH722" s="4" t="n">
        <v>0.18</v>
      </c>
      <c r="AI722" s="3">
        <f>ROUND(AG722+(AG722*AH722),2)</f>
        <v/>
      </c>
      <c r="AJ722" s="4" t="n">
        <v>0.115</v>
      </c>
      <c r="AK722" s="3">
        <f>ROUND(AI722*AJ722,2)</f>
        <v/>
      </c>
      <c r="AL722" s="3">
        <f>AI722+AK722</f>
        <v/>
      </c>
      <c r="AM722" s="3">
        <f>AE722-AL722</f>
        <v/>
      </c>
      <c r="AN722" s="4">
        <f>AM722/AE722</f>
        <v/>
      </c>
      <c r="AO722" s="3" t="inlineStr">
        <is>
          <t>60 mins</t>
        </is>
      </c>
      <c r="AQ722" s="3" t="inlineStr">
        <is>
          <t>Weight</t>
        </is>
      </c>
    </row>
    <row r="723" ht="15.75" customHeight="1">
      <c r="A723" s="3" t="inlineStr">
        <is>
          <t>PROD_0183</t>
        </is>
      </c>
      <c r="B723" s="3" t="inlineStr">
        <is>
          <t>VAR_3</t>
        </is>
      </c>
      <c r="C723" s="3" t="inlineStr">
        <is>
          <t>Cieling</t>
        </is>
      </c>
      <c r="D723" s="3" t="inlineStr">
        <is>
          <t>GI Wire Mesh (Jaali)</t>
        </is>
      </c>
      <c r="E723" s="3" t="inlineStr">
        <is>
          <t>Sakarni</t>
        </is>
      </c>
      <c r="F723" s="3" t="inlineStr">
        <is>
          <t>Jaali</t>
        </is>
      </c>
      <c r="H723" s="3" t="inlineStr">
        <is>
          <t>Weight</t>
        </is>
      </c>
      <c r="I723" s="3" t="inlineStr">
        <is>
          <t>12 kg</t>
        </is>
      </c>
      <c r="Q723" s="3" t="inlineStr">
        <is>
          <t>Manufacturer's Warranty</t>
        </is>
      </c>
      <c r="Y723" s="3" t="inlineStr">
        <is>
          <t>CLN_SKRN_WRMSH</t>
        </is>
      </c>
      <c r="Z723" s="3" t="n">
        <v>7314</v>
      </c>
      <c r="AE723" s="3" t="n">
        <v>3672</v>
      </c>
      <c r="AF723" s="4" t="n">
        <v>0.58</v>
      </c>
      <c r="AG723" s="3">
        <f>ROUND(AE723-(AE723*AF723),2)</f>
        <v/>
      </c>
      <c r="AH723" s="4" t="n">
        <v>0.18</v>
      </c>
      <c r="AI723" s="3">
        <f>ROUND(AG723+(AG723*AH723),2)</f>
        <v/>
      </c>
      <c r="AJ723" s="4" t="n">
        <v>0.115</v>
      </c>
      <c r="AK723" s="3">
        <f>ROUND(AI723*AJ723,2)</f>
        <v/>
      </c>
      <c r="AL723" s="3">
        <f>AI723+AK723</f>
        <v/>
      </c>
      <c r="AM723" s="3">
        <f>AE723-AL723</f>
        <v/>
      </c>
      <c r="AN723" s="4">
        <f>AM723/AE723</f>
        <v/>
      </c>
      <c r="AO723" s="3" t="inlineStr">
        <is>
          <t>60 mins</t>
        </is>
      </c>
      <c r="AQ723" s="3" t="inlineStr">
        <is>
          <t>Weight</t>
        </is>
      </c>
    </row>
    <row r="724" ht="15.75" customHeight="1">
      <c r="A724" s="3" t="inlineStr">
        <is>
          <t>PROD_0183</t>
        </is>
      </c>
      <c r="B724" s="3" t="inlineStr">
        <is>
          <t>VAR_4</t>
        </is>
      </c>
      <c r="C724" s="3" t="inlineStr">
        <is>
          <t>Cieling</t>
        </is>
      </c>
      <c r="D724" s="3" t="inlineStr">
        <is>
          <t>GI Wire Mesh (Jaali)</t>
        </is>
      </c>
      <c r="E724" s="3" t="inlineStr">
        <is>
          <t>Sakarni</t>
        </is>
      </c>
      <c r="F724" s="3" t="inlineStr">
        <is>
          <t>Jaali</t>
        </is>
      </c>
      <c r="H724" s="3" t="inlineStr">
        <is>
          <t>Weight</t>
        </is>
      </c>
      <c r="I724" s="3" t="inlineStr">
        <is>
          <t>16 kg</t>
        </is>
      </c>
      <c r="Q724" s="3" t="inlineStr">
        <is>
          <t>Manufacturer's Warranty</t>
        </is>
      </c>
      <c r="Y724" s="3" t="inlineStr">
        <is>
          <t>CLN_SKRN_WRMSH</t>
        </is>
      </c>
      <c r="Z724" s="3" t="n">
        <v>7314</v>
      </c>
      <c r="AE724" s="3" t="n">
        <v>5508</v>
      </c>
      <c r="AF724" s="4" t="n">
        <v>0.58</v>
      </c>
      <c r="AG724" s="3">
        <f>ROUND(AE724-(AE724*AF724),2)</f>
        <v/>
      </c>
      <c r="AH724" s="4" t="n">
        <v>0.18</v>
      </c>
      <c r="AI724" s="3">
        <f>ROUND(AG724+(AG724*AH724),2)</f>
        <v/>
      </c>
      <c r="AJ724" s="4" t="n">
        <v>0.115</v>
      </c>
      <c r="AK724" s="3">
        <f>ROUND(AI724*AJ724,2)</f>
        <v/>
      </c>
      <c r="AL724" s="3">
        <f>AI724+AK724</f>
        <v/>
      </c>
      <c r="AM724" s="3">
        <f>AE724-AL724</f>
        <v/>
      </c>
      <c r="AN724" s="4">
        <f>AM724/AE724</f>
        <v/>
      </c>
      <c r="AO724" s="3" t="inlineStr">
        <is>
          <t>60 mins</t>
        </is>
      </c>
      <c r="AQ724" s="3" t="inlineStr">
        <is>
          <t>Weight</t>
        </is>
      </c>
    </row>
    <row r="725" ht="15.75" customHeight="1">
      <c r="A725" s="3" t="inlineStr">
        <is>
          <t>PROD_0184</t>
        </is>
      </c>
      <c r="B725" s="3" t="inlineStr">
        <is>
          <t>VAR_1</t>
        </is>
      </c>
      <c r="C725" s="3" t="inlineStr">
        <is>
          <t>Cieling</t>
        </is>
      </c>
      <c r="D725" s="3" t="inlineStr">
        <is>
          <t>GI Wire Mesh (Jaali)</t>
        </is>
      </c>
      <c r="E725" s="3" t="inlineStr">
        <is>
          <t>Generic</t>
        </is>
      </c>
      <c r="F725" s="3" t="inlineStr">
        <is>
          <t>Jaali</t>
        </is>
      </c>
      <c r="H725" s="3" t="inlineStr">
        <is>
          <t>Weight</t>
        </is>
      </c>
      <c r="I725" s="3" t="inlineStr">
        <is>
          <t>4 kg</t>
        </is>
      </c>
      <c r="Q725" s="3" t="inlineStr">
        <is>
          <t>Manufacturer's Warranty</t>
        </is>
      </c>
      <c r="Y725" s="3" t="inlineStr">
        <is>
          <t>CLN_GEN_WRMSH</t>
        </is>
      </c>
      <c r="Z725" s="3" t="n">
        <v>7314</v>
      </c>
      <c r="AE725" s="3" t="n">
        <v>960</v>
      </c>
      <c r="AF725" s="4" t="n">
        <v>0.58</v>
      </c>
      <c r="AG725" s="3">
        <f>ROUND(AE725-(AE725*AF725),2)</f>
        <v/>
      </c>
      <c r="AH725" s="4" t="n">
        <v>0.18</v>
      </c>
      <c r="AI725" s="3">
        <f>ROUND(AG725+(AG725*AH725),2)</f>
        <v/>
      </c>
      <c r="AJ725" s="4" t="n">
        <v>0.15</v>
      </c>
      <c r="AK725" s="3">
        <f>ROUND(AI725*AJ725,2)</f>
        <v/>
      </c>
      <c r="AL725" s="3">
        <f>AI725+AK725</f>
        <v/>
      </c>
      <c r="AM725" s="3">
        <f>AE725-AL725</f>
        <v/>
      </c>
      <c r="AN725" s="4">
        <f>AM725/AE725</f>
        <v/>
      </c>
      <c r="AO725" s="3" t="inlineStr">
        <is>
          <t>60 mins</t>
        </is>
      </c>
      <c r="AQ725" s="3" t="inlineStr">
        <is>
          <t>Weight</t>
        </is>
      </c>
    </row>
    <row r="726" ht="15.75" customHeight="1">
      <c r="A726" s="3" t="inlineStr">
        <is>
          <t>PROD_0184</t>
        </is>
      </c>
      <c r="B726" s="3" t="inlineStr">
        <is>
          <t>VAR_2</t>
        </is>
      </c>
      <c r="C726" s="3" t="inlineStr">
        <is>
          <t>Cieling</t>
        </is>
      </c>
      <c r="D726" s="3" t="inlineStr">
        <is>
          <t>GI Wire Mesh (Jaali)</t>
        </is>
      </c>
      <c r="E726" s="3" t="inlineStr">
        <is>
          <t>Generic</t>
        </is>
      </c>
      <c r="F726" s="3" t="inlineStr">
        <is>
          <t>Jaali</t>
        </is>
      </c>
      <c r="H726" s="3" t="inlineStr">
        <is>
          <t>Weight</t>
        </is>
      </c>
      <c r="I726" s="3" t="inlineStr">
        <is>
          <t>8 kg</t>
        </is>
      </c>
      <c r="Q726" s="3" t="inlineStr">
        <is>
          <t>Manufacturer's Warranty</t>
        </is>
      </c>
      <c r="Y726" s="3" t="inlineStr">
        <is>
          <t>CLN_GEN_WRMSH</t>
        </is>
      </c>
      <c r="Z726" s="3" t="n">
        <v>7314</v>
      </c>
      <c r="AE726" s="3" t="n">
        <v>1940</v>
      </c>
      <c r="AF726" s="4" t="n">
        <v>0.58</v>
      </c>
      <c r="AG726" s="3">
        <f>ROUND(AE726-(AE726*AF726),2)</f>
        <v/>
      </c>
      <c r="AH726" s="4" t="n">
        <v>0.18</v>
      </c>
      <c r="AI726" s="3">
        <f>ROUND(AG726+(AG726*AH726),2)</f>
        <v/>
      </c>
      <c r="AJ726" s="4" t="n">
        <v>0.15</v>
      </c>
      <c r="AK726" s="3">
        <f>ROUND(AI726*AJ726,2)</f>
        <v/>
      </c>
      <c r="AL726" s="3">
        <f>AI726+AK726</f>
        <v/>
      </c>
      <c r="AM726" s="3">
        <f>AE726-AL726</f>
        <v/>
      </c>
      <c r="AN726" s="4">
        <f>AM726/AE726</f>
        <v/>
      </c>
      <c r="AO726" s="3" t="inlineStr">
        <is>
          <t>60 mins</t>
        </is>
      </c>
      <c r="AQ726" s="3" t="inlineStr">
        <is>
          <t>Weight</t>
        </is>
      </c>
    </row>
    <row r="727" ht="15.75" customHeight="1">
      <c r="A727" s="3" t="inlineStr">
        <is>
          <t>PROD_0184</t>
        </is>
      </c>
      <c r="B727" s="3" t="inlineStr">
        <is>
          <t>VAR_3</t>
        </is>
      </c>
      <c r="C727" s="3" t="inlineStr">
        <is>
          <t>Cieling</t>
        </is>
      </c>
      <c r="D727" s="3" t="inlineStr">
        <is>
          <t>GI Wire Mesh (Jaali)</t>
        </is>
      </c>
      <c r="E727" s="3" t="inlineStr">
        <is>
          <t>Generic</t>
        </is>
      </c>
      <c r="F727" s="3" t="inlineStr">
        <is>
          <t>Jaali</t>
        </is>
      </c>
      <c r="H727" s="3" t="inlineStr">
        <is>
          <t>Weight</t>
        </is>
      </c>
      <c r="I727" s="3" t="inlineStr">
        <is>
          <t>12 kg</t>
        </is>
      </c>
      <c r="Q727" s="3" t="inlineStr">
        <is>
          <t>Manufacturer's Warranty</t>
        </is>
      </c>
      <c r="Y727" s="3" t="inlineStr">
        <is>
          <t>CLN_GEN_WRMSH</t>
        </is>
      </c>
      <c r="Z727" s="3" t="n">
        <v>7314</v>
      </c>
      <c r="AE727" s="3" t="n">
        <v>2910</v>
      </c>
      <c r="AF727" s="4" t="n">
        <v>0.58</v>
      </c>
      <c r="AG727" s="3">
        <f>ROUND(AE727-(AE727*AF727),2)</f>
        <v/>
      </c>
      <c r="AH727" s="4" t="n">
        <v>0.18</v>
      </c>
      <c r="AI727" s="3">
        <f>ROUND(AG727+(AG727*AH727),2)</f>
        <v/>
      </c>
      <c r="AJ727" s="4" t="n">
        <v>0.15</v>
      </c>
      <c r="AK727" s="3">
        <f>ROUND(AI727*AJ727,2)</f>
        <v/>
      </c>
      <c r="AL727" s="3">
        <f>AI727+AK727</f>
        <v/>
      </c>
      <c r="AM727" s="3">
        <f>AE727-AL727</f>
        <v/>
      </c>
      <c r="AN727" s="4">
        <f>AM727/AE727</f>
        <v/>
      </c>
      <c r="AO727" s="3" t="inlineStr">
        <is>
          <t>60 mins</t>
        </is>
      </c>
      <c r="AQ727" s="3" t="inlineStr">
        <is>
          <t>Weight</t>
        </is>
      </c>
    </row>
    <row r="728" ht="15.75" customHeight="1">
      <c r="A728" s="3" t="inlineStr">
        <is>
          <t>PROD_0184</t>
        </is>
      </c>
      <c r="B728" s="3" t="inlineStr">
        <is>
          <t>VAR_4</t>
        </is>
      </c>
      <c r="C728" s="3" t="inlineStr">
        <is>
          <t>Cieling</t>
        </is>
      </c>
      <c r="D728" s="3" t="inlineStr">
        <is>
          <t>GI Wire Mesh (Jaali)</t>
        </is>
      </c>
      <c r="E728" s="3" t="inlineStr">
        <is>
          <t>Generic</t>
        </is>
      </c>
      <c r="F728" s="3" t="inlineStr">
        <is>
          <t>Jaali</t>
        </is>
      </c>
      <c r="H728" s="3" t="inlineStr">
        <is>
          <t>Weight</t>
        </is>
      </c>
      <c r="I728" s="3" t="inlineStr">
        <is>
          <t>16 kg</t>
        </is>
      </c>
      <c r="Q728" s="3" t="inlineStr">
        <is>
          <t>Manufacturer's Warranty</t>
        </is>
      </c>
      <c r="Y728" s="3" t="inlineStr">
        <is>
          <t>CLN_GEN_WRMSH</t>
        </is>
      </c>
      <c r="Z728" s="3" t="n">
        <v>7314</v>
      </c>
      <c r="AE728" s="3" t="n">
        <v>3910</v>
      </c>
      <c r="AF728" s="4" t="n">
        <v>0.58</v>
      </c>
      <c r="AG728" s="3">
        <f>ROUND(AE728-(AE728*AF728),2)</f>
        <v/>
      </c>
      <c r="AH728" s="4" t="n">
        <v>0.18</v>
      </c>
      <c r="AI728" s="3">
        <f>ROUND(AG728+(AG728*AH728),2)</f>
        <v/>
      </c>
      <c r="AJ728" s="4" t="n">
        <v>0.15</v>
      </c>
      <c r="AK728" s="3">
        <f>ROUND(AI728*AJ728,2)</f>
        <v/>
      </c>
      <c r="AL728" s="3">
        <f>AI728+AK728</f>
        <v/>
      </c>
      <c r="AM728" s="3">
        <f>AE728-AL728</f>
        <v/>
      </c>
      <c r="AN728" s="4">
        <f>AM728/AE728</f>
        <v/>
      </c>
      <c r="AO728" s="3" t="inlineStr">
        <is>
          <t>60 mins</t>
        </is>
      </c>
      <c r="AQ728" s="3" t="inlineStr">
        <is>
          <t>Weight</t>
        </is>
      </c>
    </row>
    <row r="729" ht="15.75" customHeight="1">
      <c r="A729" s="3" t="inlineStr">
        <is>
          <t>PROD_0185</t>
        </is>
      </c>
      <c r="B729" s="3" t="inlineStr">
        <is>
          <t>VAR_1</t>
        </is>
      </c>
      <c r="C729" s="3" t="inlineStr">
        <is>
          <t>Cieling</t>
        </is>
      </c>
      <c r="D729" s="3" t="inlineStr">
        <is>
          <t>Dry Wall Screw</t>
        </is>
      </c>
      <c r="E729" s="3" t="inlineStr">
        <is>
          <t>Trimurti</t>
        </is>
      </c>
      <c r="F729" s="3" t="inlineStr">
        <is>
          <t>Screw</t>
        </is>
      </c>
      <c r="H729" s="3" t="inlineStr">
        <is>
          <t>Size</t>
        </is>
      </c>
      <c r="I729" s="3" t="inlineStr">
        <is>
          <t>6 X 19 mm</t>
        </is>
      </c>
      <c r="Q729" s="3" t="inlineStr">
        <is>
          <t>Manufacturer's Warranty</t>
        </is>
      </c>
      <c r="Y729" s="3" t="inlineStr">
        <is>
          <t>CLN_TRMR_DRWLSCR</t>
        </is>
      </c>
      <c r="Z729" s="3" t="n">
        <v>7318</v>
      </c>
      <c r="AE729" s="3" t="n">
        <v>499</v>
      </c>
      <c r="AF729" s="4" t="n">
        <v>0.63</v>
      </c>
      <c r="AG729" s="3">
        <f>ROUND(AE729-(AE729*AF729),2)</f>
        <v/>
      </c>
      <c r="AH729" s="4" t="n">
        <v>0.18</v>
      </c>
      <c r="AI729" s="3">
        <f>ROUND(AG729+(AG729*AH729),2)</f>
        <v/>
      </c>
      <c r="AJ729" s="4" t="n">
        <v>0.2</v>
      </c>
      <c r="AK729" s="3">
        <f>ROUND(AI729*AJ729,2)</f>
        <v/>
      </c>
      <c r="AL729" s="3">
        <f>AI729+AK729</f>
        <v/>
      </c>
      <c r="AM729" s="3">
        <f>AE729-AL729</f>
        <v/>
      </c>
      <c r="AN729" s="4">
        <f>AM729/AE729</f>
        <v/>
      </c>
      <c r="AO729" s="3" t="inlineStr">
        <is>
          <t>60 mins</t>
        </is>
      </c>
      <c r="AQ729" s="3" t="inlineStr">
        <is>
          <t>Weight</t>
        </is>
      </c>
    </row>
    <row r="730" ht="15.75" customHeight="1">
      <c r="A730" s="3" t="inlineStr">
        <is>
          <t>PROD_0185</t>
        </is>
      </c>
      <c r="B730" s="3" t="inlineStr">
        <is>
          <t>VAR_2</t>
        </is>
      </c>
      <c r="C730" s="3" t="inlineStr">
        <is>
          <t>Cieling</t>
        </is>
      </c>
      <c r="D730" s="3" t="inlineStr">
        <is>
          <t>Dry Wall Screw</t>
        </is>
      </c>
      <c r="E730" s="3" t="inlineStr">
        <is>
          <t>Trimurti</t>
        </is>
      </c>
      <c r="F730" s="3" t="inlineStr">
        <is>
          <t>Screw</t>
        </is>
      </c>
      <c r="H730" s="3" t="inlineStr">
        <is>
          <t>Size</t>
        </is>
      </c>
      <c r="I730" s="3" t="inlineStr">
        <is>
          <t>6 X 25 mm</t>
        </is>
      </c>
      <c r="Q730" s="3" t="inlineStr">
        <is>
          <t>Manufacturer's Warranty</t>
        </is>
      </c>
      <c r="Y730" s="3" t="inlineStr">
        <is>
          <t>CLN_TRMR_DRWLSCR</t>
        </is>
      </c>
      <c r="Z730" s="3" t="n">
        <v>7318</v>
      </c>
      <c r="AE730" s="3" t="n">
        <v>599</v>
      </c>
      <c r="AF730" s="4" t="n">
        <v>0.63</v>
      </c>
      <c r="AG730" s="3">
        <f>ROUND(AE730-(AE730*AF730),2)</f>
        <v/>
      </c>
      <c r="AH730" s="4" t="n">
        <v>0.18</v>
      </c>
      <c r="AI730" s="3">
        <f>ROUND(AG730+(AG730*AH730),2)</f>
        <v/>
      </c>
      <c r="AJ730" s="4" t="n">
        <v>0.2</v>
      </c>
      <c r="AK730" s="3">
        <f>ROUND(AI730*AJ730,2)</f>
        <v/>
      </c>
      <c r="AL730" s="3">
        <f>AI730+AK730</f>
        <v/>
      </c>
      <c r="AM730" s="3">
        <f>AE730-AL730</f>
        <v/>
      </c>
      <c r="AN730" s="4">
        <f>AM730/AE730</f>
        <v/>
      </c>
      <c r="AO730" s="3" t="inlineStr">
        <is>
          <t>60 mins</t>
        </is>
      </c>
      <c r="AQ730" s="3" t="inlineStr">
        <is>
          <t>Weight</t>
        </is>
      </c>
    </row>
    <row r="731" ht="15.75" customHeight="1">
      <c r="A731" s="3" t="inlineStr">
        <is>
          <t>PROD_0186</t>
        </is>
      </c>
      <c r="B731" s="3" t="inlineStr">
        <is>
          <t>VAR_1</t>
        </is>
      </c>
      <c r="C731" s="3" t="inlineStr">
        <is>
          <t>Cieling</t>
        </is>
      </c>
      <c r="D731" s="3" t="inlineStr">
        <is>
          <t>Dry Wall Screw</t>
        </is>
      </c>
      <c r="E731" s="3" t="inlineStr">
        <is>
          <t>Sakarni</t>
        </is>
      </c>
      <c r="F731" s="3" t="inlineStr">
        <is>
          <t>Screw</t>
        </is>
      </c>
      <c r="H731" s="3" t="inlineStr">
        <is>
          <t>Size</t>
        </is>
      </c>
      <c r="I731" s="3" t="inlineStr">
        <is>
          <t>6 X 19 mm</t>
        </is>
      </c>
      <c r="Q731" s="3" t="inlineStr">
        <is>
          <t>Manufacturer's Warranty</t>
        </is>
      </c>
      <c r="Y731" s="3" t="inlineStr">
        <is>
          <t>CLN_SKRN_DRWLSCR_1, CLN_SKRN_DRWLSCR_2</t>
        </is>
      </c>
      <c r="Z731" s="3" t="n">
        <v>7318</v>
      </c>
      <c r="AE731" s="3" t="n">
        <v>699</v>
      </c>
      <c r="AF731" s="4" t="n">
        <v>0.63</v>
      </c>
      <c r="AG731" s="3">
        <f>ROUND(AE731-(AE731*AF731),2)</f>
        <v/>
      </c>
      <c r="AH731" s="4" t="n">
        <v>0.18</v>
      </c>
      <c r="AI731" s="3">
        <f>ROUND(AG731+(AG731*AH731),2)</f>
        <v/>
      </c>
      <c r="AJ731" s="4" t="n">
        <v>0.2</v>
      </c>
      <c r="AK731" s="3">
        <f>ROUND(AI731*AJ731,2)</f>
        <v/>
      </c>
      <c r="AL731" s="3">
        <f>AI731+AK731</f>
        <v/>
      </c>
      <c r="AM731" s="3">
        <f>AE731-AL731</f>
        <v/>
      </c>
      <c r="AN731" s="4">
        <f>AM731/AE731</f>
        <v/>
      </c>
      <c r="AO731" s="3" t="inlineStr">
        <is>
          <t>60 mins</t>
        </is>
      </c>
      <c r="AQ731" s="3" t="inlineStr">
        <is>
          <t>Weight</t>
        </is>
      </c>
    </row>
    <row r="732" ht="15.75" customHeight="1">
      <c r="A732" s="3" t="inlineStr">
        <is>
          <t>PROD_0186</t>
        </is>
      </c>
      <c r="B732" s="3" t="inlineStr">
        <is>
          <t>VAR_2</t>
        </is>
      </c>
      <c r="C732" s="3" t="inlineStr">
        <is>
          <t>Cieling</t>
        </is>
      </c>
      <c r="D732" s="3" t="inlineStr">
        <is>
          <t>Dry Wall Screw</t>
        </is>
      </c>
      <c r="E732" s="3" t="inlineStr">
        <is>
          <t>Sakarni</t>
        </is>
      </c>
      <c r="F732" s="3" t="inlineStr">
        <is>
          <t>Screw</t>
        </is>
      </c>
      <c r="H732" s="3" t="inlineStr">
        <is>
          <t>Size</t>
        </is>
      </c>
      <c r="I732" s="3" t="inlineStr">
        <is>
          <t>6 X 25 mm</t>
        </is>
      </c>
      <c r="Q732" s="3" t="inlineStr">
        <is>
          <t>Manufacturer's Warranty</t>
        </is>
      </c>
      <c r="Y732" s="3" t="inlineStr">
        <is>
          <t>CLN_SKRN_DRWLSCR_1, CLN_SKRN_DRWLSCR_2</t>
        </is>
      </c>
      <c r="Z732" s="3" t="n">
        <v>7318</v>
      </c>
      <c r="AE732" s="3" t="n">
        <v>799</v>
      </c>
      <c r="AF732" s="4" t="n">
        <v>0.63</v>
      </c>
      <c r="AG732" s="3">
        <f>ROUND(AE732-(AE732*AF732),2)</f>
        <v/>
      </c>
      <c r="AH732" s="4" t="n">
        <v>0.18</v>
      </c>
      <c r="AI732" s="3">
        <f>ROUND(AG732+(AG732*AH732),2)</f>
        <v/>
      </c>
      <c r="AJ732" s="4" t="n">
        <v>0.2</v>
      </c>
      <c r="AK732" s="3">
        <f>ROUND(AI732*AJ732,2)</f>
        <v/>
      </c>
      <c r="AL732" s="3">
        <f>AI732+AK732</f>
        <v/>
      </c>
      <c r="AM732" s="3">
        <f>AE732-AL732</f>
        <v/>
      </c>
      <c r="AN732" s="4">
        <f>AM732/AE732</f>
        <v/>
      </c>
      <c r="AO732" s="3" t="inlineStr">
        <is>
          <t>60 mins</t>
        </is>
      </c>
      <c r="AQ732" s="3" t="inlineStr">
        <is>
          <t>Weight</t>
        </is>
      </c>
    </row>
    <row r="733" ht="15.75" customHeight="1">
      <c r="A733" s="3" t="inlineStr">
        <is>
          <t>PROD_0187</t>
        </is>
      </c>
      <c r="B733" s="3" t="inlineStr">
        <is>
          <t>VAR_1</t>
        </is>
      </c>
      <c r="C733" s="3" t="inlineStr">
        <is>
          <t>Cieling</t>
        </is>
      </c>
      <c r="D733" s="3" t="inlineStr">
        <is>
          <t>Dry Wall Screw</t>
        </is>
      </c>
      <c r="E733" s="3" t="inlineStr">
        <is>
          <t>Intesign</t>
        </is>
      </c>
      <c r="F733" s="3" t="inlineStr">
        <is>
          <t>Screw</t>
        </is>
      </c>
      <c r="H733" s="3" t="inlineStr">
        <is>
          <t>Size</t>
        </is>
      </c>
      <c r="I733" s="3" t="inlineStr">
        <is>
          <t>6 X 19 mm</t>
        </is>
      </c>
      <c r="Q733" s="3" t="inlineStr">
        <is>
          <t>Manufacturer's Warranty</t>
        </is>
      </c>
      <c r="Y733" s="3" t="inlineStr">
        <is>
          <t>CLN_GEN_DRWLSCR</t>
        </is>
      </c>
      <c r="Z733" s="3" t="n">
        <v>7318</v>
      </c>
      <c r="AE733" s="3" t="n">
        <v>470</v>
      </c>
      <c r="AF733" s="4" t="n">
        <v>0.63</v>
      </c>
      <c r="AG733" s="3">
        <f>ROUND(AE733-(AE733*AF733),2)</f>
        <v/>
      </c>
      <c r="AH733" s="4" t="n">
        <v>0.18</v>
      </c>
      <c r="AI733" s="3">
        <f>ROUND(AG733+(AG733*AH733),2)</f>
        <v/>
      </c>
      <c r="AJ733" s="4" t="n">
        <v>0.2</v>
      </c>
      <c r="AK733" s="3">
        <f>ROUND(AI733*AJ733,2)</f>
        <v/>
      </c>
      <c r="AL733" s="3">
        <f>AI733+AK733</f>
        <v/>
      </c>
      <c r="AM733" s="3">
        <f>AE733-AL733</f>
        <v/>
      </c>
      <c r="AN733" s="4">
        <f>AM733/AE733</f>
        <v/>
      </c>
      <c r="AO733" s="3" t="inlineStr">
        <is>
          <t>60 mins</t>
        </is>
      </c>
      <c r="AQ733" s="3" t="inlineStr">
        <is>
          <t>Weight</t>
        </is>
      </c>
    </row>
    <row r="734" ht="15.75" customHeight="1">
      <c r="A734" s="3" t="inlineStr">
        <is>
          <t>PROD_0187</t>
        </is>
      </c>
      <c r="B734" s="3" t="inlineStr">
        <is>
          <t>VAR_2</t>
        </is>
      </c>
      <c r="C734" s="3" t="inlineStr">
        <is>
          <t>Cieling</t>
        </is>
      </c>
      <c r="D734" s="3" t="inlineStr">
        <is>
          <t>Dry Wall Screw</t>
        </is>
      </c>
      <c r="E734" s="3" t="inlineStr">
        <is>
          <t>Intesign</t>
        </is>
      </c>
      <c r="F734" s="3" t="inlineStr">
        <is>
          <t>Screw</t>
        </is>
      </c>
      <c r="H734" s="3" t="inlineStr">
        <is>
          <t>Size</t>
        </is>
      </c>
      <c r="I734" s="3" t="inlineStr">
        <is>
          <t>6 X 25 mm</t>
        </is>
      </c>
      <c r="Q734" s="3" t="inlineStr">
        <is>
          <t>Manufacturer's Warranty</t>
        </is>
      </c>
      <c r="Y734" s="3" t="inlineStr">
        <is>
          <t>CLN_GEN_DRWLSCR</t>
        </is>
      </c>
      <c r="Z734" s="3" t="n">
        <v>7318</v>
      </c>
      <c r="AE734" s="3" t="n">
        <v>570</v>
      </c>
      <c r="AF734" s="4" t="n">
        <v>0.63</v>
      </c>
      <c r="AG734" s="3">
        <f>ROUND(AE734-(AE734*AF734),2)</f>
        <v/>
      </c>
      <c r="AH734" s="4" t="n">
        <v>0.18</v>
      </c>
      <c r="AI734" s="3">
        <f>ROUND(AG734+(AG734*AH734),2)</f>
        <v/>
      </c>
      <c r="AJ734" s="4" t="n">
        <v>0.2</v>
      </c>
      <c r="AK734" s="3">
        <f>ROUND(AI734*AJ734,2)</f>
        <v/>
      </c>
      <c r="AL734" s="3">
        <f>AI734+AK734</f>
        <v/>
      </c>
      <c r="AM734" s="3">
        <f>AE734-AL734</f>
        <v/>
      </c>
      <c r="AN734" s="4">
        <f>AM734/AE734</f>
        <v/>
      </c>
      <c r="AO734" s="3" t="inlineStr">
        <is>
          <t>60 mins</t>
        </is>
      </c>
      <c r="AQ734" s="3" t="inlineStr">
        <is>
          <t>Weight</t>
        </is>
      </c>
    </row>
    <row r="735" ht="15.75" customHeight="1">
      <c r="A735" s="3" t="inlineStr">
        <is>
          <t>PROD_0188</t>
        </is>
      </c>
      <c r="B735" s="3" t="inlineStr">
        <is>
          <t>VAR_1</t>
        </is>
      </c>
      <c r="C735" s="3" t="inlineStr">
        <is>
          <t>Electrical Material</t>
        </is>
      </c>
      <c r="D735" s="3" t="inlineStr">
        <is>
          <t>Wires</t>
        </is>
      </c>
      <c r="E735" s="3" t="inlineStr">
        <is>
          <t>Polycab</t>
        </is>
      </c>
      <c r="F735" s="3" t="inlineStr">
        <is>
          <t>Maxima Plus</t>
        </is>
      </c>
      <c r="H735" s="3" t="inlineStr">
        <is>
          <t>Thickness</t>
        </is>
      </c>
      <c r="I735" s="3" t="inlineStr">
        <is>
          <t>0.75 sq mm</t>
        </is>
      </c>
      <c r="J735" s="3" t="inlineStr">
        <is>
          <t>Color</t>
        </is>
      </c>
      <c r="K735" s="3" t="inlineStr">
        <is>
          <t>Red</t>
        </is>
      </c>
      <c r="L735" s="3" t="inlineStr">
        <is>
          <t>Length</t>
        </is>
      </c>
      <c r="M735" s="3" t="inlineStr">
        <is>
          <t>90 Mtr</t>
        </is>
      </c>
      <c r="Q735" s="3" t="inlineStr">
        <is>
          <t>Manufacturer's Warranty</t>
        </is>
      </c>
      <c r="R735" s="3" t="inlineStr">
        <is>
          <t>HR LR-LSH LF</t>
        </is>
      </c>
      <c r="Y735" s="3" t="inlineStr">
        <is>
          <t>WR_PC_MXM_RD_1, WR_PC_MXM_RD_2</t>
        </is>
      </c>
      <c r="Z735" s="3" t="n">
        <v>8544</v>
      </c>
      <c r="AE735" s="3" t="n">
        <v>2210</v>
      </c>
      <c r="AF735" s="4" t="n">
        <v>0.44</v>
      </c>
      <c r="AG735" s="3">
        <f>ROUND(AE735-(AE735*AF735),2)</f>
        <v/>
      </c>
      <c r="AH735" s="4" t="n">
        <v>0.18</v>
      </c>
      <c r="AI735" s="3">
        <f>ROUND(AG735+(AG735*AH735),2)</f>
        <v/>
      </c>
      <c r="AJ735" s="4" t="n">
        <v>0.1</v>
      </c>
      <c r="AK735" s="3">
        <f>ROUND(AI735*AJ735,2)</f>
        <v/>
      </c>
      <c r="AL735" s="3">
        <f>AI735+AK735</f>
        <v/>
      </c>
      <c r="AM735" s="3">
        <f>AE735-AL735</f>
        <v/>
      </c>
      <c r="AN735" s="4">
        <f>AM735/AE735</f>
        <v/>
      </c>
      <c r="AO735" s="3" t="inlineStr">
        <is>
          <t>60 mins</t>
        </is>
      </c>
      <c r="AQ735" s="3" t="inlineStr">
        <is>
          <t>Weight</t>
        </is>
      </c>
      <c r="AT735" s="3" t="inlineStr">
        <is>
          <t>Actvie</t>
        </is>
      </c>
    </row>
    <row r="736" ht="15.75" customHeight="1">
      <c r="A736" s="3" t="inlineStr">
        <is>
          <t>PROD_0188</t>
        </is>
      </c>
      <c r="B736" s="3" t="inlineStr">
        <is>
          <t>VAR_2</t>
        </is>
      </c>
      <c r="C736" s="3" t="inlineStr">
        <is>
          <t>Electrical Material</t>
        </is>
      </c>
      <c r="D736" s="3" t="inlineStr">
        <is>
          <t>Wires</t>
        </is>
      </c>
      <c r="E736" s="3" t="inlineStr">
        <is>
          <t>Polycab</t>
        </is>
      </c>
      <c r="F736" s="3" t="inlineStr">
        <is>
          <t>Maxima Plus</t>
        </is>
      </c>
      <c r="H736" s="3" t="inlineStr">
        <is>
          <t>Thickness</t>
        </is>
      </c>
      <c r="I736" s="3" t="inlineStr">
        <is>
          <t>0.75 sq mm</t>
        </is>
      </c>
      <c r="J736" s="3" t="inlineStr">
        <is>
          <t>Color</t>
        </is>
      </c>
      <c r="K736" s="3" t="inlineStr">
        <is>
          <t>Black</t>
        </is>
      </c>
      <c r="L736" s="3" t="inlineStr">
        <is>
          <t>Length</t>
        </is>
      </c>
      <c r="M736" s="3" t="inlineStr">
        <is>
          <t>90 Mtr</t>
        </is>
      </c>
      <c r="Q736" s="3" t="inlineStr">
        <is>
          <t>Manufacturer's Warranty</t>
        </is>
      </c>
      <c r="Y736" s="3" t="inlineStr">
        <is>
          <t>WR_PC_MXM_BLK_1, WR_PC_MXM_BLK_2</t>
        </is>
      </c>
      <c r="Z736" s="3" t="n">
        <v>8544</v>
      </c>
      <c r="AE736" s="3" t="n">
        <v>2210</v>
      </c>
      <c r="AF736" s="4" t="n">
        <v>0.44</v>
      </c>
      <c r="AG736" s="3">
        <f>ROUND(AE736-(AE736*AF736),2)</f>
        <v/>
      </c>
      <c r="AH736" s="4" t="n">
        <v>0.18</v>
      </c>
      <c r="AI736" s="3">
        <f>ROUND(AG736+(AG736*AH736),2)</f>
        <v/>
      </c>
      <c r="AJ736" s="4" t="n">
        <v>0.1</v>
      </c>
      <c r="AK736" s="3">
        <f>ROUND(AI736*AJ736,2)</f>
        <v/>
      </c>
      <c r="AL736" s="3">
        <f>AI736+AK736</f>
        <v/>
      </c>
      <c r="AM736" s="3">
        <f>AE736-AL736</f>
        <v/>
      </c>
      <c r="AN736" s="4">
        <f>AM736/AE736</f>
        <v/>
      </c>
      <c r="AO736" s="3" t="inlineStr">
        <is>
          <t>60 mins</t>
        </is>
      </c>
      <c r="AQ736" s="3" t="inlineStr">
        <is>
          <t>Weight</t>
        </is>
      </c>
      <c r="AT736" s="3" t="inlineStr">
        <is>
          <t>Actvie</t>
        </is>
      </c>
    </row>
    <row r="737" ht="15.75" customHeight="1">
      <c r="A737" s="3" t="inlineStr">
        <is>
          <t>PROD_0188</t>
        </is>
      </c>
      <c r="B737" s="3" t="inlineStr">
        <is>
          <t>VAR_3</t>
        </is>
      </c>
      <c r="C737" s="3" t="inlineStr">
        <is>
          <t>Electrical Material</t>
        </is>
      </c>
      <c r="D737" s="3" t="inlineStr">
        <is>
          <t>Wires</t>
        </is>
      </c>
      <c r="E737" s="3" t="inlineStr">
        <is>
          <t>Polycab</t>
        </is>
      </c>
      <c r="F737" s="3" t="inlineStr">
        <is>
          <t>Maxima Plus</t>
        </is>
      </c>
      <c r="H737" s="3" t="inlineStr">
        <is>
          <t>Thickness</t>
        </is>
      </c>
      <c r="I737" s="3" t="inlineStr">
        <is>
          <t>0.75 sq mm</t>
        </is>
      </c>
      <c r="J737" s="3" t="inlineStr">
        <is>
          <t>Color</t>
        </is>
      </c>
      <c r="K737" s="3" t="inlineStr">
        <is>
          <t>Green</t>
        </is>
      </c>
      <c r="L737" s="3" t="inlineStr">
        <is>
          <t>Length</t>
        </is>
      </c>
      <c r="M737" s="3" t="inlineStr">
        <is>
          <t>90 Mtr</t>
        </is>
      </c>
      <c r="Q737" s="3" t="inlineStr">
        <is>
          <t>Manufacturer's Warranty</t>
        </is>
      </c>
      <c r="Y737" s="3" t="inlineStr">
        <is>
          <t>WR_PC_MXM_GRN_1, WR_PC_MXM_GRN_2</t>
        </is>
      </c>
      <c r="Z737" s="3" t="n">
        <v>8544</v>
      </c>
      <c r="AE737" s="3" t="n">
        <v>2210</v>
      </c>
      <c r="AF737" s="4" t="n">
        <v>0.44</v>
      </c>
      <c r="AG737" s="3">
        <f>ROUND(AE737-(AE737*AF737),2)</f>
        <v/>
      </c>
      <c r="AH737" s="4" t="n">
        <v>0.18</v>
      </c>
      <c r="AI737" s="3">
        <f>ROUND(AG737+(AG737*AH737),2)</f>
        <v/>
      </c>
      <c r="AJ737" s="4" t="n">
        <v>0.1</v>
      </c>
      <c r="AK737" s="3">
        <f>ROUND(AI737*AJ737,2)</f>
        <v/>
      </c>
      <c r="AL737" s="3">
        <f>AI737+AK737</f>
        <v/>
      </c>
      <c r="AM737" s="3">
        <f>AE737-AL737</f>
        <v/>
      </c>
      <c r="AN737" s="4">
        <f>AM737/AE737</f>
        <v/>
      </c>
      <c r="AO737" s="3" t="inlineStr">
        <is>
          <t>60 mins</t>
        </is>
      </c>
      <c r="AQ737" s="3" t="inlineStr">
        <is>
          <t>Weight</t>
        </is>
      </c>
      <c r="AT737" s="3" t="inlineStr">
        <is>
          <t>Actvie</t>
        </is>
      </c>
    </row>
    <row r="738" ht="15.75" customHeight="1">
      <c r="A738" s="3" t="inlineStr">
        <is>
          <t>PROD_0188</t>
        </is>
      </c>
      <c r="B738" s="3" t="inlineStr">
        <is>
          <t>VAR_4</t>
        </is>
      </c>
      <c r="C738" s="3" t="inlineStr">
        <is>
          <t>Electrical Material</t>
        </is>
      </c>
      <c r="D738" s="3" t="inlineStr">
        <is>
          <t>Wires</t>
        </is>
      </c>
      <c r="E738" s="3" t="inlineStr">
        <is>
          <t>Polycab</t>
        </is>
      </c>
      <c r="F738" s="3" t="inlineStr">
        <is>
          <t>Maxima Plus</t>
        </is>
      </c>
      <c r="H738" s="3" t="inlineStr">
        <is>
          <t>Thickness</t>
        </is>
      </c>
      <c r="I738" s="3" t="inlineStr">
        <is>
          <t>0.75 sq mm</t>
        </is>
      </c>
      <c r="J738" s="3" t="inlineStr">
        <is>
          <t>Color</t>
        </is>
      </c>
      <c r="K738" s="3" t="inlineStr">
        <is>
          <t>Yellow</t>
        </is>
      </c>
      <c r="L738" s="3" t="inlineStr">
        <is>
          <t>Length</t>
        </is>
      </c>
      <c r="M738" s="3" t="inlineStr">
        <is>
          <t>90 Mtr</t>
        </is>
      </c>
      <c r="Q738" s="3" t="inlineStr">
        <is>
          <t>Manufacturer's Warranty</t>
        </is>
      </c>
      <c r="Y738" s="3" t="inlineStr">
        <is>
          <t>WR_PC_MXM_YLW_1, WR_PC_MXM_YLW_2</t>
        </is>
      </c>
      <c r="Z738" s="3" t="n">
        <v>8544</v>
      </c>
      <c r="AE738" s="3" t="n">
        <v>2210</v>
      </c>
      <c r="AF738" s="4" t="n">
        <v>0.44</v>
      </c>
      <c r="AG738" s="3">
        <f>ROUND(AE738-(AE738*AF738),2)</f>
        <v/>
      </c>
      <c r="AH738" s="4" t="n">
        <v>0.18</v>
      </c>
      <c r="AI738" s="3">
        <f>ROUND(AG738+(AG738*AH738),2)</f>
        <v/>
      </c>
      <c r="AJ738" s="4" t="n">
        <v>0.1</v>
      </c>
      <c r="AK738" s="3">
        <f>ROUND(AI738*AJ738,2)</f>
        <v/>
      </c>
      <c r="AL738" s="3">
        <f>AI738+AK738</f>
        <v/>
      </c>
      <c r="AM738" s="3">
        <f>AE738-AL738</f>
        <v/>
      </c>
      <c r="AN738" s="4">
        <f>AM738/AE738</f>
        <v/>
      </c>
      <c r="AO738" s="3" t="inlineStr">
        <is>
          <t>60 mins</t>
        </is>
      </c>
      <c r="AQ738" s="3" t="inlineStr">
        <is>
          <t>Weight</t>
        </is>
      </c>
      <c r="AT738" s="3" t="inlineStr">
        <is>
          <t>Actvie</t>
        </is>
      </c>
    </row>
    <row r="739" ht="15.75" customHeight="1">
      <c r="A739" s="3" t="inlineStr">
        <is>
          <t>PROD_0188</t>
        </is>
      </c>
      <c r="B739" s="3" t="inlineStr">
        <is>
          <t>VAR_5</t>
        </is>
      </c>
      <c r="C739" s="3" t="inlineStr">
        <is>
          <t>Electrical Material</t>
        </is>
      </c>
      <c r="D739" s="3" t="inlineStr">
        <is>
          <t>Wires</t>
        </is>
      </c>
      <c r="E739" s="3" t="inlineStr">
        <is>
          <t>Polycab</t>
        </is>
      </c>
      <c r="F739" s="3" t="inlineStr">
        <is>
          <t>Maxima Plus</t>
        </is>
      </c>
      <c r="H739" s="3" t="inlineStr">
        <is>
          <t>Thickness</t>
        </is>
      </c>
      <c r="I739" s="3" t="inlineStr">
        <is>
          <t>0.75 sq mm</t>
        </is>
      </c>
      <c r="J739" s="3" t="inlineStr">
        <is>
          <t>Color</t>
        </is>
      </c>
      <c r="K739" s="3" t="inlineStr">
        <is>
          <t>Blue</t>
        </is>
      </c>
      <c r="L739" s="3" t="inlineStr">
        <is>
          <t>Length</t>
        </is>
      </c>
      <c r="M739" s="3" t="inlineStr">
        <is>
          <t>90 Mtr</t>
        </is>
      </c>
      <c r="Q739" s="3" t="inlineStr">
        <is>
          <t>Manufacturer's Warranty</t>
        </is>
      </c>
      <c r="Y739" s="3" t="inlineStr">
        <is>
          <t>WR_PC_MXM_BLU_1, WR_PC_MXM_BLU_2</t>
        </is>
      </c>
      <c r="Z739" s="3" t="n">
        <v>8544</v>
      </c>
      <c r="AE739" s="3" t="n">
        <v>2210</v>
      </c>
      <c r="AF739" s="4" t="n">
        <v>0.44</v>
      </c>
      <c r="AG739" s="3">
        <f>ROUND(AE739-(AE739*AF739),2)</f>
        <v/>
      </c>
      <c r="AH739" s="4" t="n">
        <v>0.18</v>
      </c>
      <c r="AI739" s="3">
        <f>ROUND(AG739+(AG739*AH739),2)</f>
        <v/>
      </c>
      <c r="AJ739" s="4" t="n">
        <v>0.1</v>
      </c>
      <c r="AK739" s="3">
        <f>ROUND(AI739*AJ739,2)</f>
        <v/>
      </c>
      <c r="AL739" s="3">
        <f>AI739+AK739</f>
        <v/>
      </c>
      <c r="AM739" s="3">
        <f>AE739-AL739</f>
        <v/>
      </c>
      <c r="AN739" s="4">
        <f>AM739/AE739</f>
        <v/>
      </c>
      <c r="AO739" s="3" t="inlineStr">
        <is>
          <t>60 mins</t>
        </is>
      </c>
      <c r="AQ739" s="3" t="inlineStr">
        <is>
          <t>Weight</t>
        </is>
      </c>
      <c r="AT739" s="3" t="inlineStr">
        <is>
          <t>Actvie</t>
        </is>
      </c>
    </row>
    <row r="740" ht="15.75" customHeight="1">
      <c r="A740" s="3" t="inlineStr">
        <is>
          <t>PROD_0188</t>
        </is>
      </c>
      <c r="B740" s="3" t="inlineStr">
        <is>
          <t>VAR_6</t>
        </is>
      </c>
      <c r="C740" s="3" t="inlineStr">
        <is>
          <t>Electrical Material</t>
        </is>
      </c>
      <c r="D740" s="3" t="inlineStr">
        <is>
          <t>Wires</t>
        </is>
      </c>
      <c r="E740" s="3" t="inlineStr">
        <is>
          <t>Polycab</t>
        </is>
      </c>
      <c r="F740" s="3" t="inlineStr">
        <is>
          <t>Maxima Plus</t>
        </is>
      </c>
      <c r="H740" s="3" t="inlineStr">
        <is>
          <t>Thickness</t>
        </is>
      </c>
      <c r="I740" s="3" t="inlineStr">
        <is>
          <t>1 Sq mm</t>
        </is>
      </c>
      <c r="J740" s="3" t="inlineStr">
        <is>
          <t>Color</t>
        </is>
      </c>
      <c r="K740" s="3" t="inlineStr">
        <is>
          <t>Red</t>
        </is>
      </c>
      <c r="L740" s="3" t="inlineStr">
        <is>
          <t>Length</t>
        </is>
      </c>
      <c r="M740" s="3" t="inlineStr">
        <is>
          <t>90 Mtr</t>
        </is>
      </c>
      <c r="Q740" s="3" t="inlineStr">
        <is>
          <t>Manufacturer's Warranty</t>
        </is>
      </c>
      <c r="Y740" s="3" t="inlineStr">
        <is>
          <t>WR_PC_MXM_RD_1, WR_PC_MXM_RD_2</t>
        </is>
      </c>
      <c r="Z740" s="3" t="n">
        <v>8544</v>
      </c>
      <c r="AE740" s="3" t="n">
        <v>2980</v>
      </c>
      <c r="AF740" s="4" t="n">
        <v>0.44</v>
      </c>
      <c r="AG740" s="3">
        <f>ROUND(AE740-(AE740*AF740),2)</f>
        <v/>
      </c>
      <c r="AH740" s="4" t="n">
        <v>0.18</v>
      </c>
      <c r="AI740" s="3">
        <f>ROUND(AG740+(AG740*AH740),2)</f>
        <v/>
      </c>
      <c r="AJ740" s="4" t="n">
        <v>0.1</v>
      </c>
      <c r="AK740" s="3">
        <f>ROUND(AI740*AJ740,2)</f>
        <v/>
      </c>
      <c r="AL740" s="3">
        <f>AI740+AK740</f>
        <v/>
      </c>
      <c r="AM740" s="3">
        <f>AE740-AL740</f>
        <v/>
      </c>
      <c r="AN740" s="4">
        <f>AM740/AE740</f>
        <v/>
      </c>
      <c r="AO740" s="3" t="inlineStr">
        <is>
          <t>60 mins</t>
        </is>
      </c>
      <c r="AQ740" s="3" t="inlineStr">
        <is>
          <t>Weight</t>
        </is>
      </c>
      <c r="AT740" s="3" t="inlineStr">
        <is>
          <t>Actvie</t>
        </is>
      </c>
    </row>
    <row r="741" ht="15.75" customHeight="1">
      <c r="A741" s="3" t="inlineStr">
        <is>
          <t>PROD_0188</t>
        </is>
      </c>
      <c r="B741" s="3" t="inlineStr">
        <is>
          <t>VAR_7</t>
        </is>
      </c>
      <c r="C741" s="3" t="inlineStr">
        <is>
          <t>Electrical Material</t>
        </is>
      </c>
      <c r="D741" s="3" t="inlineStr">
        <is>
          <t>Wires</t>
        </is>
      </c>
      <c r="E741" s="3" t="inlineStr">
        <is>
          <t>Polycab</t>
        </is>
      </c>
      <c r="F741" s="3" t="inlineStr">
        <is>
          <t>Maxima Plus</t>
        </is>
      </c>
      <c r="H741" s="3" t="inlineStr">
        <is>
          <t>Thickness</t>
        </is>
      </c>
      <c r="I741" s="3" t="inlineStr">
        <is>
          <t>1 Sq mm</t>
        </is>
      </c>
      <c r="J741" s="3" t="inlineStr">
        <is>
          <t>Color</t>
        </is>
      </c>
      <c r="K741" s="3" t="inlineStr">
        <is>
          <t>Black</t>
        </is>
      </c>
      <c r="L741" s="3" t="inlineStr">
        <is>
          <t>Length</t>
        </is>
      </c>
      <c r="M741" s="3" t="inlineStr">
        <is>
          <t>90 Mtr</t>
        </is>
      </c>
      <c r="Q741" s="3" t="inlineStr">
        <is>
          <t>Manufacturer's Warranty</t>
        </is>
      </c>
      <c r="Y741" s="3" t="inlineStr">
        <is>
          <t>WR_PC_MXM_BLK_1, WR_PC_MXM_BLK_2</t>
        </is>
      </c>
      <c r="Z741" s="3" t="n">
        <v>8544</v>
      </c>
      <c r="AE741" s="3" t="n">
        <v>2980</v>
      </c>
      <c r="AF741" s="4" t="n">
        <v>0.44</v>
      </c>
      <c r="AG741" s="3">
        <f>ROUND(AE741-(AE741*AF741),2)</f>
        <v/>
      </c>
      <c r="AH741" s="4" t="n">
        <v>0.18</v>
      </c>
      <c r="AI741" s="3">
        <f>ROUND(AG741+(AG741*AH741),2)</f>
        <v/>
      </c>
      <c r="AJ741" s="4" t="n">
        <v>0.1</v>
      </c>
      <c r="AK741" s="3">
        <f>ROUND(AI741*AJ741,2)</f>
        <v/>
      </c>
      <c r="AL741" s="3">
        <f>AI741+AK741</f>
        <v/>
      </c>
      <c r="AM741" s="3">
        <f>AE741-AL741</f>
        <v/>
      </c>
      <c r="AN741" s="4">
        <f>AM741/AE741</f>
        <v/>
      </c>
      <c r="AO741" s="3" t="inlineStr">
        <is>
          <t>60 mins</t>
        </is>
      </c>
      <c r="AQ741" s="3" t="inlineStr">
        <is>
          <t>Weight</t>
        </is>
      </c>
      <c r="AT741" s="3" t="inlineStr">
        <is>
          <t>Actvie</t>
        </is>
      </c>
    </row>
    <row r="742" ht="15.75" customHeight="1">
      <c r="A742" s="3" t="inlineStr">
        <is>
          <t>PROD_0188</t>
        </is>
      </c>
      <c r="B742" s="3" t="inlineStr">
        <is>
          <t>VAR_8</t>
        </is>
      </c>
      <c r="C742" s="3" t="inlineStr">
        <is>
          <t>Electrical Material</t>
        </is>
      </c>
      <c r="D742" s="3" t="inlineStr">
        <is>
          <t>Wires</t>
        </is>
      </c>
      <c r="E742" s="3" t="inlineStr">
        <is>
          <t>Polycab</t>
        </is>
      </c>
      <c r="F742" s="3" t="inlineStr">
        <is>
          <t>Maxima Plus</t>
        </is>
      </c>
      <c r="H742" s="3" t="inlineStr">
        <is>
          <t>Thickness</t>
        </is>
      </c>
      <c r="I742" s="3" t="inlineStr">
        <is>
          <t>1 Sq mm</t>
        </is>
      </c>
      <c r="J742" s="3" t="inlineStr">
        <is>
          <t>Color</t>
        </is>
      </c>
      <c r="K742" s="3" t="inlineStr">
        <is>
          <t>Green</t>
        </is>
      </c>
      <c r="L742" s="3" t="inlineStr">
        <is>
          <t>Length</t>
        </is>
      </c>
      <c r="M742" s="3" t="inlineStr">
        <is>
          <t>90 Mtr</t>
        </is>
      </c>
      <c r="Q742" s="3" t="inlineStr">
        <is>
          <t>Manufacturer's Warranty</t>
        </is>
      </c>
      <c r="Y742" s="3" t="inlineStr">
        <is>
          <t>WR_PC_MXM_GRN_1, WR_PC_MXM_GRN_2</t>
        </is>
      </c>
      <c r="Z742" s="3" t="n">
        <v>8544</v>
      </c>
      <c r="AE742" s="3" t="n">
        <v>2980</v>
      </c>
      <c r="AF742" s="4" t="n">
        <v>0.44</v>
      </c>
      <c r="AG742" s="3">
        <f>ROUND(AE742-(AE742*AF742),2)</f>
        <v/>
      </c>
      <c r="AH742" s="4" t="n">
        <v>0.18</v>
      </c>
      <c r="AI742" s="3">
        <f>ROUND(AG742+(AG742*AH742),2)</f>
        <v/>
      </c>
      <c r="AJ742" s="4" t="n">
        <v>0.1</v>
      </c>
      <c r="AK742" s="3">
        <f>ROUND(AI742*AJ742,2)</f>
        <v/>
      </c>
      <c r="AL742" s="3">
        <f>AI742+AK742</f>
        <v/>
      </c>
      <c r="AM742" s="3">
        <f>AE742-AL742</f>
        <v/>
      </c>
      <c r="AN742" s="4">
        <f>AM742/AE742</f>
        <v/>
      </c>
      <c r="AO742" s="3" t="inlineStr">
        <is>
          <t>60 mins</t>
        </is>
      </c>
      <c r="AQ742" s="3" t="inlineStr">
        <is>
          <t>Weight</t>
        </is>
      </c>
      <c r="AT742" s="3" t="inlineStr">
        <is>
          <t>Actvie</t>
        </is>
      </c>
    </row>
    <row r="743" ht="15.75" customHeight="1">
      <c r="A743" s="3" t="inlineStr">
        <is>
          <t>PROD_0188</t>
        </is>
      </c>
      <c r="B743" s="3" t="inlineStr">
        <is>
          <t>VAR_9</t>
        </is>
      </c>
      <c r="C743" s="3" t="inlineStr">
        <is>
          <t>Electrical Material</t>
        </is>
      </c>
      <c r="D743" s="3" t="inlineStr">
        <is>
          <t>Wires</t>
        </is>
      </c>
      <c r="E743" s="3" t="inlineStr">
        <is>
          <t>Polycab</t>
        </is>
      </c>
      <c r="F743" s="3" t="inlineStr">
        <is>
          <t>Maxima Plus</t>
        </is>
      </c>
      <c r="H743" s="3" t="inlineStr">
        <is>
          <t>Thickness</t>
        </is>
      </c>
      <c r="I743" s="3" t="inlineStr">
        <is>
          <t>1 Sq mm</t>
        </is>
      </c>
      <c r="J743" s="3" t="inlineStr">
        <is>
          <t>Color</t>
        </is>
      </c>
      <c r="K743" s="3" t="inlineStr">
        <is>
          <t>Yellow</t>
        </is>
      </c>
      <c r="L743" s="3" t="inlineStr">
        <is>
          <t>Length</t>
        </is>
      </c>
      <c r="M743" s="3" t="inlineStr">
        <is>
          <t>90 Mtr</t>
        </is>
      </c>
      <c r="Q743" s="3" t="inlineStr">
        <is>
          <t>Manufacturer's Warranty</t>
        </is>
      </c>
      <c r="Y743" s="3" t="inlineStr">
        <is>
          <t>WR_PC_MXM_YLW_1, WR_PC_MXM_YLW_2</t>
        </is>
      </c>
      <c r="Z743" s="3" t="n">
        <v>8544</v>
      </c>
      <c r="AE743" s="3" t="n">
        <v>2980</v>
      </c>
      <c r="AF743" s="4" t="n">
        <v>0.44</v>
      </c>
      <c r="AG743" s="3">
        <f>ROUND(AE743-(AE743*AF743),2)</f>
        <v/>
      </c>
      <c r="AH743" s="4" t="n">
        <v>0.18</v>
      </c>
      <c r="AI743" s="3">
        <f>ROUND(AG743+(AG743*AH743),2)</f>
        <v/>
      </c>
      <c r="AJ743" s="4" t="n">
        <v>0.1</v>
      </c>
      <c r="AK743" s="3">
        <f>ROUND(AI743*AJ743,2)</f>
        <v/>
      </c>
      <c r="AL743" s="3">
        <f>AI743+AK743</f>
        <v/>
      </c>
      <c r="AM743" s="3">
        <f>AE743-AL743</f>
        <v/>
      </c>
      <c r="AN743" s="4">
        <f>AM743/AE743</f>
        <v/>
      </c>
      <c r="AO743" s="3" t="inlineStr">
        <is>
          <t>60 mins</t>
        </is>
      </c>
      <c r="AQ743" s="3" t="inlineStr">
        <is>
          <t>Weight</t>
        </is>
      </c>
      <c r="AT743" s="3" t="inlineStr">
        <is>
          <t>Actvie</t>
        </is>
      </c>
    </row>
    <row r="744" ht="15.75" customHeight="1">
      <c r="A744" s="3" t="inlineStr">
        <is>
          <t>PROD_0188</t>
        </is>
      </c>
      <c r="B744" s="3" t="inlineStr">
        <is>
          <t>VAR_10</t>
        </is>
      </c>
      <c r="C744" s="3" t="inlineStr">
        <is>
          <t>Electrical Material</t>
        </is>
      </c>
      <c r="D744" s="3" t="inlineStr">
        <is>
          <t>Wires</t>
        </is>
      </c>
      <c r="E744" s="3" t="inlineStr">
        <is>
          <t>Polycab</t>
        </is>
      </c>
      <c r="F744" s="3" t="inlineStr">
        <is>
          <t>Maxima Plus</t>
        </is>
      </c>
      <c r="H744" s="3" t="inlineStr">
        <is>
          <t>Thickness</t>
        </is>
      </c>
      <c r="I744" s="3" t="inlineStr">
        <is>
          <t>1 Sq mm</t>
        </is>
      </c>
      <c r="J744" s="3" t="inlineStr">
        <is>
          <t>Color</t>
        </is>
      </c>
      <c r="K744" s="3" t="inlineStr">
        <is>
          <t>Blue</t>
        </is>
      </c>
      <c r="L744" s="3" t="inlineStr">
        <is>
          <t>Length</t>
        </is>
      </c>
      <c r="M744" s="3" t="inlineStr">
        <is>
          <t>90 Mtr</t>
        </is>
      </c>
      <c r="Q744" s="3" t="inlineStr">
        <is>
          <t>Manufacturer's Warranty</t>
        </is>
      </c>
      <c r="Y744" s="3" t="inlineStr">
        <is>
          <t>WR_PC_MXM_BLU_1, WR_PC_MXM_BLU_2</t>
        </is>
      </c>
      <c r="Z744" s="3" t="n">
        <v>8544</v>
      </c>
      <c r="AE744" s="3" t="n">
        <v>2980</v>
      </c>
      <c r="AF744" s="4" t="n">
        <v>0.44</v>
      </c>
      <c r="AG744" s="3">
        <f>ROUND(AE744-(AE744*AF744),2)</f>
        <v/>
      </c>
      <c r="AH744" s="4" t="n">
        <v>0.18</v>
      </c>
      <c r="AI744" s="3">
        <f>ROUND(AG744+(AG744*AH744),2)</f>
        <v/>
      </c>
      <c r="AJ744" s="4" t="n">
        <v>0.1</v>
      </c>
      <c r="AK744" s="3">
        <f>ROUND(AI744*AJ744,2)</f>
        <v/>
      </c>
      <c r="AL744" s="3">
        <f>AI744+AK744</f>
        <v/>
      </c>
      <c r="AM744" s="3">
        <f>AE744-AL744</f>
        <v/>
      </c>
      <c r="AN744" s="4">
        <f>AM744/AE744</f>
        <v/>
      </c>
      <c r="AO744" s="3" t="inlineStr">
        <is>
          <t>60 mins</t>
        </is>
      </c>
      <c r="AQ744" s="3" t="inlineStr">
        <is>
          <t>Weight</t>
        </is>
      </c>
      <c r="AT744" s="3" t="inlineStr">
        <is>
          <t>Actvie</t>
        </is>
      </c>
    </row>
    <row r="745" ht="15.75" customHeight="1">
      <c r="A745" s="3" t="inlineStr">
        <is>
          <t>PROD_0188</t>
        </is>
      </c>
      <c r="B745" s="3" t="inlineStr">
        <is>
          <t>VAR_11</t>
        </is>
      </c>
      <c r="C745" s="3" t="inlineStr">
        <is>
          <t>Electrical Material</t>
        </is>
      </c>
      <c r="D745" s="3" t="inlineStr">
        <is>
          <t>Wires</t>
        </is>
      </c>
      <c r="E745" s="3" t="inlineStr">
        <is>
          <t>Polycab</t>
        </is>
      </c>
      <c r="F745" s="3" t="inlineStr">
        <is>
          <t>Maxima Plus</t>
        </is>
      </c>
      <c r="H745" s="3" t="inlineStr">
        <is>
          <t>Thickness</t>
        </is>
      </c>
      <c r="I745" s="3" t="inlineStr">
        <is>
          <t>1.5 Sq mm</t>
        </is>
      </c>
      <c r="J745" s="3" t="inlineStr">
        <is>
          <t>Color</t>
        </is>
      </c>
      <c r="K745" s="3" t="inlineStr">
        <is>
          <t>Red</t>
        </is>
      </c>
      <c r="L745" s="3" t="inlineStr">
        <is>
          <t>Length</t>
        </is>
      </c>
      <c r="M745" s="3" t="inlineStr">
        <is>
          <t>90 Mtr</t>
        </is>
      </c>
      <c r="Q745" s="3" t="inlineStr">
        <is>
          <t>Manufacturer's Warranty</t>
        </is>
      </c>
      <c r="Y745" s="3" t="inlineStr">
        <is>
          <t>WR_PC_MXM_RD_1, WR_PC_MXM_RD_2</t>
        </is>
      </c>
      <c r="Z745" s="3" t="n">
        <v>8544</v>
      </c>
      <c r="AE745" s="3" t="n">
        <v>4350</v>
      </c>
      <c r="AF745" s="4" t="n">
        <v>0.44</v>
      </c>
      <c r="AG745" s="3">
        <f>ROUND(AE745-(AE745*AF745),2)</f>
        <v/>
      </c>
      <c r="AH745" s="4" t="n">
        <v>0.18</v>
      </c>
      <c r="AI745" s="3">
        <f>ROUND(AG745+(AG745*AH745),2)</f>
        <v/>
      </c>
      <c r="AJ745" s="4" t="n">
        <v>0.1</v>
      </c>
      <c r="AK745" s="3">
        <f>ROUND(AI745*AJ745,2)</f>
        <v/>
      </c>
      <c r="AL745" s="3">
        <f>AI745+AK745</f>
        <v/>
      </c>
      <c r="AM745" s="3">
        <f>AE745-AL745</f>
        <v/>
      </c>
      <c r="AN745" s="4">
        <f>AM745/AE745</f>
        <v/>
      </c>
      <c r="AO745" s="3" t="inlineStr">
        <is>
          <t>60 mins</t>
        </is>
      </c>
      <c r="AQ745" s="3" t="inlineStr">
        <is>
          <t>Weight</t>
        </is>
      </c>
      <c r="AT745" s="3" t="inlineStr">
        <is>
          <t>Actvie</t>
        </is>
      </c>
    </row>
    <row r="746" ht="15.75" customHeight="1">
      <c r="A746" s="3" t="inlineStr">
        <is>
          <t>PROD_0188</t>
        </is>
      </c>
      <c r="B746" s="3" t="inlineStr">
        <is>
          <t>VAR_12</t>
        </is>
      </c>
      <c r="C746" s="3" t="inlineStr">
        <is>
          <t>Electrical Material</t>
        </is>
      </c>
      <c r="D746" s="3" t="inlineStr">
        <is>
          <t>Wires</t>
        </is>
      </c>
      <c r="E746" s="3" t="inlineStr">
        <is>
          <t>Polycab</t>
        </is>
      </c>
      <c r="F746" s="3" t="inlineStr">
        <is>
          <t>Maxima Plus</t>
        </is>
      </c>
      <c r="H746" s="3" t="inlineStr">
        <is>
          <t>Thickness</t>
        </is>
      </c>
      <c r="I746" s="3" t="inlineStr">
        <is>
          <t>1.5 Sq mm</t>
        </is>
      </c>
      <c r="J746" s="3" t="inlineStr">
        <is>
          <t>Color</t>
        </is>
      </c>
      <c r="K746" s="3" t="inlineStr">
        <is>
          <t>Black</t>
        </is>
      </c>
      <c r="L746" s="3" t="inlineStr">
        <is>
          <t>Length</t>
        </is>
      </c>
      <c r="M746" s="3" t="inlineStr">
        <is>
          <t>90 Mtr</t>
        </is>
      </c>
      <c r="Q746" s="3" t="inlineStr">
        <is>
          <t>Manufacturer's Warranty</t>
        </is>
      </c>
      <c r="Y746" s="3" t="inlineStr">
        <is>
          <t>WR_PC_MXM_BLK_1, WR_PC_MXM_BLK_2</t>
        </is>
      </c>
      <c r="Z746" s="3" t="n">
        <v>8544</v>
      </c>
      <c r="AE746" s="3" t="n">
        <v>4350</v>
      </c>
      <c r="AF746" s="4" t="n">
        <v>0.44</v>
      </c>
      <c r="AG746" s="3">
        <f>ROUND(AE746-(AE746*AF746),2)</f>
        <v/>
      </c>
      <c r="AH746" s="4" t="n">
        <v>0.18</v>
      </c>
      <c r="AI746" s="3">
        <f>ROUND(AG746+(AG746*AH746),2)</f>
        <v/>
      </c>
      <c r="AJ746" s="4" t="n">
        <v>0.1</v>
      </c>
      <c r="AK746" s="3">
        <f>ROUND(AI746*AJ746,2)</f>
        <v/>
      </c>
      <c r="AL746" s="3">
        <f>AI746+AK746</f>
        <v/>
      </c>
      <c r="AM746" s="3">
        <f>AE746-AL746</f>
        <v/>
      </c>
      <c r="AN746" s="4">
        <f>AM746/AE746</f>
        <v/>
      </c>
      <c r="AO746" s="3" t="inlineStr">
        <is>
          <t>60 mins</t>
        </is>
      </c>
      <c r="AQ746" s="3" t="inlineStr">
        <is>
          <t>Weight</t>
        </is>
      </c>
      <c r="AT746" s="3" t="inlineStr">
        <is>
          <t>Actvie</t>
        </is>
      </c>
    </row>
    <row r="747" ht="15.75" customHeight="1">
      <c r="A747" s="3" t="inlineStr">
        <is>
          <t>PROD_0188</t>
        </is>
      </c>
      <c r="B747" s="3" t="inlineStr">
        <is>
          <t>VAR_13</t>
        </is>
      </c>
      <c r="C747" s="3" t="inlineStr">
        <is>
          <t>Electrical Material</t>
        </is>
      </c>
      <c r="D747" s="3" t="inlineStr">
        <is>
          <t>Wires</t>
        </is>
      </c>
      <c r="E747" s="3" t="inlineStr">
        <is>
          <t>Polycab</t>
        </is>
      </c>
      <c r="F747" s="3" t="inlineStr">
        <is>
          <t>Maxima Plus</t>
        </is>
      </c>
      <c r="H747" s="3" t="inlineStr">
        <is>
          <t>Thickness</t>
        </is>
      </c>
      <c r="I747" s="3" t="inlineStr">
        <is>
          <t>1.5 Sq mm</t>
        </is>
      </c>
      <c r="J747" s="3" t="inlineStr">
        <is>
          <t>Color</t>
        </is>
      </c>
      <c r="K747" s="3" t="inlineStr">
        <is>
          <t>Green</t>
        </is>
      </c>
      <c r="L747" s="3" t="inlineStr">
        <is>
          <t>Length</t>
        </is>
      </c>
      <c r="M747" s="3" t="inlineStr">
        <is>
          <t>90 Mtr</t>
        </is>
      </c>
      <c r="Q747" s="3" t="inlineStr">
        <is>
          <t>Manufacturer's Warranty</t>
        </is>
      </c>
      <c r="Y747" s="3" t="inlineStr">
        <is>
          <t>WR_PC_MXM_GRN_1, WR_PC_MXM_GRN_2</t>
        </is>
      </c>
      <c r="Z747" s="3" t="n">
        <v>8544</v>
      </c>
      <c r="AE747" s="3" t="n">
        <v>4350</v>
      </c>
      <c r="AF747" s="4" t="n">
        <v>0.44</v>
      </c>
      <c r="AG747" s="3">
        <f>ROUND(AE747-(AE747*AF747),2)</f>
        <v/>
      </c>
      <c r="AH747" s="4" t="n">
        <v>0.18</v>
      </c>
      <c r="AI747" s="3">
        <f>ROUND(AG747+(AG747*AH747),2)</f>
        <v/>
      </c>
      <c r="AJ747" s="4" t="n">
        <v>0.1</v>
      </c>
      <c r="AK747" s="3">
        <f>ROUND(AI747*AJ747,2)</f>
        <v/>
      </c>
      <c r="AL747" s="3">
        <f>AI747+AK747</f>
        <v/>
      </c>
      <c r="AM747" s="3">
        <f>AE747-AL747</f>
        <v/>
      </c>
      <c r="AN747" s="4">
        <f>AM747/AE747</f>
        <v/>
      </c>
      <c r="AO747" s="3" t="inlineStr">
        <is>
          <t>60 mins</t>
        </is>
      </c>
      <c r="AQ747" s="3" t="inlineStr">
        <is>
          <t>Weight</t>
        </is>
      </c>
      <c r="AT747" s="3" t="inlineStr">
        <is>
          <t>Actvie</t>
        </is>
      </c>
    </row>
    <row r="748" ht="15.75" customHeight="1">
      <c r="A748" s="3" t="inlineStr">
        <is>
          <t>PROD_0188</t>
        </is>
      </c>
      <c r="B748" s="3" t="inlineStr">
        <is>
          <t>VAR_14</t>
        </is>
      </c>
      <c r="C748" s="3" t="inlineStr">
        <is>
          <t>Electrical Material</t>
        </is>
      </c>
      <c r="D748" s="3" t="inlineStr">
        <is>
          <t>Wires</t>
        </is>
      </c>
      <c r="E748" s="3" t="inlineStr">
        <is>
          <t>Polycab</t>
        </is>
      </c>
      <c r="F748" s="3" t="inlineStr">
        <is>
          <t>Maxima Plus</t>
        </is>
      </c>
      <c r="H748" s="3" t="inlineStr">
        <is>
          <t>Thickness</t>
        </is>
      </c>
      <c r="I748" s="3" t="inlineStr">
        <is>
          <t>1.5 Sq mm</t>
        </is>
      </c>
      <c r="J748" s="3" t="inlineStr">
        <is>
          <t>Color</t>
        </is>
      </c>
      <c r="K748" s="3" t="inlineStr">
        <is>
          <t>Yellow</t>
        </is>
      </c>
      <c r="L748" s="3" t="inlineStr">
        <is>
          <t>Length</t>
        </is>
      </c>
      <c r="M748" s="3" t="inlineStr">
        <is>
          <t>90 Mtr</t>
        </is>
      </c>
      <c r="Q748" s="3" t="inlineStr">
        <is>
          <t>Manufacturer's Warranty</t>
        </is>
      </c>
      <c r="Y748" s="3" t="inlineStr">
        <is>
          <t>WR_PC_MXM_YLW_1, WR_PC_MXM_YLW_2</t>
        </is>
      </c>
      <c r="Z748" s="3" t="n">
        <v>8544</v>
      </c>
      <c r="AE748" s="3" t="n">
        <v>4350</v>
      </c>
      <c r="AF748" s="4" t="n">
        <v>0.44</v>
      </c>
      <c r="AG748" s="3">
        <f>ROUND(AE748-(AE748*AF748),2)</f>
        <v/>
      </c>
      <c r="AH748" s="4" t="n">
        <v>0.18</v>
      </c>
      <c r="AI748" s="3">
        <f>ROUND(AG748+(AG748*AH748),2)</f>
        <v/>
      </c>
      <c r="AJ748" s="4" t="n">
        <v>0.1</v>
      </c>
      <c r="AK748" s="3">
        <f>ROUND(AI748*AJ748,2)</f>
        <v/>
      </c>
      <c r="AL748" s="3">
        <f>AI748+AK748</f>
        <v/>
      </c>
      <c r="AM748" s="3">
        <f>AE748-AL748</f>
        <v/>
      </c>
      <c r="AN748" s="4">
        <f>AM748/AE748</f>
        <v/>
      </c>
      <c r="AO748" s="3" t="inlineStr">
        <is>
          <t>60 mins</t>
        </is>
      </c>
      <c r="AQ748" s="3" t="inlineStr">
        <is>
          <t>Weight</t>
        </is>
      </c>
      <c r="AT748" s="3" t="inlineStr">
        <is>
          <t>Actvie</t>
        </is>
      </c>
    </row>
    <row r="749" ht="15.75" customHeight="1">
      <c r="A749" s="3" t="inlineStr">
        <is>
          <t>PROD_0188</t>
        </is>
      </c>
      <c r="B749" s="3" t="inlineStr">
        <is>
          <t>VAR_15</t>
        </is>
      </c>
      <c r="C749" s="3" t="inlineStr">
        <is>
          <t>Electrical Material</t>
        </is>
      </c>
      <c r="D749" s="3" t="inlineStr">
        <is>
          <t>Wires</t>
        </is>
      </c>
      <c r="E749" s="3" t="inlineStr">
        <is>
          <t>Polycab</t>
        </is>
      </c>
      <c r="F749" s="3" t="inlineStr">
        <is>
          <t>Maxima Plus</t>
        </is>
      </c>
      <c r="H749" s="3" t="inlineStr">
        <is>
          <t>Thickness</t>
        </is>
      </c>
      <c r="I749" s="3" t="inlineStr">
        <is>
          <t>1.5 Sq mm</t>
        </is>
      </c>
      <c r="J749" s="3" t="inlineStr">
        <is>
          <t>Color</t>
        </is>
      </c>
      <c r="K749" s="3" t="inlineStr">
        <is>
          <t>Blue</t>
        </is>
      </c>
      <c r="L749" s="3" t="inlineStr">
        <is>
          <t>Length</t>
        </is>
      </c>
      <c r="M749" s="3" t="inlineStr">
        <is>
          <t>90 Mtr</t>
        </is>
      </c>
      <c r="Q749" s="3" t="inlineStr">
        <is>
          <t>Manufacturer's Warranty</t>
        </is>
      </c>
      <c r="Y749" s="3" t="inlineStr">
        <is>
          <t>WR_PC_MXM_BLU_1, WR_PC_MXM_BLU_2</t>
        </is>
      </c>
      <c r="Z749" s="3" t="n">
        <v>8544</v>
      </c>
      <c r="AE749" s="3" t="n">
        <v>4350</v>
      </c>
      <c r="AF749" s="4" t="n">
        <v>0.44</v>
      </c>
      <c r="AG749" s="3">
        <f>ROUND(AE749-(AE749*AF749),2)</f>
        <v/>
      </c>
      <c r="AH749" s="4" t="n">
        <v>0.18</v>
      </c>
      <c r="AI749" s="3">
        <f>ROUND(AG749+(AG749*AH749),2)</f>
        <v/>
      </c>
      <c r="AJ749" s="4" t="n">
        <v>0.1</v>
      </c>
      <c r="AK749" s="3">
        <f>ROUND(AI749*AJ749,2)</f>
        <v/>
      </c>
      <c r="AL749" s="3">
        <f>AI749+AK749</f>
        <v/>
      </c>
      <c r="AM749" s="3">
        <f>AE749-AL749</f>
        <v/>
      </c>
      <c r="AN749" s="4">
        <f>AM749/AE749</f>
        <v/>
      </c>
      <c r="AO749" s="3" t="inlineStr">
        <is>
          <t>60 mins</t>
        </is>
      </c>
      <c r="AQ749" s="3" t="inlineStr">
        <is>
          <t>Weight</t>
        </is>
      </c>
      <c r="AT749" s="3" t="inlineStr">
        <is>
          <t>Actvie</t>
        </is>
      </c>
    </row>
    <row r="750" ht="15.75" customHeight="1">
      <c r="A750" s="3" t="inlineStr">
        <is>
          <t>PROD_0188</t>
        </is>
      </c>
      <c r="B750" s="3" t="inlineStr">
        <is>
          <t>VAR_16</t>
        </is>
      </c>
      <c r="C750" s="3" t="inlineStr">
        <is>
          <t>Electrical Material</t>
        </is>
      </c>
      <c r="D750" s="3" t="inlineStr">
        <is>
          <t>Wires</t>
        </is>
      </c>
      <c r="E750" s="3" t="inlineStr">
        <is>
          <t>Polycab</t>
        </is>
      </c>
      <c r="F750" s="3" t="inlineStr">
        <is>
          <t>Maxima Plus</t>
        </is>
      </c>
      <c r="H750" s="3" t="inlineStr">
        <is>
          <t>Thickness</t>
        </is>
      </c>
      <c r="I750" s="3" t="inlineStr">
        <is>
          <t>2.5 Sq mm</t>
        </is>
      </c>
      <c r="J750" s="3" t="inlineStr">
        <is>
          <t>Color</t>
        </is>
      </c>
      <c r="K750" s="3" t="inlineStr">
        <is>
          <t>Red</t>
        </is>
      </c>
      <c r="L750" s="3" t="inlineStr">
        <is>
          <t>Length</t>
        </is>
      </c>
      <c r="M750" s="3" t="inlineStr">
        <is>
          <t>90 Mtr</t>
        </is>
      </c>
      <c r="Q750" s="3" t="inlineStr">
        <is>
          <t>Manufacturer's Warranty</t>
        </is>
      </c>
      <c r="Y750" s="3" t="inlineStr">
        <is>
          <t>WR_PC_MXM_RD_1, WR_PC_MXM_RD_2</t>
        </is>
      </c>
      <c r="Z750" s="3" t="n">
        <v>8544</v>
      </c>
      <c r="AE750" s="3" t="n">
        <v>6825</v>
      </c>
      <c r="AF750" s="4" t="n">
        <v>0.44</v>
      </c>
      <c r="AG750" s="3">
        <f>ROUND(AE750-(AE750*AF750),2)</f>
        <v/>
      </c>
      <c r="AH750" s="4" t="n">
        <v>0.18</v>
      </c>
      <c r="AI750" s="3">
        <f>ROUND(AG750+(AG750*AH750),2)</f>
        <v/>
      </c>
      <c r="AJ750" s="4" t="n">
        <v>0.1</v>
      </c>
      <c r="AK750" s="3">
        <f>ROUND(AI750*AJ750,2)</f>
        <v/>
      </c>
      <c r="AL750" s="3">
        <f>AI750+AK750</f>
        <v/>
      </c>
      <c r="AM750" s="3">
        <f>AE750-AL750</f>
        <v/>
      </c>
      <c r="AN750" s="4">
        <f>AM750/AE750</f>
        <v/>
      </c>
      <c r="AO750" s="3" t="inlineStr">
        <is>
          <t>60 mins</t>
        </is>
      </c>
      <c r="AQ750" s="3" t="inlineStr">
        <is>
          <t>Weight</t>
        </is>
      </c>
      <c r="AT750" s="3" t="inlineStr">
        <is>
          <t>Actvie</t>
        </is>
      </c>
    </row>
    <row r="751" ht="15.75" customHeight="1">
      <c r="A751" s="3" t="inlineStr">
        <is>
          <t>PROD_0188</t>
        </is>
      </c>
      <c r="B751" s="3" t="inlineStr">
        <is>
          <t>VAR_17</t>
        </is>
      </c>
      <c r="C751" s="3" t="inlineStr">
        <is>
          <t>Electrical Material</t>
        </is>
      </c>
      <c r="D751" s="3" t="inlineStr">
        <is>
          <t>Wires</t>
        </is>
      </c>
      <c r="E751" s="3" t="inlineStr">
        <is>
          <t>Polycab</t>
        </is>
      </c>
      <c r="F751" s="3" t="inlineStr">
        <is>
          <t>Maxima Plus</t>
        </is>
      </c>
      <c r="H751" s="3" t="inlineStr">
        <is>
          <t>Thickness</t>
        </is>
      </c>
      <c r="I751" s="3" t="inlineStr">
        <is>
          <t>2.5 Sq mm</t>
        </is>
      </c>
      <c r="J751" s="3" t="inlineStr">
        <is>
          <t>Color</t>
        </is>
      </c>
      <c r="K751" s="3" t="inlineStr">
        <is>
          <t>Black</t>
        </is>
      </c>
      <c r="L751" s="3" t="inlineStr">
        <is>
          <t>Length</t>
        </is>
      </c>
      <c r="M751" s="3" t="inlineStr">
        <is>
          <t>90 Mtr</t>
        </is>
      </c>
      <c r="Q751" s="3" t="inlineStr">
        <is>
          <t>Manufacturer's Warranty</t>
        </is>
      </c>
      <c r="Y751" s="3" t="inlineStr">
        <is>
          <t>WR_PC_MXM_BLK_1, WR_PC_MXM_BLK_2</t>
        </is>
      </c>
      <c r="Z751" s="3" t="n">
        <v>8544</v>
      </c>
      <c r="AE751" s="3" t="n">
        <v>6825</v>
      </c>
      <c r="AF751" s="4" t="n">
        <v>0.44</v>
      </c>
      <c r="AG751" s="3">
        <f>ROUND(AE751-(AE751*AF751),2)</f>
        <v/>
      </c>
      <c r="AH751" s="4" t="n">
        <v>0.18</v>
      </c>
      <c r="AI751" s="3">
        <f>ROUND(AG751+(AG751*AH751),2)</f>
        <v/>
      </c>
      <c r="AJ751" s="4" t="n">
        <v>0.1</v>
      </c>
      <c r="AK751" s="3">
        <f>ROUND(AI751*AJ751,2)</f>
        <v/>
      </c>
      <c r="AL751" s="3">
        <f>AI751+AK751</f>
        <v/>
      </c>
      <c r="AM751" s="3">
        <f>AE751-AL751</f>
        <v/>
      </c>
      <c r="AN751" s="4">
        <f>AM751/AE751</f>
        <v/>
      </c>
      <c r="AO751" s="3" t="inlineStr">
        <is>
          <t>60 mins</t>
        </is>
      </c>
      <c r="AQ751" s="3" t="inlineStr">
        <is>
          <t>Weight</t>
        </is>
      </c>
      <c r="AT751" s="3" t="inlineStr">
        <is>
          <t>Actvie</t>
        </is>
      </c>
    </row>
    <row r="752" ht="15.75" customHeight="1">
      <c r="A752" s="3" t="inlineStr">
        <is>
          <t>PROD_0188</t>
        </is>
      </c>
      <c r="B752" s="3" t="inlineStr">
        <is>
          <t>VAR_18</t>
        </is>
      </c>
      <c r="C752" s="3" t="inlineStr">
        <is>
          <t>Electrical Material</t>
        </is>
      </c>
      <c r="D752" s="3" t="inlineStr">
        <is>
          <t>Wires</t>
        </is>
      </c>
      <c r="E752" s="3" t="inlineStr">
        <is>
          <t>Polycab</t>
        </is>
      </c>
      <c r="F752" s="3" t="inlineStr">
        <is>
          <t>Maxima Plus</t>
        </is>
      </c>
      <c r="H752" s="3" t="inlineStr">
        <is>
          <t>Thickness</t>
        </is>
      </c>
      <c r="I752" s="3" t="inlineStr">
        <is>
          <t>2.5 Sq mm</t>
        </is>
      </c>
      <c r="J752" s="3" t="inlineStr">
        <is>
          <t>Color</t>
        </is>
      </c>
      <c r="K752" s="3" t="inlineStr">
        <is>
          <t>Green</t>
        </is>
      </c>
      <c r="L752" s="3" t="inlineStr">
        <is>
          <t>Length</t>
        </is>
      </c>
      <c r="M752" s="3" t="inlineStr">
        <is>
          <t>90 Mtr</t>
        </is>
      </c>
      <c r="Q752" s="3" t="inlineStr">
        <is>
          <t>Manufacturer's Warranty</t>
        </is>
      </c>
      <c r="Y752" s="3" t="inlineStr">
        <is>
          <t>WR_PC_MXM_GRN_1, WR_PC_MXM_GRN_2</t>
        </is>
      </c>
      <c r="Z752" s="3" t="n">
        <v>8544</v>
      </c>
      <c r="AE752" s="3" t="n">
        <v>6825</v>
      </c>
      <c r="AF752" s="4" t="n">
        <v>0.44</v>
      </c>
      <c r="AG752" s="3">
        <f>ROUND(AE752-(AE752*AF752),2)</f>
        <v/>
      </c>
      <c r="AH752" s="4" t="n">
        <v>0.18</v>
      </c>
      <c r="AI752" s="3">
        <f>ROUND(AG752+(AG752*AH752),2)</f>
        <v/>
      </c>
      <c r="AJ752" s="4" t="n">
        <v>0.1</v>
      </c>
      <c r="AK752" s="3">
        <f>ROUND(AI752*AJ752,2)</f>
        <v/>
      </c>
      <c r="AL752" s="3">
        <f>AI752+AK752</f>
        <v/>
      </c>
      <c r="AM752" s="3">
        <f>AE752-AL752</f>
        <v/>
      </c>
      <c r="AN752" s="4">
        <f>AM752/AE752</f>
        <v/>
      </c>
      <c r="AO752" s="3" t="inlineStr">
        <is>
          <t>60 mins</t>
        </is>
      </c>
      <c r="AQ752" s="3" t="inlineStr">
        <is>
          <t>Weight</t>
        </is>
      </c>
      <c r="AT752" s="3" t="inlineStr">
        <is>
          <t>Actvie</t>
        </is>
      </c>
    </row>
    <row r="753" ht="15.75" customHeight="1">
      <c r="A753" s="3" t="inlineStr">
        <is>
          <t>PROD_0188</t>
        </is>
      </c>
      <c r="B753" s="3" t="inlineStr">
        <is>
          <t>VAR_19</t>
        </is>
      </c>
      <c r="C753" s="3" t="inlineStr">
        <is>
          <t>Electrical Material</t>
        </is>
      </c>
      <c r="D753" s="3" t="inlineStr">
        <is>
          <t>Wires</t>
        </is>
      </c>
      <c r="E753" s="3" t="inlineStr">
        <is>
          <t>Polycab</t>
        </is>
      </c>
      <c r="F753" s="3" t="inlineStr">
        <is>
          <t>Maxima Plus</t>
        </is>
      </c>
      <c r="H753" s="3" t="inlineStr">
        <is>
          <t>Thickness</t>
        </is>
      </c>
      <c r="I753" s="3" t="inlineStr">
        <is>
          <t>2.5 Sq mm</t>
        </is>
      </c>
      <c r="J753" s="3" t="inlineStr">
        <is>
          <t>Color</t>
        </is>
      </c>
      <c r="K753" s="3" t="inlineStr">
        <is>
          <t>Yellow</t>
        </is>
      </c>
      <c r="L753" s="3" t="inlineStr">
        <is>
          <t>Length</t>
        </is>
      </c>
      <c r="M753" s="3" t="inlineStr">
        <is>
          <t>90 Mtr</t>
        </is>
      </c>
      <c r="Q753" s="3" t="inlineStr">
        <is>
          <t>Manufacturer's Warranty</t>
        </is>
      </c>
      <c r="Y753" s="3" t="inlineStr">
        <is>
          <t>WR_PC_MXM_YLW_1, WR_PC_MXM_YLW_2</t>
        </is>
      </c>
      <c r="Z753" s="3" t="n">
        <v>8544</v>
      </c>
      <c r="AE753" s="3" t="n">
        <v>6825</v>
      </c>
      <c r="AF753" s="4" t="n">
        <v>0.44</v>
      </c>
      <c r="AG753" s="3">
        <f>ROUND(AE753-(AE753*AF753),2)</f>
        <v/>
      </c>
      <c r="AH753" s="4" t="n">
        <v>0.18</v>
      </c>
      <c r="AI753" s="3">
        <f>ROUND(AG753+(AG753*AH753),2)</f>
        <v/>
      </c>
      <c r="AJ753" s="4" t="n">
        <v>0.1</v>
      </c>
      <c r="AK753" s="3">
        <f>ROUND(AI753*AJ753,2)</f>
        <v/>
      </c>
      <c r="AL753" s="3">
        <f>AI753+AK753</f>
        <v/>
      </c>
      <c r="AM753" s="3">
        <f>AE753-AL753</f>
        <v/>
      </c>
      <c r="AN753" s="4">
        <f>AM753/AE753</f>
        <v/>
      </c>
      <c r="AO753" s="3" t="inlineStr">
        <is>
          <t>60 mins</t>
        </is>
      </c>
      <c r="AQ753" s="3" t="inlineStr">
        <is>
          <t>Weight</t>
        </is>
      </c>
      <c r="AT753" s="3" t="inlineStr">
        <is>
          <t>Actvie</t>
        </is>
      </c>
    </row>
    <row r="754" ht="15.75" customHeight="1">
      <c r="A754" s="3" t="inlineStr">
        <is>
          <t>PROD_0188</t>
        </is>
      </c>
      <c r="B754" s="3" t="inlineStr">
        <is>
          <t>VAR_20</t>
        </is>
      </c>
      <c r="C754" s="3" t="inlineStr">
        <is>
          <t>Electrical Material</t>
        </is>
      </c>
      <c r="D754" s="3" t="inlineStr">
        <is>
          <t>Wires</t>
        </is>
      </c>
      <c r="E754" s="3" t="inlineStr">
        <is>
          <t>Polycab</t>
        </is>
      </c>
      <c r="F754" s="3" t="inlineStr">
        <is>
          <t>Maxima Plus</t>
        </is>
      </c>
      <c r="H754" s="3" t="inlineStr">
        <is>
          <t>Thickness</t>
        </is>
      </c>
      <c r="I754" s="3" t="inlineStr">
        <is>
          <t>2.5 Sq mm</t>
        </is>
      </c>
      <c r="J754" s="3" t="inlineStr">
        <is>
          <t>Color</t>
        </is>
      </c>
      <c r="K754" s="3" t="inlineStr">
        <is>
          <t>Blue</t>
        </is>
      </c>
      <c r="L754" s="3" t="inlineStr">
        <is>
          <t>Length</t>
        </is>
      </c>
      <c r="M754" s="3" t="inlineStr">
        <is>
          <t>90 Mtr</t>
        </is>
      </c>
      <c r="Q754" s="3" t="inlineStr">
        <is>
          <t>Manufacturer's Warranty</t>
        </is>
      </c>
      <c r="Y754" s="3" t="inlineStr">
        <is>
          <t>WR_PC_MXM_BLU_1, WR_PC_MXM_BLU_2</t>
        </is>
      </c>
      <c r="Z754" s="3" t="n">
        <v>8544</v>
      </c>
      <c r="AE754" s="3" t="n">
        <v>6825</v>
      </c>
      <c r="AF754" s="4" t="n">
        <v>0.44</v>
      </c>
      <c r="AG754" s="3">
        <f>ROUND(AE754-(AE754*AF754),2)</f>
        <v/>
      </c>
      <c r="AH754" s="4" t="n">
        <v>0.18</v>
      </c>
      <c r="AI754" s="3">
        <f>ROUND(AG754+(AG754*AH754),2)</f>
        <v/>
      </c>
      <c r="AJ754" s="4" t="n">
        <v>0.1</v>
      </c>
      <c r="AK754" s="3">
        <f>ROUND(AI754*AJ754,2)</f>
        <v/>
      </c>
      <c r="AL754" s="3">
        <f>AI754+AK754</f>
        <v/>
      </c>
      <c r="AM754" s="3">
        <f>AE754-AL754</f>
        <v/>
      </c>
      <c r="AN754" s="4">
        <f>AM754/AE754</f>
        <v/>
      </c>
      <c r="AO754" s="3" t="inlineStr">
        <is>
          <t>60 mins</t>
        </is>
      </c>
      <c r="AQ754" s="3" t="inlineStr">
        <is>
          <t>Weight</t>
        </is>
      </c>
      <c r="AT754" s="3" t="inlineStr">
        <is>
          <t>Actvie</t>
        </is>
      </c>
    </row>
    <row r="755" ht="15.75" customHeight="1">
      <c r="A755" s="3" t="inlineStr">
        <is>
          <t>PROD_0188</t>
        </is>
      </c>
      <c r="B755" s="3" t="inlineStr">
        <is>
          <t>VAR_21</t>
        </is>
      </c>
      <c r="C755" s="3" t="inlineStr">
        <is>
          <t>Electrical Material</t>
        </is>
      </c>
      <c r="D755" s="3" t="inlineStr">
        <is>
          <t>Wires</t>
        </is>
      </c>
      <c r="E755" s="3" t="inlineStr">
        <is>
          <t>Polycab</t>
        </is>
      </c>
      <c r="F755" s="3" t="inlineStr">
        <is>
          <t>Maxima Plus</t>
        </is>
      </c>
      <c r="H755" s="3" t="inlineStr">
        <is>
          <t>Thickness</t>
        </is>
      </c>
      <c r="I755" s="3" t="inlineStr">
        <is>
          <t>4 Sq mm</t>
        </is>
      </c>
      <c r="J755" s="3" t="inlineStr">
        <is>
          <t>Color</t>
        </is>
      </c>
      <c r="K755" s="3" t="inlineStr">
        <is>
          <t>Red</t>
        </is>
      </c>
      <c r="L755" s="3" t="inlineStr">
        <is>
          <t>Length</t>
        </is>
      </c>
      <c r="M755" s="3" t="inlineStr">
        <is>
          <t>90 Mtr</t>
        </is>
      </c>
      <c r="Q755" s="3" t="inlineStr">
        <is>
          <t>Manufacturer's Warranty</t>
        </is>
      </c>
      <c r="Y755" s="3" t="inlineStr">
        <is>
          <t>WR_PC_MXM_RD_1, WR_PC_MXM_RD_2</t>
        </is>
      </c>
      <c r="Z755" s="3" t="n">
        <v>8544</v>
      </c>
      <c r="AE755" s="3" t="n">
        <v>9960</v>
      </c>
      <c r="AF755" s="4" t="n">
        <v>0.44</v>
      </c>
      <c r="AG755" s="3">
        <f>ROUND(AE755-(AE755*AF755),2)</f>
        <v/>
      </c>
      <c r="AH755" s="4" t="n">
        <v>0.18</v>
      </c>
      <c r="AI755" s="3">
        <f>ROUND(AG755+(AG755*AH755),2)</f>
        <v/>
      </c>
      <c r="AJ755" s="4" t="n">
        <v>0.1</v>
      </c>
      <c r="AK755" s="3">
        <f>ROUND(AI755*AJ755,2)</f>
        <v/>
      </c>
      <c r="AL755" s="3">
        <f>AI755+AK755</f>
        <v/>
      </c>
      <c r="AM755" s="3">
        <f>AE755-AL755</f>
        <v/>
      </c>
      <c r="AN755" s="4">
        <f>AM755/AE755</f>
        <v/>
      </c>
      <c r="AO755" s="3" t="inlineStr">
        <is>
          <t>60 mins</t>
        </is>
      </c>
      <c r="AQ755" s="3" t="inlineStr">
        <is>
          <t>Weight</t>
        </is>
      </c>
      <c r="AT755" s="3" t="inlineStr">
        <is>
          <t>Actvie</t>
        </is>
      </c>
    </row>
    <row r="756" ht="15.75" customHeight="1">
      <c r="A756" s="3" t="inlineStr">
        <is>
          <t>PROD_0188</t>
        </is>
      </c>
      <c r="B756" s="3" t="inlineStr">
        <is>
          <t>VAR_22</t>
        </is>
      </c>
      <c r="C756" s="3" t="inlineStr">
        <is>
          <t>Electrical Material</t>
        </is>
      </c>
      <c r="D756" s="3" t="inlineStr">
        <is>
          <t>Wires</t>
        </is>
      </c>
      <c r="E756" s="3" t="inlineStr">
        <is>
          <t>Polycab</t>
        </is>
      </c>
      <c r="F756" s="3" t="inlineStr">
        <is>
          <t>Maxima Plus</t>
        </is>
      </c>
      <c r="H756" s="3" t="inlineStr">
        <is>
          <t>Thickness</t>
        </is>
      </c>
      <c r="I756" s="3" t="inlineStr">
        <is>
          <t>4 Sq mm</t>
        </is>
      </c>
      <c r="J756" s="3" t="inlineStr">
        <is>
          <t>Color</t>
        </is>
      </c>
      <c r="K756" s="3" t="inlineStr">
        <is>
          <t>Black</t>
        </is>
      </c>
      <c r="L756" s="3" t="inlineStr">
        <is>
          <t>Length</t>
        </is>
      </c>
      <c r="M756" s="3" t="inlineStr">
        <is>
          <t>90 Mtr</t>
        </is>
      </c>
      <c r="Q756" s="3" t="inlineStr">
        <is>
          <t>Manufacturer's Warranty</t>
        </is>
      </c>
      <c r="Y756" s="3" t="inlineStr">
        <is>
          <t>WR_PC_MXM_BLK_1, WR_PC_MXM_BLK_2</t>
        </is>
      </c>
      <c r="Z756" s="3" t="n">
        <v>8544</v>
      </c>
      <c r="AE756" s="3" t="n">
        <v>9960</v>
      </c>
      <c r="AF756" s="4" t="n">
        <v>0.44</v>
      </c>
      <c r="AG756" s="3">
        <f>ROUND(AE756-(AE756*AF756),2)</f>
        <v/>
      </c>
      <c r="AH756" s="4" t="n">
        <v>0.18</v>
      </c>
      <c r="AI756" s="3">
        <f>ROUND(AG756+(AG756*AH756),2)</f>
        <v/>
      </c>
      <c r="AJ756" s="4" t="n">
        <v>0.1</v>
      </c>
      <c r="AK756" s="3">
        <f>ROUND(AI756*AJ756,2)</f>
        <v/>
      </c>
      <c r="AL756" s="3">
        <f>AI756+AK756</f>
        <v/>
      </c>
      <c r="AM756" s="3">
        <f>AE756-AL756</f>
        <v/>
      </c>
      <c r="AN756" s="4">
        <f>AM756/AE756</f>
        <v/>
      </c>
      <c r="AO756" s="3" t="inlineStr">
        <is>
          <t>60 mins</t>
        </is>
      </c>
      <c r="AQ756" s="3" t="inlineStr">
        <is>
          <t>Weight</t>
        </is>
      </c>
      <c r="AT756" s="3" t="inlineStr">
        <is>
          <t>Actvie</t>
        </is>
      </c>
    </row>
    <row r="757" ht="15.75" customHeight="1">
      <c r="A757" s="3" t="inlineStr">
        <is>
          <t>PROD_0188</t>
        </is>
      </c>
      <c r="B757" s="3" t="inlineStr">
        <is>
          <t>VAR_23</t>
        </is>
      </c>
      <c r="C757" s="3" t="inlineStr">
        <is>
          <t>Electrical Material</t>
        </is>
      </c>
      <c r="D757" s="3" t="inlineStr">
        <is>
          <t>Wires</t>
        </is>
      </c>
      <c r="E757" s="3" t="inlineStr">
        <is>
          <t>Polycab</t>
        </is>
      </c>
      <c r="F757" s="3" t="inlineStr">
        <is>
          <t>Maxima Plus</t>
        </is>
      </c>
      <c r="H757" s="3" t="inlineStr">
        <is>
          <t>Thickness</t>
        </is>
      </c>
      <c r="I757" s="3" t="inlineStr">
        <is>
          <t>4 Sq mm</t>
        </is>
      </c>
      <c r="J757" s="3" t="inlineStr">
        <is>
          <t>Color</t>
        </is>
      </c>
      <c r="K757" s="3" t="inlineStr">
        <is>
          <t>Green</t>
        </is>
      </c>
      <c r="L757" s="3" t="inlineStr">
        <is>
          <t>Length</t>
        </is>
      </c>
      <c r="M757" s="3" t="inlineStr">
        <is>
          <t>90 Mtr</t>
        </is>
      </c>
      <c r="Q757" s="3" t="inlineStr">
        <is>
          <t>Manufacturer's Warranty</t>
        </is>
      </c>
      <c r="Y757" s="3" t="inlineStr">
        <is>
          <t>WR_PC_MXM_GRN_1, WR_PC_MXM_GRN_2</t>
        </is>
      </c>
      <c r="Z757" s="3" t="n">
        <v>8544</v>
      </c>
      <c r="AE757" s="3" t="n">
        <v>9960</v>
      </c>
      <c r="AF757" s="4" t="n">
        <v>0.44</v>
      </c>
      <c r="AG757" s="3">
        <f>ROUND(AE757-(AE757*AF757),2)</f>
        <v/>
      </c>
      <c r="AH757" s="4" t="n">
        <v>0.18</v>
      </c>
      <c r="AI757" s="3">
        <f>ROUND(AG757+(AG757*AH757),2)</f>
        <v/>
      </c>
      <c r="AJ757" s="4" t="n">
        <v>0.1</v>
      </c>
      <c r="AK757" s="3">
        <f>ROUND(AI757*AJ757,2)</f>
        <v/>
      </c>
      <c r="AL757" s="3">
        <f>AI757+AK757</f>
        <v/>
      </c>
      <c r="AM757" s="3">
        <f>AE757-AL757</f>
        <v/>
      </c>
      <c r="AN757" s="4">
        <f>AM757/AE757</f>
        <v/>
      </c>
      <c r="AO757" s="3" t="inlineStr">
        <is>
          <t>60 mins</t>
        </is>
      </c>
      <c r="AQ757" s="3" t="inlineStr">
        <is>
          <t>Weight</t>
        </is>
      </c>
      <c r="AT757" s="3" t="inlineStr">
        <is>
          <t>Actvie</t>
        </is>
      </c>
    </row>
    <row r="758" ht="15.75" customHeight="1">
      <c r="A758" s="3" t="inlineStr">
        <is>
          <t>PROD_0188</t>
        </is>
      </c>
      <c r="B758" s="3" t="inlineStr">
        <is>
          <t>VAR_24</t>
        </is>
      </c>
      <c r="C758" s="3" t="inlineStr">
        <is>
          <t>Electrical Material</t>
        </is>
      </c>
      <c r="D758" s="3" t="inlineStr">
        <is>
          <t>Wires</t>
        </is>
      </c>
      <c r="E758" s="3" t="inlineStr">
        <is>
          <t>Polycab</t>
        </is>
      </c>
      <c r="F758" s="3" t="inlineStr">
        <is>
          <t>Maxima Plus</t>
        </is>
      </c>
      <c r="H758" s="3" t="inlineStr">
        <is>
          <t>Thickness</t>
        </is>
      </c>
      <c r="I758" s="3" t="inlineStr">
        <is>
          <t>4 Sq mm</t>
        </is>
      </c>
      <c r="J758" s="3" t="inlineStr">
        <is>
          <t>Color</t>
        </is>
      </c>
      <c r="K758" s="3" t="inlineStr">
        <is>
          <t>Yellow</t>
        </is>
      </c>
      <c r="L758" s="3" t="inlineStr">
        <is>
          <t>Length</t>
        </is>
      </c>
      <c r="M758" s="3" t="inlineStr">
        <is>
          <t>90 Mtr</t>
        </is>
      </c>
      <c r="Q758" s="3" t="inlineStr">
        <is>
          <t>Manufacturer's Warranty</t>
        </is>
      </c>
      <c r="Y758" s="3" t="inlineStr">
        <is>
          <t>WR_PC_MXM_YLW_1, WR_PC_MXM_YLW_2</t>
        </is>
      </c>
      <c r="Z758" s="3" t="n">
        <v>8544</v>
      </c>
      <c r="AE758" s="3" t="n">
        <v>9960</v>
      </c>
      <c r="AF758" s="4" t="n">
        <v>0.44</v>
      </c>
      <c r="AG758" s="3">
        <f>ROUND(AE758-(AE758*AF758),2)</f>
        <v/>
      </c>
      <c r="AH758" s="4" t="n">
        <v>0.18</v>
      </c>
      <c r="AI758" s="3">
        <f>ROUND(AG758+(AG758*AH758),2)</f>
        <v/>
      </c>
      <c r="AJ758" s="4" t="n">
        <v>0.1</v>
      </c>
      <c r="AK758" s="3">
        <f>ROUND(AI758*AJ758,2)</f>
        <v/>
      </c>
      <c r="AL758" s="3">
        <f>AI758+AK758</f>
        <v/>
      </c>
      <c r="AM758" s="3">
        <f>AE758-AL758</f>
        <v/>
      </c>
      <c r="AN758" s="4">
        <f>AM758/AE758</f>
        <v/>
      </c>
      <c r="AO758" s="3" t="inlineStr">
        <is>
          <t>60 mins</t>
        </is>
      </c>
      <c r="AQ758" s="3" t="inlineStr">
        <is>
          <t>Weight</t>
        </is>
      </c>
      <c r="AT758" s="3" t="inlineStr">
        <is>
          <t>Actvie</t>
        </is>
      </c>
    </row>
    <row r="759" ht="15.75" customHeight="1">
      <c r="A759" s="3" t="inlineStr">
        <is>
          <t>PROD_0188</t>
        </is>
      </c>
      <c r="B759" s="3" t="inlineStr">
        <is>
          <t>VAR_25</t>
        </is>
      </c>
      <c r="C759" s="3" t="inlineStr">
        <is>
          <t>Electrical Material</t>
        </is>
      </c>
      <c r="D759" s="3" t="inlineStr">
        <is>
          <t>Wires</t>
        </is>
      </c>
      <c r="E759" s="3" t="inlineStr">
        <is>
          <t>Polycab</t>
        </is>
      </c>
      <c r="F759" s="3" t="inlineStr">
        <is>
          <t>Maxima Plus</t>
        </is>
      </c>
      <c r="H759" s="3" t="inlineStr">
        <is>
          <t>Thickness</t>
        </is>
      </c>
      <c r="I759" s="3" t="inlineStr">
        <is>
          <t>4 Sq mm</t>
        </is>
      </c>
      <c r="J759" s="3" t="inlineStr">
        <is>
          <t>Color</t>
        </is>
      </c>
      <c r="K759" s="3" t="inlineStr">
        <is>
          <t>Blue</t>
        </is>
      </c>
      <c r="L759" s="3" t="inlineStr">
        <is>
          <t>Length</t>
        </is>
      </c>
      <c r="M759" s="3" t="inlineStr">
        <is>
          <t>90 Mtr</t>
        </is>
      </c>
      <c r="Q759" s="3" t="inlineStr">
        <is>
          <t>Manufacturer's Warranty</t>
        </is>
      </c>
      <c r="Y759" s="3" t="inlineStr">
        <is>
          <t>WR_PC_MXM_BLU_1, WR_PC_MXM_BLU_2</t>
        </is>
      </c>
      <c r="Z759" s="3" t="n">
        <v>8544</v>
      </c>
      <c r="AE759" s="3" t="n">
        <v>9960</v>
      </c>
      <c r="AF759" s="4" t="n">
        <v>0.44</v>
      </c>
      <c r="AG759" s="3">
        <f>ROUND(AE759-(AE759*AF759),2)</f>
        <v/>
      </c>
      <c r="AH759" s="4" t="n">
        <v>0.18</v>
      </c>
      <c r="AI759" s="3">
        <f>ROUND(AG759+(AG759*AH759),2)</f>
        <v/>
      </c>
      <c r="AJ759" s="4" t="n">
        <v>0.1</v>
      </c>
      <c r="AK759" s="3">
        <f>ROUND(AI759*AJ759,2)</f>
        <v/>
      </c>
      <c r="AL759" s="3">
        <f>AI759+AK759</f>
        <v/>
      </c>
      <c r="AM759" s="3">
        <f>AE759-AL759</f>
        <v/>
      </c>
      <c r="AN759" s="4">
        <f>AM759/AE759</f>
        <v/>
      </c>
      <c r="AO759" s="3" t="inlineStr">
        <is>
          <t>60 mins</t>
        </is>
      </c>
      <c r="AQ759" s="3" t="inlineStr">
        <is>
          <t>Weight</t>
        </is>
      </c>
      <c r="AT759" s="3" t="inlineStr">
        <is>
          <t>Actvie</t>
        </is>
      </c>
    </row>
    <row r="760" ht="15.75" customHeight="1">
      <c r="A760" s="3" t="inlineStr">
        <is>
          <t>PROD_0188</t>
        </is>
      </c>
      <c r="B760" s="3" t="inlineStr">
        <is>
          <t>VAR_26</t>
        </is>
      </c>
      <c r="C760" s="3" t="inlineStr">
        <is>
          <t>Electrical Material</t>
        </is>
      </c>
      <c r="D760" s="3" t="inlineStr">
        <is>
          <t>Wires</t>
        </is>
      </c>
      <c r="E760" s="3" t="inlineStr">
        <is>
          <t>Polycab</t>
        </is>
      </c>
      <c r="F760" s="3" t="inlineStr">
        <is>
          <t>Maxima Plus</t>
        </is>
      </c>
      <c r="H760" s="3" t="inlineStr">
        <is>
          <t>Thickness</t>
        </is>
      </c>
      <c r="I760" s="3" t="inlineStr">
        <is>
          <t>6 Sq mm</t>
        </is>
      </c>
      <c r="J760" s="3" t="inlineStr">
        <is>
          <t>Color</t>
        </is>
      </c>
      <c r="K760" s="3" t="inlineStr">
        <is>
          <t>Red</t>
        </is>
      </c>
      <c r="L760" s="3" t="inlineStr">
        <is>
          <t>Length</t>
        </is>
      </c>
      <c r="M760" s="3" t="inlineStr">
        <is>
          <t>90 Mtr</t>
        </is>
      </c>
      <c r="Q760" s="3" t="inlineStr">
        <is>
          <t>Manufacturer's Warranty</t>
        </is>
      </c>
      <c r="Y760" s="3" t="inlineStr">
        <is>
          <t>WR_PC_MXM_RD_1, WR_PC_MXM_RD_2</t>
        </is>
      </c>
      <c r="Z760" s="3" t="n">
        <v>8544</v>
      </c>
      <c r="AE760" s="3" t="n">
        <v>14950</v>
      </c>
      <c r="AF760" s="4" t="n">
        <v>0.44</v>
      </c>
      <c r="AG760" s="3">
        <f>ROUND(AE760-(AE760*AF760),2)</f>
        <v/>
      </c>
      <c r="AH760" s="4" t="n">
        <v>0.18</v>
      </c>
      <c r="AI760" s="3">
        <f>ROUND(AG760+(AG760*AH760),2)</f>
        <v/>
      </c>
      <c r="AJ760" s="4" t="n">
        <v>0.1</v>
      </c>
      <c r="AK760" s="3">
        <f>ROUND(AI760*AJ760,2)</f>
        <v/>
      </c>
      <c r="AL760" s="3">
        <f>AI760+AK760</f>
        <v/>
      </c>
      <c r="AM760" s="3">
        <f>AE760-AL760</f>
        <v/>
      </c>
      <c r="AN760" s="4">
        <f>AM760/AE760</f>
        <v/>
      </c>
      <c r="AO760" s="3" t="inlineStr">
        <is>
          <t>60 mins</t>
        </is>
      </c>
      <c r="AQ760" s="3" t="inlineStr">
        <is>
          <t>Weight</t>
        </is>
      </c>
      <c r="AT760" s="3" t="inlineStr">
        <is>
          <t>Actvie</t>
        </is>
      </c>
    </row>
    <row r="761" ht="15.75" customHeight="1">
      <c r="A761" s="3" t="inlineStr">
        <is>
          <t>PROD_0188</t>
        </is>
      </c>
      <c r="B761" s="3" t="inlineStr">
        <is>
          <t>VAR_27</t>
        </is>
      </c>
      <c r="C761" s="3" t="inlineStr">
        <is>
          <t>Electrical Material</t>
        </is>
      </c>
      <c r="D761" s="3" t="inlineStr">
        <is>
          <t>Wires</t>
        </is>
      </c>
      <c r="E761" s="3" t="inlineStr">
        <is>
          <t>Polycab</t>
        </is>
      </c>
      <c r="F761" s="3" t="inlineStr">
        <is>
          <t>Maxima Plus</t>
        </is>
      </c>
      <c r="H761" s="3" t="inlineStr">
        <is>
          <t>Thickness</t>
        </is>
      </c>
      <c r="I761" s="3" t="inlineStr">
        <is>
          <t>6 Sq mm</t>
        </is>
      </c>
      <c r="J761" s="3" t="inlineStr">
        <is>
          <t>Color</t>
        </is>
      </c>
      <c r="K761" s="3" t="inlineStr">
        <is>
          <t>Black</t>
        </is>
      </c>
      <c r="L761" s="3" t="inlineStr">
        <is>
          <t>Length</t>
        </is>
      </c>
      <c r="M761" s="3" t="inlineStr">
        <is>
          <t>90 Mtr</t>
        </is>
      </c>
      <c r="Q761" s="3" t="inlineStr">
        <is>
          <t>Manufacturer's Warranty</t>
        </is>
      </c>
      <c r="Y761" s="3" t="inlineStr">
        <is>
          <t>WR_PC_MXM_BLK_1, WR_PC_MXM_BLK_2</t>
        </is>
      </c>
      <c r="Z761" s="3" t="n">
        <v>8544</v>
      </c>
      <c r="AE761" s="3" t="n">
        <v>14950</v>
      </c>
      <c r="AF761" s="4" t="n">
        <v>0.44</v>
      </c>
      <c r="AG761" s="3">
        <f>ROUND(AE761-(AE761*AF761),2)</f>
        <v/>
      </c>
      <c r="AH761" s="4" t="n">
        <v>0.18</v>
      </c>
      <c r="AI761" s="3">
        <f>ROUND(AG761+(AG761*AH761),2)</f>
        <v/>
      </c>
      <c r="AJ761" s="4" t="n">
        <v>0.1</v>
      </c>
      <c r="AK761" s="3">
        <f>ROUND(AI761*AJ761,2)</f>
        <v/>
      </c>
      <c r="AL761" s="3">
        <f>AI761+AK761</f>
        <v/>
      </c>
      <c r="AM761" s="3">
        <f>AE761-AL761</f>
        <v/>
      </c>
      <c r="AN761" s="4">
        <f>AM761/AE761</f>
        <v/>
      </c>
      <c r="AO761" s="3" t="inlineStr">
        <is>
          <t>60 mins</t>
        </is>
      </c>
      <c r="AQ761" s="3" t="inlineStr">
        <is>
          <t>Weight</t>
        </is>
      </c>
      <c r="AT761" s="3" t="inlineStr">
        <is>
          <t>Actvie</t>
        </is>
      </c>
    </row>
    <row r="762" ht="15.75" customHeight="1">
      <c r="A762" s="3" t="inlineStr">
        <is>
          <t>PROD_0188</t>
        </is>
      </c>
      <c r="B762" s="3" t="inlineStr">
        <is>
          <t>VAR_28</t>
        </is>
      </c>
      <c r="C762" s="3" t="inlineStr">
        <is>
          <t>Electrical Material</t>
        </is>
      </c>
      <c r="D762" s="3" t="inlineStr">
        <is>
          <t>Wires</t>
        </is>
      </c>
      <c r="E762" s="3" t="inlineStr">
        <is>
          <t>Polycab</t>
        </is>
      </c>
      <c r="F762" s="3" t="inlineStr">
        <is>
          <t>Maxima Plus</t>
        </is>
      </c>
      <c r="H762" s="3" t="inlineStr">
        <is>
          <t>Thickness</t>
        </is>
      </c>
      <c r="I762" s="3" t="inlineStr">
        <is>
          <t>6 Sq mm</t>
        </is>
      </c>
      <c r="J762" s="3" t="inlineStr">
        <is>
          <t>Color</t>
        </is>
      </c>
      <c r="K762" s="3" t="inlineStr">
        <is>
          <t>Green</t>
        </is>
      </c>
      <c r="L762" s="3" t="inlineStr">
        <is>
          <t>Length</t>
        </is>
      </c>
      <c r="M762" s="3" t="inlineStr">
        <is>
          <t>90 Mtr</t>
        </is>
      </c>
      <c r="Q762" s="3" t="inlineStr">
        <is>
          <t>Manufacturer's Warranty</t>
        </is>
      </c>
      <c r="Y762" s="3" t="inlineStr">
        <is>
          <t>WR_PC_MXM_GRN_1, WR_PC_MXM_GRN_2</t>
        </is>
      </c>
      <c r="Z762" s="3" t="n">
        <v>8544</v>
      </c>
      <c r="AE762" s="3" t="n">
        <v>14950</v>
      </c>
      <c r="AF762" s="4" t="n">
        <v>0.44</v>
      </c>
      <c r="AG762" s="3">
        <f>ROUND(AE762-(AE762*AF762),2)</f>
        <v/>
      </c>
      <c r="AH762" s="4" t="n">
        <v>0.18</v>
      </c>
      <c r="AI762" s="3">
        <f>ROUND(AG762+(AG762*AH762),2)</f>
        <v/>
      </c>
      <c r="AJ762" s="4" t="n">
        <v>0.1</v>
      </c>
      <c r="AK762" s="3">
        <f>ROUND(AI762*AJ762,2)</f>
        <v/>
      </c>
      <c r="AL762" s="3">
        <f>AI762+AK762</f>
        <v/>
      </c>
      <c r="AM762" s="3">
        <f>AE762-AL762</f>
        <v/>
      </c>
      <c r="AN762" s="4">
        <f>AM762/AE762</f>
        <v/>
      </c>
      <c r="AO762" s="3" t="inlineStr">
        <is>
          <t>60 mins</t>
        </is>
      </c>
      <c r="AQ762" s="3" t="inlineStr">
        <is>
          <t>Weight</t>
        </is>
      </c>
      <c r="AT762" s="3" t="inlineStr">
        <is>
          <t>Actvie</t>
        </is>
      </c>
    </row>
    <row r="763" ht="15.75" customHeight="1">
      <c r="A763" s="3" t="inlineStr">
        <is>
          <t>PROD_0188</t>
        </is>
      </c>
      <c r="B763" s="3" t="inlineStr">
        <is>
          <t>VAR_29</t>
        </is>
      </c>
      <c r="C763" s="3" t="inlineStr">
        <is>
          <t>Electrical Material</t>
        </is>
      </c>
      <c r="D763" s="3" t="inlineStr">
        <is>
          <t>Wires</t>
        </is>
      </c>
      <c r="E763" s="3" t="inlineStr">
        <is>
          <t>Polycab</t>
        </is>
      </c>
      <c r="F763" s="3" t="inlineStr">
        <is>
          <t>Maxima Plus</t>
        </is>
      </c>
      <c r="H763" s="3" t="inlineStr">
        <is>
          <t>Thickness</t>
        </is>
      </c>
      <c r="I763" s="3" t="inlineStr">
        <is>
          <t>6 Sq mm</t>
        </is>
      </c>
      <c r="J763" s="3" t="inlineStr">
        <is>
          <t>Color</t>
        </is>
      </c>
      <c r="K763" s="3" t="inlineStr">
        <is>
          <t>Yellow</t>
        </is>
      </c>
      <c r="L763" s="3" t="inlineStr">
        <is>
          <t>Length</t>
        </is>
      </c>
      <c r="M763" s="3" t="inlineStr">
        <is>
          <t>90 Mtr</t>
        </is>
      </c>
      <c r="Q763" s="3" t="inlineStr">
        <is>
          <t>Manufacturer's Warranty</t>
        </is>
      </c>
      <c r="Y763" s="3" t="inlineStr">
        <is>
          <t>WR_PC_MXM_YLW_1, WR_PC_MXM_YLW_2</t>
        </is>
      </c>
      <c r="Z763" s="3" t="n">
        <v>8544</v>
      </c>
      <c r="AE763" s="3" t="n">
        <v>14950</v>
      </c>
      <c r="AF763" s="4" t="n">
        <v>0.44</v>
      </c>
      <c r="AG763" s="3">
        <f>ROUND(AE763-(AE763*AF763),2)</f>
        <v/>
      </c>
      <c r="AH763" s="4" t="n">
        <v>0.18</v>
      </c>
      <c r="AI763" s="3">
        <f>ROUND(AG763+(AG763*AH763),2)</f>
        <v/>
      </c>
      <c r="AJ763" s="4" t="n">
        <v>0.1</v>
      </c>
      <c r="AK763" s="3">
        <f>ROUND(AI763*AJ763,2)</f>
        <v/>
      </c>
      <c r="AL763" s="3">
        <f>AI763+AK763</f>
        <v/>
      </c>
      <c r="AM763" s="3">
        <f>AE763-AL763</f>
        <v/>
      </c>
      <c r="AN763" s="4">
        <f>AM763/AE763</f>
        <v/>
      </c>
      <c r="AO763" s="3" t="inlineStr">
        <is>
          <t>60 mins</t>
        </is>
      </c>
      <c r="AQ763" s="3" t="inlineStr">
        <is>
          <t>Weight</t>
        </is>
      </c>
      <c r="AT763" s="3" t="inlineStr">
        <is>
          <t>Actvie</t>
        </is>
      </c>
    </row>
    <row r="764" ht="15.75" customHeight="1">
      <c r="A764" s="3" t="inlineStr">
        <is>
          <t>PROD_0188</t>
        </is>
      </c>
      <c r="B764" s="3" t="inlineStr">
        <is>
          <t>VAR_30</t>
        </is>
      </c>
      <c r="C764" s="3" t="inlineStr">
        <is>
          <t>Electrical Material</t>
        </is>
      </c>
      <c r="D764" s="3" t="inlineStr">
        <is>
          <t>Wires</t>
        </is>
      </c>
      <c r="E764" s="3" t="inlineStr">
        <is>
          <t>Polycab</t>
        </is>
      </c>
      <c r="F764" s="3" t="inlineStr">
        <is>
          <t>Maxima Plus</t>
        </is>
      </c>
      <c r="H764" s="3" t="inlineStr">
        <is>
          <t>Thickness</t>
        </is>
      </c>
      <c r="I764" s="3" t="inlineStr">
        <is>
          <t>6 Sq mm</t>
        </is>
      </c>
      <c r="J764" s="3" t="inlineStr">
        <is>
          <t>Color</t>
        </is>
      </c>
      <c r="K764" s="3" t="inlineStr">
        <is>
          <t>Blue</t>
        </is>
      </c>
      <c r="L764" s="3" t="inlineStr">
        <is>
          <t>Length</t>
        </is>
      </c>
      <c r="M764" s="3" t="inlineStr">
        <is>
          <t>90 Mtr</t>
        </is>
      </c>
      <c r="Q764" s="3" t="inlineStr">
        <is>
          <t>Manufacturer's Warranty</t>
        </is>
      </c>
      <c r="Y764" s="3" t="inlineStr">
        <is>
          <t>WR_PC_MXM_BLU_1, WR_PC_MXM_BLU_2</t>
        </is>
      </c>
      <c r="Z764" s="3" t="n">
        <v>8544</v>
      </c>
      <c r="AE764" s="3" t="n">
        <v>14950</v>
      </c>
      <c r="AF764" s="4" t="n">
        <v>0.44</v>
      </c>
      <c r="AG764" s="3">
        <f>ROUND(AE764-(AE764*AF764),2)</f>
        <v/>
      </c>
      <c r="AH764" s="4" t="n">
        <v>0.18</v>
      </c>
      <c r="AI764" s="3">
        <f>ROUND(AG764+(AG764*AH764),2)</f>
        <v/>
      </c>
      <c r="AJ764" s="4" t="n">
        <v>0.1</v>
      </c>
      <c r="AK764" s="3">
        <f>ROUND(AI764*AJ764,2)</f>
        <v/>
      </c>
      <c r="AL764" s="3">
        <f>AI764+AK764</f>
        <v/>
      </c>
      <c r="AM764" s="3">
        <f>AE764-AL764</f>
        <v/>
      </c>
      <c r="AN764" s="4">
        <f>AM764/AE764</f>
        <v/>
      </c>
      <c r="AO764" s="3" t="inlineStr">
        <is>
          <t>60 mins</t>
        </is>
      </c>
      <c r="AQ764" s="3" t="inlineStr">
        <is>
          <t>Weight</t>
        </is>
      </c>
      <c r="AT764" s="3" t="inlineStr">
        <is>
          <t>Actvie</t>
        </is>
      </c>
    </row>
    <row r="765" ht="15.75" customHeight="1">
      <c r="A765" s="3" t="inlineStr">
        <is>
          <t>PROD_0189</t>
        </is>
      </c>
      <c r="B765" s="3" t="inlineStr">
        <is>
          <t>VAR_1</t>
        </is>
      </c>
      <c r="C765" s="3" t="inlineStr">
        <is>
          <t>Electrical Material</t>
        </is>
      </c>
      <c r="D765" s="3" t="inlineStr">
        <is>
          <t>Wires</t>
        </is>
      </c>
      <c r="E765" s="3" t="inlineStr">
        <is>
          <t>Polycab</t>
        </is>
      </c>
      <c r="F765" s="3" t="inlineStr">
        <is>
          <t>Optima Plus</t>
        </is>
      </c>
      <c r="H765" s="3" t="inlineStr">
        <is>
          <t>Thickness</t>
        </is>
      </c>
      <c r="I765" s="3" t="inlineStr">
        <is>
          <t>0.75 sq mm</t>
        </is>
      </c>
      <c r="J765" s="3" t="inlineStr">
        <is>
          <t>Color</t>
        </is>
      </c>
      <c r="K765" s="3" t="inlineStr">
        <is>
          <t>Red</t>
        </is>
      </c>
      <c r="L765" s="3" t="inlineStr">
        <is>
          <t>Length</t>
        </is>
      </c>
      <c r="M765" s="3" t="inlineStr">
        <is>
          <t>90 Mtr</t>
        </is>
      </c>
      <c r="Q765" s="3" t="inlineStr">
        <is>
          <t>Manufacturer's Warranty</t>
        </is>
      </c>
      <c r="R765" s="3" t="inlineStr">
        <is>
          <t>LF FR</t>
        </is>
      </c>
      <c r="Y765" s="3" t="inlineStr">
        <is>
          <t>WR_PC_OPT_RD_1</t>
        </is>
      </c>
      <c r="Z765" s="3" t="n">
        <v>8544</v>
      </c>
      <c r="AE765" s="3" t="n">
        <v>2080</v>
      </c>
      <c r="AF765" s="4" t="n">
        <v>0.44</v>
      </c>
      <c r="AG765" s="3">
        <f>ROUND(AE765-(AE765*AF765),2)</f>
        <v/>
      </c>
      <c r="AH765" s="4" t="n">
        <v>0.18</v>
      </c>
      <c r="AI765" s="3">
        <f>ROUND(AG765+(AG765*AH765),2)</f>
        <v/>
      </c>
      <c r="AJ765" s="4" t="n">
        <v>0.1</v>
      </c>
      <c r="AK765" s="3">
        <f>ROUND(AI765*AJ765,2)</f>
        <v/>
      </c>
      <c r="AL765" s="3">
        <f>AI765+AK765</f>
        <v/>
      </c>
      <c r="AM765" s="3">
        <f>AE765-AL765</f>
        <v/>
      </c>
      <c r="AN765" s="4">
        <f>AM765/AE765</f>
        <v/>
      </c>
      <c r="AO765" s="3" t="inlineStr">
        <is>
          <t>60 mins</t>
        </is>
      </c>
      <c r="AQ765" s="3" t="inlineStr">
        <is>
          <t>Weight</t>
        </is>
      </c>
      <c r="AT765" s="3" t="inlineStr">
        <is>
          <t>Actvie</t>
        </is>
      </c>
    </row>
    <row r="766" ht="15.75" customHeight="1">
      <c r="A766" s="3" t="inlineStr">
        <is>
          <t>PROD_0189</t>
        </is>
      </c>
      <c r="B766" s="3" t="inlineStr">
        <is>
          <t>VAR_2</t>
        </is>
      </c>
      <c r="C766" s="3" t="inlineStr">
        <is>
          <t>Electrical Material</t>
        </is>
      </c>
      <c r="D766" s="3" t="inlineStr">
        <is>
          <t>Wires</t>
        </is>
      </c>
      <c r="E766" s="3" t="inlineStr">
        <is>
          <t>Polycab</t>
        </is>
      </c>
      <c r="F766" s="3" t="inlineStr">
        <is>
          <t>Optima Plus</t>
        </is>
      </c>
      <c r="H766" s="3" t="inlineStr">
        <is>
          <t>Thickness</t>
        </is>
      </c>
      <c r="I766" s="3" t="inlineStr">
        <is>
          <t>0.75 sq mm</t>
        </is>
      </c>
      <c r="J766" s="3" t="inlineStr">
        <is>
          <t>Color</t>
        </is>
      </c>
      <c r="K766" s="3" t="inlineStr">
        <is>
          <t>Black</t>
        </is>
      </c>
      <c r="L766" s="3" t="inlineStr">
        <is>
          <t>Length</t>
        </is>
      </c>
      <c r="M766" s="3" t="inlineStr">
        <is>
          <t>90 Mtr</t>
        </is>
      </c>
      <c r="Q766" s="3" t="inlineStr">
        <is>
          <t>Manufacturer's Warranty</t>
        </is>
      </c>
      <c r="Y766" s="3" t="inlineStr">
        <is>
          <t>WR_PC_OPT_BLK_1</t>
        </is>
      </c>
      <c r="Z766" s="3" t="n">
        <v>8544</v>
      </c>
      <c r="AE766" s="3" t="n">
        <v>2080</v>
      </c>
      <c r="AF766" s="4" t="n">
        <v>0.44</v>
      </c>
      <c r="AG766" s="3">
        <f>ROUND(AE766-(AE766*AF766),2)</f>
        <v/>
      </c>
      <c r="AH766" s="4" t="n">
        <v>0.18</v>
      </c>
      <c r="AI766" s="3">
        <f>ROUND(AG766+(AG766*AH766),2)</f>
        <v/>
      </c>
      <c r="AJ766" s="4" t="n">
        <v>0.1</v>
      </c>
      <c r="AK766" s="3">
        <f>ROUND(AI766*AJ766,2)</f>
        <v/>
      </c>
      <c r="AL766" s="3">
        <f>AI766+AK766</f>
        <v/>
      </c>
      <c r="AM766" s="3">
        <f>AE766-AL766</f>
        <v/>
      </c>
      <c r="AN766" s="4">
        <f>AM766/AE766</f>
        <v/>
      </c>
      <c r="AO766" s="3" t="inlineStr">
        <is>
          <t>60 mins</t>
        </is>
      </c>
      <c r="AQ766" s="3" t="inlineStr">
        <is>
          <t>Weight</t>
        </is>
      </c>
      <c r="AT766" s="3" t="inlineStr">
        <is>
          <t>Actvie</t>
        </is>
      </c>
    </row>
    <row r="767" ht="15.75" customHeight="1">
      <c r="A767" s="3" t="inlineStr">
        <is>
          <t>PROD_0189</t>
        </is>
      </c>
      <c r="B767" s="3" t="inlineStr">
        <is>
          <t>VAR_3</t>
        </is>
      </c>
      <c r="C767" s="3" t="inlineStr">
        <is>
          <t>Electrical Material</t>
        </is>
      </c>
      <c r="D767" s="3" t="inlineStr">
        <is>
          <t>Wires</t>
        </is>
      </c>
      <c r="E767" s="3" t="inlineStr">
        <is>
          <t>Polycab</t>
        </is>
      </c>
      <c r="F767" s="3" t="inlineStr">
        <is>
          <t>Optima Plus</t>
        </is>
      </c>
      <c r="H767" s="3" t="inlineStr">
        <is>
          <t>Thickness</t>
        </is>
      </c>
      <c r="I767" s="3" t="inlineStr">
        <is>
          <t>0.75 sq mm</t>
        </is>
      </c>
      <c r="J767" s="3" t="inlineStr">
        <is>
          <t>Color</t>
        </is>
      </c>
      <c r="K767" s="3" t="inlineStr">
        <is>
          <t>Green</t>
        </is>
      </c>
      <c r="L767" s="3" t="inlineStr">
        <is>
          <t>Length</t>
        </is>
      </c>
      <c r="M767" s="3" t="inlineStr">
        <is>
          <t>90 Mtr</t>
        </is>
      </c>
      <c r="Q767" s="3" t="inlineStr">
        <is>
          <t>Manufacturer's Warranty</t>
        </is>
      </c>
      <c r="Y767" s="3" t="inlineStr">
        <is>
          <t>WR_PC_OPT_GRN_1</t>
        </is>
      </c>
      <c r="Z767" s="3" t="n">
        <v>8544</v>
      </c>
      <c r="AE767" s="3" t="n">
        <v>2080</v>
      </c>
      <c r="AF767" s="4" t="n">
        <v>0.44</v>
      </c>
      <c r="AG767" s="3">
        <f>ROUND(AE767-(AE767*AF767),2)</f>
        <v/>
      </c>
      <c r="AH767" s="4" t="n">
        <v>0.18</v>
      </c>
      <c r="AI767" s="3">
        <f>ROUND(AG767+(AG767*AH767),2)</f>
        <v/>
      </c>
      <c r="AJ767" s="4" t="n">
        <v>0.1</v>
      </c>
      <c r="AK767" s="3">
        <f>ROUND(AI767*AJ767,2)</f>
        <v/>
      </c>
      <c r="AL767" s="3">
        <f>AI767+AK767</f>
        <v/>
      </c>
      <c r="AM767" s="3">
        <f>AE767-AL767</f>
        <v/>
      </c>
      <c r="AN767" s="4">
        <f>AM767/AE767</f>
        <v/>
      </c>
      <c r="AO767" s="3" t="inlineStr">
        <is>
          <t>60 mins</t>
        </is>
      </c>
      <c r="AQ767" s="3" t="inlineStr">
        <is>
          <t>Weight</t>
        </is>
      </c>
      <c r="AT767" s="3" t="inlineStr">
        <is>
          <t>Actvie</t>
        </is>
      </c>
    </row>
    <row r="768" ht="15.75" customHeight="1">
      <c r="A768" s="3" t="inlineStr">
        <is>
          <t>PROD_0189</t>
        </is>
      </c>
      <c r="B768" s="3" t="inlineStr">
        <is>
          <t>VAR_4</t>
        </is>
      </c>
      <c r="C768" s="3" t="inlineStr">
        <is>
          <t>Electrical Material</t>
        </is>
      </c>
      <c r="D768" s="3" t="inlineStr">
        <is>
          <t>Wires</t>
        </is>
      </c>
      <c r="E768" s="3" t="inlineStr">
        <is>
          <t>Polycab</t>
        </is>
      </c>
      <c r="F768" s="3" t="inlineStr">
        <is>
          <t>Optima Plus</t>
        </is>
      </c>
      <c r="H768" s="3" t="inlineStr">
        <is>
          <t>Thickness</t>
        </is>
      </c>
      <c r="I768" s="3" t="inlineStr">
        <is>
          <t>0.75 sq mm</t>
        </is>
      </c>
      <c r="J768" s="3" t="inlineStr">
        <is>
          <t>Color</t>
        </is>
      </c>
      <c r="K768" s="3" t="inlineStr">
        <is>
          <t>Yellow</t>
        </is>
      </c>
      <c r="L768" s="3" t="inlineStr">
        <is>
          <t>Length</t>
        </is>
      </c>
      <c r="M768" s="3" t="inlineStr">
        <is>
          <t>90 Mtr</t>
        </is>
      </c>
      <c r="Q768" s="3" t="inlineStr">
        <is>
          <t>Manufacturer's Warranty</t>
        </is>
      </c>
      <c r="Y768" s="3" t="inlineStr">
        <is>
          <t>WR_PC_OPT_YLW_1</t>
        </is>
      </c>
      <c r="Z768" s="3" t="n">
        <v>8544</v>
      </c>
      <c r="AE768" s="3" t="n">
        <v>2080</v>
      </c>
      <c r="AF768" s="4" t="n">
        <v>0.44</v>
      </c>
      <c r="AG768" s="3">
        <f>ROUND(AE768-(AE768*AF768),2)</f>
        <v/>
      </c>
      <c r="AH768" s="4" t="n">
        <v>0.18</v>
      </c>
      <c r="AI768" s="3">
        <f>ROUND(AG768+(AG768*AH768),2)</f>
        <v/>
      </c>
      <c r="AJ768" s="4" t="n">
        <v>0.1</v>
      </c>
      <c r="AK768" s="3">
        <f>ROUND(AI768*AJ768,2)</f>
        <v/>
      </c>
      <c r="AL768" s="3">
        <f>AI768+AK768</f>
        <v/>
      </c>
      <c r="AM768" s="3">
        <f>AE768-AL768</f>
        <v/>
      </c>
      <c r="AN768" s="4">
        <f>AM768/AE768</f>
        <v/>
      </c>
      <c r="AO768" s="3" t="inlineStr">
        <is>
          <t>60 mins</t>
        </is>
      </c>
      <c r="AQ768" s="3" t="inlineStr">
        <is>
          <t>Weight</t>
        </is>
      </c>
      <c r="AT768" s="3" t="inlineStr">
        <is>
          <t>Actvie</t>
        </is>
      </c>
    </row>
    <row r="769" ht="15.75" customHeight="1">
      <c r="A769" s="3" t="inlineStr">
        <is>
          <t>PROD_0189</t>
        </is>
      </c>
      <c r="B769" s="3" t="inlineStr">
        <is>
          <t>VAR_5</t>
        </is>
      </c>
      <c r="C769" s="3" t="inlineStr">
        <is>
          <t>Electrical Material</t>
        </is>
      </c>
      <c r="D769" s="3" t="inlineStr">
        <is>
          <t>Wires</t>
        </is>
      </c>
      <c r="E769" s="3" t="inlineStr">
        <is>
          <t>Polycab</t>
        </is>
      </c>
      <c r="F769" s="3" t="inlineStr">
        <is>
          <t>Optima Plus</t>
        </is>
      </c>
      <c r="H769" s="3" t="inlineStr">
        <is>
          <t>Thickness</t>
        </is>
      </c>
      <c r="I769" s="3" t="inlineStr">
        <is>
          <t>0.75 sq mm</t>
        </is>
      </c>
      <c r="J769" s="3" t="inlineStr">
        <is>
          <t>Color</t>
        </is>
      </c>
      <c r="K769" s="3" t="inlineStr">
        <is>
          <t>Blue</t>
        </is>
      </c>
      <c r="L769" s="3" t="inlineStr">
        <is>
          <t>Length</t>
        </is>
      </c>
      <c r="M769" s="3" t="inlineStr">
        <is>
          <t>90 Mtr</t>
        </is>
      </c>
      <c r="Q769" s="3" t="inlineStr">
        <is>
          <t>Manufacturer's Warranty</t>
        </is>
      </c>
      <c r="Y769" s="3" t="inlineStr">
        <is>
          <t>WR_PC_OPT_BLU_1</t>
        </is>
      </c>
      <c r="Z769" s="3" t="n">
        <v>8544</v>
      </c>
      <c r="AE769" s="3" t="n">
        <v>2080</v>
      </c>
      <c r="AF769" s="4" t="n">
        <v>0.44</v>
      </c>
      <c r="AG769" s="3">
        <f>ROUND(AE769-(AE769*AF769),2)</f>
        <v/>
      </c>
      <c r="AH769" s="4" t="n">
        <v>0.18</v>
      </c>
      <c r="AI769" s="3">
        <f>ROUND(AG769+(AG769*AH769),2)</f>
        <v/>
      </c>
      <c r="AJ769" s="4" t="n">
        <v>0.1</v>
      </c>
      <c r="AK769" s="3">
        <f>ROUND(AI769*AJ769,2)</f>
        <v/>
      </c>
      <c r="AL769" s="3">
        <f>AI769+AK769</f>
        <v/>
      </c>
      <c r="AM769" s="3">
        <f>AE769-AL769</f>
        <v/>
      </c>
      <c r="AN769" s="4">
        <f>AM769/AE769</f>
        <v/>
      </c>
      <c r="AO769" s="3" t="inlineStr">
        <is>
          <t>60 mins</t>
        </is>
      </c>
      <c r="AQ769" s="3" t="inlineStr">
        <is>
          <t>Weight</t>
        </is>
      </c>
      <c r="AT769" s="3" t="inlineStr">
        <is>
          <t>Actvie</t>
        </is>
      </c>
    </row>
    <row r="770" ht="15.75" customHeight="1">
      <c r="A770" s="3" t="inlineStr">
        <is>
          <t>PROD_0189</t>
        </is>
      </c>
      <c r="B770" s="3" t="inlineStr">
        <is>
          <t>VAR_6</t>
        </is>
      </c>
      <c r="C770" s="3" t="inlineStr">
        <is>
          <t>Electrical Material</t>
        </is>
      </c>
      <c r="D770" s="3" t="inlineStr">
        <is>
          <t>Wires</t>
        </is>
      </c>
      <c r="E770" s="3" t="inlineStr">
        <is>
          <t>Polycab</t>
        </is>
      </c>
      <c r="F770" s="3" t="inlineStr">
        <is>
          <t>Optima Plus</t>
        </is>
      </c>
      <c r="H770" s="3" t="inlineStr">
        <is>
          <t>Thickness</t>
        </is>
      </c>
      <c r="I770" s="3" t="inlineStr">
        <is>
          <t>1 Sq mm</t>
        </is>
      </c>
      <c r="J770" s="3" t="inlineStr">
        <is>
          <t>Color</t>
        </is>
      </c>
      <c r="K770" s="3" t="inlineStr">
        <is>
          <t>Red</t>
        </is>
      </c>
      <c r="L770" s="3" t="inlineStr">
        <is>
          <t>Length</t>
        </is>
      </c>
      <c r="M770" s="3" t="inlineStr">
        <is>
          <t>90 Mtr</t>
        </is>
      </c>
      <c r="Q770" s="3" t="inlineStr">
        <is>
          <t>Manufacturer's Warranty</t>
        </is>
      </c>
      <c r="Y770" s="3" t="inlineStr">
        <is>
          <t>WR_PC_OPT_RD_1</t>
        </is>
      </c>
      <c r="Z770" s="3" t="n">
        <v>8544</v>
      </c>
      <c r="AE770" s="3" t="n">
        <v>2790</v>
      </c>
      <c r="AF770" s="4" t="n">
        <v>0.44</v>
      </c>
      <c r="AG770" s="3">
        <f>ROUND(AE770-(AE770*AF770),2)</f>
        <v/>
      </c>
      <c r="AH770" s="4" t="n">
        <v>0.18</v>
      </c>
      <c r="AI770" s="3">
        <f>ROUND(AG770+(AG770*AH770),2)</f>
        <v/>
      </c>
      <c r="AJ770" s="4" t="n">
        <v>0.1</v>
      </c>
      <c r="AK770" s="3">
        <f>ROUND(AI770*AJ770,2)</f>
        <v/>
      </c>
      <c r="AL770" s="3">
        <f>AI770+AK770</f>
        <v/>
      </c>
      <c r="AM770" s="3">
        <f>AE770-AL770</f>
        <v/>
      </c>
      <c r="AN770" s="4">
        <f>AM770/AE770</f>
        <v/>
      </c>
      <c r="AO770" s="3" t="inlineStr">
        <is>
          <t>60 mins</t>
        </is>
      </c>
      <c r="AQ770" s="3" t="inlineStr">
        <is>
          <t>Weight</t>
        </is>
      </c>
      <c r="AT770" s="3" t="inlineStr">
        <is>
          <t>Actvie</t>
        </is>
      </c>
    </row>
    <row r="771" ht="15.75" customHeight="1">
      <c r="A771" s="3" t="inlineStr">
        <is>
          <t>PROD_0189</t>
        </is>
      </c>
      <c r="B771" s="3" t="inlineStr">
        <is>
          <t>VAR_7</t>
        </is>
      </c>
      <c r="C771" s="3" t="inlineStr">
        <is>
          <t>Electrical Material</t>
        </is>
      </c>
      <c r="D771" s="3" t="inlineStr">
        <is>
          <t>Wires</t>
        </is>
      </c>
      <c r="E771" s="3" t="inlineStr">
        <is>
          <t>Polycab</t>
        </is>
      </c>
      <c r="F771" s="3" t="inlineStr">
        <is>
          <t>Optima Plus</t>
        </is>
      </c>
      <c r="H771" s="3" t="inlineStr">
        <is>
          <t>Thickness</t>
        </is>
      </c>
      <c r="I771" s="3" t="inlineStr">
        <is>
          <t>1 Sq mm</t>
        </is>
      </c>
      <c r="J771" s="3" t="inlineStr">
        <is>
          <t>Color</t>
        </is>
      </c>
      <c r="K771" s="3" t="inlineStr">
        <is>
          <t>Black</t>
        </is>
      </c>
      <c r="L771" s="3" t="inlineStr">
        <is>
          <t>Length</t>
        </is>
      </c>
      <c r="M771" s="3" t="inlineStr">
        <is>
          <t>90 Mtr</t>
        </is>
      </c>
      <c r="Q771" s="3" t="inlineStr">
        <is>
          <t>Manufacturer's Warranty</t>
        </is>
      </c>
      <c r="Y771" s="3" t="inlineStr">
        <is>
          <t>WR_PC_OPT_BLK_1</t>
        </is>
      </c>
      <c r="Z771" s="3" t="n">
        <v>8544</v>
      </c>
      <c r="AE771" s="3" t="n">
        <v>2790</v>
      </c>
      <c r="AF771" s="4" t="n">
        <v>0.44</v>
      </c>
      <c r="AG771" s="3">
        <f>ROUND(AE771-(AE771*AF771),2)</f>
        <v/>
      </c>
      <c r="AH771" s="4" t="n">
        <v>0.18</v>
      </c>
      <c r="AI771" s="3">
        <f>ROUND(AG771+(AG771*AH771),2)</f>
        <v/>
      </c>
      <c r="AJ771" s="4" t="n">
        <v>0.1</v>
      </c>
      <c r="AK771" s="3">
        <f>ROUND(AI771*AJ771,2)</f>
        <v/>
      </c>
      <c r="AL771" s="3">
        <f>AI771+AK771</f>
        <v/>
      </c>
      <c r="AM771" s="3">
        <f>AE771-AL771</f>
        <v/>
      </c>
      <c r="AN771" s="4">
        <f>AM771/AE771</f>
        <v/>
      </c>
      <c r="AO771" s="3" t="inlineStr">
        <is>
          <t>60 mins</t>
        </is>
      </c>
      <c r="AQ771" s="3" t="inlineStr">
        <is>
          <t>Weight</t>
        </is>
      </c>
      <c r="AT771" s="3" t="inlineStr">
        <is>
          <t>Actvie</t>
        </is>
      </c>
    </row>
    <row r="772" ht="15.75" customHeight="1">
      <c r="A772" s="3" t="inlineStr">
        <is>
          <t>PROD_0189</t>
        </is>
      </c>
      <c r="B772" s="3" t="inlineStr">
        <is>
          <t>VAR_8</t>
        </is>
      </c>
      <c r="C772" s="3" t="inlineStr">
        <is>
          <t>Electrical Material</t>
        </is>
      </c>
      <c r="D772" s="3" t="inlineStr">
        <is>
          <t>Wires</t>
        </is>
      </c>
      <c r="E772" s="3" t="inlineStr">
        <is>
          <t>Polycab</t>
        </is>
      </c>
      <c r="F772" s="3" t="inlineStr">
        <is>
          <t>Optima Plus</t>
        </is>
      </c>
      <c r="H772" s="3" t="inlineStr">
        <is>
          <t>Thickness</t>
        </is>
      </c>
      <c r="I772" s="3" t="inlineStr">
        <is>
          <t>1 Sq mm</t>
        </is>
      </c>
      <c r="J772" s="3" t="inlineStr">
        <is>
          <t>Color</t>
        </is>
      </c>
      <c r="K772" s="3" t="inlineStr">
        <is>
          <t>Green</t>
        </is>
      </c>
      <c r="L772" s="3" t="inlineStr">
        <is>
          <t>Length</t>
        </is>
      </c>
      <c r="M772" s="3" t="inlineStr">
        <is>
          <t>90 Mtr</t>
        </is>
      </c>
      <c r="Q772" s="3" t="inlineStr">
        <is>
          <t>Manufacturer's Warranty</t>
        </is>
      </c>
      <c r="Y772" s="3" t="inlineStr">
        <is>
          <t>WR_PC_OPT_GRN_1</t>
        </is>
      </c>
      <c r="Z772" s="3" t="n">
        <v>8544</v>
      </c>
      <c r="AE772" s="3" t="n">
        <v>2790</v>
      </c>
      <c r="AF772" s="4" t="n">
        <v>0.44</v>
      </c>
      <c r="AG772" s="3">
        <f>ROUND(AE772-(AE772*AF772),2)</f>
        <v/>
      </c>
      <c r="AH772" s="4" t="n">
        <v>0.18</v>
      </c>
      <c r="AI772" s="3">
        <f>ROUND(AG772+(AG772*AH772),2)</f>
        <v/>
      </c>
      <c r="AJ772" s="4" t="n">
        <v>0.1</v>
      </c>
      <c r="AK772" s="3">
        <f>ROUND(AI772*AJ772,2)</f>
        <v/>
      </c>
      <c r="AL772" s="3">
        <f>AI772+AK772</f>
        <v/>
      </c>
      <c r="AM772" s="3">
        <f>AE772-AL772</f>
        <v/>
      </c>
      <c r="AN772" s="4">
        <f>AM772/AE772</f>
        <v/>
      </c>
      <c r="AO772" s="3" t="inlineStr">
        <is>
          <t>60 mins</t>
        </is>
      </c>
      <c r="AQ772" s="3" t="inlineStr">
        <is>
          <t>Weight</t>
        </is>
      </c>
      <c r="AT772" s="3" t="inlineStr">
        <is>
          <t>Actvie</t>
        </is>
      </c>
    </row>
    <row r="773" ht="15.75" customHeight="1">
      <c r="A773" s="3" t="inlineStr">
        <is>
          <t>PROD_0189</t>
        </is>
      </c>
      <c r="B773" s="3" t="inlineStr">
        <is>
          <t>VAR_9</t>
        </is>
      </c>
      <c r="C773" s="3" t="inlineStr">
        <is>
          <t>Electrical Material</t>
        </is>
      </c>
      <c r="D773" s="3" t="inlineStr">
        <is>
          <t>Wires</t>
        </is>
      </c>
      <c r="E773" s="3" t="inlineStr">
        <is>
          <t>Polycab</t>
        </is>
      </c>
      <c r="F773" s="3" t="inlineStr">
        <is>
          <t>Optima Plus</t>
        </is>
      </c>
      <c r="H773" s="3" t="inlineStr">
        <is>
          <t>Thickness</t>
        </is>
      </c>
      <c r="I773" s="3" t="inlineStr">
        <is>
          <t>1 Sq mm</t>
        </is>
      </c>
      <c r="J773" s="3" t="inlineStr">
        <is>
          <t>Color</t>
        </is>
      </c>
      <c r="K773" s="3" t="inlineStr">
        <is>
          <t>Yellow</t>
        </is>
      </c>
      <c r="L773" s="3" t="inlineStr">
        <is>
          <t>Length</t>
        </is>
      </c>
      <c r="M773" s="3" t="inlineStr">
        <is>
          <t>90 Mtr</t>
        </is>
      </c>
      <c r="Q773" s="3" t="inlineStr">
        <is>
          <t>Manufacturer's Warranty</t>
        </is>
      </c>
      <c r="Y773" s="3" t="inlineStr">
        <is>
          <t>WR_PC_OPT_YLW_1</t>
        </is>
      </c>
      <c r="Z773" s="3" t="n">
        <v>8544</v>
      </c>
      <c r="AE773" s="3" t="n">
        <v>2790</v>
      </c>
      <c r="AF773" s="4" t="n">
        <v>0.44</v>
      </c>
      <c r="AG773" s="3">
        <f>ROUND(AE773-(AE773*AF773),2)</f>
        <v/>
      </c>
      <c r="AH773" s="4" t="n">
        <v>0.18</v>
      </c>
      <c r="AI773" s="3">
        <f>ROUND(AG773+(AG773*AH773),2)</f>
        <v/>
      </c>
      <c r="AJ773" s="4" t="n">
        <v>0.1</v>
      </c>
      <c r="AK773" s="3">
        <f>ROUND(AI773*AJ773,2)</f>
        <v/>
      </c>
      <c r="AL773" s="3">
        <f>AI773+AK773</f>
        <v/>
      </c>
      <c r="AM773" s="3">
        <f>AE773-AL773</f>
        <v/>
      </c>
      <c r="AN773" s="4">
        <f>AM773/AE773</f>
        <v/>
      </c>
      <c r="AO773" s="3" t="inlineStr">
        <is>
          <t>60 mins</t>
        </is>
      </c>
      <c r="AQ773" s="3" t="inlineStr">
        <is>
          <t>Weight</t>
        </is>
      </c>
      <c r="AT773" s="3" t="inlineStr">
        <is>
          <t>Actvie</t>
        </is>
      </c>
    </row>
    <row r="774" ht="15.75" customHeight="1">
      <c r="A774" s="3" t="inlineStr">
        <is>
          <t>PROD_0189</t>
        </is>
      </c>
      <c r="B774" s="3" t="inlineStr">
        <is>
          <t>VAR_10</t>
        </is>
      </c>
      <c r="C774" s="3" t="inlineStr">
        <is>
          <t>Electrical Material</t>
        </is>
      </c>
      <c r="D774" s="3" t="inlineStr">
        <is>
          <t>Wires</t>
        </is>
      </c>
      <c r="E774" s="3" t="inlineStr">
        <is>
          <t>Polycab</t>
        </is>
      </c>
      <c r="F774" s="3" t="inlineStr">
        <is>
          <t>Optima Plus</t>
        </is>
      </c>
      <c r="H774" s="3" t="inlineStr">
        <is>
          <t>Thickness</t>
        </is>
      </c>
      <c r="I774" s="3" t="inlineStr">
        <is>
          <t>1 Sq mm</t>
        </is>
      </c>
      <c r="J774" s="3" t="inlineStr">
        <is>
          <t>Color</t>
        </is>
      </c>
      <c r="K774" s="3" t="inlineStr">
        <is>
          <t>Blue</t>
        </is>
      </c>
      <c r="L774" s="3" t="inlineStr">
        <is>
          <t>Length</t>
        </is>
      </c>
      <c r="M774" s="3" t="inlineStr">
        <is>
          <t>90 Mtr</t>
        </is>
      </c>
      <c r="Q774" s="3" t="inlineStr">
        <is>
          <t>Manufacturer's Warranty</t>
        </is>
      </c>
      <c r="Y774" s="3" t="inlineStr">
        <is>
          <t>WR_PC_OPT_BLU_1</t>
        </is>
      </c>
      <c r="Z774" s="3" t="n">
        <v>8544</v>
      </c>
      <c r="AE774" s="3" t="n">
        <v>2790</v>
      </c>
      <c r="AF774" s="4" t="n">
        <v>0.44</v>
      </c>
      <c r="AG774" s="3">
        <f>ROUND(AE774-(AE774*AF774),2)</f>
        <v/>
      </c>
      <c r="AH774" s="4" t="n">
        <v>0.18</v>
      </c>
      <c r="AI774" s="3">
        <f>ROUND(AG774+(AG774*AH774),2)</f>
        <v/>
      </c>
      <c r="AJ774" s="4" t="n">
        <v>0.1</v>
      </c>
      <c r="AK774" s="3">
        <f>ROUND(AI774*AJ774,2)</f>
        <v/>
      </c>
      <c r="AL774" s="3">
        <f>AI774+AK774</f>
        <v/>
      </c>
      <c r="AM774" s="3">
        <f>AE774-AL774</f>
        <v/>
      </c>
      <c r="AN774" s="4">
        <f>AM774/AE774</f>
        <v/>
      </c>
      <c r="AO774" s="3" t="inlineStr">
        <is>
          <t>60 mins</t>
        </is>
      </c>
      <c r="AQ774" s="3" t="inlineStr">
        <is>
          <t>Weight</t>
        </is>
      </c>
      <c r="AT774" s="3" t="inlineStr">
        <is>
          <t>Actvie</t>
        </is>
      </c>
    </row>
    <row r="775" ht="15.75" customHeight="1">
      <c r="A775" s="3" t="inlineStr">
        <is>
          <t>PROD_0189</t>
        </is>
      </c>
      <c r="B775" s="3" t="inlineStr">
        <is>
          <t>VAR_11</t>
        </is>
      </c>
      <c r="C775" s="3" t="inlineStr">
        <is>
          <t>Electrical Material</t>
        </is>
      </c>
      <c r="D775" s="3" t="inlineStr">
        <is>
          <t>Wires</t>
        </is>
      </c>
      <c r="E775" s="3" t="inlineStr">
        <is>
          <t>Polycab</t>
        </is>
      </c>
      <c r="F775" s="3" t="inlineStr">
        <is>
          <t>Optima Plus</t>
        </is>
      </c>
      <c r="H775" s="3" t="inlineStr">
        <is>
          <t>Thickness</t>
        </is>
      </c>
      <c r="I775" s="3" t="inlineStr">
        <is>
          <t>1.5 Sq mm</t>
        </is>
      </c>
      <c r="J775" s="3" t="inlineStr">
        <is>
          <t>Color</t>
        </is>
      </c>
      <c r="K775" s="3" t="inlineStr">
        <is>
          <t>Red</t>
        </is>
      </c>
      <c r="L775" s="3" t="inlineStr">
        <is>
          <t>Length</t>
        </is>
      </c>
      <c r="M775" s="3" t="inlineStr">
        <is>
          <t>90 Mtr</t>
        </is>
      </c>
      <c r="Q775" s="3" t="inlineStr">
        <is>
          <t>Manufacturer's Warranty</t>
        </is>
      </c>
      <c r="Y775" s="3" t="inlineStr">
        <is>
          <t>WR_PC_OPT_RD_1</t>
        </is>
      </c>
      <c r="Z775" s="3" t="n">
        <v>8544</v>
      </c>
      <c r="AE775" s="3" t="n">
        <v>4080</v>
      </c>
      <c r="AF775" s="4" t="n">
        <v>0.44</v>
      </c>
      <c r="AG775" s="3">
        <f>ROUND(AE775-(AE775*AF775),2)</f>
        <v/>
      </c>
      <c r="AH775" s="4" t="n">
        <v>0.18</v>
      </c>
      <c r="AI775" s="3">
        <f>ROUND(AG775+(AG775*AH775),2)</f>
        <v/>
      </c>
      <c r="AJ775" s="4" t="n">
        <v>0.1</v>
      </c>
      <c r="AK775" s="3">
        <f>ROUND(AI775*AJ775,2)</f>
        <v/>
      </c>
      <c r="AL775" s="3">
        <f>AI775+AK775</f>
        <v/>
      </c>
      <c r="AM775" s="3">
        <f>AE775-AL775</f>
        <v/>
      </c>
      <c r="AN775" s="4">
        <f>AM775/AE775</f>
        <v/>
      </c>
      <c r="AO775" s="3" t="inlineStr">
        <is>
          <t>60 mins</t>
        </is>
      </c>
      <c r="AQ775" s="3" t="inlineStr">
        <is>
          <t>Weight</t>
        </is>
      </c>
      <c r="AT775" s="3" t="inlineStr">
        <is>
          <t>Actvie</t>
        </is>
      </c>
    </row>
    <row r="776" ht="15.75" customHeight="1">
      <c r="A776" s="3" t="inlineStr">
        <is>
          <t>PROD_0189</t>
        </is>
      </c>
      <c r="B776" s="3" t="inlineStr">
        <is>
          <t>VAR_12</t>
        </is>
      </c>
      <c r="C776" s="3" t="inlineStr">
        <is>
          <t>Electrical Material</t>
        </is>
      </c>
      <c r="D776" s="3" t="inlineStr">
        <is>
          <t>Wires</t>
        </is>
      </c>
      <c r="E776" s="3" t="inlineStr">
        <is>
          <t>Polycab</t>
        </is>
      </c>
      <c r="F776" s="3" t="inlineStr">
        <is>
          <t>Optima Plus</t>
        </is>
      </c>
      <c r="H776" s="3" t="inlineStr">
        <is>
          <t>Thickness</t>
        </is>
      </c>
      <c r="I776" s="3" t="inlineStr">
        <is>
          <t>1.5 Sq mm</t>
        </is>
      </c>
      <c r="J776" s="3" t="inlineStr">
        <is>
          <t>Color</t>
        </is>
      </c>
      <c r="K776" s="3" t="inlineStr">
        <is>
          <t>Black</t>
        </is>
      </c>
      <c r="L776" s="3" t="inlineStr">
        <is>
          <t>Length</t>
        </is>
      </c>
      <c r="M776" s="3" t="inlineStr">
        <is>
          <t>90 Mtr</t>
        </is>
      </c>
      <c r="Q776" s="3" t="inlineStr">
        <is>
          <t>Manufacturer's Warranty</t>
        </is>
      </c>
      <c r="Y776" s="3" t="inlineStr">
        <is>
          <t>WR_PC_OPT_BLK_1</t>
        </is>
      </c>
      <c r="Z776" s="3" t="n">
        <v>8544</v>
      </c>
      <c r="AE776" s="3" t="n">
        <v>4080</v>
      </c>
      <c r="AF776" s="4" t="n">
        <v>0.44</v>
      </c>
      <c r="AG776" s="3">
        <f>ROUND(AE776-(AE776*AF776),2)</f>
        <v/>
      </c>
      <c r="AH776" s="4" t="n">
        <v>0.18</v>
      </c>
      <c r="AI776" s="3">
        <f>ROUND(AG776+(AG776*AH776),2)</f>
        <v/>
      </c>
      <c r="AJ776" s="4" t="n">
        <v>0.1</v>
      </c>
      <c r="AK776" s="3">
        <f>ROUND(AI776*AJ776,2)</f>
        <v/>
      </c>
      <c r="AL776" s="3">
        <f>AI776+AK776</f>
        <v/>
      </c>
      <c r="AM776" s="3">
        <f>AE776-AL776</f>
        <v/>
      </c>
      <c r="AN776" s="4">
        <f>AM776/AE776</f>
        <v/>
      </c>
      <c r="AO776" s="3" t="inlineStr">
        <is>
          <t>60 mins</t>
        </is>
      </c>
      <c r="AQ776" s="3" t="inlineStr">
        <is>
          <t>Weight</t>
        </is>
      </c>
      <c r="AT776" s="3" t="inlineStr">
        <is>
          <t>Actvie</t>
        </is>
      </c>
    </row>
    <row r="777" ht="15.75" customHeight="1">
      <c r="A777" s="3" t="inlineStr">
        <is>
          <t>PROD_0189</t>
        </is>
      </c>
      <c r="B777" s="3" t="inlineStr">
        <is>
          <t>VAR_13</t>
        </is>
      </c>
      <c r="C777" s="3" t="inlineStr">
        <is>
          <t>Electrical Material</t>
        </is>
      </c>
      <c r="D777" s="3" t="inlineStr">
        <is>
          <t>Wires</t>
        </is>
      </c>
      <c r="E777" s="3" t="inlineStr">
        <is>
          <t>Polycab</t>
        </is>
      </c>
      <c r="F777" s="3" t="inlineStr">
        <is>
          <t>Optima Plus</t>
        </is>
      </c>
      <c r="H777" s="3" t="inlineStr">
        <is>
          <t>Thickness</t>
        </is>
      </c>
      <c r="I777" s="3" t="inlineStr">
        <is>
          <t>1.5 Sq mm</t>
        </is>
      </c>
      <c r="J777" s="3" t="inlineStr">
        <is>
          <t>Color</t>
        </is>
      </c>
      <c r="K777" s="3" t="inlineStr">
        <is>
          <t>Green</t>
        </is>
      </c>
      <c r="L777" s="3" t="inlineStr">
        <is>
          <t>Length</t>
        </is>
      </c>
      <c r="M777" s="3" t="inlineStr">
        <is>
          <t>90 Mtr</t>
        </is>
      </c>
      <c r="Q777" s="3" t="inlineStr">
        <is>
          <t>Manufacturer's Warranty</t>
        </is>
      </c>
      <c r="Y777" s="3" t="inlineStr">
        <is>
          <t>WR_PC_OPT_GRN_1</t>
        </is>
      </c>
      <c r="Z777" s="3" t="n">
        <v>8544</v>
      </c>
      <c r="AE777" s="3" t="n">
        <v>4080</v>
      </c>
      <c r="AF777" s="4" t="n">
        <v>0.44</v>
      </c>
      <c r="AG777" s="3">
        <f>ROUND(AE777-(AE777*AF777),2)</f>
        <v/>
      </c>
      <c r="AH777" s="4" t="n">
        <v>0.18</v>
      </c>
      <c r="AI777" s="3">
        <f>ROUND(AG777+(AG777*AH777),2)</f>
        <v/>
      </c>
      <c r="AJ777" s="4" t="n">
        <v>0.1</v>
      </c>
      <c r="AK777" s="3">
        <f>ROUND(AI777*AJ777,2)</f>
        <v/>
      </c>
      <c r="AL777" s="3">
        <f>AI777+AK777</f>
        <v/>
      </c>
      <c r="AM777" s="3">
        <f>AE777-AL777</f>
        <v/>
      </c>
      <c r="AN777" s="4">
        <f>AM777/AE777</f>
        <v/>
      </c>
      <c r="AO777" s="3" t="inlineStr">
        <is>
          <t>60 mins</t>
        </is>
      </c>
      <c r="AQ777" s="3" t="inlineStr">
        <is>
          <t>Weight</t>
        </is>
      </c>
      <c r="AT777" s="3" t="inlineStr">
        <is>
          <t>Actvie</t>
        </is>
      </c>
    </row>
    <row r="778" ht="15.75" customHeight="1">
      <c r="A778" s="3" t="inlineStr">
        <is>
          <t>PROD_0189</t>
        </is>
      </c>
      <c r="B778" s="3" t="inlineStr">
        <is>
          <t>VAR_14</t>
        </is>
      </c>
      <c r="C778" s="3" t="inlineStr">
        <is>
          <t>Electrical Material</t>
        </is>
      </c>
      <c r="D778" s="3" t="inlineStr">
        <is>
          <t>Wires</t>
        </is>
      </c>
      <c r="E778" s="3" t="inlineStr">
        <is>
          <t>Polycab</t>
        </is>
      </c>
      <c r="F778" s="3" t="inlineStr">
        <is>
          <t>Optima Plus</t>
        </is>
      </c>
      <c r="H778" s="3" t="inlineStr">
        <is>
          <t>Thickness</t>
        </is>
      </c>
      <c r="I778" s="3" t="inlineStr">
        <is>
          <t>1.5 Sq mm</t>
        </is>
      </c>
      <c r="J778" s="3" t="inlineStr">
        <is>
          <t>Color</t>
        </is>
      </c>
      <c r="K778" s="3" t="inlineStr">
        <is>
          <t>Yellow</t>
        </is>
      </c>
      <c r="L778" s="3" t="inlineStr">
        <is>
          <t>Length</t>
        </is>
      </c>
      <c r="M778" s="3" t="inlineStr">
        <is>
          <t>90 Mtr</t>
        </is>
      </c>
      <c r="Q778" s="3" t="inlineStr">
        <is>
          <t>Manufacturer's Warranty</t>
        </is>
      </c>
      <c r="Y778" s="3" t="inlineStr">
        <is>
          <t>WR_PC_OPT_YLW_1</t>
        </is>
      </c>
      <c r="Z778" s="3" t="n">
        <v>8544</v>
      </c>
      <c r="AE778" s="3" t="n">
        <v>4080</v>
      </c>
      <c r="AF778" s="4" t="n">
        <v>0.44</v>
      </c>
      <c r="AG778" s="3">
        <f>ROUND(AE778-(AE778*AF778),2)</f>
        <v/>
      </c>
      <c r="AH778" s="4" t="n">
        <v>0.18</v>
      </c>
      <c r="AI778" s="3">
        <f>ROUND(AG778+(AG778*AH778),2)</f>
        <v/>
      </c>
      <c r="AJ778" s="4" t="n">
        <v>0.1</v>
      </c>
      <c r="AK778" s="3">
        <f>ROUND(AI778*AJ778,2)</f>
        <v/>
      </c>
      <c r="AL778" s="3">
        <f>AI778+AK778</f>
        <v/>
      </c>
      <c r="AM778" s="3">
        <f>AE778-AL778</f>
        <v/>
      </c>
      <c r="AN778" s="4">
        <f>AM778/AE778</f>
        <v/>
      </c>
      <c r="AO778" s="3" t="inlineStr">
        <is>
          <t>60 mins</t>
        </is>
      </c>
      <c r="AQ778" s="3" t="inlineStr">
        <is>
          <t>Weight</t>
        </is>
      </c>
      <c r="AT778" s="3" t="inlineStr">
        <is>
          <t>Actvie</t>
        </is>
      </c>
    </row>
    <row r="779" ht="15.75" customHeight="1">
      <c r="A779" s="3" t="inlineStr">
        <is>
          <t>PROD_0189</t>
        </is>
      </c>
      <c r="B779" s="3" t="inlineStr">
        <is>
          <t>VAR_15</t>
        </is>
      </c>
      <c r="C779" s="3" t="inlineStr">
        <is>
          <t>Electrical Material</t>
        </is>
      </c>
      <c r="D779" s="3" t="inlineStr">
        <is>
          <t>Wires</t>
        </is>
      </c>
      <c r="E779" s="3" t="inlineStr">
        <is>
          <t>Polycab</t>
        </is>
      </c>
      <c r="F779" s="3" t="inlineStr">
        <is>
          <t>Optima Plus</t>
        </is>
      </c>
      <c r="H779" s="3" t="inlineStr">
        <is>
          <t>Thickness</t>
        </is>
      </c>
      <c r="I779" s="3" t="inlineStr">
        <is>
          <t>1.5 Sq mm</t>
        </is>
      </c>
      <c r="J779" s="3" t="inlineStr">
        <is>
          <t>Color</t>
        </is>
      </c>
      <c r="K779" s="3" t="inlineStr">
        <is>
          <t>Blue</t>
        </is>
      </c>
      <c r="L779" s="3" t="inlineStr">
        <is>
          <t>Length</t>
        </is>
      </c>
      <c r="M779" s="3" t="inlineStr">
        <is>
          <t>90 Mtr</t>
        </is>
      </c>
      <c r="Q779" s="3" t="inlineStr">
        <is>
          <t>Manufacturer's Warranty</t>
        </is>
      </c>
      <c r="Y779" s="3" t="inlineStr">
        <is>
          <t>WR_PC_OPT_BLU_1</t>
        </is>
      </c>
      <c r="Z779" s="3" t="n">
        <v>8544</v>
      </c>
      <c r="AE779" s="3" t="n">
        <v>4080</v>
      </c>
      <c r="AF779" s="4" t="n">
        <v>0.44</v>
      </c>
      <c r="AG779" s="3">
        <f>ROUND(AE779-(AE779*AF779),2)</f>
        <v/>
      </c>
      <c r="AH779" s="4" t="n">
        <v>0.18</v>
      </c>
      <c r="AI779" s="3">
        <f>ROUND(AG779+(AG779*AH779),2)</f>
        <v/>
      </c>
      <c r="AJ779" s="4" t="n">
        <v>0.1</v>
      </c>
      <c r="AK779" s="3">
        <f>ROUND(AI779*AJ779,2)</f>
        <v/>
      </c>
      <c r="AL779" s="3">
        <f>AI779+AK779</f>
        <v/>
      </c>
      <c r="AM779" s="3">
        <f>AE779-AL779</f>
        <v/>
      </c>
      <c r="AN779" s="4">
        <f>AM779/AE779</f>
        <v/>
      </c>
      <c r="AO779" s="3" t="inlineStr">
        <is>
          <t>60 mins</t>
        </is>
      </c>
      <c r="AQ779" s="3" t="inlineStr">
        <is>
          <t>Weight</t>
        </is>
      </c>
      <c r="AT779" s="3" t="inlineStr">
        <is>
          <t>Actvie</t>
        </is>
      </c>
    </row>
    <row r="780" ht="15.75" customHeight="1">
      <c r="A780" s="3" t="inlineStr">
        <is>
          <t>PROD_0189</t>
        </is>
      </c>
      <c r="B780" s="3" t="inlineStr">
        <is>
          <t>VAR_16</t>
        </is>
      </c>
      <c r="C780" s="3" t="inlineStr">
        <is>
          <t>Electrical Material</t>
        </is>
      </c>
      <c r="D780" s="3" t="inlineStr">
        <is>
          <t>Wires</t>
        </is>
      </c>
      <c r="E780" s="3" t="inlineStr">
        <is>
          <t>Polycab</t>
        </is>
      </c>
      <c r="F780" s="3" t="inlineStr">
        <is>
          <t>Optima Plus</t>
        </is>
      </c>
      <c r="H780" s="3" t="inlineStr">
        <is>
          <t>Thickness</t>
        </is>
      </c>
      <c r="I780" s="3" t="inlineStr">
        <is>
          <t>2.5 Sq mm</t>
        </is>
      </c>
      <c r="J780" s="3" t="inlineStr">
        <is>
          <t>Color</t>
        </is>
      </c>
      <c r="K780" s="3" t="inlineStr">
        <is>
          <t>Red</t>
        </is>
      </c>
      <c r="L780" s="3" t="inlineStr">
        <is>
          <t>Length</t>
        </is>
      </c>
      <c r="M780" s="3" t="inlineStr">
        <is>
          <t>90 Mtr</t>
        </is>
      </c>
      <c r="Q780" s="3" t="inlineStr">
        <is>
          <t>Manufacturer's Warranty</t>
        </is>
      </c>
      <c r="Y780" s="3" t="inlineStr">
        <is>
          <t>WR_PC_OPT_RD_1</t>
        </is>
      </c>
      <c r="Z780" s="3" t="n">
        <v>8544</v>
      </c>
      <c r="AE780" s="3" t="n">
        <v>6455</v>
      </c>
      <c r="AF780" s="4" t="n">
        <v>0.44</v>
      </c>
      <c r="AG780" s="3">
        <f>ROUND(AE780-(AE780*AF780),2)</f>
        <v/>
      </c>
      <c r="AH780" s="4" t="n">
        <v>0.18</v>
      </c>
      <c r="AI780" s="3">
        <f>ROUND(AG780+(AG780*AH780),2)</f>
        <v/>
      </c>
      <c r="AJ780" s="4" t="n">
        <v>0.1</v>
      </c>
      <c r="AK780" s="3">
        <f>ROUND(AI780*AJ780,2)</f>
        <v/>
      </c>
      <c r="AL780" s="3">
        <f>AI780+AK780</f>
        <v/>
      </c>
      <c r="AM780" s="3">
        <f>AE780-AL780</f>
        <v/>
      </c>
      <c r="AN780" s="4">
        <f>AM780/AE780</f>
        <v/>
      </c>
      <c r="AO780" s="3" t="inlineStr">
        <is>
          <t>60 mins</t>
        </is>
      </c>
      <c r="AQ780" s="3" t="inlineStr">
        <is>
          <t>Weight</t>
        </is>
      </c>
      <c r="AT780" s="3" t="inlineStr">
        <is>
          <t>Actvie</t>
        </is>
      </c>
    </row>
    <row r="781" ht="15.75" customHeight="1">
      <c r="A781" s="3" t="inlineStr">
        <is>
          <t>PROD_0189</t>
        </is>
      </c>
      <c r="B781" s="3" t="inlineStr">
        <is>
          <t>VAR_17</t>
        </is>
      </c>
      <c r="C781" s="3" t="inlineStr">
        <is>
          <t>Electrical Material</t>
        </is>
      </c>
      <c r="D781" s="3" t="inlineStr">
        <is>
          <t>Wires</t>
        </is>
      </c>
      <c r="E781" s="3" t="inlineStr">
        <is>
          <t>Polycab</t>
        </is>
      </c>
      <c r="F781" s="3" t="inlineStr">
        <is>
          <t>Optima Plus</t>
        </is>
      </c>
      <c r="H781" s="3" t="inlineStr">
        <is>
          <t>Thickness</t>
        </is>
      </c>
      <c r="I781" s="3" t="inlineStr">
        <is>
          <t>2.5 Sq mm</t>
        </is>
      </c>
      <c r="J781" s="3" t="inlineStr">
        <is>
          <t>Color</t>
        </is>
      </c>
      <c r="K781" s="3" t="inlineStr">
        <is>
          <t>Black</t>
        </is>
      </c>
      <c r="L781" s="3" t="inlineStr">
        <is>
          <t>Length</t>
        </is>
      </c>
      <c r="M781" s="3" t="inlineStr">
        <is>
          <t>90 Mtr</t>
        </is>
      </c>
      <c r="Q781" s="3" t="inlineStr">
        <is>
          <t>Manufacturer's Warranty</t>
        </is>
      </c>
      <c r="Y781" s="3" t="inlineStr">
        <is>
          <t>WR_PC_OPT_BLK_1</t>
        </is>
      </c>
      <c r="Z781" s="3" t="n">
        <v>8544</v>
      </c>
      <c r="AE781" s="3" t="n">
        <v>6455</v>
      </c>
      <c r="AF781" s="4" t="n">
        <v>0.44</v>
      </c>
      <c r="AG781" s="3">
        <f>ROUND(AE781-(AE781*AF781),2)</f>
        <v/>
      </c>
      <c r="AH781" s="4" t="n">
        <v>0.18</v>
      </c>
      <c r="AI781" s="3">
        <f>ROUND(AG781+(AG781*AH781),2)</f>
        <v/>
      </c>
      <c r="AJ781" s="4" t="n">
        <v>0.1</v>
      </c>
      <c r="AK781" s="3">
        <f>ROUND(AI781*AJ781,2)</f>
        <v/>
      </c>
      <c r="AL781" s="3">
        <f>AI781+AK781</f>
        <v/>
      </c>
      <c r="AM781" s="3">
        <f>AE781-AL781</f>
        <v/>
      </c>
      <c r="AN781" s="4">
        <f>AM781/AE781</f>
        <v/>
      </c>
      <c r="AO781" s="3" t="inlineStr">
        <is>
          <t>60 mins</t>
        </is>
      </c>
      <c r="AQ781" s="3" t="inlineStr">
        <is>
          <t>Weight</t>
        </is>
      </c>
      <c r="AT781" s="3" t="inlineStr">
        <is>
          <t>Actvie</t>
        </is>
      </c>
    </row>
    <row r="782" ht="15.75" customHeight="1">
      <c r="A782" s="3" t="inlineStr">
        <is>
          <t>PROD_0189</t>
        </is>
      </c>
      <c r="B782" s="3" t="inlineStr">
        <is>
          <t>VAR_18</t>
        </is>
      </c>
      <c r="C782" s="3" t="inlineStr">
        <is>
          <t>Electrical Material</t>
        </is>
      </c>
      <c r="D782" s="3" t="inlineStr">
        <is>
          <t>Wires</t>
        </is>
      </c>
      <c r="E782" s="3" t="inlineStr">
        <is>
          <t>Polycab</t>
        </is>
      </c>
      <c r="F782" s="3" t="inlineStr">
        <is>
          <t>Optima Plus</t>
        </is>
      </c>
      <c r="H782" s="3" t="inlineStr">
        <is>
          <t>Thickness</t>
        </is>
      </c>
      <c r="I782" s="3" t="inlineStr">
        <is>
          <t>2.5 Sq mm</t>
        </is>
      </c>
      <c r="J782" s="3" t="inlineStr">
        <is>
          <t>Color</t>
        </is>
      </c>
      <c r="K782" s="3" t="inlineStr">
        <is>
          <t>Green</t>
        </is>
      </c>
      <c r="L782" s="3" t="inlineStr">
        <is>
          <t>Length</t>
        </is>
      </c>
      <c r="M782" s="3" t="inlineStr">
        <is>
          <t>90 Mtr</t>
        </is>
      </c>
      <c r="Q782" s="3" t="inlineStr">
        <is>
          <t>Manufacturer's Warranty</t>
        </is>
      </c>
      <c r="Y782" s="3" t="inlineStr">
        <is>
          <t>WR_PC_OPT_GRN_1</t>
        </is>
      </c>
      <c r="Z782" s="3" t="n">
        <v>8544</v>
      </c>
      <c r="AE782" s="3" t="n">
        <v>6455</v>
      </c>
      <c r="AF782" s="4" t="n">
        <v>0.44</v>
      </c>
      <c r="AG782" s="3">
        <f>ROUND(AE782-(AE782*AF782),2)</f>
        <v/>
      </c>
      <c r="AH782" s="4" t="n">
        <v>0.18</v>
      </c>
      <c r="AI782" s="3">
        <f>ROUND(AG782+(AG782*AH782),2)</f>
        <v/>
      </c>
      <c r="AJ782" s="4" t="n">
        <v>0.1</v>
      </c>
      <c r="AK782" s="3">
        <f>ROUND(AI782*AJ782,2)</f>
        <v/>
      </c>
      <c r="AL782" s="3">
        <f>AI782+AK782</f>
        <v/>
      </c>
      <c r="AM782" s="3">
        <f>AE782-AL782</f>
        <v/>
      </c>
      <c r="AN782" s="4">
        <f>AM782/AE782</f>
        <v/>
      </c>
      <c r="AO782" s="3" t="inlineStr">
        <is>
          <t>60 mins</t>
        </is>
      </c>
      <c r="AQ782" s="3" t="inlineStr">
        <is>
          <t>Weight</t>
        </is>
      </c>
      <c r="AT782" s="3" t="inlineStr">
        <is>
          <t>Actvie</t>
        </is>
      </c>
    </row>
    <row r="783" ht="15.75" customHeight="1">
      <c r="A783" s="3" t="inlineStr">
        <is>
          <t>PROD_0189</t>
        </is>
      </c>
      <c r="B783" s="3" t="inlineStr">
        <is>
          <t>VAR_19</t>
        </is>
      </c>
      <c r="C783" s="3" t="inlineStr">
        <is>
          <t>Electrical Material</t>
        </is>
      </c>
      <c r="D783" s="3" t="inlineStr">
        <is>
          <t>Wires</t>
        </is>
      </c>
      <c r="E783" s="3" t="inlineStr">
        <is>
          <t>Polycab</t>
        </is>
      </c>
      <c r="F783" s="3" t="inlineStr">
        <is>
          <t>Optima Plus</t>
        </is>
      </c>
      <c r="H783" s="3" t="inlineStr">
        <is>
          <t>Thickness</t>
        </is>
      </c>
      <c r="I783" s="3" t="inlineStr">
        <is>
          <t>2.5 Sq mm</t>
        </is>
      </c>
      <c r="J783" s="3" t="inlineStr">
        <is>
          <t>Color</t>
        </is>
      </c>
      <c r="K783" s="3" t="inlineStr">
        <is>
          <t>Yellow</t>
        </is>
      </c>
      <c r="L783" s="3" t="inlineStr">
        <is>
          <t>Length</t>
        </is>
      </c>
      <c r="M783" s="3" t="inlineStr">
        <is>
          <t>90 Mtr</t>
        </is>
      </c>
      <c r="Q783" s="3" t="inlineStr">
        <is>
          <t>Manufacturer's Warranty</t>
        </is>
      </c>
      <c r="Y783" s="3" t="inlineStr">
        <is>
          <t>WR_PC_OPT_YLW_1</t>
        </is>
      </c>
      <c r="Z783" s="3" t="n">
        <v>8544</v>
      </c>
      <c r="AE783" s="3" t="n">
        <v>6455</v>
      </c>
      <c r="AF783" s="4" t="n">
        <v>0.44</v>
      </c>
      <c r="AG783" s="3">
        <f>ROUND(AE783-(AE783*AF783),2)</f>
        <v/>
      </c>
      <c r="AH783" s="4" t="n">
        <v>0.18</v>
      </c>
      <c r="AI783" s="3">
        <f>ROUND(AG783+(AG783*AH783),2)</f>
        <v/>
      </c>
      <c r="AJ783" s="4" t="n">
        <v>0.1</v>
      </c>
      <c r="AK783" s="3">
        <f>ROUND(AI783*AJ783,2)</f>
        <v/>
      </c>
      <c r="AL783" s="3">
        <f>AI783+AK783</f>
        <v/>
      </c>
      <c r="AM783" s="3">
        <f>AE783-AL783</f>
        <v/>
      </c>
      <c r="AN783" s="4">
        <f>AM783/AE783</f>
        <v/>
      </c>
      <c r="AO783" s="3" t="inlineStr">
        <is>
          <t>60 mins</t>
        </is>
      </c>
      <c r="AQ783" s="3" t="inlineStr">
        <is>
          <t>Weight</t>
        </is>
      </c>
      <c r="AT783" s="3" t="inlineStr">
        <is>
          <t>Actvie</t>
        </is>
      </c>
    </row>
    <row r="784" ht="15.75" customHeight="1">
      <c r="A784" s="3" t="inlineStr">
        <is>
          <t>PROD_0189</t>
        </is>
      </c>
      <c r="B784" s="3" t="inlineStr">
        <is>
          <t>VAR_20</t>
        </is>
      </c>
      <c r="C784" s="3" t="inlineStr">
        <is>
          <t>Electrical Material</t>
        </is>
      </c>
      <c r="D784" s="3" t="inlineStr">
        <is>
          <t>Wires</t>
        </is>
      </c>
      <c r="E784" s="3" t="inlineStr">
        <is>
          <t>Polycab</t>
        </is>
      </c>
      <c r="F784" s="3" t="inlineStr">
        <is>
          <t>Optima Plus</t>
        </is>
      </c>
      <c r="H784" s="3" t="inlineStr">
        <is>
          <t>Thickness</t>
        </is>
      </c>
      <c r="I784" s="3" t="inlineStr">
        <is>
          <t>2.5 Sq mm</t>
        </is>
      </c>
      <c r="J784" s="3" t="inlineStr">
        <is>
          <t>Color</t>
        </is>
      </c>
      <c r="K784" s="3" t="inlineStr">
        <is>
          <t>Blue</t>
        </is>
      </c>
      <c r="L784" s="3" t="inlineStr">
        <is>
          <t>Length</t>
        </is>
      </c>
      <c r="M784" s="3" t="inlineStr">
        <is>
          <t>90 Mtr</t>
        </is>
      </c>
      <c r="Q784" s="3" t="inlineStr">
        <is>
          <t>Manufacturer's Warranty</t>
        </is>
      </c>
      <c r="Y784" s="3" t="inlineStr">
        <is>
          <t>WR_PC_OPT_BLU_1</t>
        </is>
      </c>
      <c r="Z784" s="3" t="n">
        <v>8544</v>
      </c>
      <c r="AE784" s="3" t="n">
        <v>6455</v>
      </c>
      <c r="AF784" s="4" t="n">
        <v>0.44</v>
      </c>
      <c r="AG784" s="3">
        <f>ROUND(AE784-(AE784*AF784),2)</f>
        <v/>
      </c>
      <c r="AH784" s="4" t="n">
        <v>0.18</v>
      </c>
      <c r="AI784" s="3">
        <f>ROUND(AG784+(AG784*AH784),2)</f>
        <v/>
      </c>
      <c r="AJ784" s="4" t="n">
        <v>0.1</v>
      </c>
      <c r="AK784" s="3">
        <f>ROUND(AI784*AJ784,2)</f>
        <v/>
      </c>
      <c r="AL784" s="3">
        <f>AI784+AK784</f>
        <v/>
      </c>
      <c r="AM784" s="3">
        <f>AE784-AL784</f>
        <v/>
      </c>
      <c r="AN784" s="4">
        <f>AM784/AE784</f>
        <v/>
      </c>
      <c r="AO784" s="3" t="inlineStr">
        <is>
          <t>60 mins</t>
        </is>
      </c>
      <c r="AQ784" s="3" t="inlineStr">
        <is>
          <t>Weight</t>
        </is>
      </c>
      <c r="AT784" s="3" t="inlineStr">
        <is>
          <t>Actvie</t>
        </is>
      </c>
    </row>
    <row r="785" ht="15.75" customHeight="1">
      <c r="A785" s="3" t="inlineStr">
        <is>
          <t>PROD_0189</t>
        </is>
      </c>
      <c r="B785" s="3" t="inlineStr">
        <is>
          <t>VAR_21</t>
        </is>
      </c>
      <c r="C785" s="3" t="inlineStr">
        <is>
          <t>Electrical Material</t>
        </is>
      </c>
      <c r="D785" s="3" t="inlineStr">
        <is>
          <t>Wires</t>
        </is>
      </c>
      <c r="E785" s="3" t="inlineStr">
        <is>
          <t>Polycab</t>
        </is>
      </c>
      <c r="F785" s="3" t="inlineStr">
        <is>
          <t>Optima Plus</t>
        </is>
      </c>
      <c r="H785" s="3" t="inlineStr">
        <is>
          <t>Thickness</t>
        </is>
      </c>
      <c r="I785" s="3" t="inlineStr">
        <is>
          <t>4 Sq mm</t>
        </is>
      </c>
      <c r="J785" s="3" t="inlineStr">
        <is>
          <t>Color</t>
        </is>
      </c>
      <c r="K785" s="3" t="inlineStr">
        <is>
          <t>Red</t>
        </is>
      </c>
      <c r="L785" s="3" t="inlineStr">
        <is>
          <t>Length</t>
        </is>
      </c>
      <c r="M785" s="3" t="inlineStr">
        <is>
          <t>90 Mtr</t>
        </is>
      </c>
      <c r="Q785" s="3" t="inlineStr">
        <is>
          <t>Manufacturer's Warranty</t>
        </is>
      </c>
      <c r="Y785" s="3" t="inlineStr">
        <is>
          <t>WR_PC_OPT_RD_1</t>
        </is>
      </c>
      <c r="Z785" s="3" t="n">
        <v>8544</v>
      </c>
      <c r="AE785" s="3" t="n">
        <v>9445</v>
      </c>
      <c r="AF785" s="4" t="n">
        <v>0.44</v>
      </c>
      <c r="AG785" s="3">
        <f>ROUND(AE785-(AE785*AF785),2)</f>
        <v/>
      </c>
      <c r="AH785" s="4" t="n">
        <v>0.18</v>
      </c>
      <c r="AI785" s="3">
        <f>ROUND(AG785+(AG785*AH785),2)</f>
        <v/>
      </c>
      <c r="AJ785" s="4" t="n">
        <v>0.1</v>
      </c>
      <c r="AK785" s="3">
        <f>ROUND(AI785*AJ785,2)</f>
        <v/>
      </c>
      <c r="AL785" s="3">
        <f>AI785+AK785</f>
        <v/>
      </c>
      <c r="AM785" s="3">
        <f>AE785-AL785</f>
        <v/>
      </c>
      <c r="AN785" s="4">
        <f>AM785/AE785</f>
        <v/>
      </c>
      <c r="AO785" s="3" t="inlineStr">
        <is>
          <t>60 mins</t>
        </is>
      </c>
      <c r="AQ785" s="3" t="inlineStr">
        <is>
          <t>Weight</t>
        </is>
      </c>
      <c r="AT785" s="3" t="inlineStr">
        <is>
          <t>Actvie</t>
        </is>
      </c>
    </row>
    <row r="786" ht="15.75" customHeight="1">
      <c r="A786" s="3" t="inlineStr">
        <is>
          <t>PROD_0189</t>
        </is>
      </c>
      <c r="B786" s="3" t="inlineStr">
        <is>
          <t>VAR_22</t>
        </is>
      </c>
      <c r="C786" s="3" t="inlineStr">
        <is>
          <t>Electrical Material</t>
        </is>
      </c>
      <c r="D786" s="3" t="inlineStr">
        <is>
          <t>Wires</t>
        </is>
      </c>
      <c r="E786" s="3" t="inlineStr">
        <is>
          <t>Polycab</t>
        </is>
      </c>
      <c r="F786" s="3" t="inlineStr">
        <is>
          <t>Optima Plus</t>
        </is>
      </c>
      <c r="H786" s="3" t="inlineStr">
        <is>
          <t>Thickness</t>
        </is>
      </c>
      <c r="I786" s="3" t="inlineStr">
        <is>
          <t>4 Sq mm</t>
        </is>
      </c>
      <c r="J786" s="3" t="inlineStr">
        <is>
          <t>Color</t>
        </is>
      </c>
      <c r="K786" s="3" t="inlineStr">
        <is>
          <t>Black</t>
        </is>
      </c>
      <c r="L786" s="3" t="inlineStr">
        <is>
          <t>Length</t>
        </is>
      </c>
      <c r="M786" s="3" t="inlineStr">
        <is>
          <t>90 Mtr</t>
        </is>
      </c>
      <c r="Q786" s="3" t="inlineStr">
        <is>
          <t>Manufacturer's Warranty</t>
        </is>
      </c>
      <c r="Y786" s="3" t="inlineStr">
        <is>
          <t>WR_PC_OPT_BLK_1</t>
        </is>
      </c>
      <c r="Z786" s="3" t="n">
        <v>8544</v>
      </c>
      <c r="AE786" s="3" t="n">
        <v>9445</v>
      </c>
      <c r="AF786" s="4" t="n">
        <v>0.44</v>
      </c>
      <c r="AG786" s="3">
        <f>ROUND(AE786-(AE786*AF786),2)</f>
        <v/>
      </c>
      <c r="AH786" s="4" t="n">
        <v>0.18</v>
      </c>
      <c r="AI786" s="3">
        <f>ROUND(AG786+(AG786*AH786),2)</f>
        <v/>
      </c>
      <c r="AJ786" s="4" t="n">
        <v>0.1</v>
      </c>
      <c r="AK786" s="3">
        <f>ROUND(AI786*AJ786,2)</f>
        <v/>
      </c>
      <c r="AL786" s="3">
        <f>AI786+AK786</f>
        <v/>
      </c>
      <c r="AM786" s="3">
        <f>AE786-AL786</f>
        <v/>
      </c>
      <c r="AN786" s="4">
        <f>AM786/AE786</f>
        <v/>
      </c>
      <c r="AO786" s="3" t="inlineStr">
        <is>
          <t>60 mins</t>
        </is>
      </c>
      <c r="AQ786" s="3" t="inlineStr">
        <is>
          <t>Weight</t>
        </is>
      </c>
      <c r="AT786" s="3" t="inlineStr">
        <is>
          <t>Actvie</t>
        </is>
      </c>
    </row>
    <row r="787" ht="15.75" customHeight="1">
      <c r="A787" s="3" t="inlineStr">
        <is>
          <t>PROD_0189</t>
        </is>
      </c>
      <c r="B787" s="3" t="inlineStr">
        <is>
          <t>VAR_23</t>
        </is>
      </c>
      <c r="C787" s="3" t="inlineStr">
        <is>
          <t>Electrical Material</t>
        </is>
      </c>
      <c r="D787" s="3" t="inlineStr">
        <is>
          <t>Wires</t>
        </is>
      </c>
      <c r="E787" s="3" t="inlineStr">
        <is>
          <t>Polycab</t>
        </is>
      </c>
      <c r="F787" s="3" t="inlineStr">
        <is>
          <t>Optima Plus</t>
        </is>
      </c>
      <c r="H787" s="3" t="inlineStr">
        <is>
          <t>Thickness</t>
        </is>
      </c>
      <c r="I787" s="3" t="inlineStr">
        <is>
          <t>4 Sq mm</t>
        </is>
      </c>
      <c r="J787" s="3" t="inlineStr">
        <is>
          <t>Color</t>
        </is>
      </c>
      <c r="K787" s="3" t="inlineStr">
        <is>
          <t>Green</t>
        </is>
      </c>
      <c r="L787" s="3" t="inlineStr">
        <is>
          <t>Length</t>
        </is>
      </c>
      <c r="M787" s="3" t="inlineStr">
        <is>
          <t>90 Mtr</t>
        </is>
      </c>
      <c r="Q787" s="3" t="inlineStr">
        <is>
          <t>Manufacturer's Warranty</t>
        </is>
      </c>
      <c r="Y787" s="3" t="inlineStr">
        <is>
          <t>WR_PC_OPT_GRN_1</t>
        </is>
      </c>
      <c r="Z787" s="3" t="n">
        <v>8544</v>
      </c>
      <c r="AE787" s="3" t="n">
        <v>9445</v>
      </c>
      <c r="AF787" s="4" t="n">
        <v>0.44</v>
      </c>
      <c r="AG787" s="3">
        <f>ROUND(AE787-(AE787*AF787),2)</f>
        <v/>
      </c>
      <c r="AH787" s="4" t="n">
        <v>0.18</v>
      </c>
      <c r="AI787" s="3">
        <f>ROUND(AG787+(AG787*AH787),2)</f>
        <v/>
      </c>
      <c r="AJ787" s="4" t="n">
        <v>0.1</v>
      </c>
      <c r="AK787" s="3">
        <f>ROUND(AI787*AJ787,2)</f>
        <v/>
      </c>
      <c r="AL787" s="3">
        <f>AI787+AK787</f>
        <v/>
      </c>
      <c r="AM787" s="3">
        <f>AE787-AL787</f>
        <v/>
      </c>
      <c r="AN787" s="4">
        <f>AM787/AE787</f>
        <v/>
      </c>
      <c r="AO787" s="3" t="inlineStr">
        <is>
          <t>60 mins</t>
        </is>
      </c>
      <c r="AQ787" s="3" t="inlineStr">
        <is>
          <t>Weight</t>
        </is>
      </c>
      <c r="AT787" s="3" t="inlineStr">
        <is>
          <t>Actvie</t>
        </is>
      </c>
    </row>
    <row r="788" ht="15.75" customHeight="1">
      <c r="A788" s="3" t="inlineStr">
        <is>
          <t>PROD_0189</t>
        </is>
      </c>
      <c r="B788" s="3" t="inlineStr">
        <is>
          <t>VAR_24</t>
        </is>
      </c>
      <c r="C788" s="3" t="inlineStr">
        <is>
          <t>Electrical Material</t>
        </is>
      </c>
      <c r="D788" s="3" t="inlineStr">
        <is>
          <t>Wires</t>
        </is>
      </c>
      <c r="E788" s="3" t="inlineStr">
        <is>
          <t>Polycab</t>
        </is>
      </c>
      <c r="F788" s="3" t="inlineStr">
        <is>
          <t>Optima Plus</t>
        </is>
      </c>
      <c r="H788" s="3" t="inlineStr">
        <is>
          <t>Thickness</t>
        </is>
      </c>
      <c r="I788" s="3" t="inlineStr">
        <is>
          <t>4 Sq mm</t>
        </is>
      </c>
      <c r="J788" s="3" t="inlineStr">
        <is>
          <t>Color</t>
        </is>
      </c>
      <c r="K788" s="3" t="inlineStr">
        <is>
          <t>Yellow</t>
        </is>
      </c>
      <c r="L788" s="3" t="inlineStr">
        <is>
          <t>Length</t>
        </is>
      </c>
      <c r="M788" s="3" t="inlineStr">
        <is>
          <t>90 Mtr</t>
        </is>
      </c>
      <c r="Q788" s="3" t="inlineStr">
        <is>
          <t>Manufacturer's Warranty</t>
        </is>
      </c>
      <c r="Y788" s="3" t="inlineStr">
        <is>
          <t>WR_PC_OPT_YLW_1</t>
        </is>
      </c>
      <c r="Z788" s="3" t="n">
        <v>8544</v>
      </c>
      <c r="AE788" s="3" t="n">
        <v>9445</v>
      </c>
      <c r="AF788" s="4" t="n">
        <v>0.44</v>
      </c>
      <c r="AG788" s="3">
        <f>ROUND(AE788-(AE788*AF788),2)</f>
        <v/>
      </c>
      <c r="AH788" s="4" t="n">
        <v>0.18</v>
      </c>
      <c r="AI788" s="3">
        <f>ROUND(AG788+(AG788*AH788),2)</f>
        <v/>
      </c>
      <c r="AJ788" s="4" t="n">
        <v>0.1</v>
      </c>
      <c r="AK788" s="3">
        <f>ROUND(AI788*AJ788,2)</f>
        <v/>
      </c>
      <c r="AL788" s="3">
        <f>AI788+AK788</f>
        <v/>
      </c>
      <c r="AM788" s="3">
        <f>AE788-AL788</f>
        <v/>
      </c>
      <c r="AN788" s="4">
        <f>AM788/AE788</f>
        <v/>
      </c>
      <c r="AO788" s="3" t="inlineStr">
        <is>
          <t>60 mins</t>
        </is>
      </c>
      <c r="AQ788" s="3" t="inlineStr">
        <is>
          <t>Weight</t>
        </is>
      </c>
      <c r="AT788" s="3" t="inlineStr">
        <is>
          <t>Actvie</t>
        </is>
      </c>
    </row>
    <row r="789" ht="15.75" customHeight="1">
      <c r="A789" s="3" t="inlineStr">
        <is>
          <t>PROD_0189</t>
        </is>
      </c>
      <c r="B789" s="3" t="inlineStr">
        <is>
          <t>VAR_25</t>
        </is>
      </c>
      <c r="C789" s="3" t="inlineStr">
        <is>
          <t>Electrical Material</t>
        </is>
      </c>
      <c r="D789" s="3" t="inlineStr">
        <is>
          <t>Wires</t>
        </is>
      </c>
      <c r="E789" s="3" t="inlineStr">
        <is>
          <t>Polycab</t>
        </is>
      </c>
      <c r="F789" s="3" t="inlineStr">
        <is>
          <t>Optima Plus</t>
        </is>
      </c>
      <c r="H789" s="3" t="inlineStr">
        <is>
          <t>Thickness</t>
        </is>
      </c>
      <c r="I789" s="3" t="inlineStr">
        <is>
          <t>4 Sq mm</t>
        </is>
      </c>
      <c r="J789" s="3" t="inlineStr">
        <is>
          <t>Color</t>
        </is>
      </c>
      <c r="K789" s="3" t="inlineStr">
        <is>
          <t>Blue</t>
        </is>
      </c>
      <c r="L789" s="3" t="inlineStr">
        <is>
          <t>Length</t>
        </is>
      </c>
      <c r="M789" s="3" t="inlineStr">
        <is>
          <t>90 Mtr</t>
        </is>
      </c>
      <c r="Q789" s="3" t="inlineStr">
        <is>
          <t>Manufacturer's Warranty</t>
        </is>
      </c>
      <c r="Y789" s="3" t="inlineStr">
        <is>
          <t>WR_PC_OPT_BLU_1</t>
        </is>
      </c>
      <c r="Z789" s="3" t="n">
        <v>8544</v>
      </c>
      <c r="AE789" s="3" t="n">
        <v>9445</v>
      </c>
      <c r="AF789" s="4" t="n">
        <v>0.44</v>
      </c>
      <c r="AG789" s="3">
        <f>ROUND(AE789-(AE789*AF789),2)</f>
        <v/>
      </c>
      <c r="AH789" s="4" t="n">
        <v>0.18</v>
      </c>
      <c r="AI789" s="3">
        <f>ROUND(AG789+(AG789*AH789),2)</f>
        <v/>
      </c>
      <c r="AJ789" s="4" t="n">
        <v>0.1</v>
      </c>
      <c r="AK789" s="3">
        <f>ROUND(AI789*AJ789,2)</f>
        <v/>
      </c>
      <c r="AL789" s="3">
        <f>AI789+AK789</f>
        <v/>
      </c>
      <c r="AM789" s="3">
        <f>AE789-AL789</f>
        <v/>
      </c>
      <c r="AN789" s="4">
        <f>AM789/AE789</f>
        <v/>
      </c>
      <c r="AO789" s="3" t="inlineStr">
        <is>
          <t>60 mins</t>
        </is>
      </c>
      <c r="AQ789" s="3" t="inlineStr">
        <is>
          <t>Weight</t>
        </is>
      </c>
      <c r="AT789" s="3" t="inlineStr">
        <is>
          <t>Actvie</t>
        </is>
      </c>
    </row>
    <row r="790" ht="15.75" customHeight="1">
      <c r="A790" s="3" t="inlineStr">
        <is>
          <t>PROD_0189</t>
        </is>
      </c>
      <c r="B790" s="3" t="inlineStr">
        <is>
          <t>VAR_26</t>
        </is>
      </c>
      <c r="C790" s="3" t="inlineStr">
        <is>
          <t>Electrical Material</t>
        </is>
      </c>
      <c r="D790" s="3" t="inlineStr">
        <is>
          <t>Wires</t>
        </is>
      </c>
      <c r="E790" s="3" t="inlineStr">
        <is>
          <t>Polycab</t>
        </is>
      </c>
      <c r="F790" s="3" t="inlineStr">
        <is>
          <t>Optima Plus</t>
        </is>
      </c>
      <c r="H790" s="3" t="inlineStr">
        <is>
          <t>Thickness</t>
        </is>
      </c>
      <c r="I790" s="3" t="inlineStr">
        <is>
          <t>6 Sq mm</t>
        </is>
      </c>
      <c r="J790" s="3" t="inlineStr">
        <is>
          <t>Color</t>
        </is>
      </c>
      <c r="K790" s="3" t="inlineStr">
        <is>
          <t>Red</t>
        </is>
      </c>
      <c r="L790" s="3" t="inlineStr">
        <is>
          <t>Length</t>
        </is>
      </c>
      <c r="M790" s="3" t="inlineStr">
        <is>
          <t>90 Mtr</t>
        </is>
      </c>
      <c r="Q790" s="3" t="inlineStr">
        <is>
          <t>Manufacturer's Warranty</t>
        </is>
      </c>
      <c r="Y790" s="3" t="inlineStr">
        <is>
          <t>WR_PC_OPT_RD_1</t>
        </is>
      </c>
      <c r="Z790" s="3" t="n">
        <v>8544</v>
      </c>
      <c r="AE790" s="3" t="n">
        <v>14115</v>
      </c>
      <c r="AF790" s="4" t="n">
        <v>0.44</v>
      </c>
      <c r="AG790" s="3">
        <f>ROUND(AE790-(AE790*AF790),2)</f>
        <v/>
      </c>
      <c r="AH790" s="4" t="n">
        <v>0.18</v>
      </c>
      <c r="AI790" s="3">
        <f>ROUND(AG790+(AG790*AH790),2)</f>
        <v/>
      </c>
      <c r="AJ790" s="4" t="n">
        <v>0.1</v>
      </c>
      <c r="AK790" s="3">
        <f>ROUND(AI790*AJ790,2)</f>
        <v/>
      </c>
      <c r="AL790" s="3">
        <f>AI790+AK790</f>
        <v/>
      </c>
      <c r="AM790" s="3">
        <f>AE790-AL790</f>
        <v/>
      </c>
      <c r="AN790" s="4">
        <f>AM790/AE790</f>
        <v/>
      </c>
      <c r="AO790" s="3" t="inlineStr">
        <is>
          <t>60 mins</t>
        </is>
      </c>
      <c r="AQ790" s="3" t="inlineStr">
        <is>
          <t>Weight</t>
        </is>
      </c>
      <c r="AT790" s="3" t="inlineStr">
        <is>
          <t>Actvie</t>
        </is>
      </c>
    </row>
    <row r="791" ht="15.75" customHeight="1">
      <c r="A791" s="3" t="inlineStr">
        <is>
          <t>PROD_0189</t>
        </is>
      </c>
      <c r="B791" s="3" t="inlineStr">
        <is>
          <t>VAR_27</t>
        </is>
      </c>
      <c r="C791" s="3" t="inlineStr">
        <is>
          <t>Electrical Material</t>
        </is>
      </c>
      <c r="D791" s="3" t="inlineStr">
        <is>
          <t>Wires</t>
        </is>
      </c>
      <c r="E791" s="3" t="inlineStr">
        <is>
          <t>Polycab</t>
        </is>
      </c>
      <c r="F791" s="3" t="inlineStr">
        <is>
          <t>Optima Plus</t>
        </is>
      </c>
      <c r="H791" s="3" t="inlineStr">
        <is>
          <t>Thickness</t>
        </is>
      </c>
      <c r="I791" s="3" t="inlineStr">
        <is>
          <t>6 Sq mm</t>
        </is>
      </c>
      <c r="J791" s="3" t="inlineStr">
        <is>
          <t>Color</t>
        </is>
      </c>
      <c r="K791" s="3" t="inlineStr">
        <is>
          <t>Black</t>
        </is>
      </c>
      <c r="L791" s="3" t="inlineStr">
        <is>
          <t>Length</t>
        </is>
      </c>
      <c r="M791" s="3" t="inlineStr">
        <is>
          <t>90 Mtr</t>
        </is>
      </c>
      <c r="Q791" s="3" t="inlineStr">
        <is>
          <t>Manufacturer's Warranty</t>
        </is>
      </c>
      <c r="Y791" s="3" t="inlineStr">
        <is>
          <t>WR_PC_OPT_BLK_1</t>
        </is>
      </c>
      <c r="Z791" s="3" t="n">
        <v>8544</v>
      </c>
      <c r="AE791" s="3" t="n">
        <v>14115</v>
      </c>
      <c r="AF791" s="4" t="n">
        <v>0.44</v>
      </c>
      <c r="AG791" s="3">
        <f>ROUND(AE791-(AE791*AF791),2)</f>
        <v/>
      </c>
      <c r="AH791" s="4" t="n">
        <v>0.18</v>
      </c>
      <c r="AI791" s="3">
        <f>ROUND(AG791+(AG791*AH791),2)</f>
        <v/>
      </c>
      <c r="AJ791" s="4" t="n">
        <v>0.1</v>
      </c>
      <c r="AK791" s="3">
        <f>ROUND(AI791*AJ791,2)</f>
        <v/>
      </c>
      <c r="AL791" s="3">
        <f>AI791+AK791</f>
        <v/>
      </c>
      <c r="AM791" s="3">
        <f>AE791-AL791</f>
        <v/>
      </c>
      <c r="AN791" s="4">
        <f>AM791/AE791</f>
        <v/>
      </c>
      <c r="AO791" s="3" t="inlineStr">
        <is>
          <t>60 mins</t>
        </is>
      </c>
      <c r="AQ791" s="3" t="inlineStr">
        <is>
          <t>Weight</t>
        </is>
      </c>
      <c r="AT791" s="3" t="inlineStr">
        <is>
          <t>Actvie</t>
        </is>
      </c>
    </row>
    <row r="792" ht="15.75" customHeight="1">
      <c r="A792" s="3" t="inlineStr">
        <is>
          <t>PROD_0189</t>
        </is>
      </c>
      <c r="B792" s="3" t="inlineStr">
        <is>
          <t>VAR_28</t>
        </is>
      </c>
      <c r="C792" s="3" t="inlineStr">
        <is>
          <t>Electrical Material</t>
        </is>
      </c>
      <c r="D792" s="3" t="inlineStr">
        <is>
          <t>Wires</t>
        </is>
      </c>
      <c r="E792" s="3" t="inlineStr">
        <is>
          <t>Polycab</t>
        </is>
      </c>
      <c r="F792" s="3" t="inlineStr">
        <is>
          <t>Optima Plus</t>
        </is>
      </c>
      <c r="H792" s="3" t="inlineStr">
        <is>
          <t>Thickness</t>
        </is>
      </c>
      <c r="I792" s="3" t="inlineStr">
        <is>
          <t>6 Sq mm</t>
        </is>
      </c>
      <c r="J792" s="3" t="inlineStr">
        <is>
          <t>Color</t>
        </is>
      </c>
      <c r="K792" s="3" t="inlineStr">
        <is>
          <t>Green</t>
        </is>
      </c>
      <c r="L792" s="3" t="inlineStr">
        <is>
          <t>Length</t>
        </is>
      </c>
      <c r="M792" s="3" t="inlineStr">
        <is>
          <t>90 Mtr</t>
        </is>
      </c>
      <c r="Q792" s="3" t="inlineStr">
        <is>
          <t>Manufacturer's Warranty</t>
        </is>
      </c>
      <c r="Y792" s="3" t="inlineStr">
        <is>
          <t>WR_PC_OPT_GRN_1</t>
        </is>
      </c>
      <c r="Z792" s="3" t="n">
        <v>8544</v>
      </c>
      <c r="AE792" s="3" t="n">
        <v>14115</v>
      </c>
      <c r="AF792" s="4" t="n">
        <v>0.44</v>
      </c>
      <c r="AG792" s="3">
        <f>ROUND(AE792-(AE792*AF792),2)</f>
        <v/>
      </c>
      <c r="AH792" s="4" t="n">
        <v>0.18</v>
      </c>
      <c r="AI792" s="3">
        <f>ROUND(AG792+(AG792*AH792),2)</f>
        <v/>
      </c>
      <c r="AJ792" s="4" t="n">
        <v>0.1</v>
      </c>
      <c r="AK792" s="3">
        <f>ROUND(AI792*AJ792,2)</f>
        <v/>
      </c>
      <c r="AL792" s="3">
        <f>AI792+AK792</f>
        <v/>
      </c>
      <c r="AM792" s="3">
        <f>AE792-AL792</f>
        <v/>
      </c>
      <c r="AN792" s="4">
        <f>AM792/AE792</f>
        <v/>
      </c>
      <c r="AO792" s="3" t="inlineStr">
        <is>
          <t>60 mins</t>
        </is>
      </c>
      <c r="AQ792" s="3" t="inlineStr">
        <is>
          <t>Weight</t>
        </is>
      </c>
      <c r="AT792" s="3" t="inlineStr">
        <is>
          <t>Actvie</t>
        </is>
      </c>
    </row>
    <row r="793" ht="15.75" customHeight="1">
      <c r="A793" s="3" t="inlineStr">
        <is>
          <t>PROD_0189</t>
        </is>
      </c>
      <c r="B793" s="3" t="inlineStr">
        <is>
          <t>VAR_29</t>
        </is>
      </c>
      <c r="C793" s="3" t="inlineStr">
        <is>
          <t>Electrical Material</t>
        </is>
      </c>
      <c r="D793" s="3" t="inlineStr">
        <is>
          <t>Wires</t>
        </is>
      </c>
      <c r="E793" s="3" t="inlineStr">
        <is>
          <t>Polycab</t>
        </is>
      </c>
      <c r="F793" s="3" t="inlineStr">
        <is>
          <t>Optima Plus</t>
        </is>
      </c>
      <c r="H793" s="3" t="inlineStr">
        <is>
          <t>Thickness</t>
        </is>
      </c>
      <c r="I793" s="3" t="inlineStr">
        <is>
          <t>6 Sq mm</t>
        </is>
      </c>
      <c r="J793" s="3" t="inlineStr">
        <is>
          <t>Color</t>
        </is>
      </c>
      <c r="K793" s="3" t="inlineStr">
        <is>
          <t>Yellow</t>
        </is>
      </c>
      <c r="L793" s="3" t="inlineStr">
        <is>
          <t>Length</t>
        </is>
      </c>
      <c r="M793" s="3" t="inlineStr">
        <is>
          <t>90 Mtr</t>
        </is>
      </c>
      <c r="Q793" s="3" t="inlineStr">
        <is>
          <t>Manufacturer's Warranty</t>
        </is>
      </c>
      <c r="Y793" s="3" t="inlineStr">
        <is>
          <t>WR_PC_OPT_YLW_1</t>
        </is>
      </c>
      <c r="Z793" s="3" t="n">
        <v>8544</v>
      </c>
      <c r="AE793" s="3" t="n">
        <v>14115</v>
      </c>
      <c r="AF793" s="4" t="n">
        <v>0.44</v>
      </c>
      <c r="AG793" s="3">
        <f>ROUND(AE793-(AE793*AF793),2)</f>
        <v/>
      </c>
      <c r="AH793" s="4" t="n">
        <v>0.18</v>
      </c>
      <c r="AI793" s="3">
        <f>ROUND(AG793+(AG793*AH793),2)</f>
        <v/>
      </c>
      <c r="AJ793" s="4" t="n">
        <v>0.1</v>
      </c>
      <c r="AK793" s="3">
        <f>ROUND(AI793*AJ793,2)</f>
        <v/>
      </c>
      <c r="AL793" s="3">
        <f>AI793+AK793</f>
        <v/>
      </c>
      <c r="AM793" s="3">
        <f>AE793-AL793</f>
        <v/>
      </c>
      <c r="AN793" s="4">
        <f>AM793/AE793</f>
        <v/>
      </c>
      <c r="AO793" s="3" t="inlineStr">
        <is>
          <t>60 mins</t>
        </is>
      </c>
      <c r="AQ793" s="3" t="inlineStr">
        <is>
          <t>Weight</t>
        </is>
      </c>
      <c r="AT793" s="3" t="inlineStr">
        <is>
          <t>Actvie</t>
        </is>
      </c>
    </row>
    <row r="794" ht="15.75" customHeight="1">
      <c r="A794" s="3" t="inlineStr">
        <is>
          <t>PROD_0189</t>
        </is>
      </c>
      <c r="B794" s="3" t="inlineStr">
        <is>
          <t>VAR_30</t>
        </is>
      </c>
      <c r="C794" s="3" t="inlineStr">
        <is>
          <t>Electrical Material</t>
        </is>
      </c>
      <c r="D794" s="3" t="inlineStr">
        <is>
          <t>Wires</t>
        </is>
      </c>
      <c r="E794" s="3" t="inlineStr">
        <is>
          <t>Polycab</t>
        </is>
      </c>
      <c r="F794" s="3" t="inlineStr">
        <is>
          <t>Optima Plus</t>
        </is>
      </c>
      <c r="H794" s="3" t="inlineStr">
        <is>
          <t>Thickness</t>
        </is>
      </c>
      <c r="I794" s="3" t="inlineStr">
        <is>
          <t>6 Sq mm</t>
        </is>
      </c>
      <c r="J794" s="3" t="inlineStr">
        <is>
          <t>Color</t>
        </is>
      </c>
      <c r="K794" s="3" t="inlineStr">
        <is>
          <t>Blue</t>
        </is>
      </c>
      <c r="L794" s="3" t="inlineStr">
        <is>
          <t>Length</t>
        </is>
      </c>
      <c r="M794" s="3" t="inlineStr">
        <is>
          <t>90 Mtr</t>
        </is>
      </c>
      <c r="Q794" s="3" t="inlineStr">
        <is>
          <t>Manufacturer's Warranty</t>
        </is>
      </c>
      <c r="Y794" s="3" t="inlineStr">
        <is>
          <t>WR_PC_OPT_BLU_1</t>
        </is>
      </c>
      <c r="Z794" s="3" t="n">
        <v>8544</v>
      </c>
      <c r="AE794" s="3" t="n">
        <v>14115</v>
      </c>
      <c r="AF794" s="4" t="n">
        <v>0.44</v>
      </c>
      <c r="AG794" s="3">
        <f>ROUND(AE794-(AE794*AF794),2)</f>
        <v/>
      </c>
      <c r="AH794" s="4" t="n">
        <v>0.18</v>
      </c>
      <c r="AI794" s="3">
        <f>ROUND(AG794+(AG794*AH794),2)</f>
        <v/>
      </c>
      <c r="AJ794" s="4" t="n">
        <v>0.1</v>
      </c>
      <c r="AK794" s="3">
        <f>ROUND(AI794*AJ794,2)</f>
        <v/>
      </c>
      <c r="AL794" s="3">
        <f>AI794+AK794</f>
        <v/>
      </c>
      <c r="AM794" s="3">
        <f>AE794-AL794</f>
        <v/>
      </c>
      <c r="AN794" s="4">
        <f>AM794/AE794</f>
        <v/>
      </c>
      <c r="AO794" s="3" t="inlineStr">
        <is>
          <t>60 mins</t>
        </is>
      </c>
      <c r="AQ794" s="3" t="inlineStr">
        <is>
          <t>Weight</t>
        </is>
      </c>
      <c r="AT794" s="3" t="inlineStr">
        <is>
          <t>Actvie</t>
        </is>
      </c>
    </row>
    <row r="795" ht="15.75" customHeight="1">
      <c r="A795" s="3" t="inlineStr">
        <is>
          <t>PROD_0189</t>
        </is>
      </c>
      <c r="B795" s="3" t="inlineStr">
        <is>
          <t>VAR_31</t>
        </is>
      </c>
      <c r="C795" s="3" t="inlineStr">
        <is>
          <t>Electrical Material</t>
        </is>
      </c>
      <c r="D795" s="3" t="inlineStr">
        <is>
          <t>Wires</t>
        </is>
      </c>
      <c r="E795" s="3" t="inlineStr">
        <is>
          <t>Polycab</t>
        </is>
      </c>
      <c r="F795" s="3" t="inlineStr">
        <is>
          <t>Optima Plus</t>
        </is>
      </c>
      <c r="H795" s="3" t="inlineStr">
        <is>
          <t>Thickness</t>
        </is>
      </c>
      <c r="I795" s="3" t="inlineStr">
        <is>
          <t>10 Sq mm</t>
        </is>
      </c>
      <c r="J795" s="3" t="inlineStr">
        <is>
          <t>Color</t>
        </is>
      </c>
      <c r="K795" s="3" t="inlineStr">
        <is>
          <t>Red</t>
        </is>
      </c>
      <c r="L795" s="3" t="inlineStr">
        <is>
          <t>Length</t>
        </is>
      </c>
      <c r="M795" s="3" t="inlineStr">
        <is>
          <t>90 Mtr</t>
        </is>
      </c>
      <c r="Q795" s="3" t="inlineStr">
        <is>
          <t>Manufacturer's Warranty</t>
        </is>
      </c>
      <c r="Y795" s="3" t="inlineStr">
        <is>
          <t>WR_PC_OPT_RD_1</t>
        </is>
      </c>
      <c r="Z795" s="3" t="n">
        <v>8544</v>
      </c>
      <c r="AE795" s="3" t="n">
        <v>24100</v>
      </c>
      <c r="AF795" s="4" t="n">
        <v>0.44</v>
      </c>
      <c r="AG795" s="3">
        <f>ROUND(AE795-(AE795*AF795),2)</f>
        <v/>
      </c>
      <c r="AH795" s="4" t="n">
        <v>0.18</v>
      </c>
      <c r="AI795" s="3">
        <f>ROUND(AG795+(AG795*AH795),2)</f>
        <v/>
      </c>
      <c r="AJ795" s="4" t="n">
        <v>0.1</v>
      </c>
      <c r="AK795" s="3">
        <f>ROUND(AI795*AJ795,2)</f>
        <v/>
      </c>
      <c r="AL795" s="3">
        <f>AI795+AK795</f>
        <v/>
      </c>
      <c r="AM795" s="3">
        <f>AE795-AL795</f>
        <v/>
      </c>
      <c r="AN795" s="4">
        <f>AM795/AE795</f>
        <v/>
      </c>
      <c r="AO795" s="3" t="inlineStr">
        <is>
          <t>60 mins</t>
        </is>
      </c>
      <c r="AQ795" s="3" t="inlineStr">
        <is>
          <t>Weight</t>
        </is>
      </c>
      <c r="AT795" s="3" t="inlineStr">
        <is>
          <t>Actvie</t>
        </is>
      </c>
    </row>
    <row r="796" ht="15.75" customHeight="1">
      <c r="A796" s="3" t="inlineStr">
        <is>
          <t>PROD_0189</t>
        </is>
      </c>
      <c r="B796" s="3" t="inlineStr">
        <is>
          <t>VAR_32</t>
        </is>
      </c>
      <c r="C796" s="3" t="inlineStr">
        <is>
          <t>Electrical Material</t>
        </is>
      </c>
      <c r="D796" s="3" t="inlineStr">
        <is>
          <t>Wires</t>
        </is>
      </c>
      <c r="E796" s="3" t="inlineStr">
        <is>
          <t>Polycab</t>
        </is>
      </c>
      <c r="F796" s="3" t="inlineStr">
        <is>
          <t>Optima Plus</t>
        </is>
      </c>
      <c r="H796" s="3" t="inlineStr">
        <is>
          <t>Thickness</t>
        </is>
      </c>
      <c r="I796" s="3" t="inlineStr">
        <is>
          <t>10 Sq mm</t>
        </is>
      </c>
      <c r="J796" s="3" t="inlineStr">
        <is>
          <t>Color</t>
        </is>
      </c>
      <c r="K796" s="3" t="inlineStr">
        <is>
          <t>Black</t>
        </is>
      </c>
      <c r="L796" s="3" t="inlineStr">
        <is>
          <t>Length</t>
        </is>
      </c>
      <c r="M796" s="3" t="inlineStr">
        <is>
          <t>90 Mtr</t>
        </is>
      </c>
      <c r="Q796" s="3" t="inlineStr">
        <is>
          <t>Manufacturer's Warranty</t>
        </is>
      </c>
      <c r="Y796" s="3" t="inlineStr">
        <is>
          <t>WR_PC_OPT_BLK_1</t>
        </is>
      </c>
      <c r="Z796" s="3" t="n">
        <v>8544</v>
      </c>
      <c r="AE796" s="3" t="n">
        <v>24100</v>
      </c>
      <c r="AF796" s="4" t="n">
        <v>0.44</v>
      </c>
      <c r="AG796" s="3">
        <f>ROUND(AE796-(AE796*AF796),2)</f>
        <v/>
      </c>
      <c r="AH796" s="4" t="n">
        <v>0.18</v>
      </c>
      <c r="AI796" s="3">
        <f>ROUND(AG796+(AG796*AH796),2)</f>
        <v/>
      </c>
      <c r="AJ796" s="4" t="n">
        <v>0.1</v>
      </c>
      <c r="AK796" s="3">
        <f>ROUND(AI796*AJ796,2)</f>
        <v/>
      </c>
      <c r="AL796" s="3">
        <f>AI796+AK796</f>
        <v/>
      </c>
      <c r="AM796" s="3">
        <f>AE796-AL796</f>
        <v/>
      </c>
      <c r="AN796" s="4">
        <f>AM796/AE796</f>
        <v/>
      </c>
      <c r="AO796" s="3" t="inlineStr">
        <is>
          <t>60 mins</t>
        </is>
      </c>
      <c r="AQ796" s="3" t="inlineStr">
        <is>
          <t>Weight</t>
        </is>
      </c>
      <c r="AT796" s="3" t="inlineStr">
        <is>
          <t>Actvie</t>
        </is>
      </c>
    </row>
    <row r="797" ht="15.75" customHeight="1">
      <c r="A797" s="3" t="inlineStr">
        <is>
          <t>PROD_0189</t>
        </is>
      </c>
      <c r="B797" s="3" t="inlineStr">
        <is>
          <t>VAR_33</t>
        </is>
      </c>
      <c r="C797" s="3" t="inlineStr">
        <is>
          <t>Electrical Material</t>
        </is>
      </c>
      <c r="D797" s="3" t="inlineStr">
        <is>
          <t>Wires</t>
        </is>
      </c>
      <c r="E797" s="3" t="inlineStr">
        <is>
          <t>Polycab</t>
        </is>
      </c>
      <c r="F797" s="3" t="inlineStr">
        <is>
          <t>Optima Plus</t>
        </is>
      </c>
      <c r="H797" s="3" t="inlineStr">
        <is>
          <t>Thickness</t>
        </is>
      </c>
      <c r="I797" s="3" t="inlineStr">
        <is>
          <t>10 Sq mm</t>
        </is>
      </c>
      <c r="J797" s="3" t="inlineStr">
        <is>
          <t>Color</t>
        </is>
      </c>
      <c r="K797" s="3" t="inlineStr">
        <is>
          <t>Green</t>
        </is>
      </c>
      <c r="L797" s="3" t="inlineStr">
        <is>
          <t>Length</t>
        </is>
      </c>
      <c r="M797" s="3" t="inlineStr">
        <is>
          <t>90 Mtr</t>
        </is>
      </c>
      <c r="Q797" s="3" t="inlineStr">
        <is>
          <t>Manufacturer's Warranty</t>
        </is>
      </c>
      <c r="Y797" s="3" t="inlineStr">
        <is>
          <t>WR_PC_OPT_GRN_1</t>
        </is>
      </c>
      <c r="Z797" s="3" t="n">
        <v>8544</v>
      </c>
      <c r="AE797" s="3" t="n">
        <v>24100</v>
      </c>
      <c r="AF797" s="4" t="n">
        <v>0.44</v>
      </c>
      <c r="AG797" s="3">
        <f>ROUND(AE797-(AE797*AF797),2)</f>
        <v/>
      </c>
      <c r="AH797" s="4" t="n">
        <v>0.18</v>
      </c>
      <c r="AI797" s="3">
        <f>ROUND(AG797+(AG797*AH797),2)</f>
        <v/>
      </c>
      <c r="AJ797" s="4" t="n">
        <v>0.1</v>
      </c>
      <c r="AK797" s="3">
        <f>ROUND(AI797*AJ797,2)</f>
        <v/>
      </c>
      <c r="AL797" s="3">
        <f>AI797+AK797</f>
        <v/>
      </c>
      <c r="AM797" s="3">
        <f>AE797-AL797</f>
        <v/>
      </c>
      <c r="AN797" s="4">
        <f>AM797/AE797</f>
        <v/>
      </c>
      <c r="AO797" s="3" t="inlineStr">
        <is>
          <t>60 mins</t>
        </is>
      </c>
      <c r="AQ797" s="3" t="inlineStr">
        <is>
          <t>Weight</t>
        </is>
      </c>
      <c r="AT797" s="3" t="inlineStr">
        <is>
          <t>Actvie</t>
        </is>
      </c>
    </row>
    <row r="798" ht="15.75" customHeight="1">
      <c r="A798" s="3" t="inlineStr">
        <is>
          <t>PROD_0189</t>
        </is>
      </c>
      <c r="B798" s="3" t="inlineStr">
        <is>
          <t>VAR_34</t>
        </is>
      </c>
      <c r="C798" s="3" t="inlineStr">
        <is>
          <t>Electrical Material</t>
        </is>
      </c>
      <c r="D798" s="3" t="inlineStr">
        <is>
          <t>Wires</t>
        </is>
      </c>
      <c r="E798" s="3" t="inlineStr">
        <is>
          <t>Polycab</t>
        </is>
      </c>
      <c r="F798" s="3" t="inlineStr">
        <is>
          <t>Optima Plus</t>
        </is>
      </c>
      <c r="H798" s="3" t="inlineStr">
        <is>
          <t>Thickness</t>
        </is>
      </c>
      <c r="I798" s="3" t="inlineStr">
        <is>
          <t>10 Sq mm</t>
        </is>
      </c>
      <c r="J798" s="3" t="inlineStr">
        <is>
          <t>Color</t>
        </is>
      </c>
      <c r="K798" s="3" t="inlineStr">
        <is>
          <t>Yellow</t>
        </is>
      </c>
      <c r="L798" s="3" t="inlineStr">
        <is>
          <t>Length</t>
        </is>
      </c>
      <c r="M798" s="3" t="inlineStr">
        <is>
          <t>90 Mtr</t>
        </is>
      </c>
      <c r="Q798" s="3" t="inlineStr">
        <is>
          <t>Manufacturer's Warranty</t>
        </is>
      </c>
      <c r="Y798" s="3" t="inlineStr">
        <is>
          <t>WR_PC_OPT_YLW_1</t>
        </is>
      </c>
      <c r="Z798" s="3" t="n">
        <v>8544</v>
      </c>
      <c r="AE798" s="3" t="n">
        <v>24100</v>
      </c>
      <c r="AF798" s="4" t="n">
        <v>0.44</v>
      </c>
      <c r="AG798" s="3">
        <f>ROUND(AE798-(AE798*AF798),2)</f>
        <v/>
      </c>
      <c r="AH798" s="4" t="n">
        <v>0.18</v>
      </c>
      <c r="AI798" s="3">
        <f>ROUND(AG798+(AG798*AH798),2)</f>
        <v/>
      </c>
      <c r="AJ798" s="4" t="n">
        <v>0.1</v>
      </c>
      <c r="AK798" s="3">
        <f>ROUND(AI798*AJ798,2)</f>
        <v/>
      </c>
      <c r="AL798" s="3">
        <f>AI798+AK798</f>
        <v/>
      </c>
      <c r="AM798" s="3">
        <f>AE798-AL798</f>
        <v/>
      </c>
      <c r="AN798" s="4">
        <f>AM798/AE798</f>
        <v/>
      </c>
      <c r="AO798" s="3" t="inlineStr">
        <is>
          <t>60 mins</t>
        </is>
      </c>
      <c r="AQ798" s="3" t="inlineStr">
        <is>
          <t>Weight</t>
        </is>
      </c>
      <c r="AT798" s="3" t="inlineStr">
        <is>
          <t>Actvie</t>
        </is>
      </c>
    </row>
    <row r="799" ht="15.75" customHeight="1">
      <c r="A799" s="3" t="inlineStr">
        <is>
          <t>PROD_0189</t>
        </is>
      </c>
      <c r="B799" s="3" t="inlineStr">
        <is>
          <t>VAR_35</t>
        </is>
      </c>
      <c r="C799" s="3" t="inlineStr">
        <is>
          <t>Electrical Material</t>
        </is>
      </c>
      <c r="D799" s="3" t="inlineStr">
        <is>
          <t>Wires</t>
        </is>
      </c>
      <c r="E799" s="3" t="inlineStr">
        <is>
          <t>Polycab</t>
        </is>
      </c>
      <c r="F799" s="3" t="inlineStr">
        <is>
          <t>Optima Plus</t>
        </is>
      </c>
      <c r="H799" s="3" t="inlineStr">
        <is>
          <t>Thickness</t>
        </is>
      </c>
      <c r="I799" s="3" t="inlineStr">
        <is>
          <t>10 Sq mm</t>
        </is>
      </c>
      <c r="J799" s="3" t="inlineStr">
        <is>
          <t>Color</t>
        </is>
      </c>
      <c r="K799" s="3" t="inlineStr">
        <is>
          <t>Blue</t>
        </is>
      </c>
      <c r="L799" s="3" t="inlineStr">
        <is>
          <t>Length</t>
        </is>
      </c>
      <c r="M799" s="3" t="inlineStr">
        <is>
          <t>90 Mtr</t>
        </is>
      </c>
      <c r="Q799" s="3" t="inlineStr">
        <is>
          <t>Manufacturer's Warranty</t>
        </is>
      </c>
      <c r="Y799" s="3" t="inlineStr">
        <is>
          <t>WR_PC_OPT_BLU_1</t>
        </is>
      </c>
      <c r="Z799" s="3" t="n">
        <v>8544</v>
      </c>
      <c r="AE799" s="3" t="n">
        <v>24100</v>
      </c>
      <c r="AF799" s="4" t="n">
        <v>0.44</v>
      </c>
      <c r="AG799" s="3">
        <f>ROUND(AE799-(AE799*AF799),2)</f>
        <v/>
      </c>
      <c r="AH799" s="4" t="n">
        <v>0.18</v>
      </c>
      <c r="AI799" s="3">
        <f>ROUND(AG799+(AG799*AH799),2)</f>
        <v/>
      </c>
      <c r="AJ799" s="4" t="n">
        <v>0.1</v>
      </c>
      <c r="AK799" s="3">
        <f>ROUND(AI799*AJ799,2)</f>
        <v/>
      </c>
      <c r="AL799" s="3">
        <f>AI799+AK799</f>
        <v/>
      </c>
      <c r="AM799" s="3">
        <f>AE799-AL799</f>
        <v/>
      </c>
      <c r="AN799" s="4">
        <f>AM799/AE799</f>
        <v/>
      </c>
      <c r="AO799" s="3" t="inlineStr">
        <is>
          <t>60 mins</t>
        </is>
      </c>
      <c r="AQ799" s="3" t="inlineStr">
        <is>
          <t>Weight</t>
        </is>
      </c>
      <c r="AT799" s="3" t="inlineStr">
        <is>
          <t>Actvie</t>
        </is>
      </c>
    </row>
    <row r="800" ht="15.75" customHeight="1">
      <c r="A800" s="3" t="inlineStr">
        <is>
          <t>PROD_0189</t>
        </is>
      </c>
      <c r="B800" s="3" t="inlineStr">
        <is>
          <t>VAR_36</t>
        </is>
      </c>
      <c r="C800" s="3" t="inlineStr">
        <is>
          <t>Electrical Material</t>
        </is>
      </c>
      <c r="D800" s="3" t="inlineStr">
        <is>
          <t>Wires</t>
        </is>
      </c>
      <c r="E800" s="3" t="inlineStr">
        <is>
          <t>Polycab</t>
        </is>
      </c>
      <c r="F800" s="3" t="inlineStr">
        <is>
          <t>Optima Plus</t>
        </is>
      </c>
      <c r="H800" s="3" t="inlineStr">
        <is>
          <t>Thickness</t>
        </is>
      </c>
      <c r="I800" s="3" t="inlineStr">
        <is>
          <t>16 Sq mm</t>
        </is>
      </c>
      <c r="J800" s="3" t="inlineStr">
        <is>
          <t>Color</t>
        </is>
      </c>
      <c r="K800" s="3" t="inlineStr">
        <is>
          <t>Red</t>
        </is>
      </c>
      <c r="L800" s="3" t="inlineStr">
        <is>
          <t>Length</t>
        </is>
      </c>
      <c r="M800" s="3" t="inlineStr">
        <is>
          <t>90 Mtr</t>
        </is>
      </c>
      <c r="Q800" s="3" t="inlineStr">
        <is>
          <t>Manufacturer's Warranty</t>
        </is>
      </c>
      <c r="Y800" s="3" t="inlineStr">
        <is>
          <t>WR_PC_OPT_RD_1</t>
        </is>
      </c>
      <c r="Z800" s="3" t="n">
        <v>8544</v>
      </c>
      <c r="AE800" s="3" t="n">
        <v>38050</v>
      </c>
      <c r="AF800" s="4" t="n">
        <v>0.44</v>
      </c>
      <c r="AG800" s="3">
        <f>ROUND(AE800-(AE800*AF800),2)</f>
        <v/>
      </c>
      <c r="AH800" s="4" t="n">
        <v>0.18</v>
      </c>
      <c r="AI800" s="3">
        <f>ROUND(AG800+(AG800*AH800),2)</f>
        <v/>
      </c>
      <c r="AJ800" s="4" t="n">
        <v>0.1</v>
      </c>
      <c r="AK800" s="3">
        <f>ROUND(AI800*AJ800,2)</f>
        <v/>
      </c>
      <c r="AL800" s="3">
        <f>AI800+AK800</f>
        <v/>
      </c>
      <c r="AM800" s="3">
        <f>AE800-AL800</f>
        <v/>
      </c>
      <c r="AN800" s="4">
        <f>AM800/AE800</f>
        <v/>
      </c>
      <c r="AO800" s="3" t="inlineStr">
        <is>
          <t>60 mins</t>
        </is>
      </c>
      <c r="AQ800" s="3" t="inlineStr">
        <is>
          <t>Weight</t>
        </is>
      </c>
      <c r="AT800" s="3" t="inlineStr">
        <is>
          <t>Actvie</t>
        </is>
      </c>
    </row>
    <row r="801" ht="15.75" customHeight="1">
      <c r="A801" s="3" t="inlineStr">
        <is>
          <t>PROD_0189</t>
        </is>
      </c>
      <c r="B801" s="3" t="inlineStr">
        <is>
          <t>VAR_37</t>
        </is>
      </c>
      <c r="C801" s="3" t="inlineStr">
        <is>
          <t>Electrical Material</t>
        </is>
      </c>
      <c r="D801" s="3" t="inlineStr">
        <is>
          <t>Wires</t>
        </is>
      </c>
      <c r="E801" s="3" t="inlineStr">
        <is>
          <t>Polycab</t>
        </is>
      </c>
      <c r="F801" s="3" t="inlineStr">
        <is>
          <t>Optima Plus</t>
        </is>
      </c>
      <c r="H801" s="3" t="inlineStr">
        <is>
          <t>Thickness</t>
        </is>
      </c>
      <c r="I801" s="3" t="inlineStr">
        <is>
          <t>16 Sq mm</t>
        </is>
      </c>
      <c r="J801" s="3" t="inlineStr">
        <is>
          <t>Color</t>
        </is>
      </c>
      <c r="K801" s="3" t="inlineStr">
        <is>
          <t>Black</t>
        </is>
      </c>
      <c r="L801" s="3" t="inlineStr">
        <is>
          <t>Length</t>
        </is>
      </c>
      <c r="M801" s="3" t="inlineStr">
        <is>
          <t>90 Mtr</t>
        </is>
      </c>
      <c r="Q801" s="3" t="inlineStr">
        <is>
          <t>Manufacturer's Warranty</t>
        </is>
      </c>
      <c r="Y801" s="3" t="inlineStr">
        <is>
          <t>WR_PC_OPT_BLK_1</t>
        </is>
      </c>
      <c r="Z801" s="3" t="n">
        <v>8544</v>
      </c>
      <c r="AE801" s="3" t="n">
        <v>38050</v>
      </c>
      <c r="AF801" s="4" t="n">
        <v>0.44</v>
      </c>
      <c r="AG801" s="3">
        <f>ROUND(AE801-(AE801*AF801),2)</f>
        <v/>
      </c>
      <c r="AH801" s="4" t="n">
        <v>0.18</v>
      </c>
      <c r="AI801" s="3">
        <f>ROUND(AG801+(AG801*AH801),2)</f>
        <v/>
      </c>
      <c r="AJ801" s="4" t="n">
        <v>0.1</v>
      </c>
      <c r="AK801" s="3">
        <f>ROUND(AI801*AJ801,2)</f>
        <v/>
      </c>
      <c r="AL801" s="3">
        <f>AI801+AK801</f>
        <v/>
      </c>
      <c r="AM801" s="3">
        <f>AE801-AL801</f>
        <v/>
      </c>
      <c r="AN801" s="4">
        <f>AM801/AE801</f>
        <v/>
      </c>
      <c r="AO801" s="3" t="inlineStr">
        <is>
          <t>60 mins</t>
        </is>
      </c>
      <c r="AQ801" s="3" t="inlineStr">
        <is>
          <t>Weight</t>
        </is>
      </c>
      <c r="AT801" s="3" t="inlineStr">
        <is>
          <t>Actvie</t>
        </is>
      </c>
    </row>
    <row r="802" ht="15.75" customHeight="1">
      <c r="A802" s="3" t="inlineStr">
        <is>
          <t>PROD_0189</t>
        </is>
      </c>
      <c r="B802" s="3" t="inlineStr">
        <is>
          <t>VAR_38</t>
        </is>
      </c>
      <c r="C802" s="3" t="inlineStr">
        <is>
          <t>Electrical Material</t>
        </is>
      </c>
      <c r="D802" s="3" t="inlineStr">
        <is>
          <t>Wires</t>
        </is>
      </c>
      <c r="E802" s="3" t="inlineStr">
        <is>
          <t>Polycab</t>
        </is>
      </c>
      <c r="F802" s="3" t="inlineStr">
        <is>
          <t>Optima Plus</t>
        </is>
      </c>
      <c r="H802" s="3" t="inlineStr">
        <is>
          <t>Thickness</t>
        </is>
      </c>
      <c r="I802" s="3" t="inlineStr">
        <is>
          <t>16 Sq mm</t>
        </is>
      </c>
      <c r="J802" s="3" t="inlineStr">
        <is>
          <t>Color</t>
        </is>
      </c>
      <c r="K802" s="3" t="inlineStr">
        <is>
          <t>Green</t>
        </is>
      </c>
      <c r="L802" s="3" t="inlineStr">
        <is>
          <t>Length</t>
        </is>
      </c>
      <c r="M802" s="3" t="inlineStr">
        <is>
          <t>90 Mtr</t>
        </is>
      </c>
      <c r="Q802" s="3" t="inlineStr">
        <is>
          <t>Manufacturer's Warranty</t>
        </is>
      </c>
      <c r="Y802" s="3" t="inlineStr">
        <is>
          <t>WR_PC_OPT_GRN_1</t>
        </is>
      </c>
      <c r="Z802" s="3" t="n">
        <v>8544</v>
      </c>
      <c r="AE802" s="3" t="n">
        <v>38050</v>
      </c>
      <c r="AF802" s="4" t="n">
        <v>0.44</v>
      </c>
      <c r="AG802" s="3">
        <f>ROUND(AE802-(AE802*AF802),2)</f>
        <v/>
      </c>
      <c r="AH802" s="4" t="n">
        <v>0.18</v>
      </c>
      <c r="AI802" s="3">
        <f>ROUND(AG802+(AG802*AH802),2)</f>
        <v/>
      </c>
      <c r="AJ802" s="4" t="n">
        <v>0.1</v>
      </c>
      <c r="AK802" s="3">
        <f>ROUND(AI802*AJ802,2)</f>
        <v/>
      </c>
      <c r="AL802" s="3">
        <f>AI802+AK802</f>
        <v/>
      </c>
      <c r="AM802" s="3">
        <f>AE802-AL802</f>
        <v/>
      </c>
      <c r="AN802" s="4">
        <f>AM802/AE802</f>
        <v/>
      </c>
      <c r="AO802" s="3" t="inlineStr">
        <is>
          <t>60 mins</t>
        </is>
      </c>
      <c r="AQ802" s="3" t="inlineStr">
        <is>
          <t>Weight</t>
        </is>
      </c>
      <c r="AT802" s="3" t="inlineStr">
        <is>
          <t>Actvie</t>
        </is>
      </c>
    </row>
    <row r="803" ht="15.75" customHeight="1">
      <c r="A803" s="3" t="inlineStr">
        <is>
          <t>PROD_0189</t>
        </is>
      </c>
      <c r="B803" s="3" t="inlineStr">
        <is>
          <t>VAR_39</t>
        </is>
      </c>
      <c r="C803" s="3" t="inlineStr">
        <is>
          <t>Electrical Material</t>
        </is>
      </c>
      <c r="D803" s="3" t="inlineStr">
        <is>
          <t>Wires</t>
        </is>
      </c>
      <c r="E803" s="3" t="inlineStr">
        <is>
          <t>Polycab</t>
        </is>
      </c>
      <c r="F803" s="3" t="inlineStr">
        <is>
          <t>Optima Plus</t>
        </is>
      </c>
      <c r="H803" s="3" t="inlineStr">
        <is>
          <t>Thickness</t>
        </is>
      </c>
      <c r="I803" s="3" t="inlineStr">
        <is>
          <t>16 Sq mm</t>
        </is>
      </c>
      <c r="J803" s="3" t="inlineStr">
        <is>
          <t>Color</t>
        </is>
      </c>
      <c r="K803" s="3" t="inlineStr">
        <is>
          <t>Yellow</t>
        </is>
      </c>
      <c r="L803" s="3" t="inlineStr">
        <is>
          <t>Length</t>
        </is>
      </c>
      <c r="M803" s="3" t="inlineStr">
        <is>
          <t>90 Mtr</t>
        </is>
      </c>
      <c r="Q803" s="3" t="inlineStr">
        <is>
          <t>Manufacturer's Warranty</t>
        </is>
      </c>
      <c r="Y803" s="3" t="inlineStr">
        <is>
          <t>WR_PC_OPT_YLW_1</t>
        </is>
      </c>
      <c r="Z803" s="3" t="n">
        <v>8544</v>
      </c>
      <c r="AE803" s="3" t="n">
        <v>38050</v>
      </c>
      <c r="AF803" s="4" t="n">
        <v>0.44</v>
      </c>
      <c r="AG803" s="3">
        <f>ROUND(AE803-(AE803*AF803),2)</f>
        <v/>
      </c>
      <c r="AH803" s="4" t="n">
        <v>0.18</v>
      </c>
      <c r="AI803" s="3">
        <f>ROUND(AG803+(AG803*AH803),2)</f>
        <v/>
      </c>
      <c r="AJ803" s="4" t="n">
        <v>0.1</v>
      </c>
      <c r="AK803" s="3">
        <f>ROUND(AI803*AJ803,2)</f>
        <v/>
      </c>
      <c r="AL803" s="3">
        <f>AI803+AK803</f>
        <v/>
      </c>
      <c r="AM803" s="3">
        <f>AE803-AL803</f>
        <v/>
      </c>
      <c r="AN803" s="4">
        <f>AM803/AE803</f>
        <v/>
      </c>
      <c r="AO803" s="3" t="inlineStr">
        <is>
          <t>60 mins</t>
        </is>
      </c>
      <c r="AQ803" s="3" t="inlineStr">
        <is>
          <t>Weight</t>
        </is>
      </c>
      <c r="AT803" s="3" t="inlineStr">
        <is>
          <t>Actvie</t>
        </is>
      </c>
    </row>
    <row r="804" ht="15.75" customHeight="1">
      <c r="A804" s="3" t="inlineStr">
        <is>
          <t>PROD_0189</t>
        </is>
      </c>
      <c r="B804" s="3" t="inlineStr">
        <is>
          <t>VAR_40</t>
        </is>
      </c>
      <c r="C804" s="3" t="inlineStr">
        <is>
          <t>Electrical Material</t>
        </is>
      </c>
      <c r="D804" s="3" t="inlineStr">
        <is>
          <t>Wires</t>
        </is>
      </c>
      <c r="E804" s="3" t="inlineStr">
        <is>
          <t>Polycab</t>
        </is>
      </c>
      <c r="F804" s="3" t="inlineStr">
        <is>
          <t>Optima Plus</t>
        </is>
      </c>
      <c r="H804" s="3" t="inlineStr">
        <is>
          <t>Thickness</t>
        </is>
      </c>
      <c r="I804" s="3" t="inlineStr">
        <is>
          <t>16 Sq mm</t>
        </is>
      </c>
      <c r="J804" s="3" t="inlineStr">
        <is>
          <t>Color</t>
        </is>
      </c>
      <c r="K804" s="3" t="inlineStr">
        <is>
          <t>Blue</t>
        </is>
      </c>
      <c r="L804" s="3" t="inlineStr">
        <is>
          <t>Length</t>
        </is>
      </c>
      <c r="M804" s="3" t="inlineStr">
        <is>
          <t>90 Mtr</t>
        </is>
      </c>
      <c r="Q804" s="3" t="inlineStr">
        <is>
          <t>Manufacturer's Warranty</t>
        </is>
      </c>
      <c r="Y804" s="3" t="inlineStr">
        <is>
          <t>WR_PC_OPT_BLU_1</t>
        </is>
      </c>
      <c r="Z804" s="3" t="n">
        <v>8544</v>
      </c>
      <c r="AE804" s="3" t="n">
        <v>38050</v>
      </c>
      <c r="AF804" s="4" t="n">
        <v>0.44</v>
      </c>
      <c r="AG804" s="3">
        <f>ROUND(AE804-(AE804*AF804),2)</f>
        <v/>
      </c>
      <c r="AH804" s="4" t="n">
        <v>0.18</v>
      </c>
      <c r="AI804" s="3">
        <f>ROUND(AG804+(AG804*AH804),2)</f>
        <v/>
      </c>
      <c r="AJ804" s="4" t="n">
        <v>0.1</v>
      </c>
      <c r="AK804" s="3">
        <f>ROUND(AI804*AJ804,2)</f>
        <v/>
      </c>
      <c r="AL804" s="3">
        <f>AI804+AK804</f>
        <v/>
      </c>
      <c r="AM804" s="3">
        <f>AE804-AL804</f>
        <v/>
      </c>
      <c r="AN804" s="4">
        <f>AM804/AE804</f>
        <v/>
      </c>
      <c r="AO804" s="3" t="inlineStr">
        <is>
          <t>60 mins</t>
        </is>
      </c>
      <c r="AQ804" s="3" t="inlineStr">
        <is>
          <t>Weight</t>
        </is>
      </c>
      <c r="AT804" s="3" t="inlineStr">
        <is>
          <t>Actvie</t>
        </is>
      </c>
    </row>
    <row r="805" ht="15.75" customHeight="1">
      <c r="A805" s="3" t="inlineStr">
        <is>
          <t>PROD_0190</t>
        </is>
      </c>
      <c r="B805" s="3" t="inlineStr">
        <is>
          <t>VAR_1</t>
        </is>
      </c>
      <c r="C805" s="3" t="inlineStr">
        <is>
          <t>Electrical Material</t>
        </is>
      </c>
      <c r="D805" s="3" t="inlineStr">
        <is>
          <t>Wires</t>
        </is>
      </c>
      <c r="E805" s="3" t="inlineStr">
        <is>
          <t>Polycab</t>
        </is>
      </c>
      <c r="F805" s="3" t="inlineStr">
        <is>
          <t>Primma</t>
        </is>
      </c>
      <c r="H805" s="3" t="inlineStr">
        <is>
          <t>Thickness</t>
        </is>
      </c>
      <c r="I805" s="3" t="inlineStr">
        <is>
          <t>0.75 sq mm</t>
        </is>
      </c>
      <c r="J805" s="3" t="inlineStr">
        <is>
          <t>Color</t>
        </is>
      </c>
      <c r="K805" s="3" t="inlineStr">
        <is>
          <t>Red</t>
        </is>
      </c>
      <c r="L805" s="3" t="inlineStr">
        <is>
          <t>Length</t>
        </is>
      </c>
      <c r="M805" s="3" t="inlineStr">
        <is>
          <t>90 Mtr</t>
        </is>
      </c>
      <c r="Q805" s="3" t="inlineStr">
        <is>
          <t>Manufacturer's Warranty</t>
        </is>
      </c>
      <c r="Y805" s="3" t="inlineStr">
        <is>
          <t>WR_PC_PRM</t>
        </is>
      </c>
      <c r="Z805" s="3" t="n">
        <v>8544</v>
      </c>
      <c r="AE805" s="3" t="n">
        <v>2060</v>
      </c>
      <c r="AF805" s="4" t="n">
        <v>0.44</v>
      </c>
      <c r="AG805" s="3">
        <f>ROUND(AE805-(AE805*AF805),2)</f>
        <v/>
      </c>
      <c r="AH805" s="4" t="n">
        <v>0.18</v>
      </c>
      <c r="AI805" s="3">
        <f>ROUND(AG805+(AG805*AH805),2)</f>
        <v/>
      </c>
      <c r="AJ805" s="4" t="n">
        <v>0.1</v>
      </c>
      <c r="AK805" s="3">
        <f>ROUND(AI805*AJ805,2)</f>
        <v/>
      </c>
      <c r="AL805" s="3">
        <f>AI805+AK805</f>
        <v/>
      </c>
      <c r="AM805" s="3">
        <f>AE805-AL805</f>
        <v/>
      </c>
      <c r="AN805" s="4">
        <f>AM805/AE805</f>
        <v/>
      </c>
      <c r="AO805" s="3" t="inlineStr">
        <is>
          <t>60 mins</t>
        </is>
      </c>
      <c r="AQ805" s="3" t="inlineStr">
        <is>
          <t>Weight</t>
        </is>
      </c>
      <c r="AT805" s="3" t="inlineStr">
        <is>
          <t>Actvie</t>
        </is>
      </c>
    </row>
    <row r="806" ht="15.75" customHeight="1">
      <c r="A806" s="3" t="inlineStr">
        <is>
          <t>PROD_0190</t>
        </is>
      </c>
      <c r="B806" s="3" t="inlineStr">
        <is>
          <t>VAR_2</t>
        </is>
      </c>
      <c r="C806" s="3" t="inlineStr">
        <is>
          <t>Electrical Material</t>
        </is>
      </c>
      <c r="D806" s="3" t="inlineStr">
        <is>
          <t>Wires</t>
        </is>
      </c>
      <c r="E806" s="3" t="inlineStr">
        <is>
          <t>Polycab</t>
        </is>
      </c>
      <c r="F806" s="3" t="inlineStr">
        <is>
          <t>Primma</t>
        </is>
      </c>
      <c r="H806" s="3" t="inlineStr">
        <is>
          <t>Thickness</t>
        </is>
      </c>
      <c r="I806" s="3" t="inlineStr">
        <is>
          <t>0.75 sq mm</t>
        </is>
      </c>
      <c r="J806" s="3" t="inlineStr">
        <is>
          <t>Color</t>
        </is>
      </c>
      <c r="K806" s="3" t="inlineStr">
        <is>
          <t>Black</t>
        </is>
      </c>
      <c r="L806" s="3" t="inlineStr">
        <is>
          <t>Length</t>
        </is>
      </c>
      <c r="M806" s="3" t="inlineStr">
        <is>
          <t>90 Mtr</t>
        </is>
      </c>
      <c r="Q806" s="3" t="inlineStr">
        <is>
          <t>Manufacturer's Warranty</t>
        </is>
      </c>
      <c r="Y806" s="3" t="inlineStr">
        <is>
          <t>WR_PC_PRM</t>
        </is>
      </c>
      <c r="Z806" s="3" t="n">
        <v>8544</v>
      </c>
      <c r="AE806" s="3" t="n">
        <v>2060</v>
      </c>
      <c r="AF806" s="4" t="n">
        <v>0.44</v>
      </c>
      <c r="AG806" s="3">
        <f>ROUND(AE806-(AE806*AF806),2)</f>
        <v/>
      </c>
      <c r="AH806" s="4" t="n">
        <v>0.18</v>
      </c>
      <c r="AI806" s="3">
        <f>ROUND(AG806+(AG806*AH806),2)</f>
        <v/>
      </c>
      <c r="AJ806" s="4" t="n">
        <v>0.1</v>
      </c>
      <c r="AK806" s="3">
        <f>ROUND(AI806*AJ806,2)</f>
        <v/>
      </c>
      <c r="AL806" s="3">
        <f>AI806+AK806</f>
        <v/>
      </c>
      <c r="AM806" s="3">
        <f>AE806-AL806</f>
        <v/>
      </c>
      <c r="AN806" s="4">
        <f>AM806/AE806</f>
        <v/>
      </c>
      <c r="AO806" s="3" t="inlineStr">
        <is>
          <t>60 mins</t>
        </is>
      </c>
      <c r="AQ806" s="3" t="inlineStr">
        <is>
          <t>Weight</t>
        </is>
      </c>
      <c r="AT806" s="3" t="inlineStr">
        <is>
          <t>Actvie</t>
        </is>
      </c>
    </row>
    <row r="807" ht="15.75" customHeight="1">
      <c r="A807" s="3" t="inlineStr">
        <is>
          <t>PROD_0190</t>
        </is>
      </c>
      <c r="B807" s="3" t="inlineStr">
        <is>
          <t>VAR_3</t>
        </is>
      </c>
      <c r="C807" s="3" t="inlineStr">
        <is>
          <t>Electrical Material</t>
        </is>
      </c>
      <c r="D807" s="3" t="inlineStr">
        <is>
          <t>Wires</t>
        </is>
      </c>
      <c r="E807" s="3" t="inlineStr">
        <is>
          <t>Polycab</t>
        </is>
      </c>
      <c r="F807" s="3" t="inlineStr">
        <is>
          <t>Primma</t>
        </is>
      </c>
      <c r="H807" s="3" t="inlineStr">
        <is>
          <t>Thickness</t>
        </is>
      </c>
      <c r="I807" s="3" t="inlineStr">
        <is>
          <t>0.75 sq mm</t>
        </is>
      </c>
      <c r="J807" s="3" t="inlineStr">
        <is>
          <t>Color</t>
        </is>
      </c>
      <c r="K807" s="3" t="inlineStr">
        <is>
          <t>Green</t>
        </is>
      </c>
      <c r="L807" s="3" t="inlineStr">
        <is>
          <t>Length</t>
        </is>
      </c>
      <c r="M807" s="3" t="inlineStr">
        <is>
          <t>90 Mtr</t>
        </is>
      </c>
      <c r="Q807" s="3" t="inlineStr">
        <is>
          <t>Manufacturer's Warranty</t>
        </is>
      </c>
      <c r="Y807" s="3" t="inlineStr">
        <is>
          <t>WR_PC_PRM</t>
        </is>
      </c>
      <c r="Z807" s="3" t="n">
        <v>8544</v>
      </c>
      <c r="AE807" s="3" t="n">
        <v>2060</v>
      </c>
      <c r="AF807" s="4" t="n">
        <v>0.44</v>
      </c>
      <c r="AG807" s="3">
        <f>ROUND(AE807-(AE807*AF807),2)</f>
        <v/>
      </c>
      <c r="AH807" s="4" t="n">
        <v>0.18</v>
      </c>
      <c r="AI807" s="3">
        <f>ROUND(AG807+(AG807*AH807),2)</f>
        <v/>
      </c>
      <c r="AJ807" s="4" t="n">
        <v>0.1</v>
      </c>
      <c r="AK807" s="3">
        <f>ROUND(AI807*AJ807,2)</f>
        <v/>
      </c>
      <c r="AL807" s="3">
        <f>AI807+AK807</f>
        <v/>
      </c>
      <c r="AM807" s="3">
        <f>AE807-AL807</f>
        <v/>
      </c>
      <c r="AN807" s="4">
        <f>AM807/AE807</f>
        <v/>
      </c>
      <c r="AO807" s="3" t="inlineStr">
        <is>
          <t>60 mins</t>
        </is>
      </c>
      <c r="AQ807" s="3" t="inlineStr">
        <is>
          <t>Weight</t>
        </is>
      </c>
      <c r="AT807" s="3" t="inlineStr">
        <is>
          <t>Actvie</t>
        </is>
      </c>
    </row>
    <row r="808" ht="15.75" customHeight="1">
      <c r="A808" s="3" t="inlineStr">
        <is>
          <t>PROD_0190</t>
        </is>
      </c>
      <c r="B808" s="3" t="inlineStr">
        <is>
          <t>VAR_4</t>
        </is>
      </c>
      <c r="C808" s="3" t="inlineStr">
        <is>
          <t>Electrical Material</t>
        </is>
      </c>
      <c r="D808" s="3" t="inlineStr">
        <is>
          <t>Wires</t>
        </is>
      </c>
      <c r="E808" s="3" t="inlineStr">
        <is>
          <t>Polycab</t>
        </is>
      </c>
      <c r="F808" s="3" t="inlineStr">
        <is>
          <t>Primma</t>
        </is>
      </c>
      <c r="H808" s="3" t="inlineStr">
        <is>
          <t>Thickness</t>
        </is>
      </c>
      <c r="I808" s="3" t="inlineStr">
        <is>
          <t>0.75 sq mm</t>
        </is>
      </c>
      <c r="J808" s="3" t="inlineStr">
        <is>
          <t>Color</t>
        </is>
      </c>
      <c r="K808" s="3" t="inlineStr">
        <is>
          <t>Yellow</t>
        </is>
      </c>
      <c r="L808" s="3" t="inlineStr">
        <is>
          <t>Length</t>
        </is>
      </c>
      <c r="M808" s="3" t="inlineStr">
        <is>
          <t>90 Mtr</t>
        </is>
      </c>
      <c r="Q808" s="3" t="inlineStr">
        <is>
          <t>Manufacturer's Warranty</t>
        </is>
      </c>
      <c r="Y808" s="3" t="inlineStr">
        <is>
          <t>WR_PC_PRM</t>
        </is>
      </c>
      <c r="Z808" s="3" t="n">
        <v>8544</v>
      </c>
      <c r="AE808" s="3" t="n">
        <v>2060</v>
      </c>
      <c r="AF808" s="4" t="n">
        <v>0.44</v>
      </c>
      <c r="AG808" s="3">
        <f>ROUND(AE808-(AE808*AF808),2)</f>
        <v/>
      </c>
      <c r="AH808" s="4" t="n">
        <v>0.18</v>
      </c>
      <c r="AI808" s="3">
        <f>ROUND(AG808+(AG808*AH808),2)</f>
        <v/>
      </c>
      <c r="AJ808" s="4" t="n">
        <v>0.1</v>
      </c>
      <c r="AK808" s="3">
        <f>ROUND(AI808*AJ808,2)</f>
        <v/>
      </c>
      <c r="AL808" s="3">
        <f>AI808+AK808</f>
        <v/>
      </c>
      <c r="AM808" s="3">
        <f>AE808-AL808</f>
        <v/>
      </c>
      <c r="AN808" s="4">
        <f>AM808/AE808</f>
        <v/>
      </c>
      <c r="AO808" s="3" t="inlineStr">
        <is>
          <t>60 mins</t>
        </is>
      </c>
      <c r="AQ808" s="3" t="inlineStr">
        <is>
          <t>Weight</t>
        </is>
      </c>
      <c r="AT808" s="3" t="inlineStr">
        <is>
          <t>Actvie</t>
        </is>
      </c>
    </row>
    <row r="809" ht="15.75" customHeight="1">
      <c r="A809" s="3" t="inlineStr">
        <is>
          <t>PROD_0190</t>
        </is>
      </c>
      <c r="B809" s="3" t="inlineStr">
        <is>
          <t>VAR_5</t>
        </is>
      </c>
      <c r="C809" s="3" t="inlineStr">
        <is>
          <t>Electrical Material</t>
        </is>
      </c>
      <c r="D809" s="3" t="inlineStr">
        <is>
          <t>Wires</t>
        </is>
      </c>
      <c r="E809" s="3" t="inlineStr">
        <is>
          <t>Polycab</t>
        </is>
      </c>
      <c r="F809" s="3" t="inlineStr">
        <is>
          <t>Primma</t>
        </is>
      </c>
      <c r="H809" s="3" t="inlineStr">
        <is>
          <t>Thickness</t>
        </is>
      </c>
      <c r="I809" s="3" t="inlineStr">
        <is>
          <t>0.75 sq mm</t>
        </is>
      </c>
      <c r="J809" s="3" t="inlineStr">
        <is>
          <t>Color</t>
        </is>
      </c>
      <c r="K809" s="3" t="inlineStr">
        <is>
          <t>Blue</t>
        </is>
      </c>
      <c r="L809" s="3" t="inlineStr">
        <is>
          <t>Length</t>
        </is>
      </c>
      <c r="M809" s="3" t="inlineStr">
        <is>
          <t>90 Mtr</t>
        </is>
      </c>
      <c r="Q809" s="3" t="inlineStr">
        <is>
          <t>Manufacturer's Warranty</t>
        </is>
      </c>
      <c r="Y809" s="3" t="inlineStr">
        <is>
          <t>WR_PC_PRM</t>
        </is>
      </c>
      <c r="Z809" s="3" t="n">
        <v>8544</v>
      </c>
      <c r="AE809" s="3" t="n">
        <v>2060</v>
      </c>
      <c r="AF809" s="4" t="n">
        <v>0.44</v>
      </c>
      <c r="AG809" s="3">
        <f>ROUND(AE809-(AE809*AF809),2)</f>
        <v/>
      </c>
      <c r="AH809" s="4" t="n">
        <v>0.18</v>
      </c>
      <c r="AI809" s="3">
        <f>ROUND(AG809+(AG809*AH809),2)</f>
        <v/>
      </c>
      <c r="AJ809" s="4" t="n">
        <v>0.1</v>
      </c>
      <c r="AK809" s="3">
        <f>ROUND(AI809*AJ809,2)</f>
        <v/>
      </c>
      <c r="AL809" s="3">
        <f>AI809+AK809</f>
        <v/>
      </c>
      <c r="AM809" s="3">
        <f>AE809-AL809</f>
        <v/>
      </c>
      <c r="AN809" s="4">
        <f>AM809/AE809</f>
        <v/>
      </c>
      <c r="AO809" s="3" t="inlineStr">
        <is>
          <t>60 mins</t>
        </is>
      </c>
      <c r="AQ809" s="3" t="inlineStr">
        <is>
          <t>Weight</t>
        </is>
      </c>
      <c r="AT809" s="3" t="inlineStr">
        <is>
          <t>Actvie</t>
        </is>
      </c>
    </row>
    <row r="810" ht="15.75" customHeight="1">
      <c r="A810" s="3" t="inlineStr">
        <is>
          <t>PROD_0190</t>
        </is>
      </c>
      <c r="B810" s="3" t="inlineStr">
        <is>
          <t>VAR_6</t>
        </is>
      </c>
      <c r="C810" s="3" t="inlineStr">
        <is>
          <t>Electrical Material</t>
        </is>
      </c>
      <c r="D810" s="3" t="inlineStr">
        <is>
          <t>Wires</t>
        </is>
      </c>
      <c r="E810" s="3" t="inlineStr">
        <is>
          <t>Polycab</t>
        </is>
      </c>
      <c r="F810" s="3" t="inlineStr">
        <is>
          <t>Primma</t>
        </is>
      </c>
      <c r="H810" s="3" t="inlineStr">
        <is>
          <t>Thickness</t>
        </is>
      </c>
      <c r="I810" s="3" t="inlineStr">
        <is>
          <t>1 Sq mm</t>
        </is>
      </c>
      <c r="J810" s="3" t="inlineStr">
        <is>
          <t>Color</t>
        </is>
      </c>
      <c r="K810" s="3" t="inlineStr">
        <is>
          <t>Red</t>
        </is>
      </c>
      <c r="L810" s="3" t="inlineStr">
        <is>
          <t>Length</t>
        </is>
      </c>
      <c r="M810" s="3" t="inlineStr">
        <is>
          <t>90 Mtr</t>
        </is>
      </c>
      <c r="Q810" s="3" t="inlineStr">
        <is>
          <t>Manufacturer's Warranty</t>
        </is>
      </c>
      <c r="Y810" s="3" t="inlineStr">
        <is>
          <t>WR_PC_PRM</t>
        </is>
      </c>
      <c r="Z810" s="3" t="n">
        <v>8544</v>
      </c>
      <c r="AE810" s="3" t="n">
        <v>2640</v>
      </c>
      <c r="AF810" s="4" t="n">
        <v>0.44</v>
      </c>
      <c r="AG810" s="3">
        <f>ROUND(AE810-(AE810*AF810),2)</f>
        <v/>
      </c>
      <c r="AH810" s="4" t="n">
        <v>0.18</v>
      </c>
      <c r="AI810" s="3">
        <f>ROUND(AG810+(AG810*AH810),2)</f>
        <v/>
      </c>
      <c r="AJ810" s="4" t="n">
        <v>0.1</v>
      </c>
      <c r="AK810" s="3">
        <f>ROUND(AI810*AJ810,2)</f>
        <v/>
      </c>
      <c r="AL810" s="3">
        <f>AI810+AK810</f>
        <v/>
      </c>
      <c r="AM810" s="3">
        <f>AE810-AL810</f>
        <v/>
      </c>
      <c r="AN810" s="4">
        <f>AM810/AE810</f>
        <v/>
      </c>
      <c r="AO810" s="3" t="inlineStr">
        <is>
          <t>60 mins</t>
        </is>
      </c>
      <c r="AQ810" s="3" t="inlineStr">
        <is>
          <t>Weight</t>
        </is>
      </c>
      <c r="AT810" s="3" t="inlineStr">
        <is>
          <t>Actvie</t>
        </is>
      </c>
    </row>
    <row r="811" ht="15.75" customHeight="1">
      <c r="A811" s="3" t="inlineStr">
        <is>
          <t>PROD_0190</t>
        </is>
      </c>
      <c r="B811" s="3" t="inlineStr">
        <is>
          <t>VAR_7</t>
        </is>
      </c>
      <c r="C811" s="3" t="inlineStr">
        <is>
          <t>Electrical Material</t>
        </is>
      </c>
      <c r="D811" s="3" t="inlineStr">
        <is>
          <t>Wires</t>
        </is>
      </c>
      <c r="E811" s="3" t="inlineStr">
        <is>
          <t>Polycab</t>
        </is>
      </c>
      <c r="F811" s="3" t="inlineStr">
        <is>
          <t>Primma</t>
        </is>
      </c>
      <c r="H811" s="3" t="inlineStr">
        <is>
          <t>Thickness</t>
        </is>
      </c>
      <c r="I811" s="3" t="inlineStr">
        <is>
          <t>1 Sq mm</t>
        </is>
      </c>
      <c r="J811" s="3" t="inlineStr">
        <is>
          <t>Color</t>
        </is>
      </c>
      <c r="K811" s="3" t="inlineStr">
        <is>
          <t>Black</t>
        </is>
      </c>
      <c r="L811" s="3" t="inlineStr">
        <is>
          <t>Length</t>
        </is>
      </c>
      <c r="M811" s="3" t="inlineStr">
        <is>
          <t>90 Mtr</t>
        </is>
      </c>
      <c r="Q811" s="3" t="inlineStr">
        <is>
          <t>Manufacturer's Warranty</t>
        </is>
      </c>
      <c r="Y811" s="3" t="inlineStr">
        <is>
          <t>WR_PC_PRM</t>
        </is>
      </c>
      <c r="Z811" s="3" t="n">
        <v>8544</v>
      </c>
      <c r="AE811" s="3" t="n">
        <v>2640</v>
      </c>
      <c r="AF811" s="4" t="n">
        <v>0.44</v>
      </c>
      <c r="AG811" s="3">
        <f>ROUND(AE811-(AE811*AF811),2)</f>
        <v/>
      </c>
      <c r="AH811" s="4" t="n">
        <v>0.18</v>
      </c>
      <c r="AI811" s="3">
        <f>ROUND(AG811+(AG811*AH811),2)</f>
        <v/>
      </c>
      <c r="AJ811" s="4" t="n">
        <v>0.1</v>
      </c>
      <c r="AK811" s="3">
        <f>ROUND(AI811*AJ811,2)</f>
        <v/>
      </c>
      <c r="AL811" s="3">
        <f>AI811+AK811</f>
        <v/>
      </c>
      <c r="AM811" s="3">
        <f>AE811-AL811</f>
        <v/>
      </c>
      <c r="AN811" s="4">
        <f>AM811/AE811</f>
        <v/>
      </c>
      <c r="AO811" s="3" t="inlineStr">
        <is>
          <t>60 mins</t>
        </is>
      </c>
      <c r="AQ811" s="3" t="inlineStr">
        <is>
          <t>Weight</t>
        </is>
      </c>
      <c r="AT811" s="3" t="inlineStr">
        <is>
          <t>Actvie</t>
        </is>
      </c>
    </row>
    <row r="812" ht="15.75" customHeight="1">
      <c r="A812" s="3" t="inlineStr">
        <is>
          <t>PROD_0190</t>
        </is>
      </c>
      <c r="B812" s="3" t="inlineStr">
        <is>
          <t>VAR_8</t>
        </is>
      </c>
      <c r="C812" s="3" t="inlineStr">
        <is>
          <t>Electrical Material</t>
        </is>
      </c>
      <c r="D812" s="3" t="inlineStr">
        <is>
          <t>Wires</t>
        </is>
      </c>
      <c r="E812" s="3" t="inlineStr">
        <is>
          <t>Polycab</t>
        </is>
      </c>
      <c r="F812" s="3" t="inlineStr">
        <is>
          <t>Primma</t>
        </is>
      </c>
      <c r="H812" s="3" t="inlineStr">
        <is>
          <t>Thickness</t>
        </is>
      </c>
      <c r="I812" s="3" t="inlineStr">
        <is>
          <t>1 Sq mm</t>
        </is>
      </c>
      <c r="J812" s="3" t="inlineStr">
        <is>
          <t>Color</t>
        </is>
      </c>
      <c r="K812" s="3" t="inlineStr">
        <is>
          <t>Green</t>
        </is>
      </c>
      <c r="L812" s="3" t="inlineStr">
        <is>
          <t>Length</t>
        </is>
      </c>
      <c r="M812" s="3" t="inlineStr">
        <is>
          <t>90 Mtr</t>
        </is>
      </c>
      <c r="Q812" s="3" t="inlineStr">
        <is>
          <t>Manufacturer's Warranty</t>
        </is>
      </c>
      <c r="Y812" s="3" t="inlineStr">
        <is>
          <t>WR_PC_PRM</t>
        </is>
      </c>
      <c r="Z812" s="3" t="n">
        <v>8544</v>
      </c>
      <c r="AE812" s="3" t="n">
        <v>2640</v>
      </c>
      <c r="AF812" s="4" t="n">
        <v>0.44</v>
      </c>
      <c r="AG812" s="3">
        <f>ROUND(AE812-(AE812*AF812),2)</f>
        <v/>
      </c>
      <c r="AH812" s="4" t="n">
        <v>0.18</v>
      </c>
      <c r="AI812" s="3">
        <f>ROUND(AG812+(AG812*AH812),2)</f>
        <v/>
      </c>
      <c r="AJ812" s="4" t="n">
        <v>0.1</v>
      </c>
      <c r="AK812" s="3">
        <f>ROUND(AI812*AJ812,2)</f>
        <v/>
      </c>
      <c r="AL812" s="3">
        <f>AI812+AK812</f>
        <v/>
      </c>
      <c r="AM812" s="3">
        <f>AE812-AL812</f>
        <v/>
      </c>
      <c r="AN812" s="4">
        <f>AM812/AE812</f>
        <v/>
      </c>
      <c r="AO812" s="3" t="inlineStr">
        <is>
          <t>60 mins</t>
        </is>
      </c>
      <c r="AQ812" s="3" t="inlineStr">
        <is>
          <t>Weight</t>
        </is>
      </c>
      <c r="AT812" s="3" t="inlineStr">
        <is>
          <t>Actvie</t>
        </is>
      </c>
    </row>
    <row r="813" ht="15.75" customHeight="1">
      <c r="A813" s="3" t="inlineStr">
        <is>
          <t>PROD_0190</t>
        </is>
      </c>
      <c r="B813" s="3" t="inlineStr">
        <is>
          <t>VAR_9</t>
        </is>
      </c>
      <c r="C813" s="3" t="inlineStr">
        <is>
          <t>Electrical Material</t>
        </is>
      </c>
      <c r="D813" s="3" t="inlineStr">
        <is>
          <t>Wires</t>
        </is>
      </c>
      <c r="E813" s="3" t="inlineStr">
        <is>
          <t>Polycab</t>
        </is>
      </c>
      <c r="F813" s="3" t="inlineStr">
        <is>
          <t>Primma</t>
        </is>
      </c>
      <c r="H813" s="3" t="inlineStr">
        <is>
          <t>Thickness</t>
        </is>
      </c>
      <c r="I813" s="3" t="inlineStr">
        <is>
          <t>1 Sq mm</t>
        </is>
      </c>
      <c r="J813" s="3" t="inlineStr">
        <is>
          <t>Color</t>
        </is>
      </c>
      <c r="K813" s="3" t="inlineStr">
        <is>
          <t>Yellow</t>
        </is>
      </c>
      <c r="L813" s="3" t="inlineStr">
        <is>
          <t>Length</t>
        </is>
      </c>
      <c r="M813" s="3" t="inlineStr">
        <is>
          <t>90 Mtr</t>
        </is>
      </c>
      <c r="Q813" s="3" t="inlineStr">
        <is>
          <t>Manufacturer's Warranty</t>
        </is>
      </c>
      <c r="Y813" s="3" t="inlineStr">
        <is>
          <t>WR_PC_PRM</t>
        </is>
      </c>
      <c r="Z813" s="3" t="n">
        <v>8544</v>
      </c>
      <c r="AE813" s="3" t="n">
        <v>2640</v>
      </c>
      <c r="AF813" s="4" t="n">
        <v>0.44</v>
      </c>
      <c r="AG813" s="3">
        <f>ROUND(AE813-(AE813*AF813),2)</f>
        <v/>
      </c>
      <c r="AH813" s="4" t="n">
        <v>0.18</v>
      </c>
      <c r="AI813" s="3">
        <f>ROUND(AG813+(AG813*AH813),2)</f>
        <v/>
      </c>
      <c r="AJ813" s="4" t="n">
        <v>0.1</v>
      </c>
      <c r="AK813" s="3">
        <f>ROUND(AI813*AJ813,2)</f>
        <v/>
      </c>
      <c r="AL813" s="3">
        <f>AI813+AK813</f>
        <v/>
      </c>
      <c r="AM813" s="3">
        <f>AE813-AL813</f>
        <v/>
      </c>
      <c r="AN813" s="4">
        <f>AM813/AE813</f>
        <v/>
      </c>
      <c r="AO813" s="3" t="inlineStr">
        <is>
          <t>60 mins</t>
        </is>
      </c>
      <c r="AQ813" s="3" t="inlineStr">
        <is>
          <t>Weight</t>
        </is>
      </c>
      <c r="AT813" s="3" t="inlineStr">
        <is>
          <t>Actvie</t>
        </is>
      </c>
    </row>
    <row r="814" ht="15.75" customHeight="1">
      <c r="A814" s="3" t="inlineStr">
        <is>
          <t>PROD_0190</t>
        </is>
      </c>
      <c r="B814" s="3" t="inlineStr">
        <is>
          <t>VAR_10</t>
        </is>
      </c>
      <c r="C814" s="3" t="inlineStr">
        <is>
          <t>Electrical Material</t>
        </is>
      </c>
      <c r="D814" s="3" t="inlineStr">
        <is>
          <t>Wires</t>
        </is>
      </c>
      <c r="E814" s="3" t="inlineStr">
        <is>
          <t>Polycab</t>
        </is>
      </c>
      <c r="F814" s="3" t="inlineStr">
        <is>
          <t>Primma</t>
        </is>
      </c>
      <c r="H814" s="3" t="inlineStr">
        <is>
          <t>Thickness</t>
        </is>
      </c>
      <c r="I814" s="3" t="inlineStr">
        <is>
          <t>1 Sq mm</t>
        </is>
      </c>
      <c r="J814" s="3" t="inlineStr">
        <is>
          <t>Color</t>
        </is>
      </c>
      <c r="K814" s="3" t="inlineStr">
        <is>
          <t>Blue</t>
        </is>
      </c>
      <c r="L814" s="3" t="inlineStr">
        <is>
          <t>Length</t>
        </is>
      </c>
      <c r="M814" s="3" t="inlineStr">
        <is>
          <t>90 Mtr</t>
        </is>
      </c>
      <c r="Q814" s="3" t="inlineStr">
        <is>
          <t>Manufacturer's Warranty</t>
        </is>
      </c>
      <c r="Y814" s="3" t="inlineStr">
        <is>
          <t>WR_PC_PRM</t>
        </is>
      </c>
      <c r="Z814" s="3" t="n">
        <v>8544</v>
      </c>
      <c r="AE814" s="3" t="n">
        <v>2640</v>
      </c>
      <c r="AF814" s="4" t="n">
        <v>0.44</v>
      </c>
      <c r="AG814" s="3">
        <f>ROUND(AE814-(AE814*AF814),2)</f>
        <v/>
      </c>
      <c r="AH814" s="4" t="n">
        <v>0.18</v>
      </c>
      <c r="AI814" s="3">
        <f>ROUND(AG814+(AG814*AH814),2)</f>
        <v/>
      </c>
      <c r="AJ814" s="4" t="n">
        <v>0.1</v>
      </c>
      <c r="AK814" s="3">
        <f>ROUND(AI814*AJ814,2)</f>
        <v/>
      </c>
      <c r="AL814" s="3">
        <f>AI814+AK814</f>
        <v/>
      </c>
      <c r="AM814" s="3">
        <f>AE814-AL814</f>
        <v/>
      </c>
      <c r="AN814" s="4">
        <f>AM814/AE814</f>
        <v/>
      </c>
      <c r="AO814" s="3" t="inlineStr">
        <is>
          <t>60 mins</t>
        </is>
      </c>
      <c r="AQ814" s="3" t="inlineStr">
        <is>
          <t>Weight</t>
        </is>
      </c>
      <c r="AT814" s="3" t="inlineStr">
        <is>
          <t>Actvie</t>
        </is>
      </c>
    </row>
    <row r="815" ht="15.75" customHeight="1">
      <c r="A815" s="3" t="inlineStr">
        <is>
          <t>PROD_0190</t>
        </is>
      </c>
      <c r="B815" s="3" t="inlineStr">
        <is>
          <t>VAR_11</t>
        </is>
      </c>
      <c r="C815" s="3" t="inlineStr">
        <is>
          <t>Electrical Material</t>
        </is>
      </c>
      <c r="D815" s="3" t="inlineStr">
        <is>
          <t>Wires</t>
        </is>
      </c>
      <c r="E815" s="3" t="inlineStr">
        <is>
          <t>Polycab</t>
        </is>
      </c>
      <c r="F815" s="3" t="inlineStr">
        <is>
          <t>Primma</t>
        </is>
      </c>
      <c r="H815" s="3" t="inlineStr">
        <is>
          <t>Thickness</t>
        </is>
      </c>
      <c r="I815" s="3" t="inlineStr">
        <is>
          <t>1.5 Sq mm</t>
        </is>
      </c>
      <c r="J815" s="3" t="inlineStr">
        <is>
          <t>Color</t>
        </is>
      </c>
      <c r="K815" s="3" t="inlineStr">
        <is>
          <t>Red</t>
        </is>
      </c>
      <c r="L815" s="3" t="inlineStr">
        <is>
          <t>Length</t>
        </is>
      </c>
      <c r="M815" s="3" t="inlineStr">
        <is>
          <t>90 Mtr</t>
        </is>
      </c>
      <c r="Q815" s="3" t="inlineStr">
        <is>
          <t>Manufacturer's Warranty</t>
        </is>
      </c>
      <c r="Y815" s="3" t="inlineStr">
        <is>
          <t>WR_PC_PRM</t>
        </is>
      </c>
      <c r="Z815" s="3" t="n">
        <v>8544</v>
      </c>
      <c r="AE815" s="3" t="n">
        <v>3840</v>
      </c>
      <c r="AF815" s="4" t="n">
        <v>0.44</v>
      </c>
      <c r="AG815" s="3">
        <f>ROUND(AE815-(AE815*AF815),2)</f>
        <v/>
      </c>
      <c r="AH815" s="4" t="n">
        <v>0.18</v>
      </c>
      <c r="AI815" s="3">
        <f>ROUND(AG815+(AG815*AH815),2)</f>
        <v/>
      </c>
      <c r="AJ815" s="4" t="n">
        <v>0.1</v>
      </c>
      <c r="AK815" s="3">
        <f>ROUND(AI815*AJ815,2)</f>
        <v/>
      </c>
      <c r="AL815" s="3">
        <f>AI815+AK815</f>
        <v/>
      </c>
      <c r="AM815" s="3">
        <f>AE815-AL815</f>
        <v/>
      </c>
      <c r="AN815" s="4">
        <f>AM815/AE815</f>
        <v/>
      </c>
      <c r="AO815" s="3" t="inlineStr">
        <is>
          <t>60 mins</t>
        </is>
      </c>
      <c r="AQ815" s="3" t="inlineStr">
        <is>
          <t>Weight</t>
        </is>
      </c>
      <c r="AT815" s="3" t="inlineStr">
        <is>
          <t>Actvie</t>
        </is>
      </c>
    </row>
    <row r="816" ht="15.75" customHeight="1">
      <c r="A816" s="3" t="inlineStr">
        <is>
          <t>PROD_0190</t>
        </is>
      </c>
      <c r="B816" s="3" t="inlineStr">
        <is>
          <t>VAR_12</t>
        </is>
      </c>
      <c r="C816" s="3" t="inlineStr">
        <is>
          <t>Electrical Material</t>
        </is>
      </c>
      <c r="D816" s="3" t="inlineStr">
        <is>
          <t>Wires</t>
        </is>
      </c>
      <c r="E816" s="3" t="inlineStr">
        <is>
          <t>Polycab</t>
        </is>
      </c>
      <c r="F816" s="3" t="inlineStr">
        <is>
          <t>Primma</t>
        </is>
      </c>
      <c r="H816" s="3" t="inlineStr">
        <is>
          <t>Thickness</t>
        </is>
      </c>
      <c r="I816" s="3" t="inlineStr">
        <is>
          <t>1.5 Sq mm</t>
        </is>
      </c>
      <c r="J816" s="3" t="inlineStr">
        <is>
          <t>Color</t>
        </is>
      </c>
      <c r="K816" s="3" t="inlineStr">
        <is>
          <t>Black</t>
        </is>
      </c>
      <c r="L816" s="3" t="inlineStr">
        <is>
          <t>Length</t>
        </is>
      </c>
      <c r="M816" s="3" t="inlineStr">
        <is>
          <t>90 Mtr</t>
        </is>
      </c>
      <c r="Q816" s="3" t="inlineStr">
        <is>
          <t>Manufacturer's Warranty</t>
        </is>
      </c>
      <c r="Y816" s="3" t="inlineStr">
        <is>
          <t>WR_PC_PRM</t>
        </is>
      </c>
      <c r="Z816" s="3" t="n">
        <v>8544</v>
      </c>
      <c r="AE816" s="3" t="n">
        <v>3840</v>
      </c>
      <c r="AF816" s="4" t="n">
        <v>0.44</v>
      </c>
      <c r="AG816" s="3">
        <f>ROUND(AE816-(AE816*AF816),2)</f>
        <v/>
      </c>
      <c r="AH816" s="4" t="n">
        <v>0.18</v>
      </c>
      <c r="AI816" s="3">
        <f>ROUND(AG816+(AG816*AH816),2)</f>
        <v/>
      </c>
      <c r="AJ816" s="4" t="n">
        <v>0.1</v>
      </c>
      <c r="AK816" s="3">
        <f>ROUND(AI816*AJ816,2)</f>
        <v/>
      </c>
      <c r="AL816" s="3">
        <f>AI816+AK816</f>
        <v/>
      </c>
      <c r="AM816" s="3">
        <f>AE816-AL816</f>
        <v/>
      </c>
      <c r="AN816" s="4">
        <f>AM816/AE816</f>
        <v/>
      </c>
      <c r="AO816" s="3" t="inlineStr">
        <is>
          <t>60 mins</t>
        </is>
      </c>
      <c r="AQ816" s="3" t="inlineStr">
        <is>
          <t>Weight</t>
        </is>
      </c>
      <c r="AT816" s="3" t="inlineStr">
        <is>
          <t>Actvie</t>
        </is>
      </c>
    </row>
    <row r="817" ht="15.75" customHeight="1">
      <c r="A817" s="3" t="inlineStr">
        <is>
          <t>PROD_0190</t>
        </is>
      </c>
      <c r="B817" s="3" t="inlineStr">
        <is>
          <t>VAR_13</t>
        </is>
      </c>
      <c r="C817" s="3" t="inlineStr">
        <is>
          <t>Electrical Material</t>
        </is>
      </c>
      <c r="D817" s="3" t="inlineStr">
        <is>
          <t>Wires</t>
        </is>
      </c>
      <c r="E817" s="3" t="inlineStr">
        <is>
          <t>Polycab</t>
        </is>
      </c>
      <c r="F817" s="3" t="inlineStr">
        <is>
          <t>Primma</t>
        </is>
      </c>
      <c r="H817" s="3" t="inlineStr">
        <is>
          <t>Thickness</t>
        </is>
      </c>
      <c r="I817" s="3" t="inlineStr">
        <is>
          <t>1.5 Sq mm</t>
        </is>
      </c>
      <c r="J817" s="3" t="inlineStr">
        <is>
          <t>Color</t>
        </is>
      </c>
      <c r="K817" s="3" t="inlineStr">
        <is>
          <t>Green</t>
        </is>
      </c>
      <c r="L817" s="3" t="inlineStr">
        <is>
          <t>Length</t>
        </is>
      </c>
      <c r="M817" s="3" t="inlineStr">
        <is>
          <t>90 Mtr</t>
        </is>
      </c>
      <c r="Q817" s="3" t="inlineStr">
        <is>
          <t>Manufacturer's Warranty</t>
        </is>
      </c>
      <c r="Y817" s="3" t="inlineStr">
        <is>
          <t>WR_PC_PRM</t>
        </is>
      </c>
      <c r="Z817" s="3" t="n">
        <v>8544</v>
      </c>
      <c r="AE817" s="3" t="n">
        <v>3840</v>
      </c>
      <c r="AF817" s="4" t="n">
        <v>0.44</v>
      </c>
      <c r="AG817" s="3">
        <f>ROUND(AE817-(AE817*AF817),2)</f>
        <v/>
      </c>
      <c r="AH817" s="4" t="n">
        <v>0.18</v>
      </c>
      <c r="AI817" s="3">
        <f>ROUND(AG817+(AG817*AH817),2)</f>
        <v/>
      </c>
      <c r="AJ817" s="4" t="n">
        <v>0.1</v>
      </c>
      <c r="AK817" s="3">
        <f>ROUND(AI817*AJ817,2)</f>
        <v/>
      </c>
      <c r="AL817" s="3">
        <f>AI817+AK817</f>
        <v/>
      </c>
      <c r="AM817" s="3">
        <f>AE817-AL817</f>
        <v/>
      </c>
      <c r="AN817" s="4">
        <f>AM817/AE817</f>
        <v/>
      </c>
      <c r="AO817" s="3" t="inlineStr">
        <is>
          <t>60 mins</t>
        </is>
      </c>
      <c r="AQ817" s="3" t="inlineStr">
        <is>
          <t>Weight</t>
        </is>
      </c>
      <c r="AT817" s="3" t="inlineStr">
        <is>
          <t>Actvie</t>
        </is>
      </c>
    </row>
    <row r="818" ht="15.75" customHeight="1">
      <c r="A818" s="3" t="inlineStr">
        <is>
          <t>PROD_0190</t>
        </is>
      </c>
      <c r="B818" s="3" t="inlineStr">
        <is>
          <t>VAR_14</t>
        </is>
      </c>
      <c r="C818" s="3" t="inlineStr">
        <is>
          <t>Electrical Material</t>
        </is>
      </c>
      <c r="D818" s="3" t="inlineStr">
        <is>
          <t>Wires</t>
        </is>
      </c>
      <c r="E818" s="3" t="inlineStr">
        <is>
          <t>Polycab</t>
        </is>
      </c>
      <c r="F818" s="3" t="inlineStr">
        <is>
          <t>Primma</t>
        </is>
      </c>
      <c r="H818" s="3" t="inlineStr">
        <is>
          <t>Thickness</t>
        </is>
      </c>
      <c r="I818" s="3" t="inlineStr">
        <is>
          <t>1.5 Sq mm</t>
        </is>
      </c>
      <c r="J818" s="3" t="inlineStr">
        <is>
          <t>Color</t>
        </is>
      </c>
      <c r="K818" s="3" t="inlineStr">
        <is>
          <t>Yellow</t>
        </is>
      </c>
      <c r="L818" s="3" t="inlineStr">
        <is>
          <t>Length</t>
        </is>
      </c>
      <c r="M818" s="3" t="inlineStr">
        <is>
          <t>90 Mtr</t>
        </is>
      </c>
      <c r="Q818" s="3" t="inlineStr">
        <is>
          <t>Manufacturer's Warranty</t>
        </is>
      </c>
      <c r="Y818" s="3" t="inlineStr">
        <is>
          <t>WR_PC_PRM</t>
        </is>
      </c>
      <c r="Z818" s="3" t="n">
        <v>8544</v>
      </c>
      <c r="AE818" s="3" t="n">
        <v>3840</v>
      </c>
      <c r="AF818" s="4" t="n">
        <v>0.44</v>
      </c>
      <c r="AG818" s="3">
        <f>ROUND(AE818-(AE818*AF818),2)</f>
        <v/>
      </c>
      <c r="AH818" s="4" t="n">
        <v>0.18</v>
      </c>
      <c r="AI818" s="3">
        <f>ROUND(AG818+(AG818*AH818),2)</f>
        <v/>
      </c>
      <c r="AJ818" s="4" t="n">
        <v>0.1</v>
      </c>
      <c r="AK818" s="3">
        <f>ROUND(AI818*AJ818,2)</f>
        <v/>
      </c>
      <c r="AL818" s="3">
        <f>AI818+AK818</f>
        <v/>
      </c>
      <c r="AM818" s="3">
        <f>AE818-AL818</f>
        <v/>
      </c>
      <c r="AN818" s="4">
        <f>AM818/AE818</f>
        <v/>
      </c>
      <c r="AO818" s="3" t="inlineStr">
        <is>
          <t>60 mins</t>
        </is>
      </c>
      <c r="AQ818" s="3" t="inlineStr">
        <is>
          <t>Weight</t>
        </is>
      </c>
      <c r="AT818" s="3" t="inlineStr">
        <is>
          <t>Actvie</t>
        </is>
      </c>
    </row>
    <row r="819" ht="15.75" customHeight="1">
      <c r="A819" s="3" t="inlineStr">
        <is>
          <t>PROD_0190</t>
        </is>
      </c>
      <c r="B819" s="3" t="inlineStr">
        <is>
          <t>VAR_15</t>
        </is>
      </c>
      <c r="C819" s="3" t="inlineStr">
        <is>
          <t>Electrical Material</t>
        </is>
      </c>
      <c r="D819" s="3" t="inlineStr">
        <is>
          <t>Wires</t>
        </is>
      </c>
      <c r="E819" s="3" t="inlineStr">
        <is>
          <t>Polycab</t>
        </is>
      </c>
      <c r="F819" s="3" t="inlineStr">
        <is>
          <t>Primma</t>
        </is>
      </c>
      <c r="H819" s="3" t="inlineStr">
        <is>
          <t>Thickness</t>
        </is>
      </c>
      <c r="I819" s="3" t="inlineStr">
        <is>
          <t>1.5 Sq mm</t>
        </is>
      </c>
      <c r="J819" s="3" t="inlineStr">
        <is>
          <t>Color</t>
        </is>
      </c>
      <c r="K819" s="3" t="inlineStr">
        <is>
          <t>Blue</t>
        </is>
      </c>
      <c r="L819" s="3" t="inlineStr">
        <is>
          <t>Length</t>
        </is>
      </c>
      <c r="M819" s="3" t="inlineStr">
        <is>
          <t>90 Mtr</t>
        </is>
      </c>
      <c r="Q819" s="3" t="inlineStr">
        <is>
          <t>Manufacturer's Warranty</t>
        </is>
      </c>
      <c r="Y819" s="3" t="inlineStr">
        <is>
          <t>WR_PC_PRM</t>
        </is>
      </c>
      <c r="Z819" s="3" t="n">
        <v>8544</v>
      </c>
      <c r="AE819" s="3" t="n">
        <v>3840</v>
      </c>
      <c r="AF819" s="4" t="n">
        <v>0.44</v>
      </c>
      <c r="AG819" s="3">
        <f>ROUND(AE819-(AE819*AF819),2)</f>
        <v/>
      </c>
      <c r="AH819" s="4" t="n">
        <v>0.18</v>
      </c>
      <c r="AI819" s="3">
        <f>ROUND(AG819+(AG819*AH819),2)</f>
        <v/>
      </c>
      <c r="AJ819" s="4" t="n">
        <v>0.1</v>
      </c>
      <c r="AK819" s="3">
        <f>ROUND(AI819*AJ819,2)</f>
        <v/>
      </c>
      <c r="AL819" s="3">
        <f>AI819+AK819</f>
        <v/>
      </c>
      <c r="AM819" s="3">
        <f>AE819-AL819</f>
        <v/>
      </c>
      <c r="AN819" s="4">
        <f>AM819/AE819</f>
        <v/>
      </c>
      <c r="AO819" s="3" t="inlineStr">
        <is>
          <t>60 mins</t>
        </is>
      </c>
      <c r="AQ819" s="3" t="inlineStr">
        <is>
          <t>Weight</t>
        </is>
      </c>
      <c r="AT819" s="3" t="inlineStr">
        <is>
          <t>Actvie</t>
        </is>
      </c>
    </row>
    <row r="820" ht="15.75" customHeight="1">
      <c r="A820" s="3" t="inlineStr">
        <is>
          <t>PROD_0190</t>
        </is>
      </c>
      <c r="B820" s="3" t="inlineStr">
        <is>
          <t>VAR_16</t>
        </is>
      </c>
      <c r="C820" s="3" t="inlineStr">
        <is>
          <t>Electrical Material</t>
        </is>
      </c>
      <c r="D820" s="3" t="inlineStr">
        <is>
          <t>Wires</t>
        </is>
      </c>
      <c r="E820" s="3" t="inlineStr">
        <is>
          <t>Polycab</t>
        </is>
      </c>
      <c r="F820" s="3" t="inlineStr">
        <is>
          <t>Primma</t>
        </is>
      </c>
      <c r="H820" s="3" t="inlineStr">
        <is>
          <t>Thickness</t>
        </is>
      </c>
      <c r="I820" s="3" t="inlineStr">
        <is>
          <t>2.5 Sq mm</t>
        </is>
      </c>
      <c r="J820" s="3" t="inlineStr">
        <is>
          <t>Color</t>
        </is>
      </c>
      <c r="K820" s="3" t="inlineStr">
        <is>
          <t>Red</t>
        </is>
      </c>
      <c r="L820" s="3" t="inlineStr">
        <is>
          <t>Length</t>
        </is>
      </c>
      <c r="M820" s="3" t="inlineStr">
        <is>
          <t>90 Mtr</t>
        </is>
      </c>
      <c r="Q820" s="3" t="inlineStr">
        <is>
          <t>Manufacturer's Warranty</t>
        </is>
      </c>
      <c r="Y820" s="3" t="inlineStr">
        <is>
          <t>WR_PC_PRM</t>
        </is>
      </c>
      <c r="Z820" s="3" t="n">
        <v>8544</v>
      </c>
      <c r="AE820" s="3" t="n">
        <v>6120</v>
      </c>
      <c r="AF820" s="4" t="n">
        <v>0.44</v>
      </c>
      <c r="AG820" s="3">
        <f>ROUND(AE820-(AE820*AF820),2)</f>
        <v/>
      </c>
      <c r="AH820" s="4" t="n">
        <v>0.18</v>
      </c>
      <c r="AI820" s="3">
        <f>ROUND(AG820+(AG820*AH820),2)</f>
        <v/>
      </c>
      <c r="AJ820" s="4" t="n">
        <v>0.1</v>
      </c>
      <c r="AK820" s="3">
        <f>ROUND(AI820*AJ820,2)</f>
        <v/>
      </c>
      <c r="AL820" s="3">
        <f>AI820+AK820</f>
        <v/>
      </c>
      <c r="AM820" s="3">
        <f>AE820-AL820</f>
        <v/>
      </c>
      <c r="AN820" s="4">
        <f>AM820/AE820</f>
        <v/>
      </c>
      <c r="AO820" s="3" t="inlineStr">
        <is>
          <t>60 mins</t>
        </is>
      </c>
      <c r="AQ820" s="3" t="inlineStr">
        <is>
          <t>Weight</t>
        </is>
      </c>
      <c r="AT820" s="3" t="inlineStr">
        <is>
          <t>Actvie</t>
        </is>
      </c>
    </row>
    <row r="821" ht="15.75" customHeight="1">
      <c r="A821" s="3" t="inlineStr">
        <is>
          <t>PROD_0190</t>
        </is>
      </c>
      <c r="B821" s="3" t="inlineStr">
        <is>
          <t>VAR_17</t>
        </is>
      </c>
      <c r="C821" s="3" t="inlineStr">
        <is>
          <t>Electrical Material</t>
        </is>
      </c>
      <c r="D821" s="3" t="inlineStr">
        <is>
          <t>Wires</t>
        </is>
      </c>
      <c r="E821" s="3" t="inlineStr">
        <is>
          <t>Polycab</t>
        </is>
      </c>
      <c r="F821" s="3" t="inlineStr">
        <is>
          <t>Primma</t>
        </is>
      </c>
      <c r="H821" s="3" t="inlineStr">
        <is>
          <t>Thickness</t>
        </is>
      </c>
      <c r="I821" s="3" t="inlineStr">
        <is>
          <t>2.5 Sq mm</t>
        </is>
      </c>
      <c r="J821" s="3" t="inlineStr">
        <is>
          <t>Color</t>
        </is>
      </c>
      <c r="K821" s="3" t="inlineStr">
        <is>
          <t>Black</t>
        </is>
      </c>
      <c r="L821" s="3" t="inlineStr">
        <is>
          <t>Length</t>
        </is>
      </c>
      <c r="M821" s="3" t="inlineStr">
        <is>
          <t>90 Mtr</t>
        </is>
      </c>
      <c r="Q821" s="3" t="inlineStr">
        <is>
          <t>Manufacturer's Warranty</t>
        </is>
      </c>
      <c r="Y821" s="3" t="inlineStr">
        <is>
          <t>WR_PC_PRM</t>
        </is>
      </c>
      <c r="Z821" s="3" t="n">
        <v>8544</v>
      </c>
      <c r="AE821" s="3" t="n">
        <v>6120</v>
      </c>
      <c r="AF821" s="4" t="n">
        <v>0.44</v>
      </c>
      <c r="AG821" s="3">
        <f>ROUND(AE821-(AE821*AF821),2)</f>
        <v/>
      </c>
      <c r="AH821" s="4" t="n">
        <v>0.18</v>
      </c>
      <c r="AI821" s="3">
        <f>ROUND(AG821+(AG821*AH821),2)</f>
        <v/>
      </c>
      <c r="AJ821" s="4" t="n">
        <v>0.1</v>
      </c>
      <c r="AK821" s="3">
        <f>ROUND(AI821*AJ821,2)</f>
        <v/>
      </c>
      <c r="AL821" s="3">
        <f>AI821+AK821</f>
        <v/>
      </c>
      <c r="AM821" s="3">
        <f>AE821-AL821</f>
        <v/>
      </c>
      <c r="AN821" s="4">
        <f>AM821/AE821</f>
        <v/>
      </c>
      <c r="AO821" s="3" t="inlineStr">
        <is>
          <t>60 mins</t>
        </is>
      </c>
      <c r="AQ821" s="3" t="inlineStr">
        <is>
          <t>Weight</t>
        </is>
      </c>
      <c r="AT821" s="3" t="inlineStr">
        <is>
          <t>Actvie</t>
        </is>
      </c>
    </row>
    <row r="822" ht="15.75" customHeight="1">
      <c r="A822" s="3" t="inlineStr">
        <is>
          <t>PROD_0190</t>
        </is>
      </c>
      <c r="B822" s="3" t="inlineStr">
        <is>
          <t>VAR_18</t>
        </is>
      </c>
      <c r="C822" s="3" t="inlineStr">
        <is>
          <t>Electrical Material</t>
        </is>
      </c>
      <c r="D822" s="3" t="inlineStr">
        <is>
          <t>Wires</t>
        </is>
      </c>
      <c r="E822" s="3" t="inlineStr">
        <is>
          <t>Polycab</t>
        </is>
      </c>
      <c r="F822" s="3" t="inlineStr">
        <is>
          <t>Primma</t>
        </is>
      </c>
      <c r="H822" s="3" t="inlineStr">
        <is>
          <t>Thickness</t>
        </is>
      </c>
      <c r="I822" s="3" t="inlineStr">
        <is>
          <t>2.5 Sq mm</t>
        </is>
      </c>
      <c r="J822" s="3" t="inlineStr">
        <is>
          <t>Color</t>
        </is>
      </c>
      <c r="K822" s="3" t="inlineStr">
        <is>
          <t>Green</t>
        </is>
      </c>
      <c r="L822" s="3" t="inlineStr">
        <is>
          <t>Length</t>
        </is>
      </c>
      <c r="M822" s="3" t="inlineStr">
        <is>
          <t>90 Mtr</t>
        </is>
      </c>
      <c r="Q822" s="3" t="inlineStr">
        <is>
          <t>Manufacturer's Warranty</t>
        </is>
      </c>
      <c r="Y822" s="3" t="inlineStr">
        <is>
          <t>WR_PC_PRM</t>
        </is>
      </c>
      <c r="Z822" s="3" t="n">
        <v>8544</v>
      </c>
      <c r="AE822" s="3" t="n">
        <v>6120</v>
      </c>
      <c r="AF822" s="4" t="n">
        <v>0.44</v>
      </c>
      <c r="AG822" s="3">
        <f>ROUND(AE822-(AE822*AF822),2)</f>
        <v/>
      </c>
      <c r="AH822" s="4" t="n">
        <v>0.18</v>
      </c>
      <c r="AI822" s="3">
        <f>ROUND(AG822+(AG822*AH822),2)</f>
        <v/>
      </c>
      <c r="AJ822" s="4" t="n">
        <v>0.1</v>
      </c>
      <c r="AK822" s="3">
        <f>ROUND(AI822*AJ822,2)</f>
        <v/>
      </c>
      <c r="AL822" s="3">
        <f>AI822+AK822</f>
        <v/>
      </c>
      <c r="AM822" s="3">
        <f>AE822-AL822</f>
        <v/>
      </c>
      <c r="AN822" s="4">
        <f>AM822/AE822</f>
        <v/>
      </c>
      <c r="AO822" s="3" t="inlineStr">
        <is>
          <t>60 mins</t>
        </is>
      </c>
      <c r="AQ822" s="3" t="inlineStr">
        <is>
          <t>Weight</t>
        </is>
      </c>
      <c r="AT822" s="3" t="inlineStr">
        <is>
          <t>Actvie</t>
        </is>
      </c>
    </row>
    <row r="823" ht="15.75" customHeight="1">
      <c r="A823" s="3" t="inlineStr">
        <is>
          <t>PROD_0190</t>
        </is>
      </c>
      <c r="B823" s="3" t="inlineStr">
        <is>
          <t>VAR_19</t>
        </is>
      </c>
      <c r="C823" s="3" t="inlineStr">
        <is>
          <t>Electrical Material</t>
        </is>
      </c>
      <c r="D823" s="3" t="inlineStr">
        <is>
          <t>Wires</t>
        </is>
      </c>
      <c r="E823" s="3" t="inlineStr">
        <is>
          <t>Polycab</t>
        </is>
      </c>
      <c r="F823" s="3" t="inlineStr">
        <is>
          <t>Primma</t>
        </is>
      </c>
      <c r="H823" s="3" t="inlineStr">
        <is>
          <t>Thickness</t>
        </is>
      </c>
      <c r="I823" s="3" t="inlineStr">
        <is>
          <t>2.5 Sq mm</t>
        </is>
      </c>
      <c r="J823" s="3" t="inlineStr">
        <is>
          <t>Color</t>
        </is>
      </c>
      <c r="K823" s="3" t="inlineStr">
        <is>
          <t>Yellow</t>
        </is>
      </c>
      <c r="L823" s="3" t="inlineStr">
        <is>
          <t>Length</t>
        </is>
      </c>
      <c r="M823" s="3" t="inlineStr">
        <is>
          <t>90 Mtr</t>
        </is>
      </c>
      <c r="Q823" s="3" t="inlineStr">
        <is>
          <t>Manufacturer's Warranty</t>
        </is>
      </c>
      <c r="Y823" s="3" t="inlineStr">
        <is>
          <t>WR_PC_PRM</t>
        </is>
      </c>
      <c r="Z823" s="3" t="n">
        <v>8544</v>
      </c>
      <c r="AE823" s="3" t="n">
        <v>6120</v>
      </c>
      <c r="AF823" s="4" t="n">
        <v>0.44</v>
      </c>
      <c r="AG823" s="3">
        <f>ROUND(AE823-(AE823*AF823),2)</f>
        <v/>
      </c>
      <c r="AH823" s="4" t="n">
        <v>0.18</v>
      </c>
      <c r="AI823" s="3">
        <f>ROUND(AG823+(AG823*AH823),2)</f>
        <v/>
      </c>
      <c r="AJ823" s="4" t="n">
        <v>0.1</v>
      </c>
      <c r="AK823" s="3">
        <f>ROUND(AI823*AJ823,2)</f>
        <v/>
      </c>
      <c r="AL823" s="3">
        <f>AI823+AK823</f>
        <v/>
      </c>
      <c r="AM823" s="3">
        <f>AE823-AL823</f>
        <v/>
      </c>
      <c r="AN823" s="4">
        <f>AM823/AE823</f>
        <v/>
      </c>
      <c r="AO823" s="3" t="inlineStr">
        <is>
          <t>60 mins</t>
        </is>
      </c>
      <c r="AQ823" s="3" t="inlineStr">
        <is>
          <t>Weight</t>
        </is>
      </c>
      <c r="AT823" s="3" t="inlineStr">
        <is>
          <t>Actvie</t>
        </is>
      </c>
    </row>
    <row r="824" ht="15.75" customHeight="1">
      <c r="A824" s="3" t="inlineStr">
        <is>
          <t>PROD_0190</t>
        </is>
      </c>
      <c r="B824" s="3" t="inlineStr">
        <is>
          <t>VAR_20</t>
        </is>
      </c>
      <c r="C824" s="3" t="inlineStr">
        <is>
          <t>Electrical Material</t>
        </is>
      </c>
      <c r="D824" s="3" t="inlineStr">
        <is>
          <t>Wires</t>
        </is>
      </c>
      <c r="E824" s="3" t="inlineStr">
        <is>
          <t>Polycab</t>
        </is>
      </c>
      <c r="F824" s="3" t="inlineStr">
        <is>
          <t>Primma</t>
        </is>
      </c>
      <c r="H824" s="3" t="inlineStr">
        <is>
          <t>Thickness</t>
        </is>
      </c>
      <c r="I824" s="3" t="inlineStr">
        <is>
          <t>2.5 Sq mm</t>
        </is>
      </c>
      <c r="J824" s="3" t="inlineStr">
        <is>
          <t>Color</t>
        </is>
      </c>
      <c r="K824" s="3" t="inlineStr">
        <is>
          <t>Blue</t>
        </is>
      </c>
      <c r="L824" s="3" t="inlineStr">
        <is>
          <t>Length</t>
        </is>
      </c>
      <c r="M824" s="3" t="inlineStr">
        <is>
          <t>90 Mtr</t>
        </is>
      </c>
      <c r="Q824" s="3" t="inlineStr">
        <is>
          <t>Manufacturer's Warranty</t>
        </is>
      </c>
      <c r="Y824" s="3" t="inlineStr">
        <is>
          <t>WR_PC_PRM</t>
        </is>
      </c>
      <c r="Z824" s="3" t="n">
        <v>8544</v>
      </c>
      <c r="AE824" s="3" t="n">
        <v>6120</v>
      </c>
      <c r="AF824" s="4" t="n">
        <v>0.44</v>
      </c>
      <c r="AG824" s="3">
        <f>ROUND(AE824-(AE824*AF824),2)</f>
        <v/>
      </c>
      <c r="AH824" s="4" t="n">
        <v>0.18</v>
      </c>
      <c r="AI824" s="3">
        <f>ROUND(AG824+(AG824*AH824),2)</f>
        <v/>
      </c>
      <c r="AJ824" s="4" t="n">
        <v>0.1</v>
      </c>
      <c r="AK824" s="3">
        <f>ROUND(AI824*AJ824,2)</f>
        <v/>
      </c>
      <c r="AL824" s="3">
        <f>AI824+AK824</f>
        <v/>
      </c>
      <c r="AM824" s="3">
        <f>AE824-AL824</f>
        <v/>
      </c>
      <c r="AN824" s="4">
        <f>AM824/AE824</f>
        <v/>
      </c>
      <c r="AO824" s="3" t="inlineStr">
        <is>
          <t>60 mins</t>
        </is>
      </c>
      <c r="AQ824" s="3" t="inlineStr">
        <is>
          <t>Weight</t>
        </is>
      </c>
      <c r="AT824" s="3" t="inlineStr">
        <is>
          <t>Actvie</t>
        </is>
      </c>
    </row>
    <row r="825" ht="15.75" customHeight="1">
      <c r="A825" s="3" t="inlineStr">
        <is>
          <t>PROD_0190</t>
        </is>
      </c>
      <c r="B825" s="3" t="inlineStr">
        <is>
          <t>VAR_21</t>
        </is>
      </c>
      <c r="C825" s="3" t="inlineStr">
        <is>
          <t>Electrical Material</t>
        </is>
      </c>
      <c r="D825" s="3" t="inlineStr">
        <is>
          <t>Wires</t>
        </is>
      </c>
      <c r="E825" s="3" t="inlineStr">
        <is>
          <t>Polycab</t>
        </is>
      </c>
      <c r="F825" s="3" t="inlineStr">
        <is>
          <t>Primma</t>
        </is>
      </c>
      <c r="H825" s="3" t="inlineStr">
        <is>
          <t>Thickness</t>
        </is>
      </c>
      <c r="I825" s="3" t="inlineStr">
        <is>
          <t>4 Sq mm</t>
        </is>
      </c>
      <c r="J825" s="3" t="inlineStr">
        <is>
          <t>Color</t>
        </is>
      </c>
      <c r="K825" s="3" t="inlineStr">
        <is>
          <t>Red</t>
        </is>
      </c>
      <c r="L825" s="3" t="inlineStr">
        <is>
          <t>Length</t>
        </is>
      </c>
      <c r="M825" s="3" t="inlineStr">
        <is>
          <t>90 Mtr</t>
        </is>
      </c>
      <c r="Q825" s="3" t="inlineStr">
        <is>
          <t>Manufacturer's Warranty</t>
        </is>
      </c>
      <c r="Y825" s="3" t="inlineStr">
        <is>
          <t>WR_PC_PRM</t>
        </is>
      </c>
      <c r="Z825" s="3" t="n">
        <v>8544</v>
      </c>
      <c r="AE825" s="3" t="n">
        <v>9385</v>
      </c>
      <c r="AF825" s="4" t="n">
        <v>0.44</v>
      </c>
      <c r="AG825" s="3">
        <f>ROUND(AE825-(AE825*AF825),2)</f>
        <v/>
      </c>
      <c r="AH825" s="4" t="n">
        <v>0.18</v>
      </c>
      <c r="AI825" s="3">
        <f>ROUND(AG825+(AG825*AH825),2)</f>
        <v/>
      </c>
      <c r="AJ825" s="4" t="n">
        <v>0.1</v>
      </c>
      <c r="AK825" s="3">
        <f>ROUND(AI825*AJ825,2)</f>
        <v/>
      </c>
      <c r="AL825" s="3">
        <f>AI825+AK825</f>
        <v/>
      </c>
      <c r="AM825" s="3">
        <f>AE825-AL825</f>
        <v/>
      </c>
      <c r="AN825" s="4">
        <f>AM825/AE825</f>
        <v/>
      </c>
      <c r="AO825" s="3" t="inlineStr">
        <is>
          <t>60 mins</t>
        </is>
      </c>
      <c r="AQ825" s="3" t="inlineStr">
        <is>
          <t>Weight</t>
        </is>
      </c>
      <c r="AT825" s="3" t="inlineStr">
        <is>
          <t>Actvie</t>
        </is>
      </c>
    </row>
    <row r="826" ht="15.75" customHeight="1">
      <c r="A826" s="3" t="inlineStr">
        <is>
          <t>PROD_0190</t>
        </is>
      </c>
      <c r="B826" s="3" t="inlineStr">
        <is>
          <t>VAR_22</t>
        </is>
      </c>
      <c r="C826" s="3" t="inlineStr">
        <is>
          <t>Electrical Material</t>
        </is>
      </c>
      <c r="D826" s="3" t="inlineStr">
        <is>
          <t>Wires</t>
        </is>
      </c>
      <c r="E826" s="3" t="inlineStr">
        <is>
          <t>Polycab</t>
        </is>
      </c>
      <c r="F826" s="3" t="inlineStr">
        <is>
          <t>Primma</t>
        </is>
      </c>
      <c r="H826" s="3" t="inlineStr">
        <is>
          <t>Thickness</t>
        </is>
      </c>
      <c r="I826" s="3" t="inlineStr">
        <is>
          <t>4 Sq mm</t>
        </is>
      </c>
      <c r="J826" s="3" t="inlineStr">
        <is>
          <t>Color</t>
        </is>
      </c>
      <c r="K826" s="3" t="inlineStr">
        <is>
          <t>Black</t>
        </is>
      </c>
      <c r="L826" s="3" t="inlineStr">
        <is>
          <t>Length</t>
        </is>
      </c>
      <c r="M826" s="3" t="inlineStr">
        <is>
          <t>90 Mtr</t>
        </is>
      </c>
      <c r="Q826" s="3" t="inlineStr">
        <is>
          <t>Manufacturer's Warranty</t>
        </is>
      </c>
      <c r="Y826" s="3" t="inlineStr">
        <is>
          <t>WR_PC_PRM</t>
        </is>
      </c>
      <c r="Z826" s="3" t="n">
        <v>8544</v>
      </c>
      <c r="AE826" s="3" t="n">
        <v>9385</v>
      </c>
      <c r="AF826" s="4" t="n">
        <v>0.44</v>
      </c>
      <c r="AG826" s="3">
        <f>ROUND(AE826-(AE826*AF826),2)</f>
        <v/>
      </c>
      <c r="AH826" s="4" t="n">
        <v>0.18</v>
      </c>
      <c r="AI826" s="3">
        <f>ROUND(AG826+(AG826*AH826),2)</f>
        <v/>
      </c>
      <c r="AJ826" s="4" t="n">
        <v>0.1</v>
      </c>
      <c r="AK826" s="3">
        <f>ROUND(AI826*AJ826,2)</f>
        <v/>
      </c>
      <c r="AL826" s="3">
        <f>AI826+AK826</f>
        <v/>
      </c>
      <c r="AM826" s="3">
        <f>AE826-AL826</f>
        <v/>
      </c>
      <c r="AN826" s="4">
        <f>AM826/AE826</f>
        <v/>
      </c>
      <c r="AO826" s="3" t="inlineStr">
        <is>
          <t>60 mins</t>
        </is>
      </c>
      <c r="AQ826" s="3" t="inlineStr">
        <is>
          <t>Weight</t>
        </is>
      </c>
      <c r="AT826" s="3" t="inlineStr">
        <is>
          <t>Actvie</t>
        </is>
      </c>
    </row>
    <row r="827" ht="15.75" customHeight="1">
      <c r="A827" s="3" t="inlineStr">
        <is>
          <t>PROD_0190</t>
        </is>
      </c>
      <c r="B827" s="3" t="inlineStr">
        <is>
          <t>VAR_23</t>
        </is>
      </c>
      <c r="C827" s="3" t="inlineStr">
        <is>
          <t>Electrical Material</t>
        </is>
      </c>
      <c r="D827" s="3" t="inlineStr">
        <is>
          <t>Wires</t>
        </is>
      </c>
      <c r="E827" s="3" t="inlineStr">
        <is>
          <t>Polycab</t>
        </is>
      </c>
      <c r="F827" s="3" t="inlineStr">
        <is>
          <t>Primma</t>
        </is>
      </c>
      <c r="H827" s="3" t="inlineStr">
        <is>
          <t>Thickness</t>
        </is>
      </c>
      <c r="I827" s="3" t="inlineStr">
        <is>
          <t>4 Sq mm</t>
        </is>
      </c>
      <c r="J827" s="3" t="inlineStr">
        <is>
          <t>Color</t>
        </is>
      </c>
      <c r="K827" s="3" t="inlineStr">
        <is>
          <t>Green</t>
        </is>
      </c>
      <c r="L827" s="3" t="inlineStr">
        <is>
          <t>Length</t>
        </is>
      </c>
      <c r="M827" s="3" t="inlineStr">
        <is>
          <t>90 Mtr</t>
        </is>
      </c>
      <c r="Q827" s="3" t="inlineStr">
        <is>
          <t>Manufacturer's Warranty</t>
        </is>
      </c>
      <c r="Y827" s="3" t="inlineStr">
        <is>
          <t>WR_PC_PRM</t>
        </is>
      </c>
      <c r="Z827" s="3" t="n">
        <v>8544</v>
      </c>
      <c r="AE827" s="3" t="n">
        <v>9385</v>
      </c>
      <c r="AF827" s="4" t="n">
        <v>0.44</v>
      </c>
      <c r="AG827" s="3">
        <f>ROUND(AE827-(AE827*AF827),2)</f>
        <v/>
      </c>
      <c r="AH827" s="4" t="n">
        <v>0.18</v>
      </c>
      <c r="AI827" s="3">
        <f>ROUND(AG827+(AG827*AH827),2)</f>
        <v/>
      </c>
      <c r="AJ827" s="4" t="n">
        <v>0.1</v>
      </c>
      <c r="AK827" s="3">
        <f>ROUND(AI827*AJ827,2)</f>
        <v/>
      </c>
      <c r="AL827" s="3">
        <f>AI827+AK827</f>
        <v/>
      </c>
      <c r="AM827" s="3">
        <f>AE827-AL827</f>
        <v/>
      </c>
      <c r="AN827" s="4">
        <f>AM827/AE827</f>
        <v/>
      </c>
      <c r="AO827" s="3" t="inlineStr">
        <is>
          <t>60 mins</t>
        </is>
      </c>
      <c r="AQ827" s="3" t="inlineStr">
        <is>
          <t>Weight</t>
        </is>
      </c>
      <c r="AT827" s="3" t="inlineStr">
        <is>
          <t>Actvie</t>
        </is>
      </c>
    </row>
    <row r="828" ht="15.75" customHeight="1">
      <c r="A828" s="3" t="inlineStr">
        <is>
          <t>PROD_0190</t>
        </is>
      </c>
      <c r="B828" s="3" t="inlineStr">
        <is>
          <t>VAR_24</t>
        </is>
      </c>
      <c r="C828" s="3" t="inlineStr">
        <is>
          <t>Electrical Material</t>
        </is>
      </c>
      <c r="D828" s="3" t="inlineStr">
        <is>
          <t>Wires</t>
        </is>
      </c>
      <c r="E828" s="3" t="inlineStr">
        <is>
          <t>Polycab</t>
        </is>
      </c>
      <c r="F828" s="3" t="inlineStr">
        <is>
          <t>Primma</t>
        </is>
      </c>
      <c r="H828" s="3" t="inlineStr">
        <is>
          <t>Thickness</t>
        </is>
      </c>
      <c r="I828" s="3" t="inlineStr">
        <is>
          <t>4 Sq mm</t>
        </is>
      </c>
      <c r="J828" s="3" t="inlineStr">
        <is>
          <t>Color</t>
        </is>
      </c>
      <c r="K828" s="3" t="inlineStr">
        <is>
          <t>Yellow</t>
        </is>
      </c>
      <c r="L828" s="3" t="inlineStr">
        <is>
          <t>Length</t>
        </is>
      </c>
      <c r="M828" s="3" t="inlineStr">
        <is>
          <t>90 Mtr</t>
        </is>
      </c>
      <c r="Q828" s="3" t="inlineStr">
        <is>
          <t>Manufacturer's Warranty</t>
        </is>
      </c>
      <c r="Y828" s="3" t="inlineStr">
        <is>
          <t>WR_PC_PRM</t>
        </is>
      </c>
      <c r="Z828" s="3" t="n">
        <v>8544</v>
      </c>
      <c r="AE828" s="3" t="n">
        <v>9385</v>
      </c>
      <c r="AF828" s="4" t="n">
        <v>0.44</v>
      </c>
      <c r="AG828" s="3">
        <f>ROUND(AE828-(AE828*AF828),2)</f>
        <v/>
      </c>
      <c r="AH828" s="4" t="n">
        <v>0.18</v>
      </c>
      <c r="AI828" s="3">
        <f>ROUND(AG828+(AG828*AH828),2)</f>
        <v/>
      </c>
      <c r="AJ828" s="4" t="n">
        <v>0.1</v>
      </c>
      <c r="AK828" s="3">
        <f>ROUND(AI828*AJ828,2)</f>
        <v/>
      </c>
      <c r="AL828" s="3">
        <f>AI828+AK828</f>
        <v/>
      </c>
      <c r="AM828" s="3">
        <f>AE828-AL828</f>
        <v/>
      </c>
      <c r="AN828" s="4">
        <f>AM828/AE828</f>
        <v/>
      </c>
      <c r="AO828" s="3" t="inlineStr">
        <is>
          <t>60 mins</t>
        </is>
      </c>
      <c r="AQ828" s="3" t="inlineStr">
        <is>
          <t>Weight</t>
        </is>
      </c>
      <c r="AT828" s="3" t="inlineStr">
        <is>
          <t>Actvie</t>
        </is>
      </c>
    </row>
    <row r="829" ht="15.75" customHeight="1">
      <c r="A829" s="3" t="inlineStr">
        <is>
          <t>PROD_0190</t>
        </is>
      </c>
      <c r="B829" s="3" t="inlineStr">
        <is>
          <t>VAR_25</t>
        </is>
      </c>
      <c r="C829" s="3" t="inlineStr">
        <is>
          <t>Electrical Material</t>
        </is>
      </c>
      <c r="D829" s="3" t="inlineStr">
        <is>
          <t>Wires</t>
        </is>
      </c>
      <c r="E829" s="3" t="inlineStr">
        <is>
          <t>Polycab</t>
        </is>
      </c>
      <c r="F829" s="3" t="inlineStr">
        <is>
          <t>Primma</t>
        </is>
      </c>
      <c r="H829" s="3" t="inlineStr">
        <is>
          <t>Thickness</t>
        </is>
      </c>
      <c r="I829" s="3" t="inlineStr">
        <is>
          <t>4 Sq mm</t>
        </is>
      </c>
      <c r="J829" s="3" t="inlineStr">
        <is>
          <t>Color</t>
        </is>
      </c>
      <c r="K829" s="3" t="inlineStr">
        <is>
          <t>Blue</t>
        </is>
      </c>
      <c r="L829" s="3" t="inlineStr">
        <is>
          <t>Length</t>
        </is>
      </c>
      <c r="M829" s="3" t="inlineStr">
        <is>
          <t>90 Mtr</t>
        </is>
      </c>
      <c r="Q829" s="3" t="inlineStr">
        <is>
          <t>Manufacturer's Warranty</t>
        </is>
      </c>
      <c r="Y829" s="3" t="inlineStr">
        <is>
          <t>WR_PC_PRM</t>
        </is>
      </c>
      <c r="Z829" s="3" t="n">
        <v>8544</v>
      </c>
      <c r="AE829" s="3" t="n">
        <v>9385</v>
      </c>
      <c r="AF829" s="4" t="n">
        <v>0.44</v>
      </c>
      <c r="AG829" s="3">
        <f>ROUND(AE829-(AE829*AF829),2)</f>
        <v/>
      </c>
      <c r="AH829" s="4" t="n">
        <v>0.18</v>
      </c>
      <c r="AI829" s="3">
        <f>ROUND(AG829+(AG829*AH829),2)</f>
        <v/>
      </c>
      <c r="AJ829" s="4" t="n">
        <v>0.1</v>
      </c>
      <c r="AK829" s="3">
        <f>ROUND(AI829*AJ829,2)</f>
        <v/>
      </c>
      <c r="AL829" s="3">
        <f>AI829+AK829</f>
        <v/>
      </c>
      <c r="AM829" s="3">
        <f>AE829-AL829</f>
        <v/>
      </c>
      <c r="AN829" s="4">
        <f>AM829/AE829</f>
        <v/>
      </c>
      <c r="AO829" s="3" t="inlineStr">
        <is>
          <t>60 mins</t>
        </is>
      </c>
      <c r="AQ829" s="3" t="inlineStr">
        <is>
          <t>Weight</t>
        </is>
      </c>
      <c r="AT829" s="3" t="inlineStr">
        <is>
          <t>Actvie</t>
        </is>
      </c>
    </row>
    <row r="830" ht="15.75" customHeight="1">
      <c r="A830" s="3" t="inlineStr">
        <is>
          <t>PROD_0190</t>
        </is>
      </c>
      <c r="B830" s="3" t="inlineStr">
        <is>
          <t>VAR_26</t>
        </is>
      </c>
      <c r="C830" s="3" t="inlineStr">
        <is>
          <t>Electrical Material</t>
        </is>
      </c>
      <c r="D830" s="3" t="inlineStr">
        <is>
          <t>Wires</t>
        </is>
      </c>
      <c r="E830" s="3" t="inlineStr">
        <is>
          <t>Polycab</t>
        </is>
      </c>
      <c r="F830" s="3" t="inlineStr">
        <is>
          <t>Primma</t>
        </is>
      </c>
      <c r="H830" s="3" t="inlineStr">
        <is>
          <t>Thickness</t>
        </is>
      </c>
      <c r="I830" s="3" t="inlineStr">
        <is>
          <t>6 Sq mm</t>
        </is>
      </c>
      <c r="J830" s="3" t="inlineStr">
        <is>
          <t>Color</t>
        </is>
      </c>
      <c r="K830" s="3" t="inlineStr">
        <is>
          <t>Red</t>
        </is>
      </c>
      <c r="L830" s="3" t="inlineStr">
        <is>
          <t>Length</t>
        </is>
      </c>
      <c r="M830" s="3" t="inlineStr">
        <is>
          <t>90 Mtr</t>
        </is>
      </c>
      <c r="Q830" s="3" t="inlineStr">
        <is>
          <t>Manufacturer's Warranty</t>
        </is>
      </c>
      <c r="Y830" s="3" t="inlineStr">
        <is>
          <t>WR_PC_PRM</t>
        </is>
      </c>
      <c r="Z830" s="3" t="n">
        <v>8544</v>
      </c>
      <c r="AE830" s="3" t="n">
        <v>14075</v>
      </c>
      <c r="AF830" s="4" t="n">
        <v>0.44</v>
      </c>
      <c r="AG830" s="3">
        <f>ROUND(AE830-(AE830*AF830),2)</f>
        <v/>
      </c>
      <c r="AH830" s="4" t="n">
        <v>0.18</v>
      </c>
      <c r="AI830" s="3">
        <f>ROUND(AG830+(AG830*AH830),2)</f>
        <v/>
      </c>
      <c r="AJ830" s="4" t="n">
        <v>0.1</v>
      </c>
      <c r="AK830" s="3">
        <f>ROUND(AI830*AJ830,2)</f>
        <v/>
      </c>
      <c r="AL830" s="3">
        <f>AI830+AK830</f>
        <v/>
      </c>
      <c r="AM830" s="3">
        <f>AE830-AL830</f>
        <v/>
      </c>
      <c r="AN830" s="4">
        <f>AM830/AE830</f>
        <v/>
      </c>
      <c r="AO830" s="3" t="inlineStr">
        <is>
          <t>60 mins</t>
        </is>
      </c>
      <c r="AQ830" s="3" t="inlineStr">
        <is>
          <t>Weight</t>
        </is>
      </c>
      <c r="AT830" s="3" t="inlineStr">
        <is>
          <t>Actvie</t>
        </is>
      </c>
    </row>
    <row r="831" ht="15.75" customHeight="1">
      <c r="A831" s="3" t="inlineStr">
        <is>
          <t>PROD_0190</t>
        </is>
      </c>
      <c r="B831" s="3" t="inlineStr">
        <is>
          <t>VAR_27</t>
        </is>
      </c>
      <c r="C831" s="3" t="inlineStr">
        <is>
          <t>Electrical Material</t>
        </is>
      </c>
      <c r="D831" s="3" t="inlineStr">
        <is>
          <t>Wires</t>
        </is>
      </c>
      <c r="E831" s="3" t="inlineStr">
        <is>
          <t>Polycab</t>
        </is>
      </c>
      <c r="F831" s="3" t="inlineStr">
        <is>
          <t>Primma</t>
        </is>
      </c>
      <c r="H831" s="3" t="inlineStr">
        <is>
          <t>Thickness</t>
        </is>
      </c>
      <c r="I831" s="3" t="inlineStr">
        <is>
          <t>6 Sq mm</t>
        </is>
      </c>
      <c r="J831" s="3" t="inlineStr">
        <is>
          <t>Color</t>
        </is>
      </c>
      <c r="K831" s="3" t="inlineStr">
        <is>
          <t>Black</t>
        </is>
      </c>
      <c r="L831" s="3" t="inlineStr">
        <is>
          <t>Length</t>
        </is>
      </c>
      <c r="M831" s="3" t="inlineStr">
        <is>
          <t>90 Mtr</t>
        </is>
      </c>
      <c r="Q831" s="3" t="inlineStr">
        <is>
          <t>Manufacturer's Warranty</t>
        </is>
      </c>
      <c r="Y831" s="3" t="inlineStr">
        <is>
          <t>WR_PC_PRM</t>
        </is>
      </c>
      <c r="Z831" s="3" t="n">
        <v>8544</v>
      </c>
      <c r="AE831" s="3" t="n">
        <v>14075</v>
      </c>
      <c r="AF831" s="4" t="n">
        <v>0.44</v>
      </c>
      <c r="AG831" s="3">
        <f>ROUND(AE831-(AE831*AF831),2)</f>
        <v/>
      </c>
      <c r="AH831" s="4" t="n">
        <v>0.18</v>
      </c>
      <c r="AI831" s="3">
        <f>ROUND(AG831+(AG831*AH831),2)</f>
        <v/>
      </c>
      <c r="AJ831" s="4" t="n">
        <v>0.1</v>
      </c>
      <c r="AK831" s="3">
        <f>ROUND(AI831*AJ831,2)</f>
        <v/>
      </c>
      <c r="AL831" s="3">
        <f>AI831+AK831</f>
        <v/>
      </c>
      <c r="AM831" s="3">
        <f>AE831-AL831</f>
        <v/>
      </c>
      <c r="AN831" s="4">
        <f>AM831/AE831</f>
        <v/>
      </c>
      <c r="AO831" s="3" t="inlineStr">
        <is>
          <t>60 mins</t>
        </is>
      </c>
      <c r="AQ831" s="3" t="inlineStr">
        <is>
          <t>Weight</t>
        </is>
      </c>
      <c r="AT831" s="3" t="inlineStr">
        <is>
          <t>Actvie</t>
        </is>
      </c>
    </row>
    <row r="832" ht="15.75" customHeight="1">
      <c r="A832" s="3" t="inlineStr">
        <is>
          <t>PROD_0190</t>
        </is>
      </c>
      <c r="B832" s="3" t="inlineStr">
        <is>
          <t>VAR_28</t>
        </is>
      </c>
      <c r="C832" s="3" t="inlineStr">
        <is>
          <t>Electrical Material</t>
        </is>
      </c>
      <c r="D832" s="3" t="inlineStr">
        <is>
          <t>Wires</t>
        </is>
      </c>
      <c r="E832" s="3" t="inlineStr">
        <is>
          <t>Polycab</t>
        </is>
      </c>
      <c r="F832" s="3" t="inlineStr">
        <is>
          <t>Primma</t>
        </is>
      </c>
      <c r="H832" s="3" t="inlineStr">
        <is>
          <t>Thickness</t>
        </is>
      </c>
      <c r="I832" s="3" t="inlineStr">
        <is>
          <t>6 Sq mm</t>
        </is>
      </c>
      <c r="J832" s="3" t="inlineStr">
        <is>
          <t>Color</t>
        </is>
      </c>
      <c r="K832" s="3" t="inlineStr">
        <is>
          <t>Green</t>
        </is>
      </c>
      <c r="L832" s="3" t="inlineStr">
        <is>
          <t>Length</t>
        </is>
      </c>
      <c r="M832" s="3" t="inlineStr">
        <is>
          <t>90 Mtr</t>
        </is>
      </c>
      <c r="Q832" s="3" t="inlineStr">
        <is>
          <t>Manufacturer's Warranty</t>
        </is>
      </c>
      <c r="Y832" s="3" t="inlineStr">
        <is>
          <t>WR_PC_PRM</t>
        </is>
      </c>
      <c r="Z832" s="3" t="n">
        <v>8544</v>
      </c>
      <c r="AE832" s="3" t="n">
        <v>14075</v>
      </c>
      <c r="AF832" s="4" t="n">
        <v>0.44</v>
      </c>
      <c r="AG832" s="3">
        <f>ROUND(AE832-(AE832*AF832),2)</f>
        <v/>
      </c>
      <c r="AH832" s="4" t="n">
        <v>0.18</v>
      </c>
      <c r="AI832" s="3">
        <f>ROUND(AG832+(AG832*AH832),2)</f>
        <v/>
      </c>
      <c r="AJ832" s="4" t="n">
        <v>0.1</v>
      </c>
      <c r="AK832" s="3">
        <f>ROUND(AI832*AJ832,2)</f>
        <v/>
      </c>
      <c r="AL832" s="3">
        <f>AI832+AK832</f>
        <v/>
      </c>
      <c r="AM832" s="3">
        <f>AE832-AL832</f>
        <v/>
      </c>
      <c r="AN832" s="4">
        <f>AM832/AE832</f>
        <v/>
      </c>
      <c r="AO832" s="3" t="inlineStr">
        <is>
          <t>60 mins</t>
        </is>
      </c>
      <c r="AQ832" s="3" t="inlineStr">
        <is>
          <t>Weight</t>
        </is>
      </c>
      <c r="AT832" s="3" t="inlineStr">
        <is>
          <t>Actvie</t>
        </is>
      </c>
    </row>
    <row r="833" ht="15.75" customHeight="1">
      <c r="A833" s="3" t="inlineStr">
        <is>
          <t>PROD_0190</t>
        </is>
      </c>
      <c r="B833" s="3" t="inlineStr">
        <is>
          <t>VAR_29</t>
        </is>
      </c>
      <c r="C833" s="3" t="inlineStr">
        <is>
          <t>Electrical Material</t>
        </is>
      </c>
      <c r="D833" s="3" t="inlineStr">
        <is>
          <t>Wires</t>
        </is>
      </c>
      <c r="E833" s="3" t="inlineStr">
        <is>
          <t>Polycab</t>
        </is>
      </c>
      <c r="F833" s="3" t="inlineStr">
        <is>
          <t>Primma</t>
        </is>
      </c>
      <c r="H833" s="3" t="inlineStr">
        <is>
          <t>Thickness</t>
        </is>
      </c>
      <c r="I833" s="3" t="inlineStr">
        <is>
          <t>6 Sq mm</t>
        </is>
      </c>
      <c r="J833" s="3" t="inlineStr">
        <is>
          <t>Color</t>
        </is>
      </c>
      <c r="K833" s="3" t="inlineStr">
        <is>
          <t>Yellow</t>
        </is>
      </c>
      <c r="L833" s="3" t="inlineStr">
        <is>
          <t>Length</t>
        </is>
      </c>
      <c r="M833" s="3" t="inlineStr">
        <is>
          <t>90 Mtr</t>
        </is>
      </c>
      <c r="Q833" s="3" t="inlineStr">
        <is>
          <t>Manufacturer's Warranty</t>
        </is>
      </c>
      <c r="Y833" s="3" t="inlineStr">
        <is>
          <t>WR_PC_PRM</t>
        </is>
      </c>
      <c r="Z833" s="3" t="n">
        <v>8544</v>
      </c>
      <c r="AE833" s="3" t="n">
        <v>14075</v>
      </c>
      <c r="AF833" s="4" t="n">
        <v>0.44</v>
      </c>
      <c r="AG833" s="3">
        <f>ROUND(AE833-(AE833*AF833),2)</f>
        <v/>
      </c>
      <c r="AH833" s="4" t="n">
        <v>0.18</v>
      </c>
      <c r="AI833" s="3">
        <f>ROUND(AG833+(AG833*AH833),2)</f>
        <v/>
      </c>
      <c r="AJ833" s="4" t="n">
        <v>0.1</v>
      </c>
      <c r="AK833" s="3">
        <f>ROUND(AI833*AJ833,2)</f>
        <v/>
      </c>
      <c r="AL833" s="3">
        <f>AI833+AK833</f>
        <v/>
      </c>
      <c r="AM833" s="3">
        <f>AE833-AL833</f>
        <v/>
      </c>
      <c r="AN833" s="4">
        <f>AM833/AE833</f>
        <v/>
      </c>
      <c r="AO833" s="3" t="inlineStr">
        <is>
          <t>60 mins</t>
        </is>
      </c>
      <c r="AQ833" s="3" t="inlineStr">
        <is>
          <t>Weight</t>
        </is>
      </c>
      <c r="AT833" s="3" t="inlineStr">
        <is>
          <t>Actvie</t>
        </is>
      </c>
    </row>
    <row r="834" ht="15.75" customHeight="1">
      <c r="A834" s="3" t="inlineStr">
        <is>
          <t>PROD_0190</t>
        </is>
      </c>
      <c r="B834" s="3" t="inlineStr">
        <is>
          <t>VAR_30</t>
        </is>
      </c>
      <c r="C834" s="3" t="inlineStr">
        <is>
          <t>Electrical Material</t>
        </is>
      </c>
      <c r="D834" s="3" t="inlineStr">
        <is>
          <t>Wires</t>
        </is>
      </c>
      <c r="E834" s="3" t="inlineStr">
        <is>
          <t>Polycab</t>
        </is>
      </c>
      <c r="F834" s="3" t="inlineStr">
        <is>
          <t>Primma</t>
        </is>
      </c>
      <c r="H834" s="3" t="inlineStr">
        <is>
          <t>Thickness</t>
        </is>
      </c>
      <c r="I834" s="3" t="inlineStr">
        <is>
          <t>6 Sq mm</t>
        </is>
      </c>
      <c r="J834" s="3" t="inlineStr">
        <is>
          <t>Color</t>
        </is>
      </c>
      <c r="K834" s="3" t="inlineStr">
        <is>
          <t>Blue</t>
        </is>
      </c>
      <c r="L834" s="3" t="inlineStr">
        <is>
          <t>Length</t>
        </is>
      </c>
      <c r="M834" s="3" t="inlineStr">
        <is>
          <t>90 Mtr</t>
        </is>
      </c>
      <c r="Q834" s="3" t="inlineStr">
        <is>
          <t>Manufacturer's Warranty</t>
        </is>
      </c>
      <c r="Y834" s="3" t="inlineStr">
        <is>
          <t>WR_PC_PRM</t>
        </is>
      </c>
      <c r="Z834" s="3" t="n">
        <v>8544</v>
      </c>
      <c r="AE834" s="3" t="n">
        <v>14075</v>
      </c>
      <c r="AF834" s="4" t="n">
        <v>0.44</v>
      </c>
      <c r="AG834" s="3">
        <f>ROUND(AE834-(AE834*AF834),2)</f>
        <v/>
      </c>
      <c r="AH834" s="4" t="n">
        <v>0.18</v>
      </c>
      <c r="AI834" s="3">
        <f>ROUND(AG834+(AG834*AH834),2)</f>
        <v/>
      </c>
      <c r="AJ834" s="4" t="n">
        <v>0.1</v>
      </c>
      <c r="AK834" s="3">
        <f>ROUND(AI834*AJ834,2)</f>
        <v/>
      </c>
      <c r="AL834" s="3">
        <f>AI834+AK834</f>
        <v/>
      </c>
      <c r="AM834" s="3">
        <f>AE834-AL834</f>
        <v/>
      </c>
      <c r="AN834" s="4">
        <f>AM834/AE834</f>
        <v/>
      </c>
      <c r="AO834" s="3" t="inlineStr">
        <is>
          <t>60 mins</t>
        </is>
      </c>
      <c r="AQ834" s="3" t="inlineStr">
        <is>
          <t>Weight</t>
        </is>
      </c>
      <c r="AT834" s="3" t="inlineStr">
        <is>
          <t>Actvie</t>
        </is>
      </c>
    </row>
    <row r="835" ht="15.75" customHeight="1">
      <c r="A835" s="3" t="inlineStr">
        <is>
          <t>PROD_0191</t>
        </is>
      </c>
      <c r="B835" s="3" t="inlineStr">
        <is>
          <t>VAR_1</t>
        </is>
      </c>
      <c r="C835" s="3" t="inlineStr">
        <is>
          <t>Electrical Material</t>
        </is>
      </c>
      <c r="D835" s="3" t="inlineStr">
        <is>
          <t>Wires</t>
        </is>
      </c>
      <c r="E835" s="3" t="inlineStr">
        <is>
          <t>Polycab</t>
        </is>
      </c>
      <c r="F835" s="3" t="inlineStr">
        <is>
          <t>Etira</t>
        </is>
      </c>
      <c r="H835" s="3" t="inlineStr">
        <is>
          <t>Thickness</t>
        </is>
      </c>
      <c r="I835" s="3" t="inlineStr">
        <is>
          <t>0.75 Sq mm</t>
        </is>
      </c>
      <c r="J835" s="3" t="inlineStr">
        <is>
          <t>Color</t>
        </is>
      </c>
      <c r="K835" s="3" t="inlineStr">
        <is>
          <t>Red</t>
        </is>
      </c>
      <c r="L835" s="3" t="inlineStr">
        <is>
          <t>Length</t>
        </is>
      </c>
      <c r="M835" s="3" t="inlineStr">
        <is>
          <t>90 Mtr</t>
        </is>
      </c>
      <c r="Q835" s="3" t="inlineStr">
        <is>
          <t>Manufacturer's Warranty</t>
        </is>
      </c>
      <c r="R835" s="3" t="inlineStr">
        <is>
          <t>FR</t>
        </is>
      </c>
      <c r="Y835" s="3" t="inlineStr">
        <is>
          <t>WR_PC_ETR_RD</t>
        </is>
      </c>
      <c r="Z835" s="3" t="n">
        <v>8544</v>
      </c>
      <c r="AE835" s="3" t="n">
        <v>1930</v>
      </c>
      <c r="AF835" s="4" t="n">
        <v>0.44</v>
      </c>
      <c r="AG835" s="3">
        <f>ROUND(AE835-(AE835*AF835),2)</f>
        <v/>
      </c>
      <c r="AH835" s="4" t="n">
        <v>0.18</v>
      </c>
      <c r="AI835" s="3">
        <f>ROUND(AG835+(AG835*AH835),2)</f>
        <v/>
      </c>
      <c r="AJ835" s="4" t="n">
        <v>0.1</v>
      </c>
      <c r="AK835" s="3">
        <f>ROUND(AI835*AJ835,2)</f>
        <v/>
      </c>
      <c r="AL835" s="3">
        <f>AI835+AK835</f>
        <v/>
      </c>
      <c r="AM835" s="3">
        <f>AE835-AL835</f>
        <v/>
      </c>
      <c r="AN835" s="4">
        <f>AM835/AE835</f>
        <v/>
      </c>
      <c r="AO835" s="3" t="inlineStr">
        <is>
          <t>60 mins</t>
        </is>
      </c>
      <c r="AQ835" s="3" t="inlineStr">
        <is>
          <t>Weight</t>
        </is>
      </c>
      <c r="AT835" s="3" t="inlineStr">
        <is>
          <t>Actvie</t>
        </is>
      </c>
    </row>
    <row r="836" ht="15.75" customHeight="1">
      <c r="A836" s="3" t="inlineStr">
        <is>
          <t>PROD_0191</t>
        </is>
      </c>
      <c r="B836" s="3" t="inlineStr">
        <is>
          <t>VAR_2</t>
        </is>
      </c>
      <c r="C836" s="3" t="inlineStr">
        <is>
          <t>Electrical Material</t>
        </is>
      </c>
      <c r="D836" s="3" t="inlineStr">
        <is>
          <t>Wires</t>
        </is>
      </c>
      <c r="E836" s="3" t="inlineStr">
        <is>
          <t>Polycab</t>
        </is>
      </c>
      <c r="F836" s="3" t="inlineStr">
        <is>
          <t>Etira</t>
        </is>
      </c>
      <c r="H836" s="3" t="inlineStr">
        <is>
          <t>Thickness</t>
        </is>
      </c>
      <c r="I836" s="3" t="inlineStr">
        <is>
          <t>0.75 Sq mm</t>
        </is>
      </c>
      <c r="J836" s="3" t="inlineStr">
        <is>
          <t>Color</t>
        </is>
      </c>
      <c r="K836" s="3" t="inlineStr">
        <is>
          <t>Black</t>
        </is>
      </c>
      <c r="L836" s="3" t="inlineStr">
        <is>
          <t>Length</t>
        </is>
      </c>
      <c r="M836" s="3" t="inlineStr">
        <is>
          <t>90 Mtr</t>
        </is>
      </c>
      <c r="Q836" s="3" t="inlineStr">
        <is>
          <t>Manufacturer's Warranty</t>
        </is>
      </c>
      <c r="Y836" s="3" t="inlineStr">
        <is>
          <t>WR_PC_ETR_BLK</t>
        </is>
      </c>
      <c r="Z836" s="3" t="n">
        <v>8544</v>
      </c>
      <c r="AE836" s="3" t="n">
        <v>1930</v>
      </c>
      <c r="AF836" s="4" t="n">
        <v>0.44</v>
      </c>
      <c r="AG836" s="3">
        <f>ROUND(AE836-(AE836*AF836),2)</f>
        <v/>
      </c>
      <c r="AH836" s="4" t="n">
        <v>0.18</v>
      </c>
      <c r="AI836" s="3">
        <f>ROUND(AG836+(AG836*AH836),2)</f>
        <v/>
      </c>
      <c r="AJ836" s="4" t="n">
        <v>0.1</v>
      </c>
      <c r="AK836" s="3">
        <f>ROUND(AI836*AJ836,2)</f>
        <v/>
      </c>
      <c r="AL836" s="3">
        <f>AI836+AK836</f>
        <v/>
      </c>
      <c r="AM836" s="3">
        <f>AE836-AL836</f>
        <v/>
      </c>
      <c r="AN836" s="4">
        <f>AM836/AE836</f>
        <v/>
      </c>
      <c r="AO836" s="3" t="inlineStr">
        <is>
          <t>60 mins</t>
        </is>
      </c>
      <c r="AQ836" s="3" t="inlineStr">
        <is>
          <t>Weight</t>
        </is>
      </c>
      <c r="AT836" s="3" t="inlineStr">
        <is>
          <t>Actvie</t>
        </is>
      </c>
    </row>
    <row r="837" ht="15.75" customHeight="1">
      <c r="A837" s="3" t="inlineStr">
        <is>
          <t>PROD_0191</t>
        </is>
      </c>
      <c r="B837" s="3" t="inlineStr">
        <is>
          <t>VAR_3</t>
        </is>
      </c>
      <c r="C837" s="3" t="inlineStr">
        <is>
          <t>Electrical Material</t>
        </is>
      </c>
      <c r="D837" s="3" t="inlineStr">
        <is>
          <t>Wires</t>
        </is>
      </c>
      <c r="E837" s="3" t="inlineStr">
        <is>
          <t>Polycab</t>
        </is>
      </c>
      <c r="F837" s="3" t="inlineStr">
        <is>
          <t>Etira</t>
        </is>
      </c>
      <c r="H837" s="3" t="inlineStr">
        <is>
          <t>Thickness</t>
        </is>
      </c>
      <c r="I837" s="3" t="inlineStr">
        <is>
          <t>0.75 Sq mm</t>
        </is>
      </c>
      <c r="J837" s="3" t="inlineStr">
        <is>
          <t>Color</t>
        </is>
      </c>
      <c r="K837" s="3" t="inlineStr">
        <is>
          <t>Green</t>
        </is>
      </c>
      <c r="L837" s="3" t="inlineStr">
        <is>
          <t>Length</t>
        </is>
      </c>
      <c r="M837" s="3" t="inlineStr">
        <is>
          <t>90 Mtr</t>
        </is>
      </c>
      <c r="Q837" s="3" t="inlineStr">
        <is>
          <t>Manufacturer's Warranty</t>
        </is>
      </c>
      <c r="Y837" s="3" t="inlineStr">
        <is>
          <t>WR_PC_ETR_GRN</t>
        </is>
      </c>
      <c r="Z837" s="3" t="n">
        <v>8544</v>
      </c>
      <c r="AE837" s="3" t="n">
        <v>1930</v>
      </c>
      <c r="AF837" s="4" t="n">
        <v>0.44</v>
      </c>
      <c r="AG837" s="3">
        <f>ROUND(AE837-(AE837*AF837),2)</f>
        <v/>
      </c>
      <c r="AH837" s="4" t="n">
        <v>0.18</v>
      </c>
      <c r="AI837" s="3">
        <f>ROUND(AG837+(AG837*AH837),2)</f>
        <v/>
      </c>
      <c r="AJ837" s="4" t="n">
        <v>0.1</v>
      </c>
      <c r="AK837" s="3">
        <f>ROUND(AI837*AJ837,2)</f>
        <v/>
      </c>
      <c r="AL837" s="3">
        <f>AI837+AK837</f>
        <v/>
      </c>
      <c r="AM837" s="3">
        <f>AE837-AL837</f>
        <v/>
      </c>
      <c r="AN837" s="4">
        <f>AM837/AE837</f>
        <v/>
      </c>
      <c r="AO837" s="3" t="inlineStr">
        <is>
          <t>60 mins</t>
        </is>
      </c>
      <c r="AQ837" s="3" t="inlineStr">
        <is>
          <t>Weight</t>
        </is>
      </c>
      <c r="AT837" s="3" t="inlineStr">
        <is>
          <t>Actvie</t>
        </is>
      </c>
    </row>
    <row r="838" ht="15.75" customHeight="1">
      <c r="A838" s="3" t="inlineStr">
        <is>
          <t>PROD_0191</t>
        </is>
      </c>
      <c r="B838" s="3" t="inlineStr">
        <is>
          <t>VAR_4</t>
        </is>
      </c>
      <c r="C838" s="3" t="inlineStr">
        <is>
          <t>Electrical Material</t>
        </is>
      </c>
      <c r="D838" s="3" t="inlineStr">
        <is>
          <t>Wires</t>
        </is>
      </c>
      <c r="E838" s="3" t="inlineStr">
        <is>
          <t>Polycab</t>
        </is>
      </c>
      <c r="F838" s="3" t="inlineStr">
        <is>
          <t>Etira</t>
        </is>
      </c>
      <c r="H838" s="3" t="inlineStr">
        <is>
          <t>Thickness</t>
        </is>
      </c>
      <c r="I838" s="3" t="inlineStr">
        <is>
          <t>0.75 Sq mm</t>
        </is>
      </c>
      <c r="J838" s="3" t="inlineStr">
        <is>
          <t>Color</t>
        </is>
      </c>
      <c r="K838" s="3" t="inlineStr">
        <is>
          <t>Yellow</t>
        </is>
      </c>
      <c r="L838" s="3" t="inlineStr">
        <is>
          <t>Length</t>
        </is>
      </c>
      <c r="M838" s="3" t="inlineStr">
        <is>
          <t>90 Mtr</t>
        </is>
      </c>
      <c r="Q838" s="3" t="inlineStr">
        <is>
          <t>Manufacturer's Warranty</t>
        </is>
      </c>
      <c r="Y838" s="3" t="inlineStr">
        <is>
          <t>WR_PC_ETR_YLW</t>
        </is>
      </c>
      <c r="Z838" s="3" t="n">
        <v>8544</v>
      </c>
      <c r="AE838" s="3" t="n">
        <v>1930</v>
      </c>
      <c r="AF838" s="4" t="n">
        <v>0.44</v>
      </c>
      <c r="AG838" s="3">
        <f>ROUND(AE838-(AE838*AF838),2)</f>
        <v/>
      </c>
      <c r="AH838" s="4" t="n">
        <v>0.18</v>
      </c>
      <c r="AI838" s="3">
        <f>ROUND(AG838+(AG838*AH838),2)</f>
        <v/>
      </c>
      <c r="AJ838" s="4" t="n">
        <v>0.1</v>
      </c>
      <c r="AK838" s="3">
        <f>ROUND(AI838*AJ838,2)</f>
        <v/>
      </c>
      <c r="AL838" s="3">
        <f>AI838+AK838</f>
        <v/>
      </c>
      <c r="AM838" s="3">
        <f>AE838-AL838</f>
        <v/>
      </c>
      <c r="AN838" s="4">
        <f>AM838/AE838</f>
        <v/>
      </c>
      <c r="AO838" s="3" t="inlineStr">
        <is>
          <t>60 mins</t>
        </is>
      </c>
      <c r="AQ838" s="3" t="inlineStr">
        <is>
          <t>Weight</t>
        </is>
      </c>
      <c r="AT838" s="3" t="inlineStr">
        <is>
          <t>Actvie</t>
        </is>
      </c>
    </row>
    <row r="839" ht="15.75" customHeight="1">
      <c r="A839" s="3" t="inlineStr">
        <is>
          <t>PROD_0191</t>
        </is>
      </c>
      <c r="B839" s="3" t="inlineStr">
        <is>
          <t>VAR_5</t>
        </is>
      </c>
      <c r="C839" s="3" t="inlineStr">
        <is>
          <t>Electrical Material</t>
        </is>
      </c>
      <c r="D839" s="3" t="inlineStr">
        <is>
          <t>Wires</t>
        </is>
      </c>
      <c r="E839" s="3" t="inlineStr">
        <is>
          <t>Polycab</t>
        </is>
      </c>
      <c r="F839" s="3" t="inlineStr">
        <is>
          <t>Etira</t>
        </is>
      </c>
      <c r="H839" s="3" t="inlineStr">
        <is>
          <t>Thickness</t>
        </is>
      </c>
      <c r="I839" s="3" t="inlineStr">
        <is>
          <t>0.75 Sq mm</t>
        </is>
      </c>
      <c r="J839" s="3" t="inlineStr">
        <is>
          <t>Color</t>
        </is>
      </c>
      <c r="K839" s="3" t="inlineStr">
        <is>
          <t>Blue</t>
        </is>
      </c>
      <c r="L839" s="3" t="inlineStr">
        <is>
          <t>Length</t>
        </is>
      </c>
      <c r="M839" s="3" t="inlineStr">
        <is>
          <t>90 Mtr</t>
        </is>
      </c>
      <c r="Q839" s="3" t="inlineStr">
        <is>
          <t>Manufacturer's Warranty</t>
        </is>
      </c>
      <c r="Y839" s="3" t="inlineStr">
        <is>
          <t>WR_PC_ETR_BLU</t>
        </is>
      </c>
      <c r="Z839" s="3" t="n">
        <v>8544</v>
      </c>
      <c r="AE839" s="3" t="n">
        <v>1930</v>
      </c>
      <c r="AF839" s="4" t="n">
        <v>0.44</v>
      </c>
      <c r="AG839" s="3">
        <f>ROUND(AE839-(AE839*AF839),2)</f>
        <v/>
      </c>
      <c r="AH839" s="4" t="n">
        <v>0.18</v>
      </c>
      <c r="AI839" s="3">
        <f>ROUND(AG839+(AG839*AH839),2)</f>
        <v/>
      </c>
      <c r="AJ839" s="4" t="n">
        <v>0.1</v>
      </c>
      <c r="AK839" s="3">
        <f>ROUND(AI839*AJ839,2)</f>
        <v/>
      </c>
      <c r="AL839" s="3">
        <f>AI839+AK839</f>
        <v/>
      </c>
      <c r="AM839" s="3">
        <f>AE839-AL839</f>
        <v/>
      </c>
      <c r="AN839" s="4">
        <f>AM839/AE839</f>
        <v/>
      </c>
      <c r="AO839" s="3" t="inlineStr">
        <is>
          <t>60 mins</t>
        </is>
      </c>
      <c r="AQ839" s="3" t="inlineStr">
        <is>
          <t>Weight</t>
        </is>
      </c>
      <c r="AT839" s="3" t="inlineStr">
        <is>
          <t>Actvie</t>
        </is>
      </c>
    </row>
    <row r="840" ht="15.75" customHeight="1">
      <c r="A840" s="3" t="inlineStr">
        <is>
          <t>PROD_0191</t>
        </is>
      </c>
      <c r="B840" s="3" t="inlineStr">
        <is>
          <t>VAR_6</t>
        </is>
      </c>
      <c r="C840" s="3" t="inlineStr">
        <is>
          <t>Electrical Material</t>
        </is>
      </c>
      <c r="D840" s="3" t="inlineStr">
        <is>
          <t>Wires</t>
        </is>
      </c>
      <c r="E840" s="3" t="inlineStr">
        <is>
          <t>Polycab</t>
        </is>
      </c>
      <c r="F840" s="3" t="inlineStr">
        <is>
          <t>Etira</t>
        </is>
      </c>
      <c r="H840" s="3" t="inlineStr">
        <is>
          <t>Thickness</t>
        </is>
      </c>
      <c r="I840" s="3" t="inlineStr">
        <is>
          <t>1 Sq mm</t>
        </is>
      </c>
      <c r="J840" s="3" t="inlineStr">
        <is>
          <t>Color</t>
        </is>
      </c>
      <c r="K840" s="3" t="inlineStr">
        <is>
          <t>Red</t>
        </is>
      </c>
      <c r="L840" s="3" t="inlineStr">
        <is>
          <t>Length</t>
        </is>
      </c>
      <c r="M840" s="3" t="inlineStr">
        <is>
          <t>90 Mtr</t>
        </is>
      </c>
      <c r="Q840" s="3" t="inlineStr">
        <is>
          <t>Manufacturer's Warranty</t>
        </is>
      </c>
      <c r="R840" s="3" t="inlineStr">
        <is>
          <t>FR</t>
        </is>
      </c>
      <c r="Y840" s="3" t="inlineStr">
        <is>
          <t>WR_PC_ETR_RD</t>
        </is>
      </c>
      <c r="Z840" s="3" t="n">
        <v>8544</v>
      </c>
      <c r="AE840" s="3" t="n">
        <v>2505</v>
      </c>
      <c r="AF840" s="4" t="n">
        <v>0.44</v>
      </c>
      <c r="AG840" s="3">
        <f>ROUND(AE840-(AE840*AF840),2)</f>
        <v/>
      </c>
      <c r="AH840" s="4" t="n">
        <v>0.18</v>
      </c>
      <c r="AI840" s="3">
        <f>ROUND(AG840+(AG840*AH840),2)</f>
        <v/>
      </c>
      <c r="AJ840" s="4" t="n">
        <v>0.1</v>
      </c>
      <c r="AK840" s="3">
        <f>ROUND(AI840*AJ840,2)</f>
        <v/>
      </c>
      <c r="AL840" s="3">
        <f>AI840+AK840</f>
        <v/>
      </c>
      <c r="AM840" s="3">
        <f>AE840-AL840</f>
        <v/>
      </c>
      <c r="AN840" s="4">
        <f>AM840/AE840</f>
        <v/>
      </c>
      <c r="AO840" s="3" t="inlineStr">
        <is>
          <t>60 mins</t>
        </is>
      </c>
      <c r="AQ840" s="3" t="inlineStr">
        <is>
          <t>Weight</t>
        </is>
      </c>
      <c r="AT840" s="3" t="inlineStr">
        <is>
          <t>Actvie</t>
        </is>
      </c>
    </row>
    <row r="841" ht="15.75" customHeight="1">
      <c r="A841" s="3" t="inlineStr">
        <is>
          <t>PROD_0191</t>
        </is>
      </c>
      <c r="B841" s="3" t="inlineStr">
        <is>
          <t>VAR_7</t>
        </is>
      </c>
      <c r="C841" s="3" t="inlineStr">
        <is>
          <t>Electrical Material</t>
        </is>
      </c>
      <c r="D841" s="3" t="inlineStr">
        <is>
          <t>Wires</t>
        </is>
      </c>
      <c r="E841" s="3" t="inlineStr">
        <is>
          <t>Polycab</t>
        </is>
      </c>
      <c r="F841" s="3" t="inlineStr">
        <is>
          <t>Etira</t>
        </is>
      </c>
      <c r="H841" s="3" t="inlineStr">
        <is>
          <t>Thickness</t>
        </is>
      </c>
      <c r="I841" s="3" t="inlineStr">
        <is>
          <t>1 Sq mm</t>
        </is>
      </c>
      <c r="J841" s="3" t="inlineStr">
        <is>
          <t>Color</t>
        </is>
      </c>
      <c r="K841" s="3" t="inlineStr">
        <is>
          <t>Black</t>
        </is>
      </c>
      <c r="L841" s="3" t="inlineStr">
        <is>
          <t>Length</t>
        </is>
      </c>
      <c r="M841" s="3" t="inlineStr">
        <is>
          <t>90 Mtr</t>
        </is>
      </c>
      <c r="Q841" s="3" t="inlineStr">
        <is>
          <t>Manufacturer's Warranty</t>
        </is>
      </c>
      <c r="Y841" s="3" t="inlineStr">
        <is>
          <t>WR_PC_ETR_BLK</t>
        </is>
      </c>
      <c r="Z841" s="3" t="n">
        <v>8544</v>
      </c>
      <c r="AE841" s="3" t="n">
        <v>2505</v>
      </c>
      <c r="AF841" s="4" t="n">
        <v>0.44</v>
      </c>
      <c r="AG841" s="3">
        <f>ROUND(AE841-(AE841*AF841),2)</f>
        <v/>
      </c>
      <c r="AH841" s="4" t="n">
        <v>0.18</v>
      </c>
      <c r="AI841" s="3">
        <f>ROUND(AG841+(AG841*AH841),2)</f>
        <v/>
      </c>
      <c r="AJ841" s="4" t="n">
        <v>0.1</v>
      </c>
      <c r="AK841" s="3">
        <f>ROUND(AI841*AJ841,2)</f>
        <v/>
      </c>
      <c r="AL841" s="3">
        <f>AI841+AK841</f>
        <v/>
      </c>
      <c r="AM841" s="3">
        <f>AE841-AL841</f>
        <v/>
      </c>
      <c r="AN841" s="4">
        <f>AM841/AE841</f>
        <v/>
      </c>
      <c r="AO841" s="3" t="inlineStr">
        <is>
          <t>60 mins</t>
        </is>
      </c>
      <c r="AQ841" s="3" t="inlineStr">
        <is>
          <t>Weight</t>
        </is>
      </c>
      <c r="AT841" s="3" t="inlineStr">
        <is>
          <t>Actvie</t>
        </is>
      </c>
    </row>
    <row r="842" ht="15.75" customHeight="1">
      <c r="A842" s="3" t="inlineStr">
        <is>
          <t>PROD_0191</t>
        </is>
      </c>
      <c r="B842" s="3" t="inlineStr">
        <is>
          <t>VAR_8</t>
        </is>
      </c>
      <c r="C842" s="3" t="inlineStr">
        <is>
          <t>Electrical Material</t>
        </is>
      </c>
      <c r="D842" s="3" t="inlineStr">
        <is>
          <t>Wires</t>
        </is>
      </c>
      <c r="E842" s="3" t="inlineStr">
        <is>
          <t>Polycab</t>
        </is>
      </c>
      <c r="F842" s="3" t="inlineStr">
        <is>
          <t>Etira</t>
        </is>
      </c>
      <c r="H842" s="3" t="inlineStr">
        <is>
          <t>Thickness</t>
        </is>
      </c>
      <c r="I842" s="3" t="inlineStr">
        <is>
          <t>1 Sq mm</t>
        </is>
      </c>
      <c r="J842" s="3" t="inlineStr">
        <is>
          <t>Color</t>
        </is>
      </c>
      <c r="K842" s="3" t="inlineStr">
        <is>
          <t>Green</t>
        </is>
      </c>
      <c r="L842" s="3" t="inlineStr">
        <is>
          <t>Length</t>
        </is>
      </c>
      <c r="M842" s="3" t="inlineStr">
        <is>
          <t>90 Mtr</t>
        </is>
      </c>
      <c r="Q842" s="3" t="inlineStr">
        <is>
          <t>Manufacturer's Warranty</t>
        </is>
      </c>
      <c r="Y842" s="3" t="inlineStr">
        <is>
          <t>WR_PC_ETR_GRN</t>
        </is>
      </c>
      <c r="Z842" s="3" t="n">
        <v>8544</v>
      </c>
      <c r="AE842" s="3" t="n">
        <v>2505</v>
      </c>
      <c r="AF842" s="4" t="n">
        <v>0.44</v>
      </c>
      <c r="AG842" s="3">
        <f>ROUND(AE842-(AE842*AF842),2)</f>
        <v/>
      </c>
      <c r="AH842" s="4" t="n">
        <v>0.18</v>
      </c>
      <c r="AI842" s="3">
        <f>ROUND(AG842+(AG842*AH842),2)</f>
        <v/>
      </c>
      <c r="AJ842" s="4" t="n">
        <v>0.1</v>
      </c>
      <c r="AK842" s="3">
        <f>ROUND(AI842*AJ842,2)</f>
        <v/>
      </c>
      <c r="AL842" s="3">
        <f>AI842+AK842</f>
        <v/>
      </c>
      <c r="AM842" s="3">
        <f>AE842-AL842</f>
        <v/>
      </c>
      <c r="AN842" s="4">
        <f>AM842/AE842</f>
        <v/>
      </c>
      <c r="AO842" s="3" t="inlineStr">
        <is>
          <t>60 mins</t>
        </is>
      </c>
      <c r="AQ842" s="3" t="inlineStr">
        <is>
          <t>Weight</t>
        </is>
      </c>
      <c r="AT842" s="3" t="inlineStr">
        <is>
          <t>Actvie</t>
        </is>
      </c>
    </row>
    <row r="843" ht="15.75" customHeight="1">
      <c r="A843" s="3" t="inlineStr">
        <is>
          <t>PROD_0191</t>
        </is>
      </c>
      <c r="B843" s="3" t="inlineStr">
        <is>
          <t>VAR_9</t>
        </is>
      </c>
      <c r="C843" s="3" t="inlineStr">
        <is>
          <t>Electrical Material</t>
        </is>
      </c>
      <c r="D843" s="3" t="inlineStr">
        <is>
          <t>Wires</t>
        </is>
      </c>
      <c r="E843" s="3" t="inlineStr">
        <is>
          <t>Polycab</t>
        </is>
      </c>
      <c r="F843" s="3" t="inlineStr">
        <is>
          <t>Etira</t>
        </is>
      </c>
      <c r="H843" s="3" t="inlineStr">
        <is>
          <t>Thickness</t>
        </is>
      </c>
      <c r="I843" s="3" t="inlineStr">
        <is>
          <t>1 Sq mm</t>
        </is>
      </c>
      <c r="J843" s="3" t="inlineStr">
        <is>
          <t>Color</t>
        </is>
      </c>
      <c r="K843" s="3" t="inlineStr">
        <is>
          <t>Yellow</t>
        </is>
      </c>
      <c r="L843" s="3" t="inlineStr">
        <is>
          <t>Length</t>
        </is>
      </c>
      <c r="M843" s="3" t="inlineStr">
        <is>
          <t>90 Mtr</t>
        </is>
      </c>
      <c r="Q843" s="3" t="inlineStr">
        <is>
          <t>Manufacturer's Warranty</t>
        </is>
      </c>
      <c r="Y843" s="3" t="inlineStr">
        <is>
          <t>WR_PC_ETR_YLW</t>
        </is>
      </c>
      <c r="Z843" s="3" t="n">
        <v>8544</v>
      </c>
      <c r="AE843" s="3" t="n">
        <v>2505</v>
      </c>
      <c r="AF843" s="4" t="n">
        <v>0.44</v>
      </c>
      <c r="AG843" s="3">
        <f>ROUND(AE843-(AE843*AF843),2)</f>
        <v/>
      </c>
      <c r="AH843" s="4" t="n">
        <v>0.18</v>
      </c>
      <c r="AI843" s="3">
        <f>ROUND(AG843+(AG843*AH843),2)</f>
        <v/>
      </c>
      <c r="AJ843" s="4" t="n">
        <v>0.1</v>
      </c>
      <c r="AK843" s="3">
        <f>ROUND(AI843*AJ843,2)</f>
        <v/>
      </c>
      <c r="AL843" s="3">
        <f>AI843+AK843</f>
        <v/>
      </c>
      <c r="AM843" s="3">
        <f>AE843-AL843</f>
        <v/>
      </c>
      <c r="AN843" s="4">
        <f>AM843/AE843</f>
        <v/>
      </c>
      <c r="AO843" s="3" t="inlineStr">
        <is>
          <t>60 mins</t>
        </is>
      </c>
      <c r="AQ843" s="3" t="inlineStr">
        <is>
          <t>Weight</t>
        </is>
      </c>
      <c r="AT843" s="3" t="inlineStr">
        <is>
          <t>Actvie</t>
        </is>
      </c>
    </row>
    <row r="844" ht="15.75" customHeight="1">
      <c r="A844" s="3" t="inlineStr">
        <is>
          <t>PROD_0191</t>
        </is>
      </c>
      <c r="B844" s="3" t="inlineStr">
        <is>
          <t>VAR_10</t>
        </is>
      </c>
      <c r="C844" s="3" t="inlineStr">
        <is>
          <t>Electrical Material</t>
        </is>
      </c>
      <c r="D844" s="3" t="inlineStr">
        <is>
          <t>Wires</t>
        </is>
      </c>
      <c r="E844" s="3" t="inlineStr">
        <is>
          <t>Polycab</t>
        </is>
      </c>
      <c r="F844" s="3" t="inlineStr">
        <is>
          <t>Etira</t>
        </is>
      </c>
      <c r="H844" s="3" t="inlineStr">
        <is>
          <t>Thickness</t>
        </is>
      </c>
      <c r="I844" s="3" t="inlineStr">
        <is>
          <t>1 Sq mm</t>
        </is>
      </c>
      <c r="J844" s="3" t="inlineStr">
        <is>
          <t>Color</t>
        </is>
      </c>
      <c r="K844" s="3" t="inlineStr">
        <is>
          <t>Blue</t>
        </is>
      </c>
      <c r="L844" s="3" t="inlineStr">
        <is>
          <t>Length</t>
        </is>
      </c>
      <c r="M844" s="3" t="inlineStr">
        <is>
          <t>90 Mtr</t>
        </is>
      </c>
      <c r="Q844" s="3" t="inlineStr">
        <is>
          <t>Manufacturer's Warranty</t>
        </is>
      </c>
      <c r="Y844" s="3" t="inlineStr">
        <is>
          <t>WR_PC_ETR_BLU</t>
        </is>
      </c>
      <c r="Z844" s="3" t="n">
        <v>8544</v>
      </c>
      <c r="AE844" s="3" t="n">
        <v>2505</v>
      </c>
      <c r="AF844" s="4" t="n">
        <v>0.44</v>
      </c>
      <c r="AG844" s="3">
        <f>ROUND(AE844-(AE844*AF844),2)</f>
        <v/>
      </c>
      <c r="AH844" s="4" t="n">
        <v>0.18</v>
      </c>
      <c r="AI844" s="3">
        <f>ROUND(AG844+(AG844*AH844),2)</f>
        <v/>
      </c>
      <c r="AJ844" s="4" t="n">
        <v>0.1</v>
      </c>
      <c r="AK844" s="3">
        <f>ROUND(AI844*AJ844,2)</f>
        <v/>
      </c>
      <c r="AL844" s="3">
        <f>AI844+AK844</f>
        <v/>
      </c>
      <c r="AM844" s="3">
        <f>AE844-AL844</f>
        <v/>
      </c>
      <c r="AN844" s="4">
        <f>AM844/AE844</f>
        <v/>
      </c>
      <c r="AO844" s="3" t="inlineStr">
        <is>
          <t>60 mins</t>
        </is>
      </c>
      <c r="AQ844" s="3" t="inlineStr">
        <is>
          <t>Weight</t>
        </is>
      </c>
      <c r="AT844" s="3" t="inlineStr">
        <is>
          <t>Actvie</t>
        </is>
      </c>
    </row>
    <row r="845" ht="15.75" customHeight="1">
      <c r="A845" s="3" t="inlineStr">
        <is>
          <t>PROD_0191</t>
        </is>
      </c>
      <c r="B845" s="3" t="inlineStr">
        <is>
          <t>VAR_11</t>
        </is>
      </c>
      <c r="C845" s="3" t="inlineStr">
        <is>
          <t>Electrical Material</t>
        </is>
      </c>
      <c r="D845" s="3" t="inlineStr">
        <is>
          <t>Wires</t>
        </is>
      </c>
      <c r="E845" s="3" t="inlineStr">
        <is>
          <t>Polycab</t>
        </is>
      </c>
      <c r="F845" s="3" t="inlineStr">
        <is>
          <t>Etira</t>
        </is>
      </c>
      <c r="H845" s="3" t="inlineStr">
        <is>
          <t>Thickness</t>
        </is>
      </c>
      <c r="I845" s="3" t="inlineStr">
        <is>
          <t>1.5 Sq mm</t>
        </is>
      </c>
      <c r="J845" s="3" t="inlineStr">
        <is>
          <t>Color</t>
        </is>
      </c>
      <c r="K845" s="3" t="inlineStr">
        <is>
          <t>Red</t>
        </is>
      </c>
      <c r="L845" s="3" t="inlineStr">
        <is>
          <t>Length</t>
        </is>
      </c>
      <c r="M845" s="3" t="inlineStr">
        <is>
          <t>90 Mtr</t>
        </is>
      </c>
      <c r="Q845" s="3" t="inlineStr">
        <is>
          <t>Manufacturer's Warranty</t>
        </is>
      </c>
      <c r="R845" s="3" t="inlineStr">
        <is>
          <t>FR</t>
        </is>
      </c>
      <c r="Y845" s="3" t="inlineStr">
        <is>
          <t>WR_PC_ETR_RD</t>
        </is>
      </c>
      <c r="Z845" s="3" t="n">
        <v>8544</v>
      </c>
      <c r="AE845" s="3" t="n">
        <v>3690</v>
      </c>
      <c r="AF845" s="4" t="n">
        <v>0.44</v>
      </c>
      <c r="AG845" s="3">
        <f>ROUND(AE845-(AE845*AF845),2)</f>
        <v/>
      </c>
      <c r="AH845" s="4" t="n">
        <v>0.18</v>
      </c>
      <c r="AI845" s="3">
        <f>ROUND(AG845+(AG845*AH845),2)</f>
        <v/>
      </c>
      <c r="AJ845" s="4" t="n">
        <v>0.1</v>
      </c>
      <c r="AK845" s="3">
        <f>ROUND(AI845*AJ845,2)</f>
        <v/>
      </c>
      <c r="AL845" s="3">
        <f>AI845+AK845</f>
        <v/>
      </c>
      <c r="AM845" s="3">
        <f>AE845-AL845</f>
        <v/>
      </c>
      <c r="AN845" s="4">
        <f>AM845/AE845</f>
        <v/>
      </c>
      <c r="AO845" s="3" t="inlineStr">
        <is>
          <t>60 mins</t>
        </is>
      </c>
      <c r="AQ845" s="3" t="inlineStr">
        <is>
          <t>Weight</t>
        </is>
      </c>
      <c r="AT845" s="3" t="inlineStr">
        <is>
          <t>Actvie</t>
        </is>
      </c>
    </row>
    <row r="846" ht="15.75" customHeight="1">
      <c r="A846" s="3" t="inlineStr">
        <is>
          <t>PROD_0191</t>
        </is>
      </c>
      <c r="B846" s="3" t="inlineStr">
        <is>
          <t>VAR_12</t>
        </is>
      </c>
      <c r="C846" s="3" t="inlineStr">
        <is>
          <t>Electrical Material</t>
        </is>
      </c>
      <c r="D846" s="3" t="inlineStr">
        <is>
          <t>Wires</t>
        </is>
      </c>
      <c r="E846" s="3" t="inlineStr">
        <is>
          <t>Polycab</t>
        </is>
      </c>
      <c r="F846" s="3" t="inlineStr">
        <is>
          <t>Etira</t>
        </is>
      </c>
      <c r="H846" s="3" t="inlineStr">
        <is>
          <t>Thickness</t>
        </is>
      </c>
      <c r="I846" s="3" t="inlineStr">
        <is>
          <t>1.5 Sq mm</t>
        </is>
      </c>
      <c r="J846" s="3" t="inlineStr">
        <is>
          <t>Color</t>
        </is>
      </c>
      <c r="K846" s="3" t="inlineStr">
        <is>
          <t>Black</t>
        </is>
      </c>
      <c r="L846" s="3" t="inlineStr">
        <is>
          <t>Length</t>
        </is>
      </c>
      <c r="M846" s="3" t="inlineStr">
        <is>
          <t>90 Mtr</t>
        </is>
      </c>
      <c r="Q846" s="3" t="inlineStr">
        <is>
          <t>Manufacturer's Warranty</t>
        </is>
      </c>
      <c r="Y846" s="3" t="inlineStr">
        <is>
          <t>WR_PC_ETR_BLK</t>
        </is>
      </c>
      <c r="Z846" s="3" t="n">
        <v>8544</v>
      </c>
      <c r="AE846" s="3" t="n">
        <v>3690</v>
      </c>
      <c r="AF846" s="4" t="n">
        <v>0.44</v>
      </c>
      <c r="AG846" s="3">
        <f>ROUND(AE846-(AE846*AF846),2)</f>
        <v/>
      </c>
      <c r="AH846" s="4" t="n">
        <v>0.18</v>
      </c>
      <c r="AI846" s="3">
        <f>ROUND(AG846+(AG846*AH846),2)</f>
        <v/>
      </c>
      <c r="AJ846" s="4" t="n">
        <v>0.1</v>
      </c>
      <c r="AK846" s="3">
        <f>ROUND(AI846*AJ846,2)</f>
        <v/>
      </c>
      <c r="AL846" s="3">
        <f>AI846+AK846</f>
        <v/>
      </c>
      <c r="AM846" s="3">
        <f>AE846-AL846</f>
        <v/>
      </c>
      <c r="AN846" s="4">
        <f>AM846/AE846</f>
        <v/>
      </c>
      <c r="AO846" s="3" t="inlineStr">
        <is>
          <t>60 mins</t>
        </is>
      </c>
      <c r="AQ846" s="3" t="inlineStr">
        <is>
          <t>Weight</t>
        </is>
      </c>
      <c r="AT846" s="3" t="inlineStr">
        <is>
          <t>Actvie</t>
        </is>
      </c>
    </row>
    <row r="847" ht="15.75" customHeight="1">
      <c r="A847" s="3" t="inlineStr">
        <is>
          <t>PROD_0191</t>
        </is>
      </c>
      <c r="B847" s="3" t="inlineStr">
        <is>
          <t>VAR_13</t>
        </is>
      </c>
      <c r="C847" s="3" t="inlineStr">
        <is>
          <t>Electrical Material</t>
        </is>
      </c>
      <c r="D847" s="3" t="inlineStr">
        <is>
          <t>Wires</t>
        </is>
      </c>
      <c r="E847" s="3" t="inlineStr">
        <is>
          <t>Polycab</t>
        </is>
      </c>
      <c r="F847" s="3" t="inlineStr">
        <is>
          <t>Etira</t>
        </is>
      </c>
      <c r="H847" s="3" t="inlineStr">
        <is>
          <t>Thickness</t>
        </is>
      </c>
      <c r="I847" s="3" t="inlineStr">
        <is>
          <t>1.5 Sq mm</t>
        </is>
      </c>
      <c r="J847" s="3" t="inlineStr">
        <is>
          <t>Color</t>
        </is>
      </c>
      <c r="K847" s="3" t="inlineStr">
        <is>
          <t>Green</t>
        </is>
      </c>
      <c r="L847" s="3" t="inlineStr">
        <is>
          <t>Length</t>
        </is>
      </c>
      <c r="M847" s="3" t="inlineStr">
        <is>
          <t>90 Mtr</t>
        </is>
      </c>
      <c r="Q847" s="3" t="inlineStr">
        <is>
          <t>Manufacturer's Warranty</t>
        </is>
      </c>
      <c r="Y847" s="3" t="inlineStr">
        <is>
          <t>WR_PC_ETR_GRN</t>
        </is>
      </c>
      <c r="Z847" s="3" t="n">
        <v>8544</v>
      </c>
      <c r="AE847" s="3" t="n">
        <v>3690</v>
      </c>
      <c r="AF847" s="4" t="n">
        <v>0.44</v>
      </c>
      <c r="AG847" s="3">
        <f>ROUND(AE847-(AE847*AF847),2)</f>
        <v/>
      </c>
      <c r="AH847" s="4" t="n">
        <v>0.18</v>
      </c>
      <c r="AI847" s="3">
        <f>ROUND(AG847+(AG847*AH847),2)</f>
        <v/>
      </c>
      <c r="AJ847" s="4" t="n">
        <v>0.1</v>
      </c>
      <c r="AK847" s="3">
        <f>ROUND(AI847*AJ847,2)</f>
        <v/>
      </c>
      <c r="AL847" s="3">
        <f>AI847+AK847</f>
        <v/>
      </c>
      <c r="AM847" s="3">
        <f>AE847-AL847</f>
        <v/>
      </c>
      <c r="AN847" s="4">
        <f>AM847/AE847</f>
        <v/>
      </c>
      <c r="AO847" s="3" t="inlineStr">
        <is>
          <t>60 mins</t>
        </is>
      </c>
      <c r="AQ847" s="3" t="inlineStr">
        <is>
          <t>Weight</t>
        </is>
      </c>
      <c r="AT847" s="3" t="inlineStr">
        <is>
          <t>Actvie</t>
        </is>
      </c>
    </row>
    <row r="848" ht="15.75" customHeight="1">
      <c r="A848" s="3" t="inlineStr">
        <is>
          <t>PROD_0191</t>
        </is>
      </c>
      <c r="B848" s="3" t="inlineStr">
        <is>
          <t>VAR_14</t>
        </is>
      </c>
      <c r="C848" s="3" t="inlineStr">
        <is>
          <t>Electrical Material</t>
        </is>
      </c>
      <c r="D848" s="3" t="inlineStr">
        <is>
          <t>Wires</t>
        </is>
      </c>
      <c r="E848" s="3" t="inlineStr">
        <is>
          <t>Polycab</t>
        </is>
      </c>
      <c r="F848" s="3" t="inlineStr">
        <is>
          <t>Etira</t>
        </is>
      </c>
      <c r="H848" s="3" t="inlineStr">
        <is>
          <t>Thickness</t>
        </is>
      </c>
      <c r="I848" s="3" t="inlineStr">
        <is>
          <t>1.5 Sq mm</t>
        </is>
      </c>
      <c r="J848" s="3" t="inlineStr">
        <is>
          <t>Color</t>
        </is>
      </c>
      <c r="K848" s="3" t="inlineStr">
        <is>
          <t>Yellow</t>
        </is>
      </c>
      <c r="L848" s="3" t="inlineStr">
        <is>
          <t>Length</t>
        </is>
      </c>
      <c r="M848" s="3" t="inlineStr">
        <is>
          <t>90 Mtr</t>
        </is>
      </c>
      <c r="Q848" s="3" t="inlineStr">
        <is>
          <t>Manufacturer's Warranty</t>
        </is>
      </c>
      <c r="Y848" s="3" t="inlineStr">
        <is>
          <t>WR_PC_ETR_YLW</t>
        </is>
      </c>
      <c r="Z848" s="3" t="n">
        <v>8544</v>
      </c>
      <c r="AE848" s="3" t="n">
        <v>3690</v>
      </c>
      <c r="AF848" s="4" t="n">
        <v>0.44</v>
      </c>
      <c r="AG848" s="3">
        <f>ROUND(AE848-(AE848*AF848),2)</f>
        <v/>
      </c>
      <c r="AH848" s="4" t="n">
        <v>0.18</v>
      </c>
      <c r="AI848" s="3">
        <f>ROUND(AG848+(AG848*AH848),2)</f>
        <v/>
      </c>
      <c r="AJ848" s="4" t="n">
        <v>0.1</v>
      </c>
      <c r="AK848" s="3">
        <f>ROUND(AI848*AJ848,2)</f>
        <v/>
      </c>
      <c r="AL848" s="3">
        <f>AI848+AK848</f>
        <v/>
      </c>
      <c r="AM848" s="3">
        <f>AE848-AL848</f>
        <v/>
      </c>
      <c r="AN848" s="4">
        <f>AM848/AE848</f>
        <v/>
      </c>
      <c r="AO848" s="3" t="inlineStr">
        <is>
          <t>60 mins</t>
        </is>
      </c>
      <c r="AQ848" s="3" t="inlineStr">
        <is>
          <t>Weight</t>
        </is>
      </c>
      <c r="AT848" s="3" t="inlineStr">
        <is>
          <t>Actvie</t>
        </is>
      </c>
    </row>
    <row r="849" ht="15.75" customHeight="1">
      <c r="A849" s="3" t="inlineStr">
        <is>
          <t>PROD_0191</t>
        </is>
      </c>
      <c r="B849" s="3" t="inlineStr">
        <is>
          <t>VAR_15</t>
        </is>
      </c>
      <c r="C849" s="3" t="inlineStr">
        <is>
          <t>Electrical Material</t>
        </is>
      </c>
      <c r="D849" s="3" t="inlineStr">
        <is>
          <t>Wires</t>
        </is>
      </c>
      <c r="E849" s="3" t="inlineStr">
        <is>
          <t>Polycab</t>
        </is>
      </c>
      <c r="F849" s="3" t="inlineStr">
        <is>
          <t>Etira</t>
        </is>
      </c>
      <c r="H849" s="3" t="inlineStr">
        <is>
          <t>Thickness</t>
        </is>
      </c>
      <c r="I849" s="3" t="inlineStr">
        <is>
          <t>1.5 Sq mm</t>
        </is>
      </c>
      <c r="J849" s="3" t="inlineStr">
        <is>
          <t>Color</t>
        </is>
      </c>
      <c r="K849" s="3" t="inlineStr">
        <is>
          <t>Blue</t>
        </is>
      </c>
      <c r="L849" s="3" t="inlineStr">
        <is>
          <t>Length</t>
        </is>
      </c>
      <c r="M849" s="3" t="inlineStr">
        <is>
          <t>90 Mtr</t>
        </is>
      </c>
      <c r="Q849" s="3" t="inlineStr">
        <is>
          <t>Manufacturer's Warranty</t>
        </is>
      </c>
      <c r="Y849" s="3" t="inlineStr">
        <is>
          <t>WR_PC_ETR_BLU</t>
        </is>
      </c>
      <c r="Z849" s="3" t="n">
        <v>8544</v>
      </c>
      <c r="AE849" s="3" t="n">
        <v>3690</v>
      </c>
      <c r="AF849" s="4" t="n">
        <v>0.44</v>
      </c>
      <c r="AG849" s="3">
        <f>ROUND(AE849-(AE849*AF849),2)</f>
        <v/>
      </c>
      <c r="AH849" s="4" t="n">
        <v>0.18</v>
      </c>
      <c r="AI849" s="3">
        <f>ROUND(AG849+(AG849*AH849),2)</f>
        <v/>
      </c>
      <c r="AJ849" s="4" t="n">
        <v>0.1</v>
      </c>
      <c r="AK849" s="3">
        <f>ROUND(AI849*AJ849,2)</f>
        <v/>
      </c>
      <c r="AL849" s="3">
        <f>AI849+AK849</f>
        <v/>
      </c>
      <c r="AM849" s="3">
        <f>AE849-AL849</f>
        <v/>
      </c>
      <c r="AN849" s="4">
        <f>AM849/AE849</f>
        <v/>
      </c>
      <c r="AO849" s="3" t="inlineStr">
        <is>
          <t>60 mins</t>
        </is>
      </c>
      <c r="AQ849" s="3" t="inlineStr">
        <is>
          <t>Weight</t>
        </is>
      </c>
      <c r="AT849" s="3" t="inlineStr">
        <is>
          <t>Actvie</t>
        </is>
      </c>
    </row>
    <row r="850" ht="15.75" customHeight="1">
      <c r="A850" s="3" t="inlineStr">
        <is>
          <t>PROD_0191</t>
        </is>
      </c>
      <c r="B850" s="3" t="inlineStr">
        <is>
          <t>VAR_16</t>
        </is>
      </c>
      <c r="C850" s="3" t="inlineStr">
        <is>
          <t>Electrical Material</t>
        </is>
      </c>
      <c r="D850" s="3" t="inlineStr">
        <is>
          <t>Wires</t>
        </is>
      </c>
      <c r="E850" s="3" t="inlineStr">
        <is>
          <t>Polycab</t>
        </is>
      </c>
      <c r="F850" s="3" t="inlineStr">
        <is>
          <t>Etira</t>
        </is>
      </c>
      <c r="H850" s="3" t="inlineStr">
        <is>
          <t>Thickness</t>
        </is>
      </c>
      <c r="I850" s="3" t="inlineStr">
        <is>
          <t>2.5 Sq mm</t>
        </is>
      </c>
      <c r="J850" s="3" t="inlineStr">
        <is>
          <t>Color</t>
        </is>
      </c>
      <c r="K850" s="3" t="inlineStr">
        <is>
          <t>Red</t>
        </is>
      </c>
      <c r="L850" s="3" t="inlineStr">
        <is>
          <t>Length</t>
        </is>
      </c>
      <c r="M850" s="3" t="inlineStr">
        <is>
          <t>90 Mtr</t>
        </is>
      </c>
      <c r="Q850" s="3" t="inlineStr">
        <is>
          <t>Manufacturer's Warranty</t>
        </is>
      </c>
      <c r="R850" s="3" t="inlineStr">
        <is>
          <t>FR</t>
        </is>
      </c>
      <c r="Y850" s="3" t="inlineStr">
        <is>
          <t>WR_PC_ETR_RD</t>
        </is>
      </c>
      <c r="Z850" s="3" t="n">
        <v>8544</v>
      </c>
      <c r="AE850" s="3" t="n">
        <v>5890</v>
      </c>
      <c r="AF850" s="4" t="n">
        <v>0.44</v>
      </c>
      <c r="AG850" s="3">
        <f>ROUND(AE850-(AE850*AF850),2)</f>
        <v/>
      </c>
      <c r="AH850" s="4" t="n">
        <v>0.18</v>
      </c>
      <c r="AI850" s="3">
        <f>ROUND(AG850+(AG850*AH850),2)</f>
        <v/>
      </c>
      <c r="AJ850" s="4" t="n">
        <v>0.1</v>
      </c>
      <c r="AK850" s="3">
        <f>ROUND(AI850*AJ850,2)</f>
        <v/>
      </c>
      <c r="AL850" s="3">
        <f>AI850+AK850</f>
        <v/>
      </c>
      <c r="AM850" s="3">
        <f>AE850-AL850</f>
        <v/>
      </c>
      <c r="AN850" s="4">
        <f>AM850/AE850</f>
        <v/>
      </c>
      <c r="AO850" s="3" t="inlineStr">
        <is>
          <t>60 mins</t>
        </is>
      </c>
      <c r="AQ850" s="3" t="inlineStr">
        <is>
          <t>Weight</t>
        </is>
      </c>
      <c r="AT850" s="3" t="inlineStr">
        <is>
          <t>Actvie</t>
        </is>
      </c>
    </row>
    <row r="851" ht="15.75" customHeight="1">
      <c r="A851" s="3" t="inlineStr">
        <is>
          <t>PROD_0191</t>
        </is>
      </c>
      <c r="B851" s="3" t="inlineStr">
        <is>
          <t>VAR_17</t>
        </is>
      </c>
      <c r="C851" s="3" t="inlineStr">
        <is>
          <t>Electrical Material</t>
        </is>
      </c>
      <c r="D851" s="3" t="inlineStr">
        <is>
          <t>Wires</t>
        </is>
      </c>
      <c r="E851" s="3" t="inlineStr">
        <is>
          <t>Polycab</t>
        </is>
      </c>
      <c r="F851" s="3" t="inlineStr">
        <is>
          <t>Etira</t>
        </is>
      </c>
      <c r="H851" s="3" t="inlineStr">
        <is>
          <t>Thickness</t>
        </is>
      </c>
      <c r="I851" s="3" t="inlineStr">
        <is>
          <t>2.5 Sq mm</t>
        </is>
      </c>
      <c r="J851" s="3" t="inlineStr">
        <is>
          <t>Color</t>
        </is>
      </c>
      <c r="K851" s="3" t="inlineStr">
        <is>
          <t>Black</t>
        </is>
      </c>
      <c r="L851" s="3" t="inlineStr">
        <is>
          <t>Length</t>
        </is>
      </c>
      <c r="M851" s="3" t="inlineStr">
        <is>
          <t>90 Mtr</t>
        </is>
      </c>
      <c r="Q851" s="3" t="inlineStr">
        <is>
          <t>Manufacturer's Warranty</t>
        </is>
      </c>
      <c r="Y851" s="3" t="inlineStr">
        <is>
          <t>WR_PC_ETR_BLK</t>
        </is>
      </c>
      <c r="Z851" s="3" t="n">
        <v>8544</v>
      </c>
      <c r="AE851" s="3" t="n">
        <v>5890</v>
      </c>
      <c r="AF851" s="4" t="n">
        <v>0.44</v>
      </c>
      <c r="AG851" s="3">
        <f>ROUND(AE851-(AE851*AF851),2)</f>
        <v/>
      </c>
      <c r="AH851" s="4" t="n">
        <v>0.18</v>
      </c>
      <c r="AI851" s="3">
        <f>ROUND(AG851+(AG851*AH851),2)</f>
        <v/>
      </c>
      <c r="AJ851" s="4" t="n">
        <v>0.1</v>
      </c>
      <c r="AK851" s="3">
        <f>ROUND(AI851*AJ851,2)</f>
        <v/>
      </c>
      <c r="AL851" s="3">
        <f>AI851+AK851</f>
        <v/>
      </c>
      <c r="AM851" s="3">
        <f>AE851-AL851</f>
        <v/>
      </c>
      <c r="AN851" s="4">
        <f>AM851/AE851</f>
        <v/>
      </c>
      <c r="AO851" s="3" t="inlineStr">
        <is>
          <t>60 mins</t>
        </is>
      </c>
      <c r="AQ851" s="3" t="inlineStr">
        <is>
          <t>Weight</t>
        </is>
      </c>
      <c r="AT851" s="3" t="inlineStr">
        <is>
          <t>Actvie</t>
        </is>
      </c>
    </row>
    <row r="852" ht="15.75" customHeight="1">
      <c r="A852" s="3" t="inlineStr">
        <is>
          <t>PROD_0191</t>
        </is>
      </c>
      <c r="B852" s="3" t="inlineStr">
        <is>
          <t>VAR_18</t>
        </is>
      </c>
      <c r="C852" s="3" t="inlineStr">
        <is>
          <t>Electrical Material</t>
        </is>
      </c>
      <c r="D852" s="3" t="inlineStr">
        <is>
          <t>Wires</t>
        </is>
      </c>
      <c r="E852" s="3" t="inlineStr">
        <is>
          <t>Polycab</t>
        </is>
      </c>
      <c r="F852" s="3" t="inlineStr">
        <is>
          <t>Etira</t>
        </is>
      </c>
      <c r="H852" s="3" t="inlineStr">
        <is>
          <t>Thickness</t>
        </is>
      </c>
      <c r="I852" s="3" t="inlineStr">
        <is>
          <t>2.5 Sq mm</t>
        </is>
      </c>
      <c r="J852" s="3" t="inlineStr">
        <is>
          <t>Color</t>
        </is>
      </c>
      <c r="K852" s="3" t="inlineStr">
        <is>
          <t>Green</t>
        </is>
      </c>
      <c r="L852" s="3" t="inlineStr">
        <is>
          <t>Length</t>
        </is>
      </c>
      <c r="M852" s="3" t="inlineStr">
        <is>
          <t>90 Mtr</t>
        </is>
      </c>
      <c r="Q852" s="3" t="inlineStr">
        <is>
          <t>Manufacturer's Warranty</t>
        </is>
      </c>
      <c r="Y852" s="3" t="inlineStr">
        <is>
          <t>WR_PC_ETR_GRN</t>
        </is>
      </c>
      <c r="Z852" s="3" t="n">
        <v>8544</v>
      </c>
      <c r="AE852" s="3" t="n">
        <v>5890</v>
      </c>
      <c r="AF852" s="4" t="n">
        <v>0.44</v>
      </c>
      <c r="AG852" s="3">
        <f>ROUND(AE852-(AE852*AF852),2)</f>
        <v/>
      </c>
      <c r="AH852" s="4" t="n">
        <v>0.18</v>
      </c>
      <c r="AI852" s="3">
        <f>ROUND(AG852+(AG852*AH852),2)</f>
        <v/>
      </c>
      <c r="AJ852" s="4" t="n">
        <v>0.1</v>
      </c>
      <c r="AK852" s="3">
        <f>ROUND(AI852*AJ852,2)</f>
        <v/>
      </c>
      <c r="AL852" s="3">
        <f>AI852+AK852</f>
        <v/>
      </c>
      <c r="AM852" s="3">
        <f>AE852-AL852</f>
        <v/>
      </c>
      <c r="AN852" s="4">
        <f>AM852/AE852</f>
        <v/>
      </c>
      <c r="AO852" s="3" t="inlineStr">
        <is>
          <t>60 mins</t>
        </is>
      </c>
      <c r="AQ852" s="3" t="inlineStr">
        <is>
          <t>Weight</t>
        </is>
      </c>
      <c r="AT852" s="3" t="inlineStr">
        <is>
          <t>Actvie</t>
        </is>
      </c>
    </row>
    <row r="853" ht="15.75" customHeight="1">
      <c r="A853" s="3" t="inlineStr">
        <is>
          <t>PROD_0191</t>
        </is>
      </c>
      <c r="B853" s="3" t="inlineStr">
        <is>
          <t>VAR_19</t>
        </is>
      </c>
      <c r="C853" s="3" t="inlineStr">
        <is>
          <t>Electrical Material</t>
        </is>
      </c>
      <c r="D853" s="3" t="inlineStr">
        <is>
          <t>Wires</t>
        </is>
      </c>
      <c r="E853" s="3" t="inlineStr">
        <is>
          <t>Polycab</t>
        </is>
      </c>
      <c r="F853" s="3" t="inlineStr">
        <is>
          <t>Etira</t>
        </is>
      </c>
      <c r="H853" s="3" t="inlineStr">
        <is>
          <t>Thickness</t>
        </is>
      </c>
      <c r="I853" s="3" t="inlineStr">
        <is>
          <t>2.5 Sq mm</t>
        </is>
      </c>
      <c r="J853" s="3" t="inlineStr">
        <is>
          <t>Color</t>
        </is>
      </c>
      <c r="K853" s="3" t="inlineStr">
        <is>
          <t>Yellow</t>
        </is>
      </c>
      <c r="L853" s="3" t="inlineStr">
        <is>
          <t>Length</t>
        </is>
      </c>
      <c r="M853" s="3" t="inlineStr">
        <is>
          <t>90 Mtr</t>
        </is>
      </c>
      <c r="Q853" s="3" t="inlineStr">
        <is>
          <t>Manufacturer's Warranty</t>
        </is>
      </c>
      <c r="Y853" s="3" t="inlineStr">
        <is>
          <t>WR_PC_ETR_YLW</t>
        </is>
      </c>
      <c r="Z853" s="3" t="n">
        <v>8544</v>
      </c>
      <c r="AE853" s="3" t="n">
        <v>5890</v>
      </c>
      <c r="AF853" s="4" t="n">
        <v>0.44</v>
      </c>
      <c r="AG853" s="3">
        <f>ROUND(AE853-(AE853*AF853),2)</f>
        <v/>
      </c>
      <c r="AH853" s="4" t="n">
        <v>0.18</v>
      </c>
      <c r="AI853" s="3">
        <f>ROUND(AG853+(AG853*AH853),2)</f>
        <v/>
      </c>
      <c r="AJ853" s="4" t="n">
        <v>0.1</v>
      </c>
      <c r="AK853" s="3">
        <f>ROUND(AI853*AJ853,2)</f>
        <v/>
      </c>
      <c r="AL853" s="3">
        <f>AI853+AK853</f>
        <v/>
      </c>
      <c r="AM853" s="3">
        <f>AE853-AL853</f>
        <v/>
      </c>
      <c r="AN853" s="4">
        <f>AM853/AE853</f>
        <v/>
      </c>
      <c r="AO853" s="3" t="inlineStr">
        <is>
          <t>60 mins</t>
        </is>
      </c>
      <c r="AQ853" s="3" t="inlineStr">
        <is>
          <t>Weight</t>
        </is>
      </c>
      <c r="AT853" s="3" t="inlineStr">
        <is>
          <t>Actvie</t>
        </is>
      </c>
    </row>
    <row r="854" ht="15.75" customHeight="1">
      <c r="A854" s="3" t="inlineStr">
        <is>
          <t>PROD_0191</t>
        </is>
      </c>
      <c r="B854" s="3" t="inlineStr">
        <is>
          <t>VAR_20</t>
        </is>
      </c>
      <c r="C854" s="3" t="inlineStr">
        <is>
          <t>Electrical Material</t>
        </is>
      </c>
      <c r="D854" s="3" t="inlineStr">
        <is>
          <t>Wires</t>
        </is>
      </c>
      <c r="E854" s="3" t="inlineStr">
        <is>
          <t>Polycab</t>
        </is>
      </c>
      <c r="F854" s="3" t="inlineStr">
        <is>
          <t>Etira</t>
        </is>
      </c>
      <c r="H854" s="3" t="inlineStr">
        <is>
          <t>Thickness</t>
        </is>
      </c>
      <c r="I854" s="3" t="inlineStr">
        <is>
          <t>2.5 Sq mm</t>
        </is>
      </c>
      <c r="J854" s="3" t="inlineStr">
        <is>
          <t>Color</t>
        </is>
      </c>
      <c r="K854" s="3" t="inlineStr">
        <is>
          <t>Blue</t>
        </is>
      </c>
      <c r="L854" s="3" t="inlineStr">
        <is>
          <t>Length</t>
        </is>
      </c>
      <c r="M854" s="3" t="inlineStr">
        <is>
          <t>90 Mtr</t>
        </is>
      </c>
      <c r="Q854" s="3" t="inlineStr">
        <is>
          <t>Manufacturer's Warranty</t>
        </is>
      </c>
      <c r="Y854" s="3" t="inlineStr">
        <is>
          <t>WR_PC_ETR_BLU</t>
        </is>
      </c>
      <c r="Z854" s="3" t="n">
        <v>8544</v>
      </c>
      <c r="AE854" s="3" t="n">
        <v>5890</v>
      </c>
      <c r="AF854" s="4" t="n">
        <v>0.44</v>
      </c>
      <c r="AG854" s="3">
        <f>ROUND(AE854-(AE854*AF854),2)</f>
        <v/>
      </c>
      <c r="AH854" s="4" t="n">
        <v>0.18</v>
      </c>
      <c r="AI854" s="3">
        <f>ROUND(AG854+(AG854*AH854),2)</f>
        <v/>
      </c>
      <c r="AJ854" s="4" t="n">
        <v>0.1</v>
      </c>
      <c r="AK854" s="3">
        <f>ROUND(AI854*AJ854,2)</f>
        <v/>
      </c>
      <c r="AL854" s="3">
        <f>AI854+AK854</f>
        <v/>
      </c>
      <c r="AM854" s="3">
        <f>AE854-AL854</f>
        <v/>
      </c>
      <c r="AN854" s="4">
        <f>AM854/AE854</f>
        <v/>
      </c>
      <c r="AO854" s="3" t="inlineStr">
        <is>
          <t>60 mins</t>
        </is>
      </c>
      <c r="AQ854" s="3" t="inlineStr">
        <is>
          <t>Weight</t>
        </is>
      </c>
      <c r="AT854" s="3" t="inlineStr">
        <is>
          <t>Actvie</t>
        </is>
      </c>
    </row>
    <row r="855" ht="15.75" customHeight="1">
      <c r="A855" s="3" t="inlineStr">
        <is>
          <t>PROD_0191</t>
        </is>
      </c>
      <c r="B855" s="3" t="inlineStr">
        <is>
          <t>VAR_21</t>
        </is>
      </c>
      <c r="C855" s="3" t="inlineStr">
        <is>
          <t>Electrical Material</t>
        </is>
      </c>
      <c r="D855" s="3" t="inlineStr">
        <is>
          <t>Wires</t>
        </is>
      </c>
      <c r="E855" s="3" t="inlineStr">
        <is>
          <t>Polycab</t>
        </is>
      </c>
      <c r="F855" s="3" t="inlineStr">
        <is>
          <t>Etira</t>
        </is>
      </c>
      <c r="H855" s="3" t="inlineStr">
        <is>
          <t>Thickness</t>
        </is>
      </c>
      <c r="I855" s="3" t="inlineStr">
        <is>
          <t>4 Sq mm</t>
        </is>
      </c>
      <c r="J855" s="3" t="inlineStr">
        <is>
          <t>Color</t>
        </is>
      </c>
      <c r="K855" s="3" t="inlineStr">
        <is>
          <t>Red</t>
        </is>
      </c>
      <c r="L855" s="3" t="inlineStr">
        <is>
          <t>Length</t>
        </is>
      </c>
      <c r="M855" s="3" t="inlineStr">
        <is>
          <t>90 Mtr</t>
        </is>
      </c>
      <c r="Q855" s="3" t="inlineStr">
        <is>
          <t>Manufacturer's Warranty</t>
        </is>
      </c>
      <c r="R855" s="3" t="inlineStr">
        <is>
          <t>FR</t>
        </is>
      </c>
      <c r="Y855" s="3" t="inlineStr">
        <is>
          <t>WR_PC_ETR_RD</t>
        </is>
      </c>
      <c r="Z855" s="3" t="n">
        <v>8544</v>
      </c>
      <c r="AE855" s="3" t="n">
        <v>8805</v>
      </c>
      <c r="AF855" s="4" t="n">
        <v>0.44</v>
      </c>
      <c r="AG855" s="3">
        <f>ROUND(AE855-(AE855*AF855),2)</f>
        <v/>
      </c>
      <c r="AH855" s="4" t="n">
        <v>0.18</v>
      </c>
      <c r="AI855" s="3">
        <f>ROUND(AG855+(AG855*AH855),2)</f>
        <v/>
      </c>
      <c r="AJ855" s="4" t="n">
        <v>0.1</v>
      </c>
      <c r="AK855" s="3">
        <f>ROUND(AI855*AJ855,2)</f>
        <v/>
      </c>
      <c r="AL855" s="3">
        <f>AI855+AK855</f>
        <v/>
      </c>
      <c r="AM855" s="3">
        <f>AE855-AL855</f>
        <v/>
      </c>
      <c r="AN855" s="4">
        <f>AM855/AE855</f>
        <v/>
      </c>
      <c r="AO855" s="3" t="inlineStr">
        <is>
          <t>60 mins</t>
        </is>
      </c>
      <c r="AQ855" s="3" t="inlineStr">
        <is>
          <t>Weight</t>
        </is>
      </c>
      <c r="AT855" s="3" t="inlineStr">
        <is>
          <t>Actvie</t>
        </is>
      </c>
    </row>
    <row r="856" ht="15.75" customHeight="1">
      <c r="A856" s="3" t="inlineStr">
        <is>
          <t>PROD_0191</t>
        </is>
      </c>
      <c r="B856" s="3" t="inlineStr">
        <is>
          <t>VAR_22</t>
        </is>
      </c>
      <c r="C856" s="3" t="inlineStr">
        <is>
          <t>Electrical Material</t>
        </is>
      </c>
      <c r="D856" s="3" t="inlineStr">
        <is>
          <t>Wires</t>
        </is>
      </c>
      <c r="E856" s="3" t="inlineStr">
        <is>
          <t>Polycab</t>
        </is>
      </c>
      <c r="F856" s="3" t="inlineStr">
        <is>
          <t>Etira</t>
        </is>
      </c>
      <c r="H856" s="3" t="inlineStr">
        <is>
          <t>Thickness</t>
        </is>
      </c>
      <c r="I856" s="3" t="inlineStr">
        <is>
          <t>4 Sq mm</t>
        </is>
      </c>
      <c r="J856" s="3" t="inlineStr">
        <is>
          <t>Color</t>
        </is>
      </c>
      <c r="K856" s="3" t="inlineStr">
        <is>
          <t>Black</t>
        </is>
      </c>
      <c r="L856" s="3" t="inlineStr">
        <is>
          <t>Length</t>
        </is>
      </c>
      <c r="M856" s="3" t="inlineStr">
        <is>
          <t>90 Mtr</t>
        </is>
      </c>
      <c r="Q856" s="3" t="inlineStr">
        <is>
          <t>Manufacturer's Warranty</t>
        </is>
      </c>
      <c r="Y856" s="3" t="inlineStr">
        <is>
          <t>WR_PC_ETR_BLK</t>
        </is>
      </c>
      <c r="Z856" s="3" t="n">
        <v>8544</v>
      </c>
      <c r="AE856" s="3" t="n">
        <v>8805</v>
      </c>
      <c r="AF856" s="4" t="n">
        <v>0.44</v>
      </c>
      <c r="AG856" s="3">
        <f>ROUND(AE856-(AE856*AF856),2)</f>
        <v/>
      </c>
      <c r="AH856" s="4" t="n">
        <v>0.18</v>
      </c>
      <c r="AI856" s="3">
        <f>ROUND(AG856+(AG856*AH856),2)</f>
        <v/>
      </c>
      <c r="AJ856" s="4" t="n">
        <v>0.1</v>
      </c>
      <c r="AK856" s="3">
        <f>ROUND(AI856*AJ856,2)</f>
        <v/>
      </c>
      <c r="AL856" s="3">
        <f>AI856+AK856</f>
        <v/>
      </c>
      <c r="AM856" s="3">
        <f>AE856-AL856</f>
        <v/>
      </c>
      <c r="AN856" s="4">
        <f>AM856/AE856</f>
        <v/>
      </c>
      <c r="AO856" s="3" t="inlineStr">
        <is>
          <t>60 mins</t>
        </is>
      </c>
      <c r="AQ856" s="3" t="inlineStr">
        <is>
          <t>Weight</t>
        </is>
      </c>
      <c r="AT856" s="3" t="inlineStr">
        <is>
          <t>Actvie</t>
        </is>
      </c>
    </row>
    <row r="857" ht="15.75" customHeight="1">
      <c r="A857" s="3" t="inlineStr">
        <is>
          <t>PROD_0191</t>
        </is>
      </c>
      <c r="B857" s="3" t="inlineStr">
        <is>
          <t>VAR_23</t>
        </is>
      </c>
      <c r="C857" s="3" t="inlineStr">
        <is>
          <t>Electrical Material</t>
        </is>
      </c>
      <c r="D857" s="3" t="inlineStr">
        <is>
          <t>Wires</t>
        </is>
      </c>
      <c r="E857" s="3" t="inlineStr">
        <is>
          <t>Polycab</t>
        </is>
      </c>
      <c r="F857" s="3" t="inlineStr">
        <is>
          <t>Etira</t>
        </is>
      </c>
      <c r="H857" s="3" t="inlineStr">
        <is>
          <t>Thickness</t>
        </is>
      </c>
      <c r="I857" s="3" t="inlineStr">
        <is>
          <t>4 Sq mm</t>
        </is>
      </c>
      <c r="J857" s="3" t="inlineStr">
        <is>
          <t>Color</t>
        </is>
      </c>
      <c r="K857" s="3" t="inlineStr">
        <is>
          <t>Green</t>
        </is>
      </c>
      <c r="L857" s="3" t="inlineStr">
        <is>
          <t>Length</t>
        </is>
      </c>
      <c r="M857" s="3" t="inlineStr">
        <is>
          <t>90 Mtr</t>
        </is>
      </c>
      <c r="Q857" s="3" t="inlineStr">
        <is>
          <t>Manufacturer's Warranty</t>
        </is>
      </c>
      <c r="Y857" s="3" t="inlineStr">
        <is>
          <t>WR_PC_ETR_GRN</t>
        </is>
      </c>
      <c r="Z857" s="3" t="n">
        <v>8544</v>
      </c>
      <c r="AE857" s="3" t="n">
        <v>8805</v>
      </c>
      <c r="AF857" s="4" t="n">
        <v>0.44</v>
      </c>
      <c r="AG857" s="3">
        <f>ROUND(AE857-(AE857*AF857),2)</f>
        <v/>
      </c>
      <c r="AH857" s="4" t="n">
        <v>0.18</v>
      </c>
      <c r="AI857" s="3">
        <f>ROUND(AG857+(AG857*AH857),2)</f>
        <v/>
      </c>
      <c r="AJ857" s="4" t="n">
        <v>0.1</v>
      </c>
      <c r="AK857" s="3">
        <f>ROUND(AI857*AJ857,2)</f>
        <v/>
      </c>
      <c r="AL857" s="3">
        <f>AI857+AK857</f>
        <v/>
      </c>
      <c r="AM857" s="3">
        <f>AE857-AL857</f>
        <v/>
      </c>
      <c r="AN857" s="4">
        <f>AM857/AE857</f>
        <v/>
      </c>
      <c r="AO857" s="3" t="inlineStr">
        <is>
          <t>60 mins</t>
        </is>
      </c>
      <c r="AQ857" s="3" t="inlineStr">
        <is>
          <t>Weight</t>
        </is>
      </c>
      <c r="AT857" s="3" t="inlineStr">
        <is>
          <t>Actvie</t>
        </is>
      </c>
    </row>
    <row r="858" ht="15.75" customHeight="1">
      <c r="A858" s="3" t="inlineStr">
        <is>
          <t>PROD_0191</t>
        </is>
      </c>
      <c r="B858" s="3" t="inlineStr">
        <is>
          <t>VAR_24</t>
        </is>
      </c>
      <c r="C858" s="3" t="inlineStr">
        <is>
          <t>Electrical Material</t>
        </is>
      </c>
      <c r="D858" s="3" t="inlineStr">
        <is>
          <t>Wires</t>
        </is>
      </c>
      <c r="E858" s="3" t="inlineStr">
        <is>
          <t>Polycab</t>
        </is>
      </c>
      <c r="F858" s="3" t="inlineStr">
        <is>
          <t>Etira</t>
        </is>
      </c>
      <c r="H858" s="3" t="inlineStr">
        <is>
          <t>Thickness</t>
        </is>
      </c>
      <c r="I858" s="3" t="inlineStr">
        <is>
          <t>4 Sq mm</t>
        </is>
      </c>
      <c r="J858" s="3" t="inlineStr">
        <is>
          <t>Color</t>
        </is>
      </c>
      <c r="K858" s="3" t="inlineStr">
        <is>
          <t>Yellow</t>
        </is>
      </c>
      <c r="L858" s="3" t="inlineStr">
        <is>
          <t>Length</t>
        </is>
      </c>
      <c r="M858" s="3" t="inlineStr">
        <is>
          <t>90 Mtr</t>
        </is>
      </c>
      <c r="Q858" s="3" t="inlineStr">
        <is>
          <t>Manufacturer's Warranty</t>
        </is>
      </c>
      <c r="Y858" s="3" t="inlineStr">
        <is>
          <t>WR_PC_ETR_YLW</t>
        </is>
      </c>
      <c r="Z858" s="3" t="n">
        <v>8544</v>
      </c>
      <c r="AE858" s="3" t="n">
        <v>8805</v>
      </c>
      <c r="AF858" s="4" t="n">
        <v>0.44</v>
      </c>
      <c r="AG858" s="3">
        <f>ROUND(AE858-(AE858*AF858),2)</f>
        <v/>
      </c>
      <c r="AH858" s="4" t="n">
        <v>0.18</v>
      </c>
      <c r="AI858" s="3">
        <f>ROUND(AG858+(AG858*AH858),2)</f>
        <v/>
      </c>
      <c r="AJ858" s="4" t="n">
        <v>0.1</v>
      </c>
      <c r="AK858" s="3">
        <f>ROUND(AI858*AJ858,2)</f>
        <v/>
      </c>
      <c r="AL858" s="3">
        <f>AI858+AK858</f>
        <v/>
      </c>
      <c r="AM858" s="3">
        <f>AE858-AL858</f>
        <v/>
      </c>
      <c r="AN858" s="4">
        <f>AM858/AE858</f>
        <v/>
      </c>
      <c r="AO858" s="3" t="inlineStr">
        <is>
          <t>60 mins</t>
        </is>
      </c>
      <c r="AQ858" s="3" t="inlineStr">
        <is>
          <t>Weight</t>
        </is>
      </c>
      <c r="AT858" s="3" t="inlineStr">
        <is>
          <t>Actvie</t>
        </is>
      </c>
    </row>
    <row r="859" ht="15.75" customHeight="1">
      <c r="A859" s="3" t="inlineStr">
        <is>
          <t>PROD_0191</t>
        </is>
      </c>
      <c r="B859" s="3" t="inlineStr">
        <is>
          <t>VAR_25</t>
        </is>
      </c>
      <c r="C859" s="3" t="inlineStr">
        <is>
          <t>Electrical Material</t>
        </is>
      </c>
      <c r="D859" s="3" t="inlineStr">
        <is>
          <t>Wires</t>
        </is>
      </c>
      <c r="E859" s="3" t="inlineStr">
        <is>
          <t>Polycab</t>
        </is>
      </c>
      <c r="F859" s="3" t="inlineStr">
        <is>
          <t>Etira</t>
        </is>
      </c>
      <c r="H859" s="3" t="inlineStr">
        <is>
          <t>Thickness</t>
        </is>
      </c>
      <c r="I859" s="3" t="inlineStr">
        <is>
          <t>4 Sq mm</t>
        </is>
      </c>
      <c r="J859" s="3" t="inlineStr">
        <is>
          <t>Color</t>
        </is>
      </c>
      <c r="K859" s="3" t="inlineStr">
        <is>
          <t>Blue</t>
        </is>
      </c>
      <c r="L859" s="3" t="inlineStr">
        <is>
          <t>Length</t>
        </is>
      </c>
      <c r="M859" s="3" t="inlineStr">
        <is>
          <t>90 Mtr</t>
        </is>
      </c>
      <c r="Q859" s="3" t="inlineStr">
        <is>
          <t>Manufacturer's Warranty</t>
        </is>
      </c>
      <c r="Y859" s="3" t="inlineStr">
        <is>
          <t>WR_PC_ETR_BLU</t>
        </is>
      </c>
      <c r="Z859" s="3" t="n">
        <v>8544</v>
      </c>
      <c r="AE859" s="3" t="n">
        <v>8805</v>
      </c>
      <c r="AF859" s="4" t="n">
        <v>0.44</v>
      </c>
      <c r="AG859" s="3">
        <f>ROUND(AE859-(AE859*AF859),2)</f>
        <v/>
      </c>
      <c r="AH859" s="4" t="n">
        <v>0.18</v>
      </c>
      <c r="AI859" s="3">
        <f>ROUND(AG859+(AG859*AH859),2)</f>
        <v/>
      </c>
      <c r="AJ859" s="4" t="n">
        <v>0.1</v>
      </c>
      <c r="AK859" s="3">
        <f>ROUND(AI859*AJ859,2)</f>
        <v/>
      </c>
      <c r="AL859" s="3">
        <f>AI859+AK859</f>
        <v/>
      </c>
      <c r="AM859" s="3">
        <f>AE859-AL859</f>
        <v/>
      </c>
      <c r="AN859" s="4">
        <f>AM859/AE859</f>
        <v/>
      </c>
      <c r="AO859" s="3" t="inlineStr">
        <is>
          <t>60 mins</t>
        </is>
      </c>
      <c r="AQ859" s="3" t="inlineStr">
        <is>
          <t>Weight</t>
        </is>
      </c>
      <c r="AT859" s="3" t="inlineStr">
        <is>
          <t>Actvie</t>
        </is>
      </c>
    </row>
    <row r="860" ht="15.75" customHeight="1">
      <c r="A860" s="3" t="inlineStr">
        <is>
          <t>PROD_0191</t>
        </is>
      </c>
      <c r="B860" s="3" t="inlineStr">
        <is>
          <t>VAR_26</t>
        </is>
      </c>
      <c r="C860" s="3" t="inlineStr">
        <is>
          <t>Electrical Material</t>
        </is>
      </c>
      <c r="D860" s="3" t="inlineStr">
        <is>
          <t>Wires</t>
        </is>
      </c>
      <c r="E860" s="3" t="inlineStr">
        <is>
          <t>Polycab</t>
        </is>
      </c>
      <c r="F860" s="3" t="inlineStr">
        <is>
          <t>Etira</t>
        </is>
      </c>
      <c r="H860" s="3" t="inlineStr">
        <is>
          <t>Thickness</t>
        </is>
      </c>
      <c r="I860" s="3" t="inlineStr">
        <is>
          <t>6 Sq mm</t>
        </is>
      </c>
      <c r="J860" s="3" t="inlineStr">
        <is>
          <t>Color</t>
        </is>
      </c>
      <c r="K860" s="3" t="inlineStr">
        <is>
          <t>Red</t>
        </is>
      </c>
      <c r="L860" s="3" t="inlineStr">
        <is>
          <t>Length</t>
        </is>
      </c>
      <c r="M860" s="3" t="inlineStr">
        <is>
          <t>90 Mtr</t>
        </is>
      </c>
      <c r="Q860" s="3" t="inlineStr">
        <is>
          <t>Manufacturer's Warranty</t>
        </is>
      </c>
      <c r="R860" s="3" t="inlineStr">
        <is>
          <t>FR</t>
        </is>
      </c>
      <c r="Y860" s="3" t="inlineStr">
        <is>
          <t>WR_PC_ETR_RD</t>
        </is>
      </c>
      <c r="Z860" s="3" t="n">
        <v>8544</v>
      </c>
      <c r="AE860" s="3" t="n">
        <v>13540</v>
      </c>
      <c r="AF860" s="4" t="n">
        <v>0.44</v>
      </c>
      <c r="AG860" s="3">
        <f>ROUND(AE860-(AE860*AF860),2)</f>
        <v/>
      </c>
      <c r="AH860" s="4" t="n">
        <v>0.18</v>
      </c>
      <c r="AI860" s="3">
        <f>ROUND(AG860+(AG860*AH860),2)</f>
        <v/>
      </c>
      <c r="AJ860" s="4" t="n">
        <v>0.1</v>
      </c>
      <c r="AK860" s="3">
        <f>ROUND(AI860*AJ860,2)</f>
        <v/>
      </c>
      <c r="AL860" s="3">
        <f>AI860+AK860</f>
        <v/>
      </c>
      <c r="AM860" s="3">
        <f>AE860-AL860</f>
        <v/>
      </c>
      <c r="AN860" s="4">
        <f>AM860/AE860</f>
        <v/>
      </c>
      <c r="AO860" s="3" t="inlineStr">
        <is>
          <t>60 mins</t>
        </is>
      </c>
      <c r="AQ860" s="3" t="inlineStr">
        <is>
          <t>Weight</t>
        </is>
      </c>
      <c r="AT860" s="3" t="inlineStr">
        <is>
          <t>Actvie</t>
        </is>
      </c>
    </row>
    <row r="861" ht="15.75" customHeight="1">
      <c r="A861" s="3" t="inlineStr">
        <is>
          <t>PROD_0191</t>
        </is>
      </c>
      <c r="B861" s="3" t="inlineStr">
        <is>
          <t>VAR_27</t>
        </is>
      </c>
      <c r="C861" s="3" t="inlineStr">
        <is>
          <t>Electrical Material</t>
        </is>
      </c>
      <c r="D861" s="3" t="inlineStr">
        <is>
          <t>Wires</t>
        </is>
      </c>
      <c r="E861" s="3" t="inlineStr">
        <is>
          <t>Polycab</t>
        </is>
      </c>
      <c r="F861" s="3" t="inlineStr">
        <is>
          <t>Etira</t>
        </is>
      </c>
      <c r="H861" s="3" t="inlineStr">
        <is>
          <t>Thickness</t>
        </is>
      </c>
      <c r="I861" s="3" t="inlineStr">
        <is>
          <t>6 Sq mm</t>
        </is>
      </c>
      <c r="J861" s="3" t="inlineStr">
        <is>
          <t>Color</t>
        </is>
      </c>
      <c r="K861" s="3" t="inlineStr">
        <is>
          <t>Black</t>
        </is>
      </c>
      <c r="L861" s="3" t="inlineStr">
        <is>
          <t>Length</t>
        </is>
      </c>
      <c r="M861" s="3" t="inlineStr">
        <is>
          <t>90 Mtr</t>
        </is>
      </c>
      <c r="Q861" s="3" t="inlineStr">
        <is>
          <t>Manufacturer's Warranty</t>
        </is>
      </c>
      <c r="Y861" s="3" t="inlineStr">
        <is>
          <t>WR_PC_ETR_BLK</t>
        </is>
      </c>
      <c r="Z861" s="3" t="n">
        <v>8544</v>
      </c>
      <c r="AE861" s="3" t="n">
        <v>13540</v>
      </c>
      <c r="AF861" s="4" t="n">
        <v>0.44</v>
      </c>
      <c r="AG861" s="3">
        <f>ROUND(AE861-(AE861*AF861),2)</f>
        <v/>
      </c>
      <c r="AH861" s="4" t="n">
        <v>0.18</v>
      </c>
      <c r="AI861" s="3">
        <f>ROUND(AG861+(AG861*AH861),2)</f>
        <v/>
      </c>
      <c r="AJ861" s="4" t="n">
        <v>0.1</v>
      </c>
      <c r="AK861" s="3">
        <f>ROUND(AI861*AJ861,2)</f>
        <v/>
      </c>
      <c r="AL861" s="3">
        <f>AI861+AK861</f>
        <v/>
      </c>
      <c r="AM861" s="3">
        <f>AE861-AL861</f>
        <v/>
      </c>
      <c r="AN861" s="4">
        <f>AM861/AE861</f>
        <v/>
      </c>
      <c r="AO861" s="3" t="inlineStr">
        <is>
          <t>60 mins</t>
        </is>
      </c>
      <c r="AQ861" s="3" t="inlineStr">
        <is>
          <t>Weight</t>
        </is>
      </c>
      <c r="AT861" s="3" t="inlineStr">
        <is>
          <t>Actvie</t>
        </is>
      </c>
    </row>
    <row r="862" ht="15.75" customHeight="1">
      <c r="A862" s="3" t="inlineStr">
        <is>
          <t>PROD_0191</t>
        </is>
      </c>
      <c r="B862" s="3" t="inlineStr">
        <is>
          <t>VAR_28</t>
        </is>
      </c>
      <c r="C862" s="3" t="inlineStr">
        <is>
          <t>Electrical Material</t>
        </is>
      </c>
      <c r="D862" s="3" t="inlineStr">
        <is>
          <t>Wires</t>
        </is>
      </c>
      <c r="E862" s="3" t="inlineStr">
        <is>
          <t>Polycab</t>
        </is>
      </c>
      <c r="F862" s="3" t="inlineStr">
        <is>
          <t>Etira</t>
        </is>
      </c>
      <c r="H862" s="3" t="inlineStr">
        <is>
          <t>Thickness</t>
        </is>
      </c>
      <c r="I862" s="3" t="inlineStr">
        <is>
          <t>6 Sq mm</t>
        </is>
      </c>
      <c r="J862" s="3" t="inlineStr">
        <is>
          <t>Color</t>
        </is>
      </c>
      <c r="K862" s="3" t="inlineStr">
        <is>
          <t>Green</t>
        </is>
      </c>
      <c r="L862" s="3" t="inlineStr">
        <is>
          <t>Length</t>
        </is>
      </c>
      <c r="M862" s="3" t="inlineStr">
        <is>
          <t>90 Mtr</t>
        </is>
      </c>
      <c r="Q862" s="3" t="inlineStr">
        <is>
          <t>Manufacturer's Warranty</t>
        </is>
      </c>
      <c r="Y862" s="3" t="inlineStr">
        <is>
          <t>WR_PC_ETR_GRN</t>
        </is>
      </c>
      <c r="Z862" s="3" t="n">
        <v>8544</v>
      </c>
      <c r="AE862" s="3" t="n">
        <v>13540</v>
      </c>
      <c r="AF862" s="4" t="n">
        <v>0.44</v>
      </c>
      <c r="AG862" s="3">
        <f>ROUND(AE862-(AE862*AF862),2)</f>
        <v/>
      </c>
      <c r="AH862" s="4" t="n">
        <v>0.18</v>
      </c>
      <c r="AI862" s="3">
        <f>ROUND(AG862+(AG862*AH862),2)</f>
        <v/>
      </c>
      <c r="AJ862" s="4" t="n">
        <v>0.1</v>
      </c>
      <c r="AK862" s="3">
        <f>ROUND(AI862*AJ862,2)</f>
        <v/>
      </c>
      <c r="AL862" s="3">
        <f>AI862+AK862</f>
        <v/>
      </c>
      <c r="AM862" s="3">
        <f>AE862-AL862</f>
        <v/>
      </c>
      <c r="AN862" s="4">
        <f>AM862/AE862</f>
        <v/>
      </c>
      <c r="AO862" s="3" t="inlineStr">
        <is>
          <t>60 mins</t>
        </is>
      </c>
      <c r="AQ862" s="3" t="inlineStr">
        <is>
          <t>Weight</t>
        </is>
      </c>
      <c r="AT862" s="3" t="inlineStr">
        <is>
          <t>Actvie</t>
        </is>
      </c>
    </row>
    <row r="863" ht="15.75" customHeight="1">
      <c r="A863" s="3" t="inlineStr">
        <is>
          <t>PROD_0191</t>
        </is>
      </c>
      <c r="B863" s="3" t="inlineStr">
        <is>
          <t>VAR_29</t>
        </is>
      </c>
      <c r="C863" s="3" t="inlineStr">
        <is>
          <t>Electrical Material</t>
        </is>
      </c>
      <c r="D863" s="3" t="inlineStr">
        <is>
          <t>Wires</t>
        </is>
      </c>
      <c r="E863" s="3" t="inlineStr">
        <is>
          <t>Polycab</t>
        </is>
      </c>
      <c r="F863" s="3" t="inlineStr">
        <is>
          <t>Etira</t>
        </is>
      </c>
      <c r="H863" s="3" t="inlineStr">
        <is>
          <t>Thickness</t>
        </is>
      </c>
      <c r="I863" s="3" t="inlineStr">
        <is>
          <t>6 Sq mm</t>
        </is>
      </c>
      <c r="J863" s="3" t="inlineStr">
        <is>
          <t>Color</t>
        </is>
      </c>
      <c r="K863" s="3" t="inlineStr">
        <is>
          <t>Yellow</t>
        </is>
      </c>
      <c r="L863" s="3" t="inlineStr">
        <is>
          <t>Length</t>
        </is>
      </c>
      <c r="M863" s="3" t="inlineStr">
        <is>
          <t>90 Mtr</t>
        </is>
      </c>
      <c r="Q863" s="3" t="inlineStr">
        <is>
          <t>Manufacturer's Warranty</t>
        </is>
      </c>
      <c r="Y863" s="3" t="inlineStr">
        <is>
          <t>WR_PC_ETR_YLW</t>
        </is>
      </c>
      <c r="Z863" s="3" t="n">
        <v>8544</v>
      </c>
      <c r="AE863" s="3" t="n">
        <v>13540</v>
      </c>
      <c r="AF863" s="4" t="n">
        <v>0.44</v>
      </c>
      <c r="AG863" s="3">
        <f>ROUND(AE863-(AE863*AF863),2)</f>
        <v/>
      </c>
      <c r="AH863" s="4" t="n">
        <v>0.18</v>
      </c>
      <c r="AI863" s="3">
        <f>ROUND(AG863+(AG863*AH863),2)</f>
        <v/>
      </c>
      <c r="AJ863" s="4" t="n">
        <v>0.1</v>
      </c>
      <c r="AK863" s="3">
        <f>ROUND(AI863*AJ863,2)</f>
        <v/>
      </c>
      <c r="AL863" s="3">
        <f>AI863+AK863</f>
        <v/>
      </c>
      <c r="AM863" s="3">
        <f>AE863-AL863</f>
        <v/>
      </c>
      <c r="AN863" s="4">
        <f>AM863/AE863</f>
        <v/>
      </c>
      <c r="AO863" s="3" t="inlineStr">
        <is>
          <t>60 mins</t>
        </is>
      </c>
      <c r="AQ863" s="3" t="inlineStr">
        <is>
          <t>Weight</t>
        </is>
      </c>
      <c r="AT863" s="3" t="inlineStr">
        <is>
          <t>Actvie</t>
        </is>
      </c>
    </row>
    <row r="864" ht="15.75" customHeight="1">
      <c r="A864" s="3" t="inlineStr">
        <is>
          <t>PROD_0191</t>
        </is>
      </c>
      <c r="B864" s="3" t="inlineStr">
        <is>
          <t>VAR_30</t>
        </is>
      </c>
      <c r="C864" s="3" t="inlineStr">
        <is>
          <t>Electrical Material</t>
        </is>
      </c>
      <c r="D864" s="3" t="inlineStr">
        <is>
          <t>Wires</t>
        </is>
      </c>
      <c r="E864" s="3" t="inlineStr">
        <is>
          <t>Polycab</t>
        </is>
      </c>
      <c r="F864" s="3" t="inlineStr">
        <is>
          <t>Etira</t>
        </is>
      </c>
      <c r="H864" s="3" t="inlineStr">
        <is>
          <t>Thickness</t>
        </is>
      </c>
      <c r="I864" s="3" t="inlineStr">
        <is>
          <t>6 Sq mm</t>
        </is>
      </c>
      <c r="J864" s="3" t="inlineStr">
        <is>
          <t>Color</t>
        </is>
      </c>
      <c r="K864" s="3" t="inlineStr">
        <is>
          <t>Blue</t>
        </is>
      </c>
      <c r="L864" s="3" t="inlineStr">
        <is>
          <t>Length</t>
        </is>
      </c>
      <c r="M864" s="3" t="inlineStr">
        <is>
          <t>90 Mtr</t>
        </is>
      </c>
      <c r="Q864" s="3" t="inlineStr">
        <is>
          <t>Manufacturer's Warranty</t>
        </is>
      </c>
      <c r="Y864" s="3" t="inlineStr">
        <is>
          <t>WR_PC_ETR_BLU</t>
        </is>
      </c>
      <c r="Z864" s="3" t="n">
        <v>8544</v>
      </c>
      <c r="AE864" s="3" t="n">
        <v>13540</v>
      </c>
      <c r="AF864" s="4" t="n">
        <v>0.44</v>
      </c>
      <c r="AG864" s="3">
        <f>ROUND(AE864-(AE864*AF864),2)</f>
        <v/>
      </c>
      <c r="AH864" s="4" t="n">
        <v>0.18</v>
      </c>
      <c r="AI864" s="3">
        <f>ROUND(AG864+(AG864*AH864),2)</f>
        <v/>
      </c>
      <c r="AJ864" s="4" t="n">
        <v>0.1</v>
      </c>
      <c r="AK864" s="3">
        <f>ROUND(AI864*AJ864,2)</f>
        <v/>
      </c>
      <c r="AL864" s="3">
        <f>AI864+AK864</f>
        <v/>
      </c>
      <c r="AM864" s="3">
        <f>AE864-AL864</f>
        <v/>
      </c>
      <c r="AN864" s="4">
        <f>AM864/AE864</f>
        <v/>
      </c>
      <c r="AO864" s="3" t="inlineStr">
        <is>
          <t>60 mins</t>
        </is>
      </c>
      <c r="AQ864" s="3" t="inlineStr">
        <is>
          <t>Weight</t>
        </is>
      </c>
      <c r="AT864" s="3" t="inlineStr">
        <is>
          <t>Actvie</t>
        </is>
      </c>
    </row>
    <row r="865" ht="15.75" customHeight="1">
      <c r="A865" s="3" t="inlineStr">
        <is>
          <t>PROD_0191</t>
        </is>
      </c>
      <c r="B865" s="3" t="inlineStr">
        <is>
          <t>VAR_31</t>
        </is>
      </c>
      <c r="C865" s="3" t="inlineStr">
        <is>
          <t>Electrical Material</t>
        </is>
      </c>
      <c r="D865" s="3" t="inlineStr">
        <is>
          <t>Wires</t>
        </is>
      </c>
      <c r="E865" s="3" t="inlineStr">
        <is>
          <t>Polycab</t>
        </is>
      </c>
      <c r="F865" s="3" t="inlineStr">
        <is>
          <t>Etira</t>
        </is>
      </c>
      <c r="H865" s="3" t="inlineStr">
        <is>
          <t>Thickness</t>
        </is>
      </c>
      <c r="I865" s="3" t="inlineStr">
        <is>
          <t>10 Sq mm</t>
        </is>
      </c>
      <c r="J865" s="3" t="inlineStr">
        <is>
          <t>Color</t>
        </is>
      </c>
      <c r="K865" s="3" t="inlineStr">
        <is>
          <t>Red</t>
        </is>
      </c>
      <c r="L865" s="3" t="inlineStr">
        <is>
          <t>Length</t>
        </is>
      </c>
      <c r="M865" s="3" t="inlineStr">
        <is>
          <t>90 Mtr</t>
        </is>
      </c>
      <c r="Q865" s="3" t="inlineStr">
        <is>
          <t>Manufacturer's Warranty</t>
        </is>
      </c>
      <c r="R865" s="3" t="inlineStr">
        <is>
          <t>FR</t>
        </is>
      </c>
      <c r="Y865" s="3" t="inlineStr">
        <is>
          <t>WR_PC_ETR_RD</t>
        </is>
      </c>
      <c r="Z865" s="3" t="n">
        <v>8544</v>
      </c>
      <c r="AE865" s="3" t="n">
        <v>24100</v>
      </c>
      <c r="AF865" s="4" t="n">
        <v>0.44</v>
      </c>
      <c r="AG865" s="3">
        <f>ROUND(AE865-(AE865*AF865),2)</f>
        <v/>
      </c>
      <c r="AH865" s="4" t="n">
        <v>0.18</v>
      </c>
      <c r="AI865" s="3">
        <f>ROUND(AG865+(AG865*AH865),2)</f>
        <v/>
      </c>
      <c r="AJ865" s="4" t="n">
        <v>0.1</v>
      </c>
      <c r="AK865" s="3">
        <f>ROUND(AI865*AJ865,2)</f>
        <v/>
      </c>
      <c r="AL865" s="3">
        <f>AI865+AK865</f>
        <v/>
      </c>
      <c r="AM865" s="3">
        <f>AE865-AL865</f>
        <v/>
      </c>
      <c r="AN865" s="4">
        <f>AM865/AE865</f>
        <v/>
      </c>
      <c r="AO865" s="3" t="inlineStr">
        <is>
          <t>60 mins</t>
        </is>
      </c>
      <c r="AQ865" s="3" t="inlineStr">
        <is>
          <t>Weight</t>
        </is>
      </c>
      <c r="AT865" s="3" t="inlineStr">
        <is>
          <t>Actvie</t>
        </is>
      </c>
    </row>
    <row r="866" ht="15.75" customHeight="1">
      <c r="A866" s="3" t="inlineStr">
        <is>
          <t>PROD_0191</t>
        </is>
      </c>
      <c r="B866" s="3" t="inlineStr">
        <is>
          <t>VAR_32</t>
        </is>
      </c>
      <c r="C866" s="3" t="inlineStr">
        <is>
          <t>Electrical Material</t>
        </is>
      </c>
      <c r="D866" s="3" t="inlineStr">
        <is>
          <t>Wires</t>
        </is>
      </c>
      <c r="E866" s="3" t="inlineStr">
        <is>
          <t>Polycab</t>
        </is>
      </c>
      <c r="F866" s="3" t="inlineStr">
        <is>
          <t>Etira</t>
        </is>
      </c>
      <c r="H866" s="3" t="inlineStr">
        <is>
          <t>Thickness</t>
        </is>
      </c>
      <c r="I866" s="3" t="inlineStr">
        <is>
          <t>10 Sq mm</t>
        </is>
      </c>
      <c r="J866" s="3" t="inlineStr">
        <is>
          <t>Color</t>
        </is>
      </c>
      <c r="K866" s="3" t="inlineStr">
        <is>
          <t>Black</t>
        </is>
      </c>
      <c r="L866" s="3" t="inlineStr">
        <is>
          <t>Length</t>
        </is>
      </c>
      <c r="M866" s="3" t="inlineStr">
        <is>
          <t>90 Mtr</t>
        </is>
      </c>
      <c r="Q866" s="3" t="inlineStr">
        <is>
          <t>Manufacturer's Warranty</t>
        </is>
      </c>
      <c r="Y866" s="3" t="inlineStr">
        <is>
          <t>WR_PC_ETR_BLK</t>
        </is>
      </c>
      <c r="Z866" s="3" t="n">
        <v>8544</v>
      </c>
      <c r="AE866" s="3" t="n">
        <v>24100</v>
      </c>
      <c r="AF866" s="4" t="n">
        <v>0.44</v>
      </c>
      <c r="AG866" s="3">
        <f>ROUND(AE866-(AE866*AF866),2)</f>
        <v/>
      </c>
      <c r="AH866" s="4" t="n">
        <v>0.18</v>
      </c>
      <c r="AI866" s="3">
        <f>ROUND(AG866+(AG866*AH866),2)</f>
        <v/>
      </c>
      <c r="AJ866" s="4" t="n">
        <v>0.1</v>
      </c>
      <c r="AK866" s="3">
        <f>ROUND(AI866*AJ866,2)</f>
        <v/>
      </c>
      <c r="AL866" s="3">
        <f>AI866+AK866</f>
        <v/>
      </c>
      <c r="AM866" s="3">
        <f>AE866-AL866</f>
        <v/>
      </c>
      <c r="AN866" s="4">
        <f>AM866/AE866</f>
        <v/>
      </c>
      <c r="AO866" s="3" t="inlineStr">
        <is>
          <t>60 mins</t>
        </is>
      </c>
      <c r="AQ866" s="3" t="inlineStr">
        <is>
          <t>Weight</t>
        </is>
      </c>
      <c r="AT866" s="3" t="inlineStr">
        <is>
          <t>Actvie</t>
        </is>
      </c>
    </row>
    <row r="867" ht="15.75" customHeight="1">
      <c r="A867" s="3" t="inlineStr">
        <is>
          <t>PROD_0191</t>
        </is>
      </c>
      <c r="B867" s="3" t="inlineStr">
        <is>
          <t>VAR_33</t>
        </is>
      </c>
      <c r="C867" s="3" t="inlineStr">
        <is>
          <t>Electrical Material</t>
        </is>
      </c>
      <c r="D867" s="3" t="inlineStr">
        <is>
          <t>Wires</t>
        </is>
      </c>
      <c r="E867" s="3" t="inlineStr">
        <is>
          <t>Polycab</t>
        </is>
      </c>
      <c r="F867" s="3" t="inlineStr">
        <is>
          <t>Etira</t>
        </is>
      </c>
      <c r="H867" s="3" t="inlineStr">
        <is>
          <t>Thickness</t>
        </is>
      </c>
      <c r="I867" s="3" t="inlineStr">
        <is>
          <t>10 Sq mm</t>
        </is>
      </c>
      <c r="J867" s="3" t="inlineStr">
        <is>
          <t>Color</t>
        </is>
      </c>
      <c r="K867" s="3" t="inlineStr">
        <is>
          <t>Green</t>
        </is>
      </c>
      <c r="L867" s="3" t="inlineStr">
        <is>
          <t>Length</t>
        </is>
      </c>
      <c r="M867" s="3" t="inlineStr">
        <is>
          <t>90 Mtr</t>
        </is>
      </c>
      <c r="Q867" s="3" t="inlineStr">
        <is>
          <t>Manufacturer's Warranty</t>
        </is>
      </c>
      <c r="Y867" s="3" t="inlineStr">
        <is>
          <t>WR_PC_ETR_GRN</t>
        </is>
      </c>
      <c r="Z867" s="3" t="n">
        <v>8544</v>
      </c>
      <c r="AE867" s="3" t="n">
        <v>24100</v>
      </c>
      <c r="AF867" s="4" t="n">
        <v>0.44</v>
      </c>
      <c r="AG867" s="3">
        <f>ROUND(AE867-(AE867*AF867),2)</f>
        <v/>
      </c>
      <c r="AH867" s="4" t="n">
        <v>0.18</v>
      </c>
      <c r="AI867" s="3">
        <f>ROUND(AG867+(AG867*AH867),2)</f>
        <v/>
      </c>
      <c r="AJ867" s="4" t="n">
        <v>0.1</v>
      </c>
      <c r="AK867" s="3">
        <f>ROUND(AI867*AJ867,2)</f>
        <v/>
      </c>
      <c r="AL867" s="3">
        <f>AI867+AK867</f>
        <v/>
      </c>
      <c r="AM867" s="3">
        <f>AE867-AL867</f>
        <v/>
      </c>
      <c r="AN867" s="4">
        <f>AM867/AE867</f>
        <v/>
      </c>
      <c r="AO867" s="3" t="inlineStr">
        <is>
          <t>60 mins</t>
        </is>
      </c>
      <c r="AQ867" s="3" t="inlineStr">
        <is>
          <t>Weight</t>
        </is>
      </c>
      <c r="AT867" s="3" t="inlineStr">
        <is>
          <t>Actvie</t>
        </is>
      </c>
    </row>
    <row r="868" ht="15.75" customHeight="1">
      <c r="A868" s="3" t="inlineStr">
        <is>
          <t>PROD_0191</t>
        </is>
      </c>
      <c r="B868" s="3" t="inlineStr">
        <is>
          <t>VAR_34</t>
        </is>
      </c>
      <c r="C868" s="3" t="inlineStr">
        <is>
          <t>Electrical Material</t>
        </is>
      </c>
      <c r="D868" s="3" t="inlineStr">
        <is>
          <t>Wires</t>
        </is>
      </c>
      <c r="E868" s="3" t="inlineStr">
        <is>
          <t>Polycab</t>
        </is>
      </c>
      <c r="F868" s="3" t="inlineStr">
        <is>
          <t>Etira</t>
        </is>
      </c>
      <c r="H868" s="3" t="inlineStr">
        <is>
          <t>Thickness</t>
        </is>
      </c>
      <c r="I868" s="3" t="inlineStr">
        <is>
          <t>10 Sq mm</t>
        </is>
      </c>
      <c r="J868" s="3" t="inlineStr">
        <is>
          <t>Color</t>
        </is>
      </c>
      <c r="K868" s="3" t="inlineStr">
        <is>
          <t>Yellow</t>
        </is>
      </c>
      <c r="L868" s="3" t="inlineStr">
        <is>
          <t>Length</t>
        </is>
      </c>
      <c r="M868" s="3" t="inlineStr">
        <is>
          <t>90 Mtr</t>
        </is>
      </c>
      <c r="Q868" s="3" t="inlineStr">
        <is>
          <t>Manufacturer's Warranty</t>
        </is>
      </c>
      <c r="Y868" s="3" t="inlineStr">
        <is>
          <t>WR_PC_ETR_YLW</t>
        </is>
      </c>
      <c r="Z868" s="3" t="n">
        <v>8544</v>
      </c>
      <c r="AE868" s="3" t="n">
        <v>24100</v>
      </c>
      <c r="AF868" s="4" t="n">
        <v>0.44</v>
      </c>
      <c r="AG868" s="3">
        <f>ROUND(AE868-(AE868*AF868),2)</f>
        <v/>
      </c>
      <c r="AH868" s="4" t="n">
        <v>0.18</v>
      </c>
      <c r="AI868" s="3">
        <f>ROUND(AG868+(AG868*AH868),2)</f>
        <v/>
      </c>
      <c r="AJ868" s="4" t="n">
        <v>0.1</v>
      </c>
      <c r="AK868" s="3">
        <f>ROUND(AI868*AJ868,2)</f>
        <v/>
      </c>
      <c r="AL868" s="3">
        <f>AI868+AK868</f>
        <v/>
      </c>
      <c r="AM868" s="3">
        <f>AE868-AL868</f>
        <v/>
      </c>
      <c r="AN868" s="4">
        <f>AM868/AE868</f>
        <v/>
      </c>
      <c r="AO868" s="3" t="inlineStr">
        <is>
          <t>60 mins</t>
        </is>
      </c>
      <c r="AQ868" s="3" t="inlineStr">
        <is>
          <t>Weight</t>
        </is>
      </c>
      <c r="AT868" s="3" t="inlineStr">
        <is>
          <t>Actvie</t>
        </is>
      </c>
    </row>
    <row r="869" ht="15.75" customHeight="1">
      <c r="A869" s="3" t="inlineStr">
        <is>
          <t>PROD_0191</t>
        </is>
      </c>
      <c r="B869" s="3" t="inlineStr">
        <is>
          <t>VAR_35</t>
        </is>
      </c>
      <c r="C869" s="3" t="inlineStr">
        <is>
          <t>Electrical Material</t>
        </is>
      </c>
      <c r="D869" s="3" t="inlineStr">
        <is>
          <t>Wires</t>
        </is>
      </c>
      <c r="E869" s="3" t="inlineStr">
        <is>
          <t>Polycab</t>
        </is>
      </c>
      <c r="F869" s="3" t="inlineStr">
        <is>
          <t>Etira</t>
        </is>
      </c>
      <c r="H869" s="3" t="inlineStr">
        <is>
          <t>Thickness</t>
        </is>
      </c>
      <c r="I869" s="3" t="inlineStr">
        <is>
          <t>10 Sq mm</t>
        </is>
      </c>
      <c r="J869" s="3" t="inlineStr">
        <is>
          <t>Color</t>
        </is>
      </c>
      <c r="K869" s="3" t="inlineStr">
        <is>
          <t>Blue</t>
        </is>
      </c>
      <c r="L869" s="3" t="inlineStr">
        <is>
          <t>Length</t>
        </is>
      </c>
      <c r="M869" s="3" t="inlineStr">
        <is>
          <t>90 Mtr</t>
        </is>
      </c>
      <c r="Q869" s="3" t="inlineStr">
        <is>
          <t>Manufacturer's Warranty</t>
        </is>
      </c>
      <c r="Y869" s="3" t="inlineStr">
        <is>
          <t>WR_PC_ETR_BLU</t>
        </is>
      </c>
      <c r="Z869" s="3" t="n">
        <v>8544</v>
      </c>
      <c r="AE869" s="3" t="n">
        <v>24100</v>
      </c>
      <c r="AF869" s="4" t="n">
        <v>0.44</v>
      </c>
      <c r="AG869" s="3">
        <f>ROUND(AE869-(AE869*AF869),2)</f>
        <v/>
      </c>
      <c r="AH869" s="4" t="n">
        <v>0.18</v>
      </c>
      <c r="AI869" s="3">
        <f>ROUND(AG869+(AG869*AH869),2)</f>
        <v/>
      </c>
      <c r="AJ869" s="4" t="n">
        <v>0.1</v>
      </c>
      <c r="AK869" s="3">
        <f>ROUND(AI869*AJ869,2)</f>
        <v/>
      </c>
      <c r="AL869" s="3">
        <f>AI869+AK869</f>
        <v/>
      </c>
      <c r="AM869" s="3">
        <f>AE869-AL869</f>
        <v/>
      </c>
      <c r="AN869" s="4">
        <f>AM869/AE869</f>
        <v/>
      </c>
      <c r="AO869" s="3" t="inlineStr">
        <is>
          <t>60 mins</t>
        </is>
      </c>
      <c r="AQ869" s="3" t="inlineStr">
        <is>
          <t>Weight</t>
        </is>
      </c>
      <c r="AT869" s="3" t="inlineStr">
        <is>
          <t>Actvie</t>
        </is>
      </c>
    </row>
    <row r="870" ht="15.75" customHeight="1">
      <c r="A870" s="3" t="inlineStr">
        <is>
          <t>PROD_0191</t>
        </is>
      </c>
      <c r="B870" s="3" t="inlineStr">
        <is>
          <t>VAR_36</t>
        </is>
      </c>
      <c r="C870" s="3" t="inlineStr">
        <is>
          <t>Electrical Material</t>
        </is>
      </c>
      <c r="D870" s="3" t="inlineStr">
        <is>
          <t>Wires</t>
        </is>
      </c>
      <c r="E870" s="3" t="inlineStr">
        <is>
          <t>Polycab</t>
        </is>
      </c>
      <c r="F870" s="3" t="inlineStr">
        <is>
          <t>Etira</t>
        </is>
      </c>
      <c r="H870" s="3" t="inlineStr">
        <is>
          <t>Thickness</t>
        </is>
      </c>
      <c r="I870" s="3" t="inlineStr">
        <is>
          <t>16 Sq mm</t>
        </is>
      </c>
      <c r="J870" s="3" t="inlineStr">
        <is>
          <t>Color</t>
        </is>
      </c>
      <c r="K870" s="3" t="inlineStr">
        <is>
          <t>Red</t>
        </is>
      </c>
      <c r="L870" s="3" t="inlineStr">
        <is>
          <t>Length</t>
        </is>
      </c>
      <c r="M870" s="3" t="inlineStr">
        <is>
          <t>90 Mtr</t>
        </is>
      </c>
      <c r="Q870" s="3" t="inlineStr">
        <is>
          <t>Manufacturer's Warranty</t>
        </is>
      </c>
      <c r="R870" s="3" t="inlineStr">
        <is>
          <t>FR</t>
        </is>
      </c>
      <c r="Y870" s="3" t="inlineStr">
        <is>
          <t>WR_PC_ETR_RD</t>
        </is>
      </c>
      <c r="Z870" s="3" t="n">
        <v>8544</v>
      </c>
      <c r="AE870" s="3" t="n">
        <v>38050</v>
      </c>
      <c r="AF870" s="4" t="n">
        <v>0.44</v>
      </c>
      <c r="AG870" s="3">
        <f>ROUND(AE870-(AE870*AF870),2)</f>
        <v/>
      </c>
      <c r="AH870" s="4" t="n">
        <v>0.18</v>
      </c>
      <c r="AI870" s="3">
        <f>ROUND(AG870+(AG870*AH870),2)</f>
        <v/>
      </c>
      <c r="AJ870" s="4" t="n">
        <v>0.1</v>
      </c>
      <c r="AK870" s="3">
        <f>ROUND(AI870*AJ870,2)</f>
        <v/>
      </c>
      <c r="AL870" s="3">
        <f>AI870+AK870</f>
        <v/>
      </c>
      <c r="AM870" s="3">
        <f>AE870-AL870</f>
        <v/>
      </c>
      <c r="AN870" s="4">
        <f>AM870/AE870</f>
        <v/>
      </c>
      <c r="AO870" s="3" t="inlineStr">
        <is>
          <t>60 mins</t>
        </is>
      </c>
      <c r="AQ870" s="3" t="inlineStr">
        <is>
          <t>Weight</t>
        </is>
      </c>
      <c r="AT870" s="3" t="inlineStr">
        <is>
          <t>Actvie</t>
        </is>
      </c>
    </row>
    <row r="871" ht="15.75" customHeight="1">
      <c r="A871" s="3" t="inlineStr">
        <is>
          <t>PROD_0191</t>
        </is>
      </c>
      <c r="B871" s="3" t="inlineStr">
        <is>
          <t>VAR_37</t>
        </is>
      </c>
      <c r="C871" s="3" t="inlineStr">
        <is>
          <t>Electrical Material</t>
        </is>
      </c>
      <c r="D871" s="3" t="inlineStr">
        <is>
          <t>Wires</t>
        </is>
      </c>
      <c r="E871" s="3" t="inlineStr">
        <is>
          <t>Polycab</t>
        </is>
      </c>
      <c r="F871" s="3" t="inlineStr">
        <is>
          <t>Etira</t>
        </is>
      </c>
      <c r="H871" s="3" t="inlineStr">
        <is>
          <t>Thickness</t>
        </is>
      </c>
      <c r="I871" s="3" t="inlineStr">
        <is>
          <t>16 Sq mm</t>
        </is>
      </c>
      <c r="J871" s="3" t="inlineStr">
        <is>
          <t>Color</t>
        </is>
      </c>
      <c r="K871" s="3" t="inlineStr">
        <is>
          <t>Black</t>
        </is>
      </c>
      <c r="L871" s="3" t="inlineStr">
        <is>
          <t>Length</t>
        </is>
      </c>
      <c r="M871" s="3" t="inlineStr">
        <is>
          <t>90 Mtr</t>
        </is>
      </c>
      <c r="Q871" s="3" t="inlineStr">
        <is>
          <t>Manufacturer's Warranty</t>
        </is>
      </c>
      <c r="Y871" s="3" t="inlineStr">
        <is>
          <t>WR_PC_ETR_BLK</t>
        </is>
      </c>
      <c r="Z871" s="3" t="n">
        <v>8544</v>
      </c>
      <c r="AE871" s="3" t="n">
        <v>38050</v>
      </c>
      <c r="AF871" s="4" t="n">
        <v>0.44</v>
      </c>
      <c r="AG871" s="3">
        <f>ROUND(AE871-(AE871*AF871),2)</f>
        <v/>
      </c>
      <c r="AH871" s="4" t="n">
        <v>0.18</v>
      </c>
      <c r="AI871" s="3">
        <f>ROUND(AG871+(AG871*AH871),2)</f>
        <v/>
      </c>
      <c r="AJ871" s="4" t="n">
        <v>0.1</v>
      </c>
      <c r="AK871" s="3">
        <f>ROUND(AI871*AJ871,2)</f>
        <v/>
      </c>
      <c r="AL871" s="3">
        <f>AI871+AK871</f>
        <v/>
      </c>
      <c r="AM871" s="3">
        <f>AE871-AL871</f>
        <v/>
      </c>
      <c r="AN871" s="4">
        <f>AM871/AE871</f>
        <v/>
      </c>
      <c r="AO871" s="3" t="inlineStr">
        <is>
          <t>60 mins</t>
        </is>
      </c>
      <c r="AQ871" s="3" t="inlineStr">
        <is>
          <t>Weight</t>
        </is>
      </c>
      <c r="AT871" s="3" t="inlineStr">
        <is>
          <t>Actvie</t>
        </is>
      </c>
    </row>
    <row r="872" ht="15.75" customHeight="1">
      <c r="A872" s="3" t="inlineStr">
        <is>
          <t>PROD_0191</t>
        </is>
      </c>
      <c r="B872" s="3" t="inlineStr">
        <is>
          <t>VAR_38</t>
        </is>
      </c>
      <c r="C872" s="3" t="inlineStr">
        <is>
          <t>Electrical Material</t>
        </is>
      </c>
      <c r="D872" s="3" t="inlineStr">
        <is>
          <t>Wires</t>
        </is>
      </c>
      <c r="E872" s="3" t="inlineStr">
        <is>
          <t>Polycab</t>
        </is>
      </c>
      <c r="F872" s="3" t="inlineStr">
        <is>
          <t>Etira</t>
        </is>
      </c>
      <c r="H872" s="3" t="inlineStr">
        <is>
          <t>Thickness</t>
        </is>
      </c>
      <c r="I872" s="3" t="inlineStr">
        <is>
          <t>16 Sq mm</t>
        </is>
      </c>
      <c r="J872" s="3" t="inlineStr">
        <is>
          <t>Color</t>
        </is>
      </c>
      <c r="K872" s="3" t="inlineStr">
        <is>
          <t>Green</t>
        </is>
      </c>
      <c r="L872" s="3" t="inlineStr">
        <is>
          <t>Length</t>
        </is>
      </c>
      <c r="M872" s="3" t="inlineStr">
        <is>
          <t>90 Mtr</t>
        </is>
      </c>
      <c r="Q872" s="3" t="inlineStr">
        <is>
          <t>Manufacturer's Warranty</t>
        </is>
      </c>
      <c r="Y872" s="3" t="inlineStr">
        <is>
          <t>WR_PC_ETR_GRN</t>
        </is>
      </c>
      <c r="Z872" s="3" t="n">
        <v>8544</v>
      </c>
      <c r="AE872" s="3" t="n">
        <v>38050</v>
      </c>
      <c r="AF872" s="4" t="n">
        <v>0.44</v>
      </c>
      <c r="AG872" s="3">
        <f>ROUND(AE872-(AE872*AF872),2)</f>
        <v/>
      </c>
      <c r="AH872" s="4" t="n">
        <v>0.18</v>
      </c>
      <c r="AI872" s="3">
        <f>ROUND(AG872+(AG872*AH872),2)</f>
        <v/>
      </c>
      <c r="AJ872" s="4" t="n">
        <v>0.1</v>
      </c>
      <c r="AK872" s="3">
        <f>ROUND(AI872*AJ872,2)</f>
        <v/>
      </c>
      <c r="AL872" s="3">
        <f>AI872+AK872</f>
        <v/>
      </c>
      <c r="AM872" s="3">
        <f>AE872-AL872</f>
        <v/>
      </c>
      <c r="AN872" s="4">
        <f>AM872/AE872</f>
        <v/>
      </c>
      <c r="AO872" s="3" t="inlineStr">
        <is>
          <t>60 mins</t>
        </is>
      </c>
      <c r="AQ872" s="3" t="inlineStr">
        <is>
          <t>Weight</t>
        </is>
      </c>
      <c r="AT872" s="3" t="inlineStr">
        <is>
          <t>Actvie</t>
        </is>
      </c>
    </row>
    <row r="873" ht="15.75" customHeight="1">
      <c r="A873" s="3" t="inlineStr">
        <is>
          <t>PROD_0191</t>
        </is>
      </c>
      <c r="B873" s="3" t="inlineStr">
        <is>
          <t>VAR_39</t>
        </is>
      </c>
      <c r="C873" s="3" t="inlineStr">
        <is>
          <t>Electrical Material</t>
        </is>
      </c>
      <c r="D873" s="3" t="inlineStr">
        <is>
          <t>Wires</t>
        </is>
      </c>
      <c r="E873" s="3" t="inlineStr">
        <is>
          <t>Polycab</t>
        </is>
      </c>
      <c r="F873" s="3" t="inlineStr">
        <is>
          <t>Etira</t>
        </is>
      </c>
      <c r="H873" s="3" t="inlineStr">
        <is>
          <t>Thickness</t>
        </is>
      </c>
      <c r="I873" s="3" t="inlineStr">
        <is>
          <t>16 Sq mm</t>
        </is>
      </c>
      <c r="J873" s="3" t="inlineStr">
        <is>
          <t>Color</t>
        </is>
      </c>
      <c r="K873" s="3" t="inlineStr">
        <is>
          <t>Yellow</t>
        </is>
      </c>
      <c r="L873" s="3" t="inlineStr">
        <is>
          <t>Length</t>
        </is>
      </c>
      <c r="M873" s="3" t="inlineStr">
        <is>
          <t>90 Mtr</t>
        </is>
      </c>
      <c r="Q873" s="3" t="inlineStr">
        <is>
          <t>Manufacturer's Warranty</t>
        </is>
      </c>
      <c r="Y873" s="3" t="inlineStr">
        <is>
          <t>WR_PC_ETR_YLW</t>
        </is>
      </c>
      <c r="Z873" s="3" t="n">
        <v>8544</v>
      </c>
      <c r="AE873" s="3" t="n">
        <v>38050</v>
      </c>
      <c r="AF873" s="4" t="n">
        <v>0.44</v>
      </c>
      <c r="AG873" s="3">
        <f>ROUND(AE873-(AE873*AF873),2)</f>
        <v/>
      </c>
      <c r="AH873" s="4" t="n">
        <v>0.18</v>
      </c>
      <c r="AI873" s="3">
        <f>ROUND(AG873+(AG873*AH873),2)</f>
        <v/>
      </c>
      <c r="AJ873" s="4" t="n">
        <v>0.1</v>
      </c>
      <c r="AK873" s="3">
        <f>ROUND(AI873*AJ873,2)</f>
        <v/>
      </c>
      <c r="AL873" s="3">
        <f>AI873+AK873</f>
        <v/>
      </c>
      <c r="AM873" s="3">
        <f>AE873-AL873</f>
        <v/>
      </c>
      <c r="AN873" s="4">
        <f>AM873/AE873</f>
        <v/>
      </c>
      <c r="AO873" s="3" t="inlineStr">
        <is>
          <t>60 mins</t>
        </is>
      </c>
      <c r="AQ873" s="3" t="inlineStr">
        <is>
          <t>Weight</t>
        </is>
      </c>
      <c r="AT873" s="3" t="inlineStr">
        <is>
          <t>Actvie</t>
        </is>
      </c>
    </row>
    <row r="874" ht="15.75" customHeight="1">
      <c r="A874" s="3" t="inlineStr">
        <is>
          <t>PROD_0191</t>
        </is>
      </c>
      <c r="B874" s="3" t="inlineStr">
        <is>
          <t>VAR_40</t>
        </is>
      </c>
      <c r="C874" s="3" t="inlineStr">
        <is>
          <t>Electrical Material</t>
        </is>
      </c>
      <c r="D874" s="3" t="inlineStr">
        <is>
          <t>Wires</t>
        </is>
      </c>
      <c r="E874" s="3" t="inlineStr">
        <is>
          <t>Polycab</t>
        </is>
      </c>
      <c r="F874" s="3" t="inlineStr">
        <is>
          <t>Etira</t>
        </is>
      </c>
      <c r="H874" s="3" t="inlineStr">
        <is>
          <t>Thickness</t>
        </is>
      </c>
      <c r="I874" s="3" t="inlineStr">
        <is>
          <t>16 Sq mm</t>
        </is>
      </c>
      <c r="J874" s="3" t="inlineStr">
        <is>
          <t>Color</t>
        </is>
      </c>
      <c r="K874" s="3" t="inlineStr">
        <is>
          <t>Blue</t>
        </is>
      </c>
      <c r="L874" s="3" t="inlineStr">
        <is>
          <t>Length</t>
        </is>
      </c>
      <c r="M874" s="3" t="inlineStr">
        <is>
          <t>90 Mtr</t>
        </is>
      </c>
      <c r="Q874" s="3" t="inlineStr">
        <is>
          <t>Manufacturer's Warranty</t>
        </is>
      </c>
      <c r="Y874" s="3" t="inlineStr">
        <is>
          <t>WR_PC_ETR_BLU</t>
        </is>
      </c>
      <c r="Z874" s="3" t="n">
        <v>8544</v>
      </c>
      <c r="AE874" s="3" t="n">
        <v>38050</v>
      </c>
      <c r="AF874" s="4" t="n">
        <v>0.44</v>
      </c>
      <c r="AG874" s="3">
        <f>ROUND(AE874-(AE874*AF874),2)</f>
        <v/>
      </c>
      <c r="AH874" s="4" t="n">
        <v>0.18</v>
      </c>
      <c r="AI874" s="3">
        <f>ROUND(AG874+(AG874*AH874),2)</f>
        <v/>
      </c>
      <c r="AJ874" s="4" t="n">
        <v>0.1</v>
      </c>
      <c r="AK874" s="3">
        <f>ROUND(AI874*AJ874,2)</f>
        <v/>
      </c>
      <c r="AL874" s="3">
        <f>AI874+AK874</f>
        <v/>
      </c>
      <c r="AM874" s="3">
        <f>AE874-AL874</f>
        <v/>
      </c>
      <c r="AN874" s="4">
        <f>AM874/AE874</f>
        <v/>
      </c>
      <c r="AO874" s="3" t="inlineStr">
        <is>
          <t>60 mins</t>
        </is>
      </c>
      <c r="AQ874" s="3" t="inlineStr">
        <is>
          <t>Weight</t>
        </is>
      </c>
      <c r="AT874" s="3" t="inlineStr">
        <is>
          <t>Actvie</t>
        </is>
      </c>
    </row>
    <row r="875" ht="15.75" customHeight="1">
      <c r="A875" s="3" t="inlineStr">
        <is>
          <t>PROD_0192</t>
        </is>
      </c>
      <c r="B875" s="3" t="inlineStr">
        <is>
          <t>VAR_1</t>
        </is>
      </c>
      <c r="C875" s="3" t="inlineStr">
        <is>
          <t>Electrical Material</t>
        </is>
      </c>
      <c r="D875" s="3" t="inlineStr">
        <is>
          <t>Wires</t>
        </is>
      </c>
      <c r="E875" s="3" t="inlineStr">
        <is>
          <t>Polycab</t>
        </is>
      </c>
      <c r="F875" s="3" t="inlineStr">
        <is>
          <t>Green Wire</t>
        </is>
      </c>
      <c r="H875" s="3" t="inlineStr">
        <is>
          <t>Thickness</t>
        </is>
      </c>
      <c r="I875" s="3" t="inlineStr">
        <is>
          <t>1 Sq mm</t>
        </is>
      </c>
      <c r="J875" s="3" t="inlineStr">
        <is>
          <t>Color</t>
        </is>
      </c>
      <c r="K875" s="3" t="inlineStr">
        <is>
          <t>Red</t>
        </is>
      </c>
      <c r="L875" s="3" t="inlineStr">
        <is>
          <t>Length</t>
        </is>
      </c>
      <c r="M875" s="3" t="inlineStr">
        <is>
          <t>180 Mtr</t>
        </is>
      </c>
      <c r="Q875" s="3" t="inlineStr">
        <is>
          <t>Manufacturer's Warranty</t>
        </is>
      </c>
      <c r="R875" s="3" t="inlineStr">
        <is>
          <t>FR</t>
        </is>
      </c>
      <c r="Y875" s="3" t="inlineStr">
        <is>
          <t>WR_PC_ETR_RD</t>
        </is>
      </c>
      <c r="Z875" s="3" t="n">
        <v>8544</v>
      </c>
      <c r="AE875" s="3" t="n">
        <v>5960</v>
      </c>
      <c r="AF875" s="4" t="n">
        <v>0.44</v>
      </c>
      <c r="AG875" s="3">
        <f>ROUND(AE875-(AE875*AF875),2)</f>
        <v/>
      </c>
      <c r="AH875" s="4" t="n">
        <v>0.18</v>
      </c>
      <c r="AI875" s="3">
        <f>ROUND(AG875+(AG875*AH875),2)</f>
        <v/>
      </c>
      <c r="AJ875" s="4" t="n">
        <v>0.1</v>
      </c>
      <c r="AK875" s="3">
        <f>ROUND(AI875*AJ875,2)</f>
        <v/>
      </c>
      <c r="AL875" s="3">
        <f>AI875+AK875</f>
        <v/>
      </c>
      <c r="AM875" s="3">
        <f>AE875-AL875</f>
        <v/>
      </c>
      <c r="AN875" s="4">
        <f>AM875/AE875</f>
        <v/>
      </c>
      <c r="AO875" s="3" t="inlineStr">
        <is>
          <t>60 mins</t>
        </is>
      </c>
      <c r="AQ875" s="3" t="inlineStr">
        <is>
          <t>Weight</t>
        </is>
      </c>
      <c r="AT875" s="3" t="inlineStr">
        <is>
          <t>Actvie</t>
        </is>
      </c>
    </row>
    <row r="876" ht="15.75" customHeight="1">
      <c r="A876" s="3" t="inlineStr">
        <is>
          <t>PROD_0192</t>
        </is>
      </c>
      <c r="B876" s="3" t="inlineStr">
        <is>
          <t>VAR_2</t>
        </is>
      </c>
      <c r="C876" s="3" t="inlineStr">
        <is>
          <t>Electrical Material</t>
        </is>
      </c>
      <c r="D876" s="3" t="inlineStr">
        <is>
          <t>Wires</t>
        </is>
      </c>
      <c r="E876" s="3" t="inlineStr">
        <is>
          <t>Polycab</t>
        </is>
      </c>
      <c r="F876" s="3" t="inlineStr">
        <is>
          <t>Green Wire</t>
        </is>
      </c>
      <c r="H876" s="3" t="inlineStr">
        <is>
          <t>Thickness</t>
        </is>
      </c>
      <c r="I876" s="3" t="inlineStr">
        <is>
          <t>1 Sq mm</t>
        </is>
      </c>
      <c r="J876" s="3" t="inlineStr">
        <is>
          <t>Color</t>
        </is>
      </c>
      <c r="K876" s="3" t="inlineStr">
        <is>
          <t>Black</t>
        </is>
      </c>
      <c r="L876" s="3" t="inlineStr">
        <is>
          <t>Length</t>
        </is>
      </c>
      <c r="M876" s="3" t="inlineStr">
        <is>
          <t>180 Mtr</t>
        </is>
      </c>
      <c r="Q876" s="3" t="inlineStr">
        <is>
          <t>Manufacturer's Warranty</t>
        </is>
      </c>
      <c r="Y876" s="3" t="inlineStr">
        <is>
          <t>WR_PC_ETR_BLK</t>
        </is>
      </c>
      <c r="Z876" s="3" t="n">
        <v>8544</v>
      </c>
      <c r="AE876" s="3" t="n">
        <v>5960</v>
      </c>
      <c r="AF876" s="4" t="n">
        <v>0.44</v>
      </c>
      <c r="AG876" s="3">
        <f>ROUND(AE876-(AE876*AF876),2)</f>
        <v/>
      </c>
      <c r="AH876" s="4" t="n">
        <v>0.18</v>
      </c>
      <c r="AI876" s="3">
        <f>ROUND(AG876+(AG876*AH876),2)</f>
        <v/>
      </c>
      <c r="AJ876" s="4" t="n">
        <v>0.1</v>
      </c>
      <c r="AK876" s="3">
        <f>ROUND(AI876*AJ876,2)</f>
        <v/>
      </c>
      <c r="AL876" s="3">
        <f>AI876+AK876</f>
        <v/>
      </c>
      <c r="AM876" s="3">
        <f>AE876-AL876</f>
        <v/>
      </c>
      <c r="AN876" s="4">
        <f>AM876/AE876</f>
        <v/>
      </c>
      <c r="AO876" s="3" t="inlineStr">
        <is>
          <t>60 mins</t>
        </is>
      </c>
      <c r="AQ876" s="3" t="inlineStr">
        <is>
          <t>Weight</t>
        </is>
      </c>
      <c r="AT876" s="3" t="inlineStr">
        <is>
          <t>Actvie</t>
        </is>
      </c>
    </row>
    <row r="877" ht="15.75" customHeight="1">
      <c r="A877" s="3" t="inlineStr">
        <is>
          <t>PROD_0192</t>
        </is>
      </c>
      <c r="B877" s="3" t="inlineStr">
        <is>
          <t>VAR_3</t>
        </is>
      </c>
      <c r="C877" s="3" t="inlineStr">
        <is>
          <t>Electrical Material</t>
        </is>
      </c>
      <c r="D877" s="3" t="inlineStr">
        <is>
          <t>Wires</t>
        </is>
      </c>
      <c r="E877" s="3" t="inlineStr">
        <is>
          <t>Polycab</t>
        </is>
      </c>
      <c r="F877" s="3" t="inlineStr">
        <is>
          <t>Green Wire</t>
        </is>
      </c>
      <c r="H877" s="3" t="inlineStr">
        <is>
          <t>Thickness</t>
        </is>
      </c>
      <c r="I877" s="3" t="inlineStr">
        <is>
          <t>1 Sq mm</t>
        </is>
      </c>
      <c r="J877" s="3" t="inlineStr">
        <is>
          <t>Color</t>
        </is>
      </c>
      <c r="K877" s="3" t="inlineStr">
        <is>
          <t>Green</t>
        </is>
      </c>
      <c r="L877" s="3" t="inlineStr">
        <is>
          <t>Length</t>
        </is>
      </c>
      <c r="M877" s="3" t="inlineStr">
        <is>
          <t>180 Mtr</t>
        </is>
      </c>
      <c r="Q877" s="3" t="inlineStr">
        <is>
          <t>Manufacturer's Warranty</t>
        </is>
      </c>
      <c r="Y877" s="3" t="inlineStr">
        <is>
          <t>WR_PC_ETR_GRN</t>
        </is>
      </c>
      <c r="Z877" s="3" t="n">
        <v>8544</v>
      </c>
      <c r="AE877" s="3" t="n">
        <v>5960</v>
      </c>
      <c r="AF877" s="4" t="n">
        <v>0.44</v>
      </c>
      <c r="AG877" s="3">
        <f>ROUND(AE877-(AE877*AF877),2)</f>
        <v/>
      </c>
      <c r="AH877" s="4" t="n">
        <v>0.18</v>
      </c>
      <c r="AI877" s="3">
        <f>ROUND(AG877+(AG877*AH877),2)</f>
        <v/>
      </c>
      <c r="AJ877" s="4" t="n">
        <v>0.1</v>
      </c>
      <c r="AK877" s="3">
        <f>ROUND(AI877*AJ877,2)</f>
        <v/>
      </c>
      <c r="AL877" s="3">
        <f>AI877+AK877</f>
        <v/>
      </c>
      <c r="AM877" s="3">
        <f>AE877-AL877</f>
        <v/>
      </c>
      <c r="AN877" s="4">
        <f>AM877/AE877</f>
        <v/>
      </c>
      <c r="AO877" s="3" t="inlineStr">
        <is>
          <t>60 mins</t>
        </is>
      </c>
      <c r="AQ877" s="3" t="inlineStr">
        <is>
          <t>Weight</t>
        </is>
      </c>
      <c r="AT877" s="3" t="inlineStr">
        <is>
          <t>Actvie</t>
        </is>
      </c>
    </row>
    <row r="878" ht="15.75" customHeight="1">
      <c r="A878" s="3" t="inlineStr">
        <is>
          <t>PROD_0192</t>
        </is>
      </c>
      <c r="B878" s="3" t="inlineStr">
        <is>
          <t>VAR_4</t>
        </is>
      </c>
      <c r="C878" s="3" t="inlineStr">
        <is>
          <t>Electrical Material</t>
        </is>
      </c>
      <c r="D878" s="3" t="inlineStr">
        <is>
          <t>Wires</t>
        </is>
      </c>
      <c r="E878" s="3" t="inlineStr">
        <is>
          <t>Polycab</t>
        </is>
      </c>
      <c r="F878" s="3" t="inlineStr">
        <is>
          <t>Green Wire</t>
        </is>
      </c>
      <c r="H878" s="3" t="inlineStr">
        <is>
          <t>Thickness</t>
        </is>
      </c>
      <c r="I878" s="3" t="inlineStr">
        <is>
          <t>1 Sq mm</t>
        </is>
      </c>
      <c r="J878" s="3" t="inlineStr">
        <is>
          <t>Color</t>
        </is>
      </c>
      <c r="K878" s="3" t="inlineStr">
        <is>
          <t>Yellow</t>
        </is>
      </c>
      <c r="L878" s="3" t="inlineStr">
        <is>
          <t>Length</t>
        </is>
      </c>
      <c r="M878" s="3" t="inlineStr">
        <is>
          <t>180 Mtr</t>
        </is>
      </c>
      <c r="Q878" s="3" t="inlineStr">
        <is>
          <t>Manufacturer's Warranty</t>
        </is>
      </c>
      <c r="Y878" s="3" t="inlineStr">
        <is>
          <t>WR_PC_ETR_YLW</t>
        </is>
      </c>
      <c r="Z878" s="3" t="n">
        <v>8544</v>
      </c>
      <c r="AE878" s="3" t="n">
        <v>5960</v>
      </c>
      <c r="AF878" s="4" t="n">
        <v>0.44</v>
      </c>
      <c r="AG878" s="3">
        <f>ROUND(AE878-(AE878*AF878),2)</f>
        <v/>
      </c>
      <c r="AH878" s="4" t="n">
        <v>0.18</v>
      </c>
      <c r="AI878" s="3">
        <f>ROUND(AG878+(AG878*AH878),2)</f>
        <v/>
      </c>
      <c r="AJ878" s="4" t="n">
        <v>0.1</v>
      </c>
      <c r="AK878" s="3">
        <f>ROUND(AI878*AJ878,2)</f>
        <v/>
      </c>
      <c r="AL878" s="3">
        <f>AI878+AK878</f>
        <v/>
      </c>
      <c r="AM878" s="3">
        <f>AE878-AL878</f>
        <v/>
      </c>
      <c r="AN878" s="4">
        <f>AM878/AE878</f>
        <v/>
      </c>
      <c r="AO878" s="3" t="inlineStr">
        <is>
          <t>60 mins</t>
        </is>
      </c>
      <c r="AQ878" s="3" t="inlineStr">
        <is>
          <t>Weight</t>
        </is>
      </c>
      <c r="AT878" s="3" t="inlineStr">
        <is>
          <t>Actvie</t>
        </is>
      </c>
    </row>
    <row r="879" ht="15.75" customHeight="1">
      <c r="A879" s="3" t="inlineStr">
        <is>
          <t>PROD_0192</t>
        </is>
      </c>
      <c r="B879" s="3" t="inlineStr">
        <is>
          <t>VAR_5</t>
        </is>
      </c>
      <c r="C879" s="3" t="inlineStr">
        <is>
          <t>Electrical Material</t>
        </is>
      </c>
      <c r="D879" s="3" t="inlineStr">
        <is>
          <t>Wires</t>
        </is>
      </c>
      <c r="E879" s="3" t="inlineStr">
        <is>
          <t>Polycab</t>
        </is>
      </c>
      <c r="F879" s="3" t="inlineStr">
        <is>
          <t>Green Wire</t>
        </is>
      </c>
      <c r="H879" s="3" t="inlineStr">
        <is>
          <t>Thickness</t>
        </is>
      </c>
      <c r="I879" s="3" t="inlineStr">
        <is>
          <t>1 Sq mm</t>
        </is>
      </c>
      <c r="J879" s="3" t="inlineStr">
        <is>
          <t>Color</t>
        </is>
      </c>
      <c r="K879" s="3" t="inlineStr">
        <is>
          <t>Blue</t>
        </is>
      </c>
      <c r="L879" s="3" t="inlineStr">
        <is>
          <t>Length</t>
        </is>
      </c>
      <c r="M879" s="3" t="inlineStr">
        <is>
          <t>180 Mtr</t>
        </is>
      </c>
      <c r="Q879" s="3" t="inlineStr">
        <is>
          <t>Manufacturer's Warranty</t>
        </is>
      </c>
      <c r="Y879" s="3" t="inlineStr">
        <is>
          <t>WR_PC_ETR_BLU</t>
        </is>
      </c>
      <c r="Z879" s="3" t="n">
        <v>8544</v>
      </c>
      <c r="AE879" s="3" t="n">
        <v>5960</v>
      </c>
      <c r="AF879" s="4" t="n">
        <v>0.44</v>
      </c>
      <c r="AG879" s="3">
        <f>ROUND(AE879-(AE879*AF879),2)</f>
        <v/>
      </c>
      <c r="AH879" s="4" t="n">
        <v>0.18</v>
      </c>
      <c r="AI879" s="3">
        <f>ROUND(AG879+(AG879*AH879),2)</f>
        <v/>
      </c>
      <c r="AJ879" s="4" t="n">
        <v>0.1</v>
      </c>
      <c r="AK879" s="3">
        <f>ROUND(AI879*AJ879,2)</f>
        <v/>
      </c>
      <c r="AL879" s="3">
        <f>AI879+AK879</f>
        <v/>
      </c>
      <c r="AM879" s="3">
        <f>AE879-AL879</f>
        <v/>
      </c>
      <c r="AN879" s="4">
        <f>AM879/AE879</f>
        <v/>
      </c>
      <c r="AO879" s="3" t="inlineStr">
        <is>
          <t>60 mins</t>
        </is>
      </c>
      <c r="AQ879" s="3" t="inlineStr">
        <is>
          <t>Weight</t>
        </is>
      </c>
      <c r="AT879" s="3" t="inlineStr">
        <is>
          <t>Actvie</t>
        </is>
      </c>
    </row>
    <row r="880" ht="15.75" customHeight="1">
      <c r="A880" s="3" t="inlineStr">
        <is>
          <t>PROD_0192</t>
        </is>
      </c>
      <c r="B880" s="3" t="inlineStr">
        <is>
          <t>VAR_6</t>
        </is>
      </c>
      <c r="C880" s="3" t="inlineStr">
        <is>
          <t>Electrical Material</t>
        </is>
      </c>
      <c r="D880" s="3" t="inlineStr">
        <is>
          <t>Wires</t>
        </is>
      </c>
      <c r="E880" s="3" t="inlineStr">
        <is>
          <t>Polycab</t>
        </is>
      </c>
      <c r="F880" s="3" t="inlineStr">
        <is>
          <t>Green Wire</t>
        </is>
      </c>
      <c r="H880" s="3" t="inlineStr">
        <is>
          <t>Thickness</t>
        </is>
      </c>
      <c r="I880" s="3" t="inlineStr">
        <is>
          <t>1.5 Sq mm</t>
        </is>
      </c>
      <c r="J880" s="3" t="inlineStr">
        <is>
          <t>Color</t>
        </is>
      </c>
      <c r="K880" s="3" t="inlineStr">
        <is>
          <t>Red</t>
        </is>
      </c>
      <c r="L880" s="3" t="inlineStr">
        <is>
          <t>Length</t>
        </is>
      </c>
      <c r="M880" s="3" t="inlineStr">
        <is>
          <t>180 Mtr</t>
        </is>
      </c>
      <c r="Q880" s="3" t="inlineStr">
        <is>
          <t>Manufacturer's Warranty</t>
        </is>
      </c>
      <c r="R880" s="3" t="inlineStr">
        <is>
          <t>FR</t>
        </is>
      </c>
      <c r="Y880" s="3" t="inlineStr">
        <is>
          <t>WR_PC_ETR_RD</t>
        </is>
      </c>
      <c r="Z880" s="3" t="n">
        <v>8544</v>
      </c>
      <c r="AE880" s="3" t="n">
        <v>8700</v>
      </c>
      <c r="AF880" s="4" t="n">
        <v>0.44</v>
      </c>
      <c r="AG880" s="3">
        <f>ROUND(AE880-(AE880*AF880),2)</f>
        <v/>
      </c>
      <c r="AH880" s="4" t="n">
        <v>0.18</v>
      </c>
      <c r="AI880" s="3">
        <f>ROUND(AG880+(AG880*AH880),2)</f>
        <v/>
      </c>
      <c r="AJ880" s="4" t="n">
        <v>0.1</v>
      </c>
      <c r="AK880" s="3">
        <f>ROUND(AI880*AJ880,2)</f>
        <v/>
      </c>
      <c r="AL880" s="3">
        <f>AI880+AK880</f>
        <v/>
      </c>
      <c r="AM880" s="3">
        <f>AE880-AL880</f>
        <v/>
      </c>
      <c r="AN880" s="4">
        <f>AM880/AE880</f>
        <v/>
      </c>
      <c r="AO880" s="3" t="inlineStr">
        <is>
          <t>60 mins</t>
        </is>
      </c>
      <c r="AQ880" s="3" t="inlineStr">
        <is>
          <t>Weight</t>
        </is>
      </c>
      <c r="AT880" s="3" t="inlineStr">
        <is>
          <t>Actvie</t>
        </is>
      </c>
    </row>
    <row r="881" ht="15.75" customHeight="1">
      <c r="A881" s="3" t="inlineStr">
        <is>
          <t>PROD_0192</t>
        </is>
      </c>
      <c r="B881" s="3" t="inlineStr">
        <is>
          <t>VAR_7</t>
        </is>
      </c>
      <c r="C881" s="3" t="inlineStr">
        <is>
          <t>Electrical Material</t>
        </is>
      </c>
      <c r="D881" s="3" t="inlineStr">
        <is>
          <t>Wires</t>
        </is>
      </c>
      <c r="E881" s="3" t="inlineStr">
        <is>
          <t>Polycab</t>
        </is>
      </c>
      <c r="F881" s="3" t="inlineStr">
        <is>
          <t>Green Wire</t>
        </is>
      </c>
      <c r="H881" s="3" t="inlineStr">
        <is>
          <t>Thickness</t>
        </is>
      </c>
      <c r="I881" s="3" t="inlineStr">
        <is>
          <t>1.5 Sq mm</t>
        </is>
      </c>
      <c r="J881" s="3" t="inlineStr">
        <is>
          <t>Color</t>
        </is>
      </c>
      <c r="K881" s="3" t="inlineStr">
        <is>
          <t>Black</t>
        </is>
      </c>
      <c r="L881" s="3" t="inlineStr">
        <is>
          <t>Length</t>
        </is>
      </c>
      <c r="M881" s="3" t="inlineStr">
        <is>
          <t>180 Mtr</t>
        </is>
      </c>
      <c r="Q881" s="3" t="inlineStr">
        <is>
          <t>Manufacturer's Warranty</t>
        </is>
      </c>
      <c r="Y881" s="3" t="inlineStr">
        <is>
          <t>WR_PC_ETR_BLK</t>
        </is>
      </c>
      <c r="Z881" s="3" t="n">
        <v>8544</v>
      </c>
      <c r="AE881" s="3" t="n">
        <v>8700</v>
      </c>
      <c r="AF881" s="4" t="n">
        <v>0.44</v>
      </c>
      <c r="AG881" s="3">
        <f>ROUND(AE881-(AE881*AF881),2)</f>
        <v/>
      </c>
      <c r="AH881" s="4" t="n">
        <v>0.18</v>
      </c>
      <c r="AI881" s="3">
        <f>ROUND(AG881+(AG881*AH881),2)</f>
        <v/>
      </c>
      <c r="AJ881" s="4" t="n">
        <v>0.1</v>
      </c>
      <c r="AK881" s="3">
        <f>ROUND(AI881*AJ881,2)</f>
        <v/>
      </c>
      <c r="AL881" s="3">
        <f>AI881+AK881</f>
        <v/>
      </c>
      <c r="AM881" s="3">
        <f>AE881-AL881</f>
        <v/>
      </c>
      <c r="AN881" s="4">
        <f>AM881/AE881</f>
        <v/>
      </c>
      <c r="AO881" s="3" t="inlineStr">
        <is>
          <t>60 mins</t>
        </is>
      </c>
      <c r="AQ881" s="3" t="inlineStr">
        <is>
          <t>Weight</t>
        </is>
      </c>
      <c r="AT881" s="3" t="inlineStr">
        <is>
          <t>Actvie</t>
        </is>
      </c>
    </row>
    <row r="882" ht="15.75" customHeight="1">
      <c r="A882" s="3" t="inlineStr">
        <is>
          <t>PROD_0192</t>
        </is>
      </c>
      <c r="B882" s="3" t="inlineStr">
        <is>
          <t>VAR_8</t>
        </is>
      </c>
      <c r="C882" s="3" t="inlineStr">
        <is>
          <t>Electrical Material</t>
        </is>
      </c>
      <c r="D882" s="3" t="inlineStr">
        <is>
          <t>Wires</t>
        </is>
      </c>
      <c r="E882" s="3" t="inlineStr">
        <is>
          <t>Polycab</t>
        </is>
      </c>
      <c r="F882" s="3" t="inlineStr">
        <is>
          <t>Green Wire</t>
        </is>
      </c>
      <c r="H882" s="3" t="inlineStr">
        <is>
          <t>Thickness</t>
        </is>
      </c>
      <c r="I882" s="3" t="inlineStr">
        <is>
          <t>1.5 Sq mm</t>
        </is>
      </c>
      <c r="J882" s="3" t="inlineStr">
        <is>
          <t>Color</t>
        </is>
      </c>
      <c r="K882" s="3" t="inlineStr">
        <is>
          <t>Green</t>
        </is>
      </c>
      <c r="L882" s="3" t="inlineStr">
        <is>
          <t>Length</t>
        </is>
      </c>
      <c r="M882" s="3" t="inlineStr">
        <is>
          <t>180 Mtr</t>
        </is>
      </c>
      <c r="Q882" s="3" t="inlineStr">
        <is>
          <t>Manufacturer's Warranty</t>
        </is>
      </c>
      <c r="Y882" s="3" t="inlineStr">
        <is>
          <t>WR_PC_ETR_GRN</t>
        </is>
      </c>
      <c r="Z882" s="3" t="n">
        <v>8544</v>
      </c>
      <c r="AE882" s="3" t="n">
        <v>8700</v>
      </c>
      <c r="AF882" s="4" t="n">
        <v>0.44</v>
      </c>
      <c r="AG882" s="3">
        <f>ROUND(AE882-(AE882*AF882),2)</f>
        <v/>
      </c>
      <c r="AH882" s="4" t="n">
        <v>0.18</v>
      </c>
      <c r="AI882" s="3">
        <f>ROUND(AG882+(AG882*AH882),2)</f>
        <v/>
      </c>
      <c r="AJ882" s="4" t="n">
        <v>0.1</v>
      </c>
      <c r="AK882" s="3">
        <f>ROUND(AI882*AJ882,2)</f>
        <v/>
      </c>
      <c r="AL882" s="3">
        <f>AI882+AK882</f>
        <v/>
      </c>
      <c r="AM882" s="3">
        <f>AE882-AL882</f>
        <v/>
      </c>
      <c r="AN882" s="4">
        <f>AM882/AE882</f>
        <v/>
      </c>
      <c r="AO882" s="3" t="inlineStr">
        <is>
          <t>60 mins</t>
        </is>
      </c>
      <c r="AQ882" s="3" t="inlineStr">
        <is>
          <t>Weight</t>
        </is>
      </c>
      <c r="AT882" s="3" t="inlineStr">
        <is>
          <t>Actvie</t>
        </is>
      </c>
    </row>
    <row r="883" ht="15.75" customHeight="1">
      <c r="A883" s="3" t="inlineStr">
        <is>
          <t>PROD_0192</t>
        </is>
      </c>
      <c r="B883" s="3" t="inlineStr">
        <is>
          <t>VAR_9</t>
        </is>
      </c>
      <c r="C883" s="3" t="inlineStr">
        <is>
          <t>Electrical Material</t>
        </is>
      </c>
      <c r="D883" s="3" t="inlineStr">
        <is>
          <t>Wires</t>
        </is>
      </c>
      <c r="E883" s="3" t="inlineStr">
        <is>
          <t>Polycab</t>
        </is>
      </c>
      <c r="F883" s="3" t="inlineStr">
        <is>
          <t>Green Wire</t>
        </is>
      </c>
      <c r="H883" s="3" t="inlineStr">
        <is>
          <t>Thickness</t>
        </is>
      </c>
      <c r="I883" s="3" t="inlineStr">
        <is>
          <t>1.5 Sq mm</t>
        </is>
      </c>
      <c r="J883" s="3" t="inlineStr">
        <is>
          <t>Color</t>
        </is>
      </c>
      <c r="K883" s="3" t="inlineStr">
        <is>
          <t>Yellow</t>
        </is>
      </c>
      <c r="L883" s="3" t="inlineStr">
        <is>
          <t>Length</t>
        </is>
      </c>
      <c r="M883" s="3" t="inlineStr">
        <is>
          <t>180 Mtr</t>
        </is>
      </c>
      <c r="Q883" s="3" t="inlineStr">
        <is>
          <t>Manufacturer's Warranty</t>
        </is>
      </c>
      <c r="Y883" s="3" t="inlineStr">
        <is>
          <t>WR_PC_ETR_YLW</t>
        </is>
      </c>
      <c r="Z883" s="3" t="n">
        <v>8544</v>
      </c>
      <c r="AE883" s="3" t="n">
        <v>8700</v>
      </c>
      <c r="AF883" s="4" t="n">
        <v>0.44</v>
      </c>
      <c r="AG883" s="3">
        <f>ROUND(AE883-(AE883*AF883),2)</f>
        <v/>
      </c>
      <c r="AH883" s="4" t="n">
        <v>0.18</v>
      </c>
      <c r="AI883" s="3">
        <f>ROUND(AG883+(AG883*AH883),2)</f>
        <v/>
      </c>
      <c r="AJ883" s="4" t="n">
        <v>0.1</v>
      </c>
      <c r="AK883" s="3">
        <f>ROUND(AI883*AJ883,2)</f>
        <v/>
      </c>
      <c r="AL883" s="3">
        <f>AI883+AK883</f>
        <v/>
      </c>
      <c r="AM883" s="3">
        <f>AE883-AL883</f>
        <v/>
      </c>
      <c r="AN883" s="4">
        <f>AM883/AE883</f>
        <v/>
      </c>
      <c r="AO883" s="3" t="inlineStr">
        <is>
          <t>60 mins</t>
        </is>
      </c>
      <c r="AQ883" s="3" t="inlineStr">
        <is>
          <t>Weight</t>
        </is>
      </c>
      <c r="AT883" s="3" t="inlineStr">
        <is>
          <t>Actvie</t>
        </is>
      </c>
    </row>
    <row r="884" ht="15.75" customHeight="1">
      <c r="A884" s="3" t="inlineStr">
        <is>
          <t>PROD_0192</t>
        </is>
      </c>
      <c r="B884" s="3" t="inlineStr">
        <is>
          <t>VAR_10</t>
        </is>
      </c>
      <c r="C884" s="3" t="inlineStr">
        <is>
          <t>Electrical Material</t>
        </is>
      </c>
      <c r="D884" s="3" t="inlineStr">
        <is>
          <t>Wires</t>
        </is>
      </c>
      <c r="E884" s="3" t="inlineStr">
        <is>
          <t>Polycab</t>
        </is>
      </c>
      <c r="F884" s="3" t="inlineStr">
        <is>
          <t>Green Wire</t>
        </is>
      </c>
      <c r="H884" s="3" t="inlineStr">
        <is>
          <t>Thickness</t>
        </is>
      </c>
      <c r="I884" s="3" t="inlineStr">
        <is>
          <t>1.5 Sq mm</t>
        </is>
      </c>
      <c r="J884" s="3" t="inlineStr">
        <is>
          <t>Color</t>
        </is>
      </c>
      <c r="K884" s="3" t="inlineStr">
        <is>
          <t>Blue</t>
        </is>
      </c>
      <c r="L884" s="3" t="inlineStr">
        <is>
          <t>Length</t>
        </is>
      </c>
      <c r="M884" s="3" t="inlineStr">
        <is>
          <t>180 Mtr</t>
        </is>
      </c>
      <c r="Q884" s="3" t="inlineStr">
        <is>
          <t>Manufacturer's Warranty</t>
        </is>
      </c>
      <c r="Y884" s="3" t="inlineStr">
        <is>
          <t>WR_PC_ETR_BLU</t>
        </is>
      </c>
      <c r="Z884" s="3" t="n">
        <v>8544</v>
      </c>
      <c r="AE884" s="3" t="n">
        <v>8700</v>
      </c>
      <c r="AF884" s="4" t="n">
        <v>0.44</v>
      </c>
      <c r="AG884" s="3">
        <f>ROUND(AE884-(AE884*AF884),2)</f>
        <v/>
      </c>
      <c r="AH884" s="4" t="n">
        <v>0.18</v>
      </c>
      <c r="AI884" s="3">
        <f>ROUND(AG884+(AG884*AH884),2)</f>
        <v/>
      </c>
      <c r="AJ884" s="4" t="n">
        <v>0.1</v>
      </c>
      <c r="AK884" s="3">
        <f>ROUND(AI884*AJ884,2)</f>
        <v/>
      </c>
      <c r="AL884" s="3">
        <f>AI884+AK884</f>
        <v/>
      </c>
      <c r="AM884" s="3">
        <f>AE884-AL884</f>
        <v/>
      </c>
      <c r="AN884" s="4">
        <f>AM884/AE884</f>
        <v/>
      </c>
      <c r="AO884" s="3" t="inlineStr">
        <is>
          <t>60 mins</t>
        </is>
      </c>
      <c r="AQ884" s="3" t="inlineStr">
        <is>
          <t>Weight</t>
        </is>
      </c>
      <c r="AT884" s="3" t="inlineStr">
        <is>
          <t>Actvie</t>
        </is>
      </c>
    </row>
    <row r="885" ht="15.75" customHeight="1">
      <c r="A885" s="3" t="inlineStr">
        <is>
          <t>PROD_0192</t>
        </is>
      </c>
      <c r="B885" s="3" t="inlineStr">
        <is>
          <t>VAR_11</t>
        </is>
      </c>
      <c r="C885" s="3" t="inlineStr">
        <is>
          <t>Electrical Material</t>
        </is>
      </c>
      <c r="D885" s="3" t="inlineStr">
        <is>
          <t>Wires</t>
        </is>
      </c>
      <c r="E885" s="3" t="inlineStr">
        <is>
          <t>Polycab</t>
        </is>
      </c>
      <c r="F885" s="3" t="inlineStr">
        <is>
          <t>Green Wire</t>
        </is>
      </c>
      <c r="H885" s="3" t="inlineStr">
        <is>
          <t>Thickness</t>
        </is>
      </c>
      <c r="I885" s="3" t="inlineStr">
        <is>
          <t>2.5 Sq mm</t>
        </is>
      </c>
      <c r="J885" s="3" t="inlineStr">
        <is>
          <t>Color</t>
        </is>
      </c>
      <c r="K885" s="3" t="inlineStr">
        <is>
          <t>Red</t>
        </is>
      </c>
      <c r="L885" s="3" t="inlineStr">
        <is>
          <t>Length</t>
        </is>
      </c>
      <c r="M885" s="3" t="inlineStr">
        <is>
          <t>180 Mtr</t>
        </is>
      </c>
      <c r="Q885" s="3" t="inlineStr">
        <is>
          <t>Manufacturer's Warranty</t>
        </is>
      </c>
      <c r="R885" s="3" t="inlineStr">
        <is>
          <t>FR</t>
        </is>
      </c>
      <c r="Y885" s="3" t="inlineStr">
        <is>
          <t>WR_PC_ETR_RD</t>
        </is>
      </c>
      <c r="Z885" s="3" t="n">
        <v>8544</v>
      </c>
      <c r="AE885" s="3" t="n">
        <v>13650</v>
      </c>
      <c r="AF885" s="4" t="n">
        <v>0.44</v>
      </c>
      <c r="AG885" s="3">
        <f>ROUND(AE885-(AE885*AF885),2)</f>
        <v/>
      </c>
      <c r="AH885" s="4" t="n">
        <v>0.18</v>
      </c>
      <c r="AI885" s="3">
        <f>ROUND(AG885+(AG885*AH885),2)</f>
        <v/>
      </c>
      <c r="AJ885" s="4" t="n">
        <v>0.1</v>
      </c>
      <c r="AK885" s="3">
        <f>ROUND(AI885*AJ885,2)</f>
        <v/>
      </c>
      <c r="AL885" s="3">
        <f>AI885+AK885</f>
        <v/>
      </c>
      <c r="AM885" s="3">
        <f>AE885-AL885</f>
        <v/>
      </c>
      <c r="AN885" s="4">
        <f>AM885/AE885</f>
        <v/>
      </c>
      <c r="AO885" s="3" t="inlineStr">
        <is>
          <t>60 mins</t>
        </is>
      </c>
      <c r="AQ885" s="3" t="inlineStr">
        <is>
          <t>Weight</t>
        </is>
      </c>
      <c r="AT885" s="3" t="inlineStr">
        <is>
          <t>Actvie</t>
        </is>
      </c>
    </row>
    <row r="886" ht="15.75" customHeight="1">
      <c r="A886" s="3" t="inlineStr">
        <is>
          <t>PROD_0192</t>
        </is>
      </c>
      <c r="B886" s="3" t="inlineStr">
        <is>
          <t>VAR_12</t>
        </is>
      </c>
      <c r="C886" s="3" t="inlineStr">
        <is>
          <t>Electrical Material</t>
        </is>
      </c>
      <c r="D886" s="3" t="inlineStr">
        <is>
          <t>Wires</t>
        </is>
      </c>
      <c r="E886" s="3" t="inlineStr">
        <is>
          <t>Polycab</t>
        </is>
      </c>
      <c r="F886" s="3" t="inlineStr">
        <is>
          <t>Green Wire</t>
        </is>
      </c>
      <c r="H886" s="3" t="inlineStr">
        <is>
          <t>Thickness</t>
        </is>
      </c>
      <c r="I886" s="3" t="inlineStr">
        <is>
          <t>2.5 Sq mm</t>
        </is>
      </c>
      <c r="J886" s="3" t="inlineStr">
        <is>
          <t>Color</t>
        </is>
      </c>
      <c r="K886" s="3" t="inlineStr">
        <is>
          <t>Black</t>
        </is>
      </c>
      <c r="L886" s="3" t="inlineStr">
        <is>
          <t>Length</t>
        </is>
      </c>
      <c r="M886" s="3" t="inlineStr">
        <is>
          <t>180 Mtr</t>
        </is>
      </c>
      <c r="Q886" s="3" t="inlineStr">
        <is>
          <t>Manufacturer's Warranty</t>
        </is>
      </c>
      <c r="Y886" s="3" t="inlineStr">
        <is>
          <t>WR_PC_ETR_BLK</t>
        </is>
      </c>
      <c r="Z886" s="3" t="n">
        <v>8544</v>
      </c>
      <c r="AE886" s="3" t="n">
        <v>13650</v>
      </c>
      <c r="AF886" s="4" t="n">
        <v>0.44</v>
      </c>
      <c r="AG886" s="3">
        <f>ROUND(AE886-(AE886*AF886),2)</f>
        <v/>
      </c>
      <c r="AH886" s="4" t="n">
        <v>0.18</v>
      </c>
      <c r="AI886" s="3">
        <f>ROUND(AG886+(AG886*AH886),2)</f>
        <v/>
      </c>
      <c r="AJ886" s="4" t="n">
        <v>0.1</v>
      </c>
      <c r="AK886" s="3">
        <f>ROUND(AI886*AJ886,2)</f>
        <v/>
      </c>
      <c r="AL886" s="3">
        <f>AI886+AK886</f>
        <v/>
      </c>
      <c r="AM886" s="3">
        <f>AE886-AL886</f>
        <v/>
      </c>
      <c r="AN886" s="4">
        <f>AM886/AE886</f>
        <v/>
      </c>
      <c r="AO886" s="3" t="inlineStr">
        <is>
          <t>60 mins</t>
        </is>
      </c>
      <c r="AQ886" s="3" t="inlineStr">
        <is>
          <t>Weight</t>
        </is>
      </c>
      <c r="AT886" s="3" t="inlineStr">
        <is>
          <t>Actvie</t>
        </is>
      </c>
    </row>
    <row r="887" ht="15.75" customHeight="1">
      <c r="A887" s="3" t="inlineStr">
        <is>
          <t>PROD_0192</t>
        </is>
      </c>
      <c r="B887" s="3" t="inlineStr">
        <is>
          <t>VAR_13</t>
        </is>
      </c>
      <c r="C887" s="3" t="inlineStr">
        <is>
          <t>Electrical Material</t>
        </is>
      </c>
      <c r="D887" s="3" t="inlineStr">
        <is>
          <t>Wires</t>
        </is>
      </c>
      <c r="E887" s="3" t="inlineStr">
        <is>
          <t>Polycab</t>
        </is>
      </c>
      <c r="F887" s="3" t="inlineStr">
        <is>
          <t>Green Wire</t>
        </is>
      </c>
      <c r="H887" s="3" t="inlineStr">
        <is>
          <t>Thickness</t>
        </is>
      </c>
      <c r="I887" s="3" t="inlineStr">
        <is>
          <t>2.5 Sq mm</t>
        </is>
      </c>
      <c r="J887" s="3" t="inlineStr">
        <is>
          <t>Color</t>
        </is>
      </c>
      <c r="K887" s="3" t="inlineStr">
        <is>
          <t>Green</t>
        </is>
      </c>
      <c r="L887" s="3" t="inlineStr">
        <is>
          <t>Length</t>
        </is>
      </c>
      <c r="M887" s="3" t="inlineStr">
        <is>
          <t>180 Mtr</t>
        </is>
      </c>
      <c r="Q887" s="3" t="inlineStr">
        <is>
          <t>Manufacturer's Warranty</t>
        </is>
      </c>
      <c r="Y887" s="3" t="inlineStr">
        <is>
          <t>WR_PC_ETR_GRN</t>
        </is>
      </c>
      <c r="Z887" s="3" t="n">
        <v>8544</v>
      </c>
      <c r="AE887" s="3" t="n">
        <v>13650</v>
      </c>
      <c r="AF887" s="4" t="n">
        <v>0.44</v>
      </c>
      <c r="AG887" s="3">
        <f>ROUND(AE887-(AE887*AF887),2)</f>
        <v/>
      </c>
      <c r="AH887" s="4" t="n">
        <v>0.18</v>
      </c>
      <c r="AI887" s="3">
        <f>ROUND(AG887+(AG887*AH887),2)</f>
        <v/>
      </c>
      <c r="AJ887" s="4" t="n">
        <v>0.1</v>
      </c>
      <c r="AK887" s="3">
        <f>ROUND(AI887*AJ887,2)</f>
        <v/>
      </c>
      <c r="AL887" s="3">
        <f>AI887+AK887</f>
        <v/>
      </c>
      <c r="AM887" s="3">
        <f>AE887-AL887</f>
        <v/>
      </c>
      <c r="AN887" s="4">
        <f>AM887/AE887</f>
        <v/>
      </c>
      <c r="AO887" s="3" t="inlineStr">
        <is>
          <t>60 mins</t>
        </is>
      </c>
      <c r="AQ887" s="3" t="inlineStr">
        <is>
          <t>Weight</t>
        </is>
      </c>
      <c r="AT887" s="3" t="inlineStr">
        <is>
          <t>Actvie</t>
        </is>
      </c>
    </row>
    <row r="888" ht="15.75" customHeight="1">
      <c r="A888" s="3" t="inlineStr">
        <is>
          <t>PROD_0192</t>
        </is>
      </c>
      <c r="B888" s="3" t="inlineStr">
        <is>
          <t>VAR_14</t>
        </is>
      </c>
      <c r="C888" s="3" t="inlineStr">
        <is>
          <t>Electrical Material</t>
        </is>
      </c>
      <c r="D888" s="3" t="inlineStr">
        <is>
          <t>Wires</t>
        </is>
      </c>
      <c r="E888" s="3" t="inlineStr">
        <is>
          <t>Polycab</t>
        </is>
      </c>
      <c r="F888" s="3" t="inlineStr">
        <is>
          <t>Green Wire</t>
        </is>
      </c>
      <c r="H888" s="3" t="inlineStr">
        <is>
          <t>Thickness</t>
        </is>
      </c>
      <c r="I888" s="3" t="inlineStr">
        <is>
          <t>2.5 Sq mm</t>
        </is>
      </c>
      <c r="J888" s="3" t="inlineStr">
        <is>
          <t>Color</t>
        </is>
      </c>
      <c r="K888" s="3" t="inlineStr">
        <is>
          <t>Yellow</t>
        </is>
      </c>
      <c r="L888" s="3" t="inlineStr">
        <is>
          <t>Length</t>
        </is>
      </c>
      <c r="M888" s="3" t="inlineStr">
        <is>
          <t>180 Mtr</t>
        </is>
      </c>
      <c r="Q888" s="3" t="inlineStr">
        <is>
          <t>Manufacturer's Warranty</t>
        </is>
      </c>
      <c r="Y888" s="3" t="inlineStr">
        <is>
          <t>WR_PC_ETR_YLW</t>
        </is>
      </c>
      <c r="Z888" s="3" t="n">
        <v>8544</v>
      </c>
      <c r="AE888" s="3" t="n">
        <v>13650</v>
      </c>
      <c r="AF888" s="4" t="n">
        <v>0.44</v>
      </c>
      <c r="AG888" s="3">
        <f>ROUND(AE888-(AE888*AF888),2)</f>
        <v/>
      </c>
      <c r="AH888" s="4" t="n">
        <v>0.18</v>
      </c>
      <c r="AI888" s="3">
        <f>ROUND(AG888+(AG888*AH888),2)</f>
        <v/>
      </c>
      <c r="AJ888" s="4" t="n">
        <v>0.1</v>
      </c>
      <c r="AK888" s="3">
        <f>ROUND(AI888*AJ888,2)</f>
        <v/>
      </c>
      <c r="AL888" s="3">
        <f>AI888+AK888</f>
        <v/>
      </c>
      <c r="AM888" s="3">
        <f>AE888-AL888</f>
        <v/>
      </c>
      <c r="AN888" s="4">
        <f>AM888/AE888</f>
        <v/>
      </c>
      <c r="AO888" s="3" t="inlineStr">
        <is>
          <t>60 mins</t>
        </is>
      </c>
      <c r="AQ888" s="3" t="inlineStr">
        <is>
          <t>Weight</t>
        </is>
      </c>
      <c r="AT888" s="3" t="inlineStr">
        <is>
          <t>Actvie</t>
        </is>
      </c>
    </row>
    <row r="889" ht="15.75" customHeight="1">
      <c r="A889" s="3" t="inlineStr">
        <is>
          <t>PROD_0192</t>
        </is>
      </c>
      <c r="B889" s="3" t="inlineStr">
        <is>
          <t>VAR_15</t>
        </is>
      </c>
      <c r="C889" s="3" t="inlineStr">
        <is>
          <t>Electrical Material</t>
        </is>
      </c>
      <c r="D889" s="3" t="inlineStr">
        <is>
          <t>Wires</t>
        </is>
      </c>
      <c r="E889" s="3" t="inlineStr">
        <is>
          <t>Polycab</t>
        </is>
      </c>
      <c r="F889" s="3" t="inlineStr">
        <is>
          <t>Green Wire</t>
        </is>
      </c>
      <c r="H889" s="3" t="inlineStr">
        <is>
          <t>Thickness</t>
        </is>
      </c>
      <c r="I889" s="3" t="inlineStr">
        <is>
          <t>2.5 Sq mm</t>
        </is>
      </c>
      <c r="J889" s="3" t="inlineStr">
        <is>
          <t>Color</t>
        </is>
      </c>
      <c r="K889" s="3" t="inlineStr">
        <is>
          <t>Blue</t>
        </is>
      </c>
      <c r="L889" s="3" t="inlineStr">
        <is>
          <t>Length</t>
        </is>
      </c>
      <c r="M889" s="3" t="inlineStr">
        <is>
          <t>180 Mtr</t>
        </is>
      </c>
      <c r="Q889" s="3" t="inlineStr">
        <is>
          <t>Manufacturer's Warranty</t>
        </is>
      </c>
      <c r="Y889" s="3" t="inlineStr">
        <is>
          <t>WR_PC_ETR_BLU</t>
        </is>
      </c>
      <c r="Z889" s="3" t="n">
        <v>8544</v>
      </c>
      <c r="AE889" s="3" t="n">
        <v>13650</v>
      </c>
      <c r="AF889" s="4" t="n">
        <v>0.44</v>
      </c>
      <c r="AG889" s="3">
        <f>ROUND(AE889-(AE889*AF889),2)</f>
        <v/>
      </c>
      <c r="AH889" s="4" t="n">
        <v>0.18</v>
      </c>
      <c r="AI889" s="3">
        <f>ROUND(AG889+(AG889*AH889),2)</f>
        <v/>
      </c>
      <c r="AJ889" s="4" t="n">
        <v>0.1</v>
      </c>
      <c r="AK889" s="3">
        <f>ROUND(AI889*AJ889,2)</f>
        <v/>
      </c>
      <c r="AL889" s="3">
        <f>AI889+AK889</f>
        <v/>
      </c>
      <c r="AM889" s="3">
        <f>AE889-AL889</f>
        <v/>
      </c>
      <c r="AN889" s="4">
        <f>AM889/AE889</f>
        <v/>
      </c>
      <c r="AO889" s="3" t="inlineStr">
        <is>
          <t>60 mins</t>
        </is>
      </c>
      <c r="AQ889" s="3" t="inlineStr">
        <is>
          <t>Weight</t>
        </is>
      </c>
      <c r="AT889" s="3" t="inlineStr">
        <is>
          <t>Actvie</t>
        </is>
      </c>
    </row>
    <row r="890" ht="15.75" customHeight="1">
      <c r="A890" s="3" t="inlineStr">
        <is>
          <t>PROD_0192</t>
        </is>
      </c>
      <c r="B890" s="3" t="inlineStr">
        <is>
          <t>VAR_16</t>
        </is>
      </c>
      <c r="C890" s="3" t="inlineStr">
        <is>
          <t>Electrical Material</t>
        </is>
      </c>
      <c r="D890" s="3" t="inlineStr">
        <is>
          <t>Wires</t>
        </is>
      </c>
      <c r="E890" s="3" t="inlineStr">
        <is>
          <t>Polycab</t>
        </is>
      </c>
      <c r="F890" s="3" t="inlineStr">
        <is>
          <t>Green Wire</t>
        </is>
      </c>
      <c r="H890" s="3" t="inlineStr">
        <is>
          <t>Thickness</t>
        </is>
      </c>
      <c r="I890" s="3" t="inlineStr">
        <is>
          <t>4 Sq mm</t>
        </is>
      </c>
      <c r="J890" s="3" t="inlineStr">
        <is>
          <t>Color</t>
        </is>
      </c>
      <c r="K890" s="3" t="inlineStr">
        <is>
          <t>Red</t>
        </is>
      </c>
      <c r="L890" s="3" t="inlineStr">
        <is>
          <t>Length</t>
        </is>
      </c>
      <c r="M890" s="3" t="inlineStr">
        <is>
          <t>180 Mtr</t>
        </is>
      </c>
      <c r="Q890" s="3" t="inlineStr">
        <is>
          <t>Manufacturer's Warranty</t>
        </is>
      </c>
      <c r="R890" s="3" t="inlineStr">
        <is>
          <t>FR</t>
        </is>
      </c>
      <c r="Y890" s="3" t="inlineStr">
        <is>
          <t>WR_PC_ETR_RD</t>
        </is>
      </c>
      <c r="Z890" s="3" t="n">
        <v>8544</v>
      </c>
      <c r="AE890" s="3" t="n">
        <v>19920</v>
      </c>
      <c r="AF890" s="4" t="n">
        <v>0.44</v>
      </c>
      <c r="AG890" s="3">
        <f>ROUND(AE890-(AE890*AF890),2)</f>
        <v/>
      </c>
      <c r="AH890" s="4" t="n">
        <v>0.18</v>
      </c>
      <c r="AI890" s="3">
        <f>ROUND(AG890+(AG890*AH890),2)</f>
        <v/>
      </c>
      <c r="AJ890" s="4" t="n">
        <v>0.1</v>
      </c>
      <c r="AK890" s="3">
        <f>ROUND(AI890*AJ890,2)</f>
        <v/>
      </c>
      <c r="AL890" s="3">
        <f>AI890+AK890</f>
        <v/>
      </c>
      <c r="AM890" s="3">
        <f>AE890-AL890</f>
        <v/>
      </c>
      <c r="AN890" s="4">
        <f>AM890/AE890</f>
        <v/>
      </c>
      <c r="AO890" s="3" t="inlineStr">
        <is>
          <t>60 mins</t>
        </is>
      </c>
      <c r="AQ890" s="3" t="inlineStr">
        <is>
          <t>Weight</t>
        </is>
      </c>
      <c r="AT890" s="3" t="inlineStr">
        <is>
          <t>Actvie</t>
        </is>
      </c>
    </row>
    <row r="891" ht="15.75" customHeight="1">
      <c r="A891" s="3" t="inlineStr">
        <is>
          <t>PROD_0192</t>
        </is>
      </c>
      <c r="B891" s="3" t="inlineStr">
        <is>
          <t>VAR_17</t>
        </is>
      </c>
      <c r="C891" s="3" t="inlineStr">
        <is>
          <t>Electrical Material</t>
        </is>
      </c>
      <c r="D891" s="3" t="inlineStr">
        <is>
          <t>Wires</t>
        </is>
      </c>
      <c r="E891" s="3" t="inlineStr">
        <is>
          <t>Polycab</t>
        </is>
      </c>
      <c r="F891" s="3" t="inlineStr">
        <is>
          <t>Green Wire</t>
        </is>
      </c>
      <c r="H891" s="3" t="inlineStr">
        <is>
          <t>Thickness</t>
        </is>
      </c>
      <c r="I891" s="3" t="inlineStr">
        <is>
          <t>4 Sq mm</t>
        </is>
      </c>
      <c r="J891" s="3" t="inlineStr">
        <is>
          <t>Color</t>
        </is>
      </c>
      <c r="K891" s="3" t="inlineStr">
        <is>
          <t>Black</t>
        </is>
      </c>
      <c r="L891" s="3" t="inlineStr">
        <is>
          <t>Length</t>
        </is>
      </c>
      <c r="M891" s="3" t="inlineStr">
        <is>
          <t>180 Mtr</t>
        </is>
      </c>
      <c r="Q891" s="3" t="inlineStr">
        <is>
          <t>Manufacturer's Warranty</t>
        </is>
      </c>
      <c r="Y891" s="3" t="inlineStr">
        <is>
          <t>WR_PC_ETR_BLK</t>
        </is>
      </c>
      <c r="Z891" s="3" t="n">
        <v>8544</v>
      </c>
      <c r="AE891" s="3" t="n">
        <v>19920</v>
      </c>
      <c r="AF891" s="4" t="n">
        <v>0.44</v>
      </c>
      <c r="AG891" s="3">
        <f>ROUND(AE891-(AE891*AF891),2)</f>
        <v/>
      </c>
      <c r="AH891" s="4" t="n">
        <v>0.18</v>
      </c>
      <c r="AI891" s="3">
        <f>ROUND(AG891+(AG891*AH891),2)</f>
        <v/>
      </c>
      <c r="AJ891" s="4" t="n">
        <v>0.1</v>
      </c>
      <c r="AK891" s="3">
        <f>ROUND(AI891*AJ891,2)</f>
        <v/>
      </c>
      <c r="AL891" s="3">
        <f>AI891+AK891</f>
        <v/>
      </c>
      <c r="AM891" s="3">
        <f>AE891-AL891</f>
        <v/>
      </c>
      <c r="AN891" s="4">
        <f>AM891/AE891</f>
        <v/>
      </c>
      <c r="AO891" s="3" t="inlineStr">
        <is>
          <t>60 mins</t>
        </is>
      </c>
      <c r="AQ891" s="3" t="inlineStr">
        <is>
          <t>Weight</t>
        </is>
      </c>
      <c r="AT891" s="3" t="inlineStr">
        <is>
          <t>Actvie</t>
        </is>
      </c>
    </row>
    <row r="892" ht="15.75" customHeight="1">
      <c r="A892" s="3" t="inlineStr">
        <is>
          <t>PROD_0192</t>
        </is>
      </c>
      <c r="B892" s="3" t="inlineStr">
        <is>
          <t>VAR_18</t>
        </is>
      </c>
      <c r="C892" s="3" t="inlineStr">
        <is>
          <t>Electrical Material</t>
        </is>
      </c>
      <c r="D892" s="3" t="inlineStr">
        <is>
          <t>Wires</t>
        </is>
      </c>
      <c r="E892" s="3" t="inlineStr">
        <is>
          <t>Polycab</t>
        </is>
      </c>
      <c r="F892" s="3" t="inlineStr">
        <is>
          <t>Green Wire</t>
        </is>
      </c>
      <c r="H892" s="3" t="inlineStr">
        <is>
          <t>Thickness</t>
        </is>
      </c>
      <c r="I892" s="3" t="inlineStr">
        <is>
          <t>4 Sq mm</t>
        </is>
      </c>
      <c r="J892" s="3" t="inlineStr">
        <is>
          <t>Color</t>
        </is>
      </c>
      <c r="K892" s="3" t="inlineStr">
        <is>
          <t>Green</t>
        </is>
      </c>
      <c r="L892" s="3" t="inlineStr">
        <is>
          <t>Length</t>
        </is>
      </c>
      <c r="M892" s="3" t="inlineStr">
        <is>
          <t>180 Mtr</t>
        </is>
      </c>
      <c r="Q892" s="3" t="inlineStr">
        <is>
          <t>Manufacturer's Warranty</t>
        </is>
      </c>
      <c r="Y892" s="3" t="inlineStr">
        <is>
          <t>WR_PC_ETR_GRN</t>
        </is>
      </c>
      <c r="Z892" s="3" t="n">
        <v>8544</v>
      </c>
      <c r="AE892" s="3" t="n">
        <v>19920</v>
      </c>
      <c r="AF892" s="4" t="n">
        <v>0.44</v>
      </c>
      <c r="AG892" s="3">
        <f>ROUND(AE892-(AE892*AF892),2)</f>
        <v/>
      </c>
      <c r="AH892" s="4" t="n">
        <v>0.18</v>
      </c>
      <c r="AI892" s="3">
        <f>ROUND(AG892+(AG892*AH892),2)</f>
        <v/>
      </c>
      <c r="AJ892" s="4" t="n">
        <v>0.1</v>
      </c>
      <c r="AK892" s="3">
        <f>ROUND(AI892*AJ892,2)</f>
        <v/>
      </c>
      <c r="AL892" s="3">
        <f>AI892+AK892</f>
        <v/>
      </c>
      <c r="AM892" s="3">
        <f>AE892-AL892</f>
        <v/>
      </c>
      <c r="AN892" s="4">
        <f>AM892/AE892</f>
        <v/>
      </c>
      <c r="AO892" s="3" t="inlineStr">
        <is>
          <t>60 mins</t>
        </is>
      </c>
      <c r="AQ892" s="3" t="inlineStr">
        <is>
          <t>Weight</t>
        </is>
      </c>
      <c r="AT892" s="3" t="inlineStr">
        <is>
          <t>Actvie</t>
        </is>
      </c>
    </row>
    <row r="893" ht="15.75" customHeight="1">
      <c r="A893" s="3" t="inlineStr">
        <is>
          <t>PROD_0192</t>
        </is>
      </c>
      <c r="B893" s="3" t="inlineStr">
        <is>
          <t>VAR_19</t>
        </is>
      </c>
      <c r="C893" s="3" t="inlineStr">
        <is>
          <t>Electrical Material</t>
        </is>
      </c>
      <c r="D893" s="3" t="inlineStr">
        <is>
          <t>Wires</t>
        </is>
      </c>
      <c r="E893" s="3" t="inlineStr">
        <is>
          <t>Polycab</t>
        </is>
      </c>
      <c r="F893" s="3" t="inlineStr">
        <is>
          <t>Green Wire</t>
        </is>
      </c>
      <c r="H893" s="3" t="inlineStr">
        <is>
          <t>Thickness</t>
        </is>
      </c>
      <c r="I893" s="3" t="inlineStr">
        <is>
          <t>4 Sq mm</t>
        </is>
      </c>
      <c r="J893" s="3" t="inlineStr">
        <is>
          <t>Color</t>
        </is>
      </c>
      <c r="K893" s="3" t="inlineStr">
        <is>
          <t>Yellow</t>
        </is>
      </c>
      <c r="L893" s="3" t="inlineStr">
        <is>
          <t>Length</t>
        </is>
      </c>
      <c r="M893" s="3" t="inlineStr">
        <is>
          <t>180 Mtr</t>
        </is>
      </c>
      <c r="Q893" s="3" t="inlineStr">
        <is>
          <t>Manufacturer's Warranty</t>
        </is>
      </c>
      <c r="Y893" s="3" t="inlineStr">
        <is>
          <t>WR_PC_ETR_YLW</t>
        </is>
      </c>
      <c r="Z893" s="3" t="n">
        <v>8544</v>
      </c>
      <c r="AE893" s="3" t="n">
        <v>19920</v>
      </c>
      <c r="AF893" s="4" t="n">
        <v>0.44</v>
      </c>
      <c r="AG893" s="3">
        <f>ROUND(AE893-(AE893*AF893),2)</f>
        <v/>
      </c>
      <c r="AH893" s="4" t="n">
        <v>0.18</v>
      </c>
      <c r="AI893" s="3">
        <f>ROUND(AG893+(AG893*AH893),2)</f>
        <v/>
      </c>
      <c r="AJ893" s="4" t="n">
        <v>0.1</v>
      </c>
      <c r="AK893" s="3">
        <f>ROUND(AI893*AJ893,2)</f>
        <v/>
      </c>
      <c r="AL893" s="3">
        <f>AI893+AK893</f>
        <v/>
      </c>
      <c r="AM893" s="3">
        <f>AE893-AL893</f>
        <v/>
      </c>
      <c r="AN893" s="4">
        <f>AM893/AE893</f>
        <v/>
      </c>
      <c r="AO893" s="3" t="inlineStr">
        <is>
          <t>60 mins</t>
        </is>
      </c>
      <c r="AQ893" s="3" t="inlineStr">
        <is>
          <t>Weight</t>
        </is>
      </c>
      <c r="AT893" s="3" t="inlineStr">
        <is>
          <t>Actvie</t>
        </is>
      </c>
    </row>
    <row r="894" ht="15.75" customHeight="1">
      <c r="A894" s="3" t="inlineStr">
        <is>
          <t>PROD_0192</t>
        </is>
      </c>
      <c r="B894" s="3" t="inlineStr">
        <is>
          <t>VAR_20</t>
        </is>
      </c>
      <c r="C894" s="3" t="inlineStr">
        <is>
          <t>Electrical Material</t>
        </is>
      </c>
      <c r="D894" s="3" t="inlineStr">
        <is>
          <t>Wires</t>
        </is>
      </c>
      <c r="E894" s="3" t="inlineStr">
        <is>
          <t>Polycab</t>
        </is>
      </c>
      <c r="F894" s="3" t="inlineStr">
        <is>
          <t>Green Wire</t>
        </is>
      </c>
      <c r="H894" s="3" t="inlineStr">
        <is>
          <t>Thickness</t>
        </is>
      </c>
      <c r="I894" s="3" t="inlineStr">
        <is>
          <t>4 Sq mm</t>
        </is>
      </c>
      <c r="J894" s="3" t="inlineStr">
        <is>
          <t>Color</t>
        </is>
      </c>
      <c r="K894" s="3" t="inlineStr">
        <is>
          <t>Blue</t>
        </is>
      </c>
      <c r="L894" s="3" t="inlineStr">
        <is>
          <t>Length</t>
        </is>
      </c>
      <c r="M894" s="3" t="inlineStr">
        <is>
          <t>180 Mtr</t>
        </is>
      </c>
      <c r="Q894" s="3" t="inlineStr">
        <is>
          <t>Manufacturer's Warranty</t>
        </is>
      </c>
      <c r="Y894" s="3" t="inlineStr">
        <is>
          <t>WR_PC_ETR_BLU</t>
        </is>
      </c>
      <c r="Z894" s="3" t="n">
        <v>8544</v>
      </c>
      <c r="AE894" s="3" t="n">
        <v>19920</v>
      </c>
      <c r="AF894" s="4" t="n">
        <v>0.44</v>
      </c>
      <c r="AG894" s="3">
        <f>ROUND(AE894-(AE894*AF894),2)</f>
        <v/>
      </c>
      <c r="AH894" s="4" t="n">
        <v>0.18</v>
      </c>
      <c r="AI894" s="3">
        <f>ROUND(AG894+(AG894*AH894),2)</f>
        <v/>
      </c>
      <c r="AJ894" s="4" t="n">
        <v>0.1</v>
      </c>
      <c r="AK894" s="3">
        <f>ROUND(AI894*AJ894,2)</f>
        <v/>
      </c>
      <c r="AL894" s="3">
        <f>AI894+AK894</f>
        <v/>
      </c>
      <c r="AM894" s="3">
        <f>AE894-AL894</f>
        <v/>
      </c>
      <c r="AN894" s="4">
        <f>AM894/AE894</f>
        <v/>
      </c>
      <c r="AO894" s="3" t="inlineStr">
        <is>
          <t>60 mins</t>
        </is>
      </c>
      <c r="AQ894" s="3" t="inlineStr">
        <is>
          <t>Weight</t>
        </is>
      </c>
      <c r="AT894" s="3" t="inlineStr">
        <is>
          <t>Actvie</t>
        </is>
      </c>
    </row>
    <row r="895" ht="15.75" customHeight="1">
      <c r="A895" s="3" t="inlineStr">
        <is>
          <t>PROD_0192</t>
        </is>
      </c>
      <c r="B895" s="3" t="inlineStr">
        <is>
          <t>VAR_21</t>
        </is>
      </c>
      <c r="C895" s="3" t="inlineStr">
        <is>
          <t>Electrical Material</t>
        </is>
      </c>
      <c r="D895" s="3" t="inlineStr">
        <is>
          <t>Wires</t>
        </is>
      </c>
      <c r="E895" s="3" t="inlineStr">
        <is>
          <t>Polycab</t>
        </is>
      </c>
      <c r="F895" s="3" t="inlineStr">
        <is>
          <t>Green Wire</t>
        </is>
      </c>
      <c r="H895" s="3" t="inlineStr">
        <is>
          <t>Thickness</t>
        </is>
      </c>
      <c r="I895" s="3" t="inlineStr">
        <is>
          <t>6 Sq mm</t>
        </is>
      </c>
      <c r="J895" s="3" t="inlineStr">
        <is>
          <t>Color</t>
        </is>
      </c>
      <c r="K895" s="3" t="inlineStr">
        <is>
          <t>Red</t>
        </is>
      </c>
      <c r="L895" s="3" t="inlineStr">
        <is>
          <t>Length</t>
        </is>
      </c>
      <c r="M895" s="3" t="inlineStr">
        <is>
          <t>180 Mtr</t>
        </is>
      </c>
      <c r="Q895" s="3" t="inlineStr">
        <is>
          <t>Manufacturer's Warranty</t>
        </is>
      </c>
      <c r="R895" s="3" t="inlineStr">
        <is>
          <t>FR</t>
        </is>
      </c>
      <c r="Y895" s="3" t="inlineStr">
        <is>
          <t>WR_PC_ETR_RD</t>
        </is>
      </c>
      <c r="Z895" s="3" t="n">
        <v>8544</v>
      </c>
      <c r="AE895" s="3" t="n">
        <v>29900</v>
      </c>
      <c r="AF895" s="4" t="n">
        <v>0.44</v>
      </c>
      <c r="AG895" s="3">
        <f>ROUND(AE895-(AE895*AF895),2)</f>
        <v/>
      </c>
      <c r="AH895" s="4" t="n">
        <v>0.18</v>
      </c>
      <c r="AI895" s="3">
        <f>ROUND(AG895+(AG895*AH895),2)</f>
        <v/>
      </c>
      <c r="AJ895" s="4" t="n">
        <v>0.1</v>
      </c>
      <c r="AK895" s="3">
        <f>ROUND(AI895*AJ895,2)</f>
        <v/>
      </c>
      <c r="AL895" s="3">
        <f>AI895+AK895</f>
        <v/>
      </c>
      <c r="AM895" s="3">
        <f>AE895-AL895</f>
        <v/>
      </c>
      <c r="AN895" s="4">
        <f>AM895/AE895</f>
        <v/>
      </c>
      <c r="AO895" s="3" t="inlineStr">
        <is>
          <t>60 mins</t>
        </is>
      </c>
      <c r="AQ895" s="3" t="inlineStr">
        <is>
          <t>Weight</t>
        </is>
      </c>
      <c r="AT895" s="3" t="inlineStr">
        <is>
          <t>Actvie</t>
        </is>
      </c>
    </row>
    <row r="896" ht="15.75" customHeight="1">
      <c r="A896" s="3" t="inlineStr">
        <is>
          <t>PROD_0192</t>
        </is>
      </c>
      <c r="B896" s="3" t="inlineStr">
        <is>
          <t>VAR_22</t>
        </is>
      </c>
      <c r="C896" s="3" t="inlineStr">
        <is>
          <t>Electrical Material</t>
        </is>
      </c>
      <c r="D896" s="3" t="inlineStr">
        <is>
          <t>Wires</t>
        </is>
      </c>
      <c r="E896" s="3" t="inlineStr">
        <is>
          <t>Polycab</t>
        </is>
      </c>
      <c r="F896" s="3" t="inlineStr">
        <is>
          <t>Green Wire</t>
        </is>
      </c>
      <c r="H896" s="3" t="inlineStr">
        <is>
          <t>Thickness</t>
        </is>
      </c>
      <c r="I896" s="3" t="inlineStr">
        <is>
          <t>6 Sq mm</t>
        </is>
      </c>
      <c r="J896" s="3" t="inlineStr">
        <is>
          <t>Color</t>
        </is>
      </c>
      <c r="K896" s="3" t="inlineStr">
        <is>
          <t>Black</t>
        </is>
      </c>
      <c r="L896" s="3" t="inlineStr">
        <is>
          <t>Length</t>
        </is>
      </c>
      <c r="M896" s="3" t="inlineStr">
        <is>
          <t>180 Mtr</t>
        </is>
      </c>
      <c r="Q896" s="3" t="inlineStr">
        <is>
          <t>Manufacturer's Warranty</t>
        </is>
      </c>
      <c r="Y896" s="3" t="inlineStr">
        <is>
          <t>WR_PC_ETR_BLK</t>
        </is>
      </c>
      <c r="Z896" s="3" t="n">
        <v>8544</v>
      </c>
      <c r="AE896" s="3" t="n">
        <v>29900</v>
      </c>
      <c r="AF896" s="4" t="n">
        <v>0.44</v>
      </c>
      <c r="AG896" s="3">
        <f>ROUND(AE896-(AE896*AF896),2)</f>
        <v/>
      </c>
      <c r="AH896" s="4" t="n">
        <v>0.18</v>
      </c>
      <c r="AI896" s="3">
        <f>ROUND(AG896+(AG896*AH896),2)</f>
        <v/>
      </c>
      <c r="AJ896" s="4" t="n">
        <v>0.1</v>
      </c>
      <c r="AK896" s="3">
        <f>ROUND(AI896*AJ896,2)</f>
        <v/>
      </c>
      <c r="AL896" s="3">
        <f>AI896+AK896</f>
        <v/>
      </c>
      <c r="AM896" s="3">
        <f>AE896-AL896</f>
        <v/>
      </c>
      <c r="AN896" s="4">
        <f>AM896/AE896</f>
        <v/>
      </c>
      <c r="AO896" s="3" t="inlineStr">
        <is>
          <t>60 mins</t>
        </is>
      </c>
      <c r="AQ896" s="3" t="inlineStr">
        <is>
          <t>Weight</t>
        </is>
      </c>
      <c r="AT896" s="3" t="inlineStr">
        <is>
          <t>Actvie</t>
        </is>
      </c>
    </row>
    <row r="897" ht="15.75" customHeight="1">
      <c r="A897" s="3" t="inlineStr">
        <is>
          <t>PROD_0192</t>
        </is>
      </c>
      <c r="B897" s="3" t="inlineStr">
        <is>
          <t>VAR_23</t>
        </is>
      </c>
      <c r="C897" s="3" t="inlineStr">
        <is>
          <t>Electrical Material</t>
        </is>
      </c>
      <c r="D897" s="3" t="inlineStr">
        <is>
          <t>Wires</t>
        </is>
      </c>
      <c r="E897" s="3" t="inlineStr">
        <is>
          <t>Polycab</t>
        </is>
      </c>
      <c r="F897" s="3" t="inlineStr">
        <is>
          <t>Green Wire</t>
        </is>
      </c>
      <c r="H897" s="3" t="inlineStr">
        <is>
          <t>Thickness</t>
        </is>
      </c>
      <c r="I897" s="3" t="inlineStr">
        <is>
          <t>6 Sq mm</t>
        </is>
      </c>
      <c r="J897" s="3" t="inlineStr">
        <is>
          <t>Color</t>
        </is>
      </c>
      <c r="K897" s="3" t="inlineStr">
        <is>
          <t>Green</t>
        </is>
      </c>
      <c r="L897" s="3" t="inlineStr">
        <is>
          <t>Length</t>
        </is>
      </c>
      <c r="M897" s="3" t="inlineStr">
        <is>
          <t>180 Mtr</t>
        </is>
      </c>
      <c r="Q897" s="3" t="inlineStr">
        <is>
          <t>Manufacturer's Warranty</t>
        </is>
      </c>
      <c r="Y897" s="3" t="inlineStr">
        <is>
          <t>WR_PC_ETR_GRN</t>
        </is>
      </c>
      <c r="Z897" s="3" t="n">
        <v>8544</v>
      </c>
      <c r="AE897" s="3" t="n">
        <v>29900</v>
      </c>
      <c r="AF897" s="4" t="n">
        <v>0.44</v>
      </c>
      <c r="AG897" s="3">
        <f>ROUND(AE897-(AE897*AF897),2)</f>
        <v/>
      </c>
      <c r="AH897" s="4" t="n">
        <v>0.18</v>
      </c>
      <c r="AI897" s="3">
        <f>ROUND(AG897+(AG897*AH897),2)</f>
        <v/>
      </c>
      <c r="AJ897" s="4" t="n">
        <v>0.1</v>
      </c>
      <c r="AK897" s="3">
        <f>ROUND(AI897*AJ897,2)</f>
        <v/>
      </c>
      <c r="AL897" s="3">
        <f>AI897+AK897</f>
        <v/>
      </c>
      <c r="AM897" s="3">
        <f>AE897-AL897</f>
        <v/>
      </c>
      <c r="AN897" s="4">
        <f>AM897/AE897</f>
        <v/>
      </c>
      <c r="AO897" s="3" t="inlineStr">
        <is>
          <t>60 mins</t>
        </is>
      </c>
      <c r="AQ897" s="3" t="inlineStr">
        <is>
          <t>Weight</t>
        </is>
      </c>
      <c r="AT897" s="3" t="inlineStr">
        <is>
          <t>Actvie</t>
        </is>
      </c>
    </row>
    <row r="898" ht="15.75" customHeight="1">
      <c r="A898" s="3" t="inlineStr">
        <is>
          <t>PROD_0192</t>
        </is>
      </c>
      <c r="B898" s="3" t="inlineStr">
        <is>
          <t>VAR_24</t>
        </is>
      </c>
      <c r="C898" s="3" t="inlineStr">
        <is>
          <t>Electrical Material</t>
        </is>
      </c>
      <c r="D898" s="3" t="inlineStr">
        <is>
          <t>Wires</t>
        </is>
      </c>
      <c r="E898" s="3" t="inlineStr">
        <is>
          <t>Polycab</t>
        </is>
      </c>
      <c r="F898" s="3" t="inlineStr">
        <is>
          <t>Green Wire</t>
        </is>
      </c>
      <c r="H898" s="3" t="inlineStr">
        <is>
          <t>Thickness</t>
        </is>
      </c>
      <c r="I898" s="3" t="inlineStr">
        <is>
          <t>6 Sq mm</t>
        </is>
      </c>
      <c r="J898" s="3" t="inlineStr">
        <is>
          <t>Color</t>
        </is>
      </c>
      <c r="K898" s="3" t="inlineStr">
        <is>
          <t>Yellow</t>
        </is>
      </c>
      <c r="L898" s="3" t="inlineStr">
        <is>
          <t>Length</t>
        </is>
      </c>
      <c r="M898" s="3" t="inlineStr">
        <is>
          <t>180 Mtr</t>
        </is>
      </c>
      <c r="Q898" s="3" t="inlineStr">
        <is>
          <t>Manufacturer's Warranty</t>
        </is>
      </c>
      <c r="Y898" s="3" t="inlineStr">
        <is>
          <t>WR_PC_ETR_YLW</t>
        </is>
      </c>
      <c r="Z898" s="3" t="n">
        <v>8544</v>
      </c>
      <c r="AE898" s="3" t="n">
        <v>29900</v>
      </c>
      <c r="AF898" s="4" t="n">
        <v>0.44</v>
      </c>
      <c r="AG898" s="3">
        <f>ROUND(AE898-(AE898*AF898),2)</f>
        <v/>
      </c>
      <c r="AH898" s="4" t="n">
        <v>0.18</v>
      </c>
      <c r="AI898" s="3">
        <f>ROUND(AG898+(AG898*AH898),2)</f>
        <v/>
      </c>
      <c r="AJ898" s="4" t="n">
        <v>0.1</v>
      </c>
      <c r="AK898" s="3">
        <f>ROUND(AI898*AJ898,2)</f>
        <v/>
      </c>
      <c r="AL898" s="3">
        <f>AI898+AK898</f>
        <v/>
      </c>
      <c r="AM898" s="3">
        <f>AE898-AL898</f>
        <v/>
      </c>
      <c r="AN898" s="4">
        <f>AM898/AE898</f>
        <v/>
      </c>
      <c r="AO898" s="3" t="inlineStr">
        <is>
          <t>60 mins</t>
        </is>
      </c>
      <c r="AQ898" s="3" t="inlineStr">
        <is>
          <t>Weight</t>
        </is>
      </c>
      <c r="AT898" s="3" t="inlineStr">
        <is>
          <t>Actvie</t>
        </is>
      </c>
    </row>
    <row r="899" ht="15.75" customHeight="1">
      <c r="A899" s="3" t="inlineStr">
        <is>
          <t>PROD_0192</t>
        </is>
      </c>
      <c r="B899" s="3" t="inlineStr">
        <is>
          <t>VAR_25</t>
        </is>
      </c>
      <c r="C899" s="3" t="inlineStr">
        <is>
          <t>Electrical Material</t>
        </is>
      </c>
      <c r="D899" s="3" t="inlineStr">
        <is>
          <t>Wires</t>
        </is>
      </c>
      <c r="E899" s="3" t="inlineStr">
        <is>
          <t>Polycab</t>
        </is>
      </c>
      <c r="F899" s="3" t="inlineStr">
        <is>
          <t>Green Wire</t>
        </is>
      </c>
      <c r="H899" s="3" t="inlineStr">
        <is>
          <t>Thickness</t>
        </is>
      </c>
      <c r="I899" s="3" t="inlineStr">
        <is>
          <t>6 Sq mm</t>
        </is>
      </c>
      <c r="J899" s="3" t="inlineStr">
        <is>
          <t>Color</t>
        </is>
      </c>
      <c r="K899" s="3" t="inlineStr">
        <is>
          <t>Blue</t>
        </is>
      </c>
      <c r="L899" s="3" t="inlineStr">
        <is>
          <t>Length</t>
        </is>
      </c>
      <c r="M899" s="3" t="inlineStr">
        <is>
          <t>180 Mtr</t>
        </is>
      </c>
      <c r="Q899" s="3" t="inlineStr">
        <is>
          <t>Manufacturer's Warranty</t>
        </is>
      </c>
      <c r="Y899" s="3" t="inlineStr">
        <is>
          <t>WR_PC_ETR_BLU</t>
        </is>
      </c>
      <c r="Z899" s="3" t="n">
        <v>8544</v>
      </c>
      <c r="AE899" s="3" t="n">
        <v>29900</v>
      </c>
      <c r="AF899" s="4" t="n">
        <v>0.44</v>
      </c>
      <c r="AG899" s="3">
        <f>ROUND(AE899-(AE899*AF899),2)</f>
        <v/>
      </c>
      <c r="AH899" s="4" t="n">
        <v>0.18</v>
      </c>
      <c r="AI899" s="3">
        <f>ROUND(AG899+(AG899*AH899),2)</f>
        <v/>
      </c>
      <c r="AJ899" s="4" t="n">
        <v>0.1</v>
      </c>
      <c r="AK899" s="3">
        <f>ROUND(AI899*AJ899,2)</f>
        <v/>
      </c>
      <c r="AL899" s="3">
        <f>AI899+AK899</f>
        <v/>
      </c>
      <c r="AM899" s="3">
        <f>AE899-AL899</f>
        <v/>
      </c>
      <c r="AN899" s="4">
        <f>AM899/AE899</f>
        <v/>
      </c>
      <c r="AO899" s="3" t="inlineStr">
        <is>
          <t>60 mins</t>
        </is>
      </c>
      <c r="AQ899" s="3" t="inlineStr">
        <is>
          <t>Weight</t>
        </is>
      </c>
      <c r="AT899" s="3" t="inlineStr">
        <is>
          <t>Actvie</t>
        </is>
      </c>
    </row>
    <row r="900" ht="15.75" customHeight="1">
      <c r="A900" s="15" t="inlineStr">
        <is>
          <t>PROD_0193</t>
        </is>
      </c>
      <c r="B900" s="15" t="inlineStr">
        <is>
          <t>VAR_1</t>
        </is>
      </c>
      <c r="C900" s="15" t="inlineStr">
        <is>
          <t>Electrical Material</t>
        </is>
      </c>
      <c r="D900" s="15" t="inlineStr">
        <is>
          <t>Switch</t>
        </is>
      </c>
      <c r="E900" s="15" t="inlineStr">
        <is>
          <t>ABB</t>
        </is>
      </c>
      <c r="F900" s="15" t="inlineStr">
        <is>
          <t>Adiya White</t>
        </is>
      </c>
      <c r="G900" s="15" t="n"/>
      <c r="H900" s="15" t="inlineStr">
        <is>
          <t>Module</t>
        </is>
      </c>
      <c r="I900" s="15" t="inlineStr">
        <is>
          <t>Single</t>
        </is>
      </c>
      <c r="J900" s="15" t="inlineStr">
        <is>
          <t>Switch Type</t>
        </is>
      </c>
      <c r="K900" s="15" t="inlineStr">
        <is>
          <t>Normal</t>
        </is>
      </c>
      <c r="L900" s="15" t="inlineStr">
        <is>
          <t>Amperage</t>
        </is>
      </c>
      <c r="M900" s="15" t="inlineStr">
        <is>
          <t>6 A</t>
        </is>
      </c>
      <c r="N900" s="15" t="n"/>
      <c r="O900" s="15" t="n"/>
      <c r="P900" s="15" t="n"/>
      <c r="Q900" s="15" t="inlineStr">
        <is>
          <t>Manufacturer's Warranty</t>
        </is>
      </c>
      <c r="R900" s="15" t="inlineStr">
        <is>
          <t>1SYK100001A1301</t>
        </is>
      </c>
      <c r="S900" s="15" t="n"/>
      <c r="T900" s="15" t="n"/>
      <c r="U900" s="15" t="n"/>
      <c r="V900" s="15" t="n"/>
      <c r="W900" s="15" t="n"/>
      <c r="X900" s="15" t="n"/>
      <c r="Y900" s="15" t="inlineStr">
        <is>
          <t>SWT_ABB_ADY_1W1M_6A</t>
        </is>
      </c>
      <c r="Z900" s="15" t="n">
        <v>8536</v>
      </c>
      <c r="AA900" s="15" t="n"/>
      <c r="AB900" s="15" t="n"/>
      <c r="AC900" s="15" t="n"/>
      <c r="AD900" s="15" t="n"/>
      <c r="AE900" s="15" t="n">
        <v>114</v>
      </c>
      <c r="AF900" s="16" t="n">
        <v>0.5</v>
      </c>
      <c r="AG900" s="15">
        <f>ROUND(AE900-(AE900*AF900),2)</f>
        <v/>
      </c>
      <c r="AH900" s="16" t="n">
        <v>0.18</v>
      </c>
      <c r="AI900" s="15">
        <f>ROUND(AG900+(AG900*AH900),2)</f>
        <v/>
      </c>
      <c r="AJ900" s="16" t="n">
        <v>0.2</v>
      </c>
      <c r="AK900" s="15">
        <f>ROUND(AI900*AJ900,2)</f>
        <v/>
      </c>
      <c r="AL900" s="15">
        <f>AI900+AK900</f>
        <v/>
      </c>
      <c r="AM900" s="15">
        <f>AE900-AL900</f>
        <v/>
      </c>
      <c r="AN900" s="16">
        <f>AM900/AE900</f>
        <v/>
      </c>
      <c r="AO900" s="15" t="inlineStr">
        <is>
          <t>60 mins</t>
        </is>
      </c>
      <c r="AP900" s="15" t="n"/>
      <c r="AQ900" s="15" t="inlineStr">
        <is>
          <t>Weight</t>
        </is>
      </c>
      <c r="AR900" s="15" t="n"/>
      <c r="AS900" s="15" t="n"/>
      <c r="AT900" s="3" t="inlineStr">
        <is>
          <t>On Demand</t>
        </is>
      </c>
    </row>
    <row r="901" ht="15.75" customHeight="1">
      <c r="A901" s="15" t="inlineStr">
        <is>
          <t>PROD_0193</t>
        </is>
      </c>
      <c r="B901" s="15" t="inlineStr">
        <is>
          <t>VAR_2</t>
        </is>
      </c>
      <c r="C901" s="15" t="inlineStr">
        <is>
          <t>Electrical Material</t>
        </is>
      </c>
      <c r="D901" s="15" t="inlineStr">
        <is>
          <t>Switch</t>
        </is>
      </c>
      <c r="E901" s="15" t="inlineStr">
        <is>
          <t>ABB</t>
        </is>
      </c>
      <c r="F901" s="15" t="inlineStr">
        <is>
          <t>Adiya White</t>
        </is>
      </c>
      <c r="G901" s="15" t="n"/>
      <c r="H901" s="15" t="inlineStr">
        <is>
          <t>Module</t>
        </is>
      </c>
      <c r="I901" s="15" t="inlineStr">
        <is>
          <t>Single</t>
        </is>
      </c>
      <c r="J901" s="15" t="inlineStr">
        <is>
          <t>Switch Type</t>
        </is>
      </c>
      <c r="K901" s="15" t="inlineStr">
        <is>
          <t>Power</t>
        </is>
      </c>
      <c r="L901" s="15" t="inlineStr">
        <is>
          <t>Amperage</t>
        </is>
      </c>
      <c r="M901" s="15" t="inlineStr">
        <is>
          <t>16 A</t>
        </is>
      </c>
      <c r="N901" s="15" t="n"/>
      <c r="O901" s="15" t="n"/>
      <c r="P901" s="15" t="n"/>
      <c r="Q901" s="15" t="inlineStr">
        <is>
          <t>Manufacturer's Warranty</t>
        </is>
      </c>
      <c r="R901" s="15" t="inlineStr">
        <is>
          <t>1SYK100001A1305</t>
        </is>
      </c>
      <c r="S901" s="15" t="n"/>
      <c r="T901" s="15" t="n"/>
      <c r="U901" s="15" t="n"/>
      <c r="V901" s="15" t="n"/>
      <c r="W901" s="15" t="n"/>
      <c r="X901" s="15" t="n"/>
      <c r="Y901" s="15" t="inlineStr">
        <is>
          <t>SWT_ABB_ADY_1W1M_16A</t>
        </is>
      </c>
      <c r="Z901" s="15" t="n">
        <v>8536</v>
      </c>
      <c r="AA901" s="15" t="n"/>
      <c r="AB901" s="15" t="n"/>
      <c r="AC901" s="15" t="n"/>
      <c r="AD901" s="15" t="n"/>
      <c r="AE901" s="15" t="n">
        <v>187</v>
      </c>
      <c r="AF901" s="16" t="n">
        <v>0.5</v>
      </c>
      <c r="AG901" s="15">
        <f>ROUND(AE901-(AE901*AF901),2)</f>
        <v/>
      </c>
      <c r="AH901" s="16" t="n">
        <v>0.18</v>
      </c>
      <c r="AI901" s="15">
        <f>ROUND(AG901+(AG901*AH901),2)</f>
        <v/>
      </c>
      <c r="AJ901" s="16" t="n">
        <v>0.2</v>
      </c>
      <c r="AK901" s="15">
        <f>ROUND(AI901*AJ901,2)</f>
        <v/>
      </c>
      <c r="AL901" s="15">
        <f>AI901+AK901</f>
        <v/>
      </c>
      <c r="AM901" s="15">
        <f>AE901-AL901</f>
        <v/>
      </c>
      <c r="AN901" s="16">
        <f>AM901/AE901</f>
        <v/>
      </c>
      <c r="AO901" s="15" t="inlineStr">
        <is>
          <t>60 mins</t>
        </is>
      </c>
      <c r="AP901" s="15" t="n"/>
      <c r="AQ901" s="15" t="inlineStr">
        <is>
          <t>Weight</t>
        </is>
      </c>
      <c r="AR901" s="15" t="n"/>
      <c r="AS901" s="15" t="n"/>
      <c r="AT901" s="3" t="inlineStr">
        <is>
          <t>On Demand</t>
        </is>
      </c>
    </row>
    <row r="902" ht="15.75" customHeight="1">
      <c r="A902" s="15" t="inlineStr">
        <is>
          <t>PROD_0193</t>
        </is>
      </c>
      <c r="B902" s="15" t="inlineStr">
        <is>
          <t>VAR_3</t>
        </is>
      </c>
      <c r="C902" s="15" t="inlineStr">
        <is>
          <t>Electrical Material</t>
        </is>
      </c>
      <c r="D902" s="15" t="inlineStr">
        <is>
          <t>Switch</t>
        </is>
      </c>
      <c r="E902" s="15" t="inlineStr">
        <is>
          <t>ABB</t>
        </is>
      </c>
      <c r="F902" s="15" t="inlineStr">
        <is>
          <t>Adiya White</t>
        </is>
      </c>
      <c r="G902" s="15" t="n"/>
      <c r="H902" s="15" t="inlineStr">
        <is>
          <t>Module</t>
        </is>
      </c>
      <c r="I902" s="15" t="inlineStr">
        <is>
          <t>Single</t>
        </is>
      </c>
      <c r="J902" s="15" t="inlineStr">
        <is>
          <t>Switch Type</t>
        </is>
      </c>
      <c r="K902" s="15" t="inlineStr">
        <is>
          <t>Bell</t>
        </is>
      </c>
      <c r="L902" s="15" t="inlineStr">
        <is>
          <t>Amperage</t>
        </is>
      </c>
      <c r="M902" s="15" t="inlineStr">
        <is>
          <t>6 A</t>
        </is>
      </c>
      <c r="N902" s="15" t="n"/>
      <c r="O902" s="15" t="n"/>
      <c r="P902" s="15" t="n"/>
      <c r="Q902" s="15" t="inlineStr">
        <is>
          <t>Manufacturer's Warranty</t>
        </is>
      </c>
      <c r="R902" s="15" t="inlineStr">
        <is>
          <t>1SYK100001A1303</t>
        </is>
      </c>
      <c r="S902" s="15" t="n"/>
      <c r="T902" s="15" t="n"/>
      <c r="U902" s="15" t="n"/>
      <c r="V902" s="15" t="n"/>
      <c r="W902" s="15" t="n"/>
      <c r="X902" s="15" t="n"/>
      <c r="Y902" s="15" t="inlineStr">
        <is>
          <t>SWT_ABB_ADY_1M_Bell</t>
        </is>
      </c>
      <c r="Z902" s="15" t="n">
        <v>8536</v>
      </c>
      <c r="AA902" s="15" t="n"/>
      <c r="AB902" s="15" t="n"/>
      <c r="AC902" s="15" t="n"/>
      <c r="AD902" s="15" t="n"/>
      <c r="AE902" s="15" t="n">
        <v>175</v>
      </c>
      <c r="AF902" s="16" t="n">
        <v>0.5</v>
      </c>
      <c r="AG902" s="15">
        <f>ROUND(AE902-(AE902*AF902),2)</f>
        <v/>
      </c>
      <c r="AH902" s="16" t="n">
        <v>0.18</v>
      </c>
      <c r="AI902" s="15">
        <f>ROUND(AG902+(AG902*AH902),2)</f>
        <v/>
      </c>
      <c r="AJ902" s="16" t="n">
        <v>0.2</v>
      </c>
      <c r="AK902" s="15">
        <f>ROUND(AI902*AJ902,2)</f>
        <v/>
      </c>
      <c r="AL902" s="15">
        <f>AI902+AK902</f>
        <v/>
      </c>
      <c r="AM902" s="15">
        <f>AE902-AL902</f>
        <v/>
      </c>
      <c r="AN902" s="16">
        <f>AM902/AE902</f>
        <v/>
      </c>
      <c r="AO902" s="15" t="inlineStr">
        <is>
          <t>60 mins</t>
        </is>
      </c>
      <c r="AP902" s="15" t="n"/>
      <c r="AQ902" s="15" t="inlineStr">
        <is>
          <t>Weight</t>
        </is>
      </c>
      <c r="AR902" s="15" t="n"/>
      <c r="AS902" s="15" t="n"/>
      <c r="AT902" s="3" t="inlineStr">
        <is>
          <t>On Demand</t>
        </is>
      </c>
    </row>
    <row r="903" ht="15.75" customHeight="1">
      <c r="A903" s="3" t="inlineStr">
        <is>
          <t>PROD_0194</t>
        </is>
      </c>
      <c r="B903" s="3" t="inlineStr">
        <is>
          <t>VAR_1</t>
        </is>
      </c>
      <c r="C903" s="3" t="inlineStr">
        <is>
          <t>Electrical Material</t>
        </is>
      </c>
      <c r="D903" s="3" t="inlineStr">
        <is>
          <t>Switch</t>
        </is>
      </c>
      <c r="E903" s="3" t="inlineStr">
        <is>
          <t>ABB</t>
        </is>
      </c>
      <c r="F903" s="3" t="inlineStr">
        <is>
          <t>Snieo</t>
        </is>
      </c>
      <c r="H903" s="3" t="inlineStr">
        <is>
          <t>Module</t>
        </is>
      </c>
      <c r="I903" s="3" t="inlineStr">
        <is>
          <t>Single</t>
        </is>
      </c>
      <c r="J903" s="3" t="inlineStr">
        <is>
          <t>Switch Type</t>
        </is>
      </c>
      <c r="K903" s="3" t="inlineStr">
        <is>
          <t>Normal</t>
        </is>
      </c>
      <c r="L903" s="3" t="inlineStr">
        <is>
          <t>Amperage</t>
        </is>
      </c>
      <c r="M903" s="3" t="inlineStr">
        <is>
          <t>6 A</t>
        </is>
      </c>
      <c r="Q903" s="3" t="inlineStr">
        <is>
          <t>Manufacturer's Warranty</t>
        </is>
      </c>
      <c r="R903" s="3" t="inlineStr">
        <is>
          <t>CPW10610</t>
        </is>
      </c>
      <c r="Y903" s="3" t="inlineStr">
        <is>
          <t>SWT_ABB_SNIE_1W1M_6A</t>
        </is>
      </c>
      <c r="Z903" s="3" t="n">
        <v>8536</v>
      </c>
      <c r="AE903" s="3" t="n">
        <v>108</v>
      </c>
      <c r="AF903" s="4" t="n">
        <v>0.5</v>
      </c>
      <c r="AG903" s="3">
        <f>ROUND(AE903-(AE903*AF903),2)</f>
        <v/>
      </c>
      <c r="AH903" s="4" t="n">
        <v>0.18</v>
      </c>
      <c r="AI903" s="3">
        <f>ROUND(AG903+(AG903*AH903),2)</f>
        <v/>
      </c>
      <c r="AJ903" s="4" t="n">
        <v>0.2</v>
      </c>
      <c r="AK903" s="3">
        <f>ROUND(AI903*AJ903,2)</f>
        <v/>
      </c>
      <c r="AL903" s="3">
        <f>AI903+AK903</f>
        <v/>
      </c>
      <c r="AM903" s="3">
        <f>AE903-AL903</f>
        <v/>
      </c>
      <c r="AN903" s="4">
        <f>AM903/AE903</f>
        <v/>
      </c>
      <c r="AO903" s="3" t="inlineStr">
        <is>
          <t>60 mins</t>
        </is>
      </c>
      <c r="AQ903" s="3" t="inlineStr">
        <is>
          <t>Weight</t>
        </is>
      </c>
      <c r="AT903" s="3" t="inlineStr">
        <is>
          <t>Actvie</t>
        </is>
      </c>
    </row>
    <row r="904" ht="15.75" customHeight="1">
      <c r="A904" s="3" t="inlineStr">
        <is>
          <t>PROD_0194</t>
        </is>
      </c>
      <c r="B904" s="3" t="inlineStr">
        <is>
          <t>VAR_2</t>
        </is>
      </c>
      <c r="C904" s="3" t="inlineStr">
        <is>
          <t>Electrical Material</t>
        </is>
      </c>
      <c r="D904" s="3" t="inlineStr">
        <is>
          <t>Switch</t>
        </is>
      </c>
      <c r="E904" s="3" t="inlineStr">
        <is>
          <t>ABB</t>
        </is>
      </c>
      <c r="F904" s="3" t="inlineStr">
        <is>
          <t>Snieo</t>
        </is>
      </c>
      <c r="H904" s="3" t="inlineStr">
        <is>
          <t>Module</t>
        </is>
      </c>
      <c r="I904" s="3" t="inlineStr">
        <is>
          <t>Single</t>
        </is>
      </c>
      <c r="J904" s="3" t="inlineStr">
        <is>
          <t>Switch Type</t>
        </is>
      </c>
      <c r="K904" s="3" t="inlineStr">
        <is>
          <t>Power</t>
        </is>
      </c>
      <c r="L904" s="3" t="inlineStr">
        <is>
          <t>Amperage</t>
        </is>
      </c>
      <c r="M904" s="3" t="inlineStr">
        <is>
          <t>16 A</t>
        </is>
      </c>
      <c r="Q904" s="3" t="inlineStr">
        <is>
          <t>Manufacturer's Warranty</t>
        </is>
      </c>
      <c r="R904" s="3" t="inlineStr">
        <is>
          <t>CPW11610</t>
        </is>
      </c>
      <c r="Y904" s="3" t="inlineStr">
        <is>
          <t>SWT_ABB_SNIE_1W1M_16A</t>
        </is>
      </c>
      <c r="Z904" s="3" t="n">
        <v>8536</v>
      </c>
      <c r="AE904" s="3" t="n">
        <v>175</v>
      </c>
      <c r="AF904" s="4" t="n">
        <v>0.5</v>
      </c>
      <c r="AG904" s="3">
        <f>ROUND(AE904-(AE904*AF904),2)</f>
        <v/>
      </c>
      <c r="AH904" s="4" t="n">
        <v>0.18</v>
      </c>
      <c r="AI904" s="3">
        <f>ROUND(AG904+(AG904*AH904),2)</f>
        <v/>
      </c>
      <c r="AJ904" s="4" t="n">
        <v>0.2</v>
      </c>
      <c r="AK904" s="3">
        <f>ROUND(AI904*AJ904,2)</f>
        <v/>
      </c>
      <c r="AL904" s="3">
        <f>AI904+AK904</f>
        <v/>
      </c>
      <c r="AM904" s="3">
        <f>AE904-AL904</f>
        <v/>
      </c>
      <c r="AN904" s="4">
        <f>AM904/AE904</f>
        <v/>
      </c>
      <c r="AO904" s="3" t="inlineStr">
        <is>
          <t>60 mins</t>
        </is>
      </c>
      <c r="AQ904" s="3" t="inlineStr">
        <is>
          <t>Weight</t>
        </is>
      </c>
      <c r="AT904" s="3" t="inlineStr">
        <is>
          <t>Actvie</t>
        </is>
      </c>
    </row>
    <row r="905" ht="15.75" customHeight="1">
      <c r="A905" s="3" t="inlineStr">
        <is>
          <t>PROD_0194</t>
        </is>
      </c>
      <c r="B905" s="3" t="inlineStr">
        <is>
          <t>VAR_3</t>
        </is>
      </c>
      <c r="C905" s="3" t="inlineStr">
        <is>
          <t>Electrical Material</t>
        </is>
      </c>
      <c r="D905" s="3" t="inlineStr">
        <is>
          <t>Switch</t>
        </is>
      </c>
      <c r="E905" s="3" t="inlineStr">
        <is>
          <t>ABB</t>
        </is>
      </c>
      <c r="F905" s="3" t="inlineStr">
        <is>
          <t>Snieo</t>
        </is>
      </c>
      <c r="H905" s="3" t="inlineStr">
        <is>
          <t>Module</t>
        </is>
      </c>
      <c r="I905" s="3" t="inlineStr">
        <is>
          <t>Single</t>
        </is>
      </c>
      <c r="J905" s="3" t="inlineStr">
        <is>
          <t>Switch Type</t>
        </is>
      </c>
      <c r="K905" s="3" t="inlineStr">
        <is>
          <t>Bell</t>
        </is>
      </c>
      <c r="L905" s="3" t="inlineStr">
        <is>
          <t>Amperage</t>
        </is>
      </c>
      <c r="M905" s="3" t="inlineStr">
        <is>
          <t>6 A</t>
        </is>
      </c>
      <c r="Q905" s="3" t="inlineStr">
        <is>
          <t>Manufacturer's Warranty</t>
        </is>
      </c>
      <c r="R905" s="3" t="inlineStr">
        <is>
          <t>CPW106BL</t>
        </is>
      </c>
      <c r="Y905" s="3" t="inlineStr">
        <is>
          <t>SWT_ABB_SNIE_1M_Bell</t>
        </is>
      </c>
      <c r="Z905" s="3" t="n">
        <v>8536</v>
      </c>
      <c r="AE905" s="3" t="n">
        <v>205</v>
      </c>
      <c r="AF905" s="4" t="n">
        <v>0.5</v>
      </c>
      <c r="AG905" s="3">
        <f>ROUND(AE905-(AE905*AF905),2)</f>
        <v/>
      </c>
      <c r="AH905" s="4" t="n">
        <v>0.18</v>
      </c>
      <c r="AI905" s="3">
        <f>ROUND(AG905+(AG905*AH905),2)</f>
        <v/>
      </c>
      <c r="AJ905" s="4" t="n">
        <v>0.2</v>
      </c>
      <c r="AK905" s="3">
        <f>ROUND(AI905*AJ905,2)</f>
        <v/>
      </c>
      <c r="AL905" s="3">
        <f>AI905+AK905</f>
        <v/>
      </c>
      <c r="AM905" s="3">
        <f>AE905-AL905</f>
        <v/>
      </c>
      <c r="AN905" s="4">
        <f>AM905/AE905</f>
        <v/>
      </c>
      <c r="AO905" s="3" t="inlineStr">
        <is>
          <t>60 mins</t>
        </is>
      </c>
      <c r="AQ905" s="3" t="inlineStr">
        <is>
          <t>Weight</t>
        </is>
      </c>
      <c r="AT905" s="3" t="inlineStr">
        <is>
          <t>Actvie</t>
        </is>
      </c>
    </row>
    <row r="906" ht="15.75" customHeight="1">
      <c r="A906" s="3" t="inlineStr">
        <is>
          <t>PROD_0194</t>
        </is>
      </c>
      <c r="B906" s="3" t="inlineStr">
        <is>
          <t>VAR_4</t>
        </is>
      </c>
      <c r="C906" s="3" t="inlineStr">
        <is>
          <t>Electrical Material</t>
        </is>
      </c>
      <c r="D906" s="3" t="inlineStr">
        <is>
          <t>Switch</t>
        </is>
      </c>
      <c r="E906" s="3" t="inlineStr">
        <is>
          <t>ABB</t>
        </is>
      </c>
      <c r="F906" s="3" t="inlineStr">
        <is>
          <t>Snieo</t>
        </is>
      </c>
      <c r="H906" s="3" t="inlineStr">
        <is>
          <t>Module</t>
        </is>
      </c>
      <c r="I906" s="3" t="inlineStr">
        <is>
          <t>Double</t>
        </is>
      </c>
      <c r="J906" s="3" t="inlineStr">
        <is>
          <t>Switch Type</t>
        </is>
      </c>
      <c r="K906" s="3" t="inlineStr">
        <is>
          <t>Bell</t>
        </is>
      </c>
      <c r="L906" s="3" t="inlineStr">
        <is>
          <t>Amperage</t>
        </is>
      </c>
      <c r="M906" s="3" t="inlineStr">
        <is>
          <t>6 A</t>
        </is>
      </c>
      <c r="Q906" s="3" t="inlineStr">
        <is>
          <t>Manufacturer's Warranty</t>
        </is>
      </c>
      <c r="R906" s="3" t="inlineStr">
        <is>
          <t>CPW206BL</t>
        </is>
      </c>
      <c r="Y906" s="3" t="inlineStr">
        <is>
          <t>SWT_ABB_SNIE_2M_Bell</t>
        </is>
      </c>
      <c r="Z906" s="3" t="n">
        <v>8536</v>
      </c>
      <c r="AE906" s="3" t="n">
        <v>245</v>
      </c>
      <c r="AF906" s="4" t="n">
        <v>0.5</v>
      </c>
      <c r="AG906" s="3">
        <f>ROUND(AE906-(AE906*AF906),2)</f>
        <v/>
      </c>
      <c r="AH906" s="4" t="n">
        <v>0.18</v>
      </c>
      <c r="AI906" s="3">
        <f>ROUND(AG906+(AG906*AH906),2)</f>
        <v/>
      </c>
      <c r="AJ906" s="4" t="n">
        <v>0.2</v>
      </c>
      <c r="AK906" s="3">
        <f>ROUND(AI906*AJ906,2)</f>
        <v/>
      </c>
      <c r="AL906" s="3">
        <f>AI906+AK906</f>
        <v/>
      </c>
      <c r="AM906" s="3">
        <f>AE906-AL906</f>
        <v/>
      </c>
      <c r="AN906" s="4">
        <f>AM906/AE906</f>
        <v/>
      </c>
      <c r="AO906" s="3" t="inlineStr">
        <is>
          <t>60 mins</t>
        </is>
      </c>
      <c r="AQ906" s="3" t="inlineStr">
        <is>
          <t>Weight</t>
        </is>
      </c>
      <c r="AT906" s="3" t="inlineStr">
        <is>
          <t>Actvie</t>
        </is>
      </c>
    </row>
    <row r="907" ht="15.75" customHeight="1">
      <c r="A907" s="3" t="inlineStr">
        <is>
          <t>PROD_0195</t>
        </is>
      </c>
      <c r="B907" s="3" t="inlineStr">
        <is>
          <t>VAR_1</t>
        </is>
      </c>
      <c r="C907" s="3" t="inlineStr">
        <is>
          <t>Electrical Material</t>
        </is>
      </c>
      <c r="D907" s="3" t="inlineStr">
        <is>
          <t>Switch</t>
        </is>
      </c>
      <c r="E907" s="3" t="inlineStr">
        <is>
          <t>Anchor</t>
        </is>
      </c>
      <c r="F907" s="3" t="inlineStr">
        <is>
          <t>Penta White</t>
        </is>
      </c>
      <c r="H907" s="3" t="inlineStr">
        <is>
          <t>Module</t>
        </is>
      </c>
      <c r="I907" s="3" t="inlineStr">
        <is>
          <t>Single</t>
        </is>
      </c>
      <c r="J907" s="3" t="inlineStr">
        <is>
          <t>Switch Type</t>
        </is>
      </c>
      <c r="K907" s="3" t="inlineStr">
        <is>
          <t>Normal</t>
        </is>
      </c>
      <c r="L907" s="3" t="inlineStr">
        <is>
          <t>Amperage</t>
        </is>
      </c>
      <c r="M907" s="3" t="inlineStr">
        <is>
          <t>6 A</t>
        </is>
      </c>
      <c r="Q907" s="3" t="inlineStr">
        <is>
          <t>Manufacturer's Warranty</t>
        </is>
      </c>
      <c r="R907" s="3" t="n">
        <v>65001</v>
      </c>
      <c r="Y907" s="3" t="inlineStr">
        <is>
          <t>SWT_ANCH_PNTWHT_6A</t>
        </is>
      </c>
      <c r="Z907" s="3" t="n">
        <v>8536</v>
      </c>
      <c r="AE907" s="3" t="n">
        <v>40</v>
      </c>
      <c r="AF907" s="4" t="n">
        <v>0.5</v>
      </c>
      <c r="AG907" s="3">
        <f>ROUND(AE907-(AE907*AF907),2)</f>
        <v/>
      </c>
      <c r="AH907" s="4" t="n">
        <v>0.18</v>
      </c>
      <c r="AI907" s="3">
        <f>ROUND(AG907+(AG907*AH907),2)</f>
        <v/>
      </c>
      <c r="AJ907" s="4" t="n">
        <v>0.2</v>
      </c>
      <c r="AK907" s="3">
        <f>ROUND(AI907*AJ907,2)</f>
        <v/>
      </c>
      <c r="AL907" s="3">
        <f>AI907+AK907</f>
        <v/>
      </c>
      <c r="AM907" s="3">
        <f>AE907-AL907</f>
        <v/>
      </c>
      <c r="AN907" s="4">
        <f>AM907/AE907</f>
        <v/>
      </c>
      <c r="AO907" s="3" t="inlineStr">
        <is>
          <t>60 mins</t>
        </is>
      </c>
      <c r="AQ907" s="3" t="inlineStr">
        <is>
          <t>Weight</t>
        </is>
      </c>
      <c r="AT907" s="3" t="inlineStr">
        <is>
          <t>Actvie</t>
        </is>
      </c>
    </row>
    <row r="908" ht="15.75" customHeight="1">
      <c r="A908" s="3" t="inlineStr">
        <is>
          <t>PROD_0195</t>
        </is>
      </c>
      <c r="B908" s="3" t="inlineStr">
        <is>
          <t>VAR_2</t>
        </is>
      </c>
      <c r="C908" s="3" t="inlineStr">
        <is>
          <t>Electrical Material</t>
        </is>
      </c>
      <c r="D908" s="3" t="inlineStr">
        <is>
          <t>Switch</t>
        </is>
      </c>
      <c r="E908" s="3" t="inlineStr">
        <is>
          <t>Anchor</t>
        </is>
      </c>
      <c r="F908" s="3" t="inlineStr">
        <is>
          <t>Penta White</t>
        </is>
      </c>
      <c r="H908" s="3" t="inlineStr">
        <is>
          <t>Module</t>
        </is>
      </c>
      <c r="I908" s="3" t="inlineStr">
        <is>
          <t>Single</t>
        </is>
      </c>
      <c r="J908" s="3" t="inlineStr">
        <is>
          <t>Switch Type</t>
        </is>
      </c>
      <c r="K908" s="3" t="inlineStr">
        <is>
          <t>Power</t>
        </is>
      </c>
      <c r="L908" s="3" t="inlineStr">
        <is>
          <t>Amperage</t>
        </is>
      </c>
      <c r="M908" s="3" t="inlineStr">
        <is>
          <t>16 A</t>
        </is>
      </c>
      <c r="Q908" s="3" t="inlineStr">
        <is>
          <t>Manufacturer's Warranty</t>
        </is>
      </c>
      <c r="R908" s="3" t="n">
        <v>65007</v>
      </c>
      <c r="Y908" s="3" t="inlineStr">
        <is>
          <t>SWT_ANCH_PNTWHT_16A</t>
        </is>
      </c>
      <c r="Z908" s="3" t="n">
        <v>8536</v>
      </c>
      <c r="AE908" s="3" t="n">
        <v>107</v>
      </c>
      <c r="AF908" s="4" t="n">
        <v>0.5</v>
      </c>
      <c r="AG908" s="3">
        <f>ROUND(AE908-(AE908*AF908),2)</f>
        <v/>
      </c>
      <c r="AH908" s="4" t="n">
        <v>0.18</v>
      </c>
      <c r="AI908" s="3">
        <f>ROUND(AG908+(AG908*AH908),2)</f>
        <v/>
      </c>
      <c r="AJ908" s="4" t="n">
        <v>0.2</v>
      </c>
      <c r="AK908" s="3">
        <f>ROUND(AI908*AJ908,2)</f>
        <v/>
      </c>
      <c r="AL908" s="3">
        <f>AI908+AK908</f>
        <v/>
      </c>
      <c r="AM908" s="3">
        <f>AE908-AL908</f>
        <v/>
      </c>
      <c r="AN908" s="4">
        <f>AM908/AE908</f>
        <v/>
      </c>
      <c r="AO908" s="3" t="inlineStr">
        <is>
          <t>60 mins</t>
        </is>
      </c>
      <c r="AQ908" s="3" t="inlineStr">
        <is>
          <t>Weight</t>
        </is>
      </c>
      <c r="AT908" s="3" t="inlineStr">
        <is>
          <t>Actvie</t>
        </is>
      </c>
    </row>
    <row r="909" ht="15.75" customHeight="1">
      <c r="A909" s="3" t="inlineStr">
        <is>
          <t>PROD_0195</t>
        </is>
      </c>
      <c r="B909" s="3" t="inlineStr">
        <is>
          <t>VAR_3</t>
        </is>
      </c>
      <c r="C909" s="3" t="inlineStr">
        <is>
          <t>Electrical Material</t>
        </is>
      </c>
      <c r="D909" s="3" t="inlineStr">
        <is>
          <t>Switch</t>
        </is>
      </c>
      <c r="E909" s="3" t="inlineStr">
        <is>
          <t>Anchor</t>
        </is>
      </c>
      <c r="F909" s="3" t="inlineStr">
        <is>
          <t>Penta White</t>
        </is>
      </c>
      <c r="H909" s="3" t="inlineStr">
        <is>
          <t>Module</t>
        </is>
      </c>
      <c r="I909" s="3" t="inlineStr">
        <is>
          <t>Single</t>
        </is>
      </c>
      <c r="J909" s="3" t="inlineStr">
        <is>
          <t>Switch Type</t>
        </is>
      </c>
      <c r="K909" s="3" t="inlineStr">
        <is>
          <t>Bell</t>
        </is>
      </c>
      <c r="L909" s="3" t="inlineStr">
        <is>
          <t>Amperage</t>
        </is>
      </c>
      <c r="M909" s="3" t="inlineStr">
        <is>
          <t>6 A</t>
        </is>
      </c>
      <c r="Q909" s="3" t="inlineStr">
        <is>
          <t>Manufacturer's Warranty</t>
        </is>
      </c>
      <c r="R909" s="3" t="n">
        <v>65003</v>
      </c>
      <c r="Y909" s="3" t="inlineStr">
        <is>
          <t>SWT_ANCH_PNTWHT_Bell</t>
        </is>
      </c>
      <c r="Z909" s="3" t="n">
        <v>8536</v>
      </c>
      <c r="AE909" s="3" t="n">
        <v>90</v>
      </c>
      <c r="AF909" s="4" t="n">
        <v>0.5</v>
      </c>
      <c r="AG909" s="3">
        <f>ROUND(AE909-(AE909*AF909),2)</f>
        <v/>
      </c>
      <c r="AH909" s="4" t="n">
        <v>0.18</v>
      </c>
      <c r="AI909" s="3">
        <f>ROUND(AG909+(AG909*AH909),2)</f>
        <v/>
      </c>
      <c r="AJ909" s="4" t="n">
        <v>0.2</v>
      </c>
      <c r="AK909" s="3">
        <f>ROUND(AI909*AJ909,2)</f>
        <v/>
      </c>
      <c r="AL909" s="3">
        <f>AI909+AK909</f>
        <v/>
      </c>
      <c r="AM909" s="3">
        <f>AE909-AL909</f>
        <v/>
      </c>
      <c r="AN909" s="4">
        <f>AM909/AE909</f>
        <v/>
      </c>
      <c r="AO909" s="3" t="inlineStr">
        <is>
          <t>60 mins</t>
        </is>
      </c>
      <c r="AQ909" s="3" t="inlineStr">
        <is>
          <t>Weight</t>
        </is>
      </c>
      <c r="AT909" s="3" t="inlineStr">
        <is>
          <t>Actvie</t>
        </is>
      </c>
    </row>
    <row r="910" ht="15.75" customHeight="1">
      <c r="A910" s="3" t="inlineStr">
        <is>
          <t>PROD_0195</t>
        </is>
      </c>
      <c r="B910" s="3" t="inlineStr">
        <is>
          <t>VAR_4</t>
        </is>
      </c>
      <c r="C910" s="3" t="inlineStr">
        <is>
          <t>Electrical Material</t>
        </is>
      </c>
      <c r="D910" s="3" t="inlineStr">
        <is>
          <t>Switch</t>
        </is>
      </c>
      <c r="E910" s="3" t="inlineStr">
        <is>
          <t>Anchor</t>
        </is>
      </c>
      <c r="F910" s="3" t="inlineStr">
        <is>
          <t>Penta White</t>
        </is>
      </c>
      <c r="H910" s="3" t="inlineStr">
        <is>
          <t>Module</t>
        </is>
      </c>
      <c r="I910" s="3" t="inlineStr">
        <is>
          <t>Double</t>
        </is>
      </c>
      <c r="J910" s="3" t="inlineStr">
        <is>
          <t>Switch Type</t>
        </is>
      </c>
      <c r="K910" s="3" t="inlineStr">
        <is>
          <t>Bell</t>
        </is>
      </c>
      <c r="L910" s="3" t="inlineStr">
        <is>
          <t>Amperage</t>
        </is>
      </c>
      <c r="M910" s="3" t="inlineStr">
        <is>
          <t>6 A</t>
        </is>
      </c>
      <c r="Q910" s="3" t="inlineStr">
        <is>
          <t>Manufacturer's Warranty</t>
        </is>
      </c>
      <c r="R910" s="3" t="n">
        <v>65066</v>
      </c>
      <c r="Y910" s="3" t="inlineStr">
        <is>
          <t>SWT_ANCH_PNTWHT_Bell_2M</t>
        </is>
      </c>
      <c r="Z910" s="3" t="n">
        <v>8536</v>
      </c>
      <c r="AE910" s="3" t="n">
        <v>127</v>
      </c>
      <c r="AF910" s="4" t="n">
        <v>0.5</v>
      </c>
      <c r="AG910" s="3">
        <f>ROUND(AE910-(AE910*AF910),2)</f>
        <v/>
      </c>
      <c r="AH910" s="4" t="n">
        <v>0.18</v>
      </c>
      <c r="AI910" s="3">
        <f>ROUND(AG910+(AG910*AH910),2)</f>
        <v/>
      </c>
      <c r="AJ910" s="4" t="n">
        <v>0.2</v>
      </c>
      <c r="AK910" s="3">
        <f>ROUND(AI910*AJ910,2)</f>
        <v/>
      </c>
      <c r="AL910" s="3">
        <f>AI910+AK910</f>
        <v/>
      </c>
      <c r="AM910" s="3">
        <f>AE910-AL910</f>
        <v/>
      </c>
      <c r="AN910" s="4">
        <f>AM910/AE910</f>
        <v/>
      </c>
      <c r="AO910" s="3" t="inlineStr">
        <is>
          <t>60 mins</t>
        </is>
      </c>
      <c r="AQ910" s="3" t="inlineStr">
        <is>
          <t>Weight</t>
        </is>
      </c>
      <c r="AT910" s="3" t="inlineStr">
        <is>
          <t>Actvie</t>
        </is>
      </c>
    </row>
    <row r="911" ht="15.75" customHeight="1">
      <c r="A911" s="3" t="inlineStr">
        <is>
          <t>PROD_0196</t>
        </is>
      </c>
      <c r="B911" s="3" t="inlineStr">
        <is>
          <t>VAR_1</t>
        </is>
      </c>
      <c r="C911" s="3" t="inlineStr">
        <is>
          <t>Electrical Material</t>
        </is>
      </c>
      <c r="D911" s="3" t="inlineStr">
        <is>
          <t>Switch</t>
        </is>
      </c>
      <c r="E911" s="3" t="inlineStr">
        <is>
          <t>Anchor</t>
        </is>
      </c>
      <c r="F911" s="3" t="inlineStr">
        <is>
          <t>Penta Grey</t>
        </is>
      </c>
      <c r="H911" s="3" t="inlineStr">
        <is>
          <t>Module</t>
        </is>
      </c>
      <c r="I911" s="3" t="inlineStr">
        <is>
          <t>Single</t>
        </is>
      </c>
      <c r="J911" s="3" t="inlineStr">
        <is>
          <t>Switch Type</t>
        </is>
      </c>
      <c r="K911" s="3" t="inlineStr">
        <is>
          <t>Normal</t>
        </is>
      </c>
      <c r="L911" s="3" t="inlineStr">
        <is>
          <t>Amperage</t>
        </is>
      </c>
      <c r="M911" s="3" t="inlineStr">
        <is>
          <t>6 A</t>
        </is>
      </c>
      <c r="Q911" s="3" t="inlineStr">
        <is>
          <t>Manufacturer's Warranty</t>
        </is>
      </c>
      <c r="Y911" s="3" t="inlineStr">
        <is>
          <t>SWT_ANCH_PNTGRY_6A_1, SWT_ANCH_PNTGRY_6A_2</t>
        </is>
      </c>
      <c r="Z911" s="3" t="n">
        <v>8536</v>
      </c>
      <c r="AE911" s="3" t="n">
        <v>47</v>
      </c>
      <c r="AF911" s="4" t="n">
        <v>0.5</v>
      </c>
      <c r="AG911" s="3">
        <f>ROUND(AE911-(AE911*AF911),2)</f>
        <v/>
      </c>
      <c r="AH911" s="4" t="n">
        <v>0.18</v>
      </c>
      <c r="AI911" s="3">
        <f>ROUND(AG911+(AG911*AH911),2)</f>
        <v/>
      </c>
      <c r="AJ911" s="4" t="n">
        <v>0.2</v>
      </c>
      <c r="AK911" s="3">
        <f>ROUND(AI911*AJ911,2)</f>
        <v/>
      </c>
      <c r="AL911" s="3">
        <f>AI911+AK911</f>
        <v/>
      </c>
      <c r="AM911" s="3">
        <f>AE911-AL911</f>
        <v/>
      </c>
      <c r="AN911" s="4">
        <f>AM911/AE911</f>
        <v/>
      </c>
      <c r="AO911" s="3" t="inlineStr">
        <is>
          <t>60 mins</t>
        </is>
      </c>
      <c r="AQ911" s="3" t="inlineStr">
        <is>
          <t>Weight</t>
        </is>
      </c>
      <c r="AT911" s="3" t="inlineStr">
        <is>
          <t>Actvie</t>
        </is>
      </c>
    </row>
    <row r="912" ht="15.75" customHeight="1">
      <c r="A912" s="3" t="inlineStr">
        <is>
          <t>PROD_0196</t>
        </is>
      </c>
      <c r="B912" s="3" t="inlineStr">
        <is>
          <t>VAR_2</t>
        </is>
      </c>
      <c r="C912" s="3" t="inlineStr">
        <is>
          <t>Electrical Material</t>
        </is>
      </c>
      <c r="D912" s="3" t="inlineStr">
        <is>
          <t>Switch</t>
        </is>
      </c>
      <c r="E912" s="3" t="inlineStr">
        <is>
          <t>Anchor</t>
        </is>
      </c>
      <c r="F912" s="3" t="inlineStr">
        <is>
          <t>Penta Grey</t>
        </is>
      </c>
      <c r="H912" s="3" t="inlineStr">
        <is>
          <t>Module</t>
        </is>
      </c>
      <c r="I912" s="3" t="inlineStr">
        <is>
          <t>Single</t>
        </is>
      </c>
      <c r="J912" s="3" t="inlineStr">
        <is>
          <t>Switch Type</t>
        </is>
      </c>
      <c r="K912" s="3" t="inlineStr">
        <is>
          <t>Power</t>
        </is>
      </c>
      <c r="L912" s="3" t="inlineStr">
        <is>
          <t>Amperage</t>
        </is>
      </c>
      <c r="M912" s="3" t="inlineStr">
        <is>
          <t>16 A</t>
        </is>
      </c>
      <c r="Q912" s="3" t="inlineStr">
        <is>
          <t>Manufacturer's Warranty</t>
        </is>
      </c>
      <c r="Y912" s="3" t="inlineStr">
        <is>
          <t>SWT_ANCH_PNTGRY_16A_1, SWT_ANCH_PNTGRY_16A_2</t>
        </is>
      </c>
      <c r="Z912" s="3" t="n">
        <v>8536</v>
      </c>
      <c r="AE912" s="3" t="n">
        <v>129</v>
      </c>
      <c r="AF912" s="4" t="n">
        <v>0.5</v>
      </c>
      <c r="AG912" s="3">
        <f>ROUND(AE912-(AE912*AF912),2)</f>
        <v/>
      </c>
      <c r="AH912" s="4" t="n">
        <v>0.18</v>
      </c>
      <c r="AI912" s="3">
        <f>ROUND(AG912+(AG912*AH912),2)</f>
        <v/>
      </c>
      <c r="AJ912" s="4" t="n">
        <v>0.2</v>
      </c>
      <c r="AK912" s="3">
        <f>ROUND(AI912*AJ912,2)</f>
        <v/>
      </c>
      <c r="AL912" s="3">
        <f>AI912+AK912</f>
        <v/>
      </c>
      <c r="AM912" s="3">
        <f>AE912-AL912</f>
        <v/>
      </c>
      <c r="AN912" s="4">
        <f>AM912/AE912</f>
        <v/>
      </c>
      <c r="AO912" s="3" t="inlineStr">
        <is>
          <t>60 mins</t>
        </is>
      </c>
      <c r="AQ912" s="3" t="inlineStr">
        <is>
          <t>Weight</t>
        </is>
      </c>
      <c r="AT912" s="3" t="inlineStr">
        <is>
          <t>Actvie</t>
        </is>
      </c>
    </row>
    <row r="913" ht="15.75" customHeight="1">
      <c r="A913" s="3" t="inlineStr">
        <is>
          <t>PROD_0196</t>
        </is>
      </c>
      <c r="B913" s="3" t="inlineStr">
        <is>
          <t>VAR_3</t>
        </is>
      </c>
      <c r="C913" s="3" t="inlineStr">
        <is>
          <t>Electrical Material</t>
        </is>
      </c>
      <c r="D913" s="3" t="inlineStr">
        <is>
          <t>Switch</t>
        </is>
      </c>
      <c r="E913" s="3" t="inlineStr">
        <is>
          <t>Anchor</t>
        </is>
      </c>
      <c r="F913" s="3" t="inlineStr">
        <is>
          <t>Penta Grey</t>
        </is>
      </c>
      <c r="H913" s="3" t="inlineStr">
        <is>
          <t>Module</t>
        </is>
      </c>
      <c r="I913" s="3" t="inlineStr">
        <is>
          <t>Single</t>
        </is>
      </c>
      <c r="J913" s="3" t="inlineStr">
        <is>
          <t>Switch Type</t>
        </is>
      </c>
      <c r="K913" s="3" t="inlineStr">
        <is>
          <t>Bell</t>
        </is>
      </c>
      <c r="L913" s="3" t="inlineStr">
        <is>
          <t>Amperage</t>
        </is>
      </c>
      <c r="M913" s="3" t="inlineStr">
        <is>
          <t>6 A</t>
        </is>
      </c>
      <c r="Q913" s="3" t="inlineStr">
        <is>
          <t>Manufacturer's Warranty</t>
        </is>
      </c>
      <c r="R913" s="3" t="inlineStr">
        <is>
          <t>65003B</t>
        </is>
      </c>
      <c r="Y913" s="3" t="inlineStr">
        <is>
          <t>SWT_ANCH_PNTGRY_Bell_1M</t>
        </is>
      </c>
      <c r="Z913" s="3" t="n">
        <v>8536</v>
      </c>
      <c r="AE913" s="3" t="n">
        <v>107</v>
      </c>
      <c r="AF913" s="4" t="n">
        <v>0.5</v>
      </c>
      <c r="AG913" s="3">
        <f>ROUND(AE913-(AE913*AF913),2)</f>
        <v/>
      </c>
      <c r="AH913" s="4" t="n">
        <v>0.18</v>
      </c>
      <c r="AI913" s="3">
        <f>ROUND(AG913+(AG913*AH913),2)</f>
        <v/>
      </c>
      <c r="AJ913" s="4" t="n">
        <v>0.2</v>
      </c>
      <c r="AK913" s="3">
        <f>ROUND(AI913*AJ913,2)</f>
        <v/>
      </c>
      <c r="AL913" s="3">
        <f>AI913+AK913</f>
        <v/>
      </c>
      <c r="AM913" s="3">
        <f>AE913-AL913</f>
        <v/>
      </c>
      <c r="AN913" s="4">
        <f>AM913/AE913</f>
        <v/>
      </c>
      <c r="AO913" s="3" t="inlineStr">
        <is>
          <t>60 mins</t>
        </is>
      </c>
      <c r="AQ913" s="3" t="inlineStr">
        <is>
          <t>Weight</t>
        </is>
      </c>
      <c r="AT913" s="3" t="inlineStr">
        <is>
          <t>Actvie</t>
        </is>
      </c>
    </row>
    <row r="914" ht="15.75" customHeight="1">
      <c r="A914" s="3" t="inlineStr">
        <is>
          <t>PROD_0196</t>
        </is>
      </c>
      <c r="B914" s="3" t="inlineStr">
        <is>
          <t>VAR_4</t>
        </is>
      </c>
      <c r="C914" s="3" t="inlineStr">
        <is>
          <t>Electrical Material</t>
        </is>
      </c>
      <c r="D914" s="3" t="inlineStr">
        <is>
          <t>Switch</t>
        </is>
      </c>
      <c r="E914" s="3" t="inlineStr">
        <is>
          <t>Anchor</t>
        </is>
      </c>
      <c r="F914" s="3" t="inlineStr">
        <is>
          <t>Penta Grey</t>
        </is>
      </c>
      <c r="H914" s="3" t="inlineStr">
        <is>
          <t>Module</t>
        </is>
      </c>
      <c r="I914" s="3" t="inlineStr">
        <is>
          <t>Double</t>
        </is>
      </c>
      <c r="J914" s="3" t="inlineStr">
        <is>
          <t>Switch Type</t>
        </is>
      </c>
      <c r="K914" s="3" t="inlineStr">
        <is>
          <t>Bell</t>
        </is>
      </c>
      <c r="L914" s="3" t="inlineStr">
        <is>
          <t>Amperage</t>
        </is>
      </c>
      <c r="M914" s="3" t="inlineStr">
        <is>
          <t>6 A</t>
        </is>
      </c>
      <c r="Q914" s="3" t="inlineStr">
        <is>
          <t>Manufacturer's Warranty</t>
        </is>
      </c>
      <c r="R914" s="3" t="inlineStr">
        <is>
          <t>65066B</t>
        </is>
      </c>
      <c r="Y914" s="3" t="inlineStr">
        <is>
          <t>SWT_ANCH_PNTGRY_Bell_2M</t>
        </is>
      </c>
      <c r="Z914" s="3" t="n">
        <v>8536</v>
      </c>
      <c r="AE914" s="3" t="n">
        <v>153</v>
      </c>
      <c r="AF914" s="4" t="n">
        <v>0.5</v>
      </c>
      <c r="AG914" s="3">
        <f>ROUND(AE914-(AE914*AF914),2)</f>
        <v/>
      </c>
      <c r="AH914" s="4" t="n">
        <v>0.18</v>
      </c>
      <c r="AI914" s="3">
        <f>ROUND(AG914+(AG914*AH914),2)</f>
        <v/>
      </c>
      <c r="AJ914" s="4" t="n">
        <v>0.2</v>
      </c>
      <c r="AK914" s="3">
        <f>ROUND(AI914*AJ914,2)</f>
        <v/>
      </c>
      <c r="AL914" s="3">
        <f>AI914+AK914</f>
        <v/>
      </c>
      <c r="AM914" s="3">
        <f>AE914-AL914</f>
        <v/>
      </c>
      <c r="AN914" s="4">
        <f>AM914/AE914</f>
        <v/>
      </c>
      <c r="AO914" s="3" t="inlineStr">
        <is>
          <t>60 mins</t>
        </is>
      </c>
      <c r="AQ914" s="3" t="inlineStr">
        <is>
          <t>Weight</t>
        </is>
      </c>
      <c r="AT914" s="3" t="inlineStr">
        <is>
          <t>Actvie</t>
        </is>
      </c>
    </row>
    <row r="915" ht="15.75" customHeight="1">
      <c r="A915" s="15" t="inlineStr">
        <is>
          <t>PROD_0197</t>
        </is>
      </c>
      <c r="B915" s="15" t="inlineStr">
        <is>
          <t>VAR_1</t>
        </is>
      </c>
      <c r="C915" s="15" t="inlineStr">
        <is>
          <t>Electrical Material</t>
        </is>
      </c>
      <c r="D915" s="15" t="inlineStr">
        <is>
          <t>Switch</t>
        </is>
      </c>
      <c r="E915" s="15" t="inlineStr">
        <is>
          <t>Anchor</t>
        </is>
      </c>
      <c r="F915" s="15" t="inlineStr">
        <is>
          <t>Ziva White</t>
        </is>
      </c>
      <c r="G915" s="15" t="n"/>
      <c r="H915" s="15" t="inlineStr">
        <is>
          <t>Module</t>
        </is>
      </c>
      <c r="I915" s="15" t="inlineStr">
        <is>
          <t>Single</t>
        </is>
      </c>
      <c r="J915" s="15" t="inlineStr">
        <is>
          <t>Switch Type</t>
        </is>
      </c>
      <c r="K915" s="15" t="inlineStr">
        <is>
          <t>Normal</t>
        </is>
      </c>
      <c r="L915" s="15" t="inlineStr">
        <is>
          <t>Amperage</t>
        </is>
      </c>
      <c r="M915" s="15" t="inlineStr">
        <is>
          <t>6 A</t>
        </is>
      </c>
      <c r="N915" s="15" t="n"/>
      <c r="O915" s="15" t="n"/>
      <c r="P915" s="15" t="n"/>
      <c r="Q915" s="15" t="inlineStr">
        <is>
          <t>Manufacturer's Warranty</t>
        </is>
      </c>
      <c r="R915" s="15" t="n">
        <v>68001</v>
      </c>
      <c r="S915" s="15" t="n"/>
      <c r="T915" s="15" t="n"/>
      <c r="U915" s="15" t="n"/>
      <c r="V915" s="15" t="n"/>
      <c r="W915" s="15" t="n"/>
      <c r="X915" s="15" t="n"/>
      <c r="Y915" s="15" t="inlineStr">
        <is>
          <t>SWT_ANCH_ZVAWHT_6A</t>
        </is>
      </c>
      <c r="Z915" s="15" t="n">
        <v>8536</v>
      </c>
      <c r="AA915" s="15" t="n"/>
      <c r="AB915" s="15" t="n"/>
      <c r="AC915" s="15" t="n"/>
      <c r="AD915" s="15" t="n"/>
      <c r="AE915" s="15" t="n">
        <v>32</v>
      </c>
      <c r="AF915" s="16" t="n">
        <v>0.5</v>
      </c>
      <c r="AG915" s="15">
        <f>ROUND(AE915-(AE915*AF915),2)</f>
        <v/>
      </c>
      <c r="AH915" s="16" t="n">
        <v>0.18</v>
      </c>
      <c r="AI915" s="15">
        <f>ROUND(AG915+(AG915*AH915),2)</f>
        <v/>
      </c>
      <c r="AJ915" s="16" t="n">
        <v>0.2</v>
      </c>
      <c r="AK915" s="15">
        <f>ROUND(AI915*AJ915,2)</f>
        <v/>
      </c>
      <c r="AL915" s="15">
        <f>AI915+AK915</f>
        <v/>
      </c>
      <c r="AM915" s="15">
        <f>AE915-AL915</f>
        <v/>
      </c>
      <c r="AN915" s="16">
        <f>AM915/AE915</f>
        <v/>
      </c>
      <c r="AO915" s="15" t="inlineStr">
        <is>
          <t>60 mins</t>
        </is>
      </c>
      <c r="AP915" s="15" t="n"/>
      <c r="AQ915" s="15" t="inlineStr">
        <is>
          <t>Weight</t>
        </is>
      </c>
      <c r="AR915" s="15" t="n"/>
      <c r="AS915" s="15" t="n"/>
      <c r="AT915" s="3" t="inlineStr">
        <is>
          <t>On Demand</t>
        </is>
      </c>
    </row>
    <row r="916" ht="15.75" customHeight="1">
      <c r="A916" s="15" t="inlineStr">
        <is>
          <t>PROD_0197</t>
        </is>
      </c>
      <c r="B916" s="15" t="inlineStr">
        <is>
          <t>VAR_2</t>
        </is>
      </c>
      <c r="C916" s="15" t="inlineStr">
        <is>
          <t>Electrical Material</t>
        </is>
      </c>
      <c r="D916" s="15" t="inlineStr">
        <is>
          <t>Switch</t>
        </is>
      </c>
      <c r="E916" s="15" t="inlineStr">
        <is>
          <t>Anchor</t>
        </is>
      </c>
      <c r="F916" s="15" t="inlineStr">
        <is>
          <t>Ziva White</t>
        </is>
      </c>
      <c r="G916" s="15" t="n"/>
      <c r="H916" s="15" t="inlineStr">
        <is>
          <t>Module</t>
        </is>
      </c>
      <c r="I916" s="15" t="inlineStr">
        <is>
          <t>Single</t>
        </is>
      </c>
      <c r="J916" s="15" t="inlineStr">
        <is>
          <t>Switch Type</t>
        </is>
      </c>
      <c r="K916" s="15" t="inlineStr">
        <is>
          <t>Power</t>
        </is>
      </c>
      <c r="L916" s="15" t="inlineStr">
        <is>
          <t>Amperage</t>
        </is>
      </c>
      <c r="M916" s="15" t="inlineStr">
        <is>
          <t>16 A</t>
        </is>
      </c>
      <c r="N916" s="15" t="n"/>
      <c r="O916" s="15" t="n"/>
      <c r="P916" s="15" t="n"/>
      <c r="Q916" s="15" t="inlineStr">
        <is>
          <t>Manufacturer's Warranty</t>
        </is>
      </c>
      <c r="R916" s="15" t="n">
        <v>68077</v>
      </c>
      <c r="S916" s="15" t="n"/>
      <c r="T916" s="15" t="n"/>
      <c r="U916" s="15" t="n"/>
      <c r="V916" s="15" t="n"/>
      <c r="W916" s="15" t="n"/>
      <c r="X916" s="15" t="n"/>
      <c r="Y916" s="15" t="inlineStr">
        <is>
          <t>SWT_ANCH_ZVAWHT_16A</t>
        </is>
      </c>
      <c r="Z916" s="15" t="n">
        <v>8536</v>
      </c>
      <c r="AA916" s="15" t="n"/>
      <c r="AB916" s="15" t="n"/>
      <c r="AC916" s="15" t="n"/>
      <c r="AD916" s="15" t="n"/>
      <c r="AE916" s="15" t="n">
        <v>84</v>
      </c>
      <c r="AF916" s="16" t="n">
        <v>0.5</v>
      </c>
      <c r="AG916" s="15">
        <f>ROUND(AE916-(AE916*AF916),2)</f>
        <v/>
      </c>
      <c r="AH916" s="16" t="n">
        <v>0.18</v>
      </c>
      <c r="AI916" s="15">
        <f>ROUND(AG916+(AG916*AH916),2)</f>
        <v/>
      </c>
      <c r="AJ916" s="16" t="n">
        <v>0.2</v>
      </c>
      <c r="AK916" s="15">
        <f>ROUND(AI916*AJ916,2)</f>
        <v/>
      </c>
      <c r="AL916" s="15">
        <f>AI916+AK916</f>
        <v/>
      </c>
      <c r="AM916" s="15">
        <f>AE916-AL916</f>
        <v/>
      </c>
      <c r="AN916" s="16">
        <f>AM916/AE916</f>
        <v/>
      </c>
      <c r="AO916" s="15" t="inlineStr">
        <is>
          <t>60 mins</t>
        </is>
      </c>
      <c r="AP916" s="15" t="n"/>
      <c r="AQ916" s="15" t="inlineStr">
        <is>
          <t>Weight</t>
        </is>
      </c>
      <c r="AR916" s="15" t="n"/>
      <c r="AS916" s="15" t="n"/>
      <c r="AT916" s="3" t="inlineStr">
        <is>
          <t>On Demand</t>
        </is>
      </c>
    </row>
    <row r="917" ht="15.75" customHeight="1">
      <c r="A917" s="15" t="inlineStr">
        <is>
          <t>PROD_0197</t>
        </is>
      </c>
      <c r="B917" s="15" t="inlineStr">
        <is>
          <t>VAR_3</t>
        </is>
      </c>
      <c r="C917" s="15" t="inlineStr">
        <is>
          <t>Electrical Material</t>
        </is>
      </c>
      <c r="D917" s="15" t="inlineStr">
        <is>
          <t>Switch</t>
        </is>
      </c>
      <c r="E917" s="15" t="inlineStr">
        <is>
          <t>Anchor</t>
        </is>
      </c>
      <c r="F917" s="15" t="inlineStr">
        <is>
          <t>Ziva White</t>
        </is>
      </c>
      <c r="G917" s="15" t="n"/>
      <c r="H917" s="15" t="inlineStr">
        <is>
          <t>Module</t>
        </is>
      </c>
      <c r="I917" s="15" t="inlineStr">
        <is>
          <t>Single</t>
        </is>
      </c>
      <c r="J917" s="15" t="inlineStr">
        <is>
          <t>Switch Type</t>
        </is>
      </c>
      <c r="K917" s="15" t="inlineStr">
        <is>
          <t>Bell</t>
        </is>
      </c>
      <c r="L917" s="15" t="inlineStr">
        <is>
          <t>Amperage</t>
        </is>
      </c>
      <c r="M917" s="15" t="inlineStr">
        <is>
          <t>6 A</t>
        </is>
      </c>
      <c r="N917" s="15" t="n"/>
      <c r="O917" s="15" t="n"/>
      <c r="P917" s="15" t="n"/>
      <c r="Q917" s="15" t="inlineStr">
        <is>
          <t>Manufacturer's Warranty</t>
        </is>
      </c>
      <c r="R917" s="15" t="n">
        <v>68003</v>
      </c>
      <c r="S917" s="15" t="n"/>
      <c r="T917" s="15" t="n"/>
      <c r="U917" s="15" t="n"/>
      <c r="V917" s="15" t="n"/>
      <c r="W917" s="15" t="n"/>
      <c r="X917" s="15" t="n"/>
      <c r="Y917" s="15" t="inlineStr">
        <is>
          <t>SWT_ANCH_ZVAWHT_Bell_1M</t>
        </is>
      </c>
      <c r="Z917" s="15" t="n">
        <v>8536</v>
      </c>
      <c r="AA917" s="15" t="n"/>
      <c r="AB917" s="15" t="n"/>
      <c r="AC917" s="15" t="n"/>
      <c r="AD917" s="15" t="n"/>
      <c r="AE917" s="15" t="n">
        <v>64</v>
      </c>
      <c r="AF917" s="16" t="n">
        <v>0.5</v>
      </c>
      <c r="AG917" s="15">
        <f>ROUND(AE917-(AE917*AF917),2)</f>
        <v/>
      </c>
      <c r="AH917" s="16" t="n">
        <v>0.18</v>
      </c>
      <c r="AI917" s="15">
        <f>ROUND(AG917+(AG917*AH917),2)</f>
        <v/>
      </c>
      <c r="AJ917" s="16" t="n">
        <v>0.2</v>
      </c>
      <c r="AK917" s="15">
        <f>ROUND(AI917*AJ917,2)</f>
        <v/>
      </c>
      <c r="AL917" s="15">
        <f>AI917+AK917</f>
        <v/>
      </c>
      <c r="AM917" s="15">
        <f>AE917-AL917</f>
        <v/>
      </c>
      <c r="AN917" s="16">
        <f>AM917/AE917</f>
        <v/>
      </c>
      <c r="AO917" s="15" t="inlineStr">
        <is>
          <t>60 mins</t>
        </is>
      </c>
      <c r="AP917" s="15" t="n"/>
      <c r="AQ917" s="15" t="inlineStr">
        <is>
          <t>Weight</t>
        </is>
      </c>
      <c r="AR917" s="15" t="n"/>
      <c r="AS917" s="15" t="n"/>
      <c r="AT917" s="3" t="inlineStr">
        <is>
          <t>On Demand</t>
        </is>
      </c>
    </row>
    <row r="918" ht="15.75" customHeight="1">
      <c r="A918" s="15" t="inlineStr">
        <is>
          <t>PROD_0197</t>
        </is>
      </c>
      <c r="B918" s="15" t="inlineStr">
        <is>
          <t>VAR_4</t>
        </is>
      </c>
      <c r="C918" s="15" t="inlineStr">
        <is>
          <t>Electrical Material</t>
        </is>
      </c>
      <c r="D918" s="15" t="inlineStr">
        <is>
          <t>Switch</t>
        </is>
      </c>
      <c r="E918" s="15" t="inlineStr">
        <is>
          <t>Anchor</t>
        </is>
      </c>
      <c r="F918" s="15" t="inlineStr">
        <is>
          <t>Ziva White</t>
        </is>
      </c>
      <c r="G918" s="15" t="n"/>
      <c r="H918" s="15" t="inlineStr">
        <is>
          <t>Module</t>
        </is>
      </c>
      <c r="I918" s="15" t="inlineStr">
        <is>
          <t>Double</t>
        </is>
      </c>
      <c r="J918" s="15" t="inlineStr">
        <is>
          <t>Switch Type</t>
        </is>
      </c>
      <c r="K918" s="15" t="inlineStr">
        <is>
          <t>Bell</t>
        </is>
      </c>
      <c r="L918" s="15" t="inlineStr">
        <is>
          <t>Amperage</t>
        </is>
      </c>
      <c r="M918" s="15" t="inlineStr">
        <is>
          <t>6 A</t>
        </is>
      </c>
      <c r="N918" s="15" t="n"/>
      <c r="O918" s="15" t="n"/>
      <c r="P918" s="15" t="n"/>
      <c r="Q918" s="15" t="inlineStr">
        <is>
          <t>Manufacturer's Warranty</t>
        </is>
      </c>
      <c r="R918" s="15" t="n">
        <v>68032</v>
      </c>
      <c r="S918" s="15" t="n"/>
      <c r="T918" s="15" t="n"/>
      <c r="U918" s="15" t="n"/>
      <c r="V918" s="15" t="n"/>
      <c r="W918" s="15" t="n"/>
      <c r="X918" s="15" t="n"/>
      <c r="Y918" s="15" t="inlineStr">
        <is>
          <t>SWT_ANCH_ZVAWHT_Bell_2M</t>
        </is>
      </c>
      <c r="Z918" s="15" t="n">
        <v>8536</v>
      </c>
      <c r="AA918" s="15" t="n"/>
      <c r="AB918" s="15" t="n"/>
      <c r="AC918" s="15" t="n"/>
      <c r="AD918" s="15" t="n"/>
      <c r="AE918" s="15" t="n">
        <v>184</v>
      </c>
      <c r="AF918" s="16" t="n">
        <v>0.5</v>
      </c>
      <c r="AG918" s="15">
        <f>ROUND(AE918-(AE918*AF918),2)</f>
        <v/>
      </c>
      <c r="AH918" s="16" t="n">
        <v>0.18</v>
      </c>
      <c r="AI918" s="15">
        <f>ROUND(AG918+(AG918*AH918),2)</f>
        <v/>
      </c>
      <c r="AJ918" s="16" t="n">
        <v>0.2</v>
      </c>
      <c r="AK918" s="15">
        <f>ROUND(AI918*AJ918,2)</f>
        <v/>
      </c>
      <c r="AL918" s="15">
        <f>AI918+AK918</f>
        <v/>
      </c>
      <c r="AM918" s="15">
        <f>AE918-AL918</f>
        <v/>
      </c>
      <c r="AN918" s="16">
        <f>AM918/AE918</f>
        <v/>
      </c>
      <c r="AO918" s="15" t="inlineStr">
        <is>
          <t>60 mins</t>
        </is>
      </c>
      <c r="AP918" s="15" t="n"/>
      <c r="AQ918" s="15" t="inlineStr">
        <is>
          <t>Weight</t>
        </is>
      </c>
      <c r="AR918" s="15" t="n"/>
      <c r="AS918" s="15" t="n"/>
      <c r="AT918" s="3" t="inlineStr">
        <is>
          <t>On Demand</t>
        </is>
      </c>
    </row>
    <row r="919" ht="15.75" customHeight="1">
      <c r="A919" s="15" t="inlineStr">
        <is>
          <t>PROD_0198</t>
        </is>
      </c>
      <c r="B919" s="15" t="inlineStr">
        <is>
          <t>VAR_1</t>
        </is>
      </c>
      <c r="C919" s="15" t="inlineStr">
        <is>
          <t>Electrical Material</t>
        </is>
      </c>
      <c r="D919" s="15" t="inlineStr">
        <is>
          <t>Switch</t>
        </is>
      </c>
      <c r="E919" s="15" t="inlineStr">
        <is>
          <t>Anchor</t>
        </is>
      </c>
      <c r="F919" s="15" t="inlineStr">
        <is>
          <t>Ziva Grey</t>
        </is>
      </c>
      <c r="G919" s="15" t="n"/>
      <c r="H919" s="15" t="inlineStr">
        <is>
          <t>Module</t>
        </is>
      </c>
      <c r="I919" s="15" t="inlineStr">
        <is>
          <t>Single</t>
        </is>
      </c>
      <c r="J919" s="15" t="inlineStr">
        <is>
          <t>Switch Type</t>
        </is>
      </c>
      <c r="K919" s="15" t="inlineStr">
        <is>
          <t>Normal</t>
        </is>
      </c>
      <c r="L919" s="15" t="inlineStr">
        <is>
          <t>Amperage</t>
        </is>
      </c>
      <c r="M919" s="15" t="inlineStr">
        <is>
          <t>6 A</t>
        </is>
      </c>
      <c r="N919" s="15" t="n"/>
      <c r="O919" s="15" t="n"/>
      <c r="P919" s="15" t="n"/>
      <c r="Q919" s="15" t="inlineStr">
        <is>
          <t>Manufacturer's Warranty</t>
        </is>
      </c>
      <c r="R919" s="15" t="n"/>
      <c r="S919" s="15" t="n"/>
      <c r="T919" s="15" t="n"/>
      <c r="U919" s="15" t="n"/>
      <c r="V919" s="15" t="n"/>
      <c r="W919" s="15" t="n"/>
      <c r="X919" s="15" t="n"/>
      <c r="Y919" s="15" t="inlineStr">
        <is>
          <t>SWT_ANCH_ZVAGRY_6A</t>
        </is>
      </c>
      <c r="Z919" s="15" t="n">
        <v>8536</v>
      </c>
      <c r="AA919" s="15" t="n"/>
      <c r="AB919" s="15" t="n"/>
      <c r="AC919" s="15" t="n"/>
      <c r="AD919" s="15" t="n"/>
      <c r="AE919" s="15" t="n">
        <v>184</v>
      </c>
      <c r="AF919" s="16" t="n">
        <v>0.5</v>
      </c>
      <c r="AG919" s="15">
        <f>ROUND(AE919-(AE919*AF919),2)</f>
        <v/>
      </c>
      <c r="AH919" s="16" t="n">
        <v>0.18</v>
      </c>
      <c r="AI919" s="15">
        <f>ROUND(AG919+(AG919*AH919),2)</f>
        <v/>
      </c>
      <c r="AJ919" s="16" t="n">
        <v>0.2</v>
      </c>
      <c r="AK919" s="15">
        <f>ROUND(AI919*AJ919,2)</f>
        <v/>
      </c>
      <c r="AL919" s="15">
        <f>AI919+AK919</f>
        <v/>
      </c>
      <c r="AM919" s="15">
        <f>AE919-AL919</f>
        <v/>
      </c>
      <c r="AN919" s="16">
        <f>AM919/AE919</f>
        <v/>
      </c>
      <c r="AO919" s="15" t="inlineStr">
        <is>
          <t>60 mins</t>
        </is>
      </c>
      <c r="AP919" s="15" t="n"/>
      <c r="AQ919" s="15" t="inlineStr">
        <is>
          <t>Weight</t>
        </is>
      </c>
      <c r="AR919" s="15" t="n"/>
      <c r="AS919" s="15" t="n"/>
      <c r="AT919" s="3" t="inlineStr">
        <is>
          <t>On Demand</t>
        </is>
      </c>
    </row>
    <row r="920" ht="15.75" customHeight="1">
      <c r="A920" s="15" t="inlineStr">
        <is>
          <t>PROD_0198</t>
        </is>
      </c>
      <c r="B920" s="15" t="inlineStr">
        <is>
          <t>VAR_2</t>
        </is>
      </c>
      <c r="C920" s="15" t="inlineStr">
        <is>
          <t>Electrical Material</t>
        </is>
      </c>
      <c r="D920" s="15" t="inlineStr">
        <is>
          <t>Switch</t>
        </is>
      </c>
      <c r="E920" s="15" t="inlineStr">
        <is>
          <t>Anchor</t>
        </is>
      </c>
      <c r="F920" s="15" t="inlineStr">
        <is>
          <t>Ziva Grey</t>
        </is>
      </c>
      <c r="G920" s="15" t="n"/>
      <c r="H920" s="15" t="inlineStr">
        <is>
          <t>Module</t>
        </is>
      </c>
      <c r="I920" s="15" t="inlineStr">
        <is>
          <t>Single</t>
        </is>
      </c>
      <c r="J920" s="15" t="inlineStr">
        <is>
          <t>Switch Type</t>
        </is>
      </c>
      <c r="K920" s="15" t="inlineStr">
        <is>
          <t>Power</t>
        </is>
      </c>
      <c r="L920" s="15" t="inlineStr">
        <is>
          <t>Amperage</t>
        </is>
      </c>
      <c r="M920" s="15" t="inlineStr">
        <is>
          <t>16 A</t>
        </is>
      </c>
      <c r="N920" s="15" t="n"/>
      <c r="O920" s="15" t="n"/>
      <c r="P920" s="15" t="n"/>
      <c r="Q920" s="15" t="inlineStr">
        <is>
          <t>Manufacturer's Warranty</t>
        </is>
      </c>
      <c r="R920" s="15" t="n"/>
      <c r="S920" s="15" t="n"/>
      <c r="T920" s="15" t="n"/>
      <c r="U920" s="15" t="n"/>
      <c r="V920" s="15" t="n"/>
      <c r="W920" s="15" t="n"/>
      <c r="X920" s="15" t="n"/>
      <c r="Y920" s="15" t="inlineStr">
        <is>
          <t>SWT_ANCH_ZVAGRY_16A</t>
        </is>
      </c>
      <c r="Z920" s="15" t="n">
        <v>8536</v>
      </c>
      <c r="AA920" s="15" t="n"/>
      <c r="AB920" s="15" t="n"/>
      <c r="AC920" s="15" t="n"/>
      <c r="AD920" s="15" t="n"/>
      <c r="AE920" s="15" t="n">
        <v>184</v>
      </c>
      <c r="AF920" s="16" t="n">
        <v>0.5</v>
      </c>
      <c r="AG920" s="15">
        <f>ROUND(AE920-(AE920*AF920),2)</f>
        <v/>
      </c>
      <c r="AH920" s="16" t="n">
        <v>0.18</v>
      </c>
      <c r="AI920" s="15">
        <f>ROUND(AG920+(AG920*AH920),2)</f>
        <v/>
      </c>
      <c r="AJ920" s="16" t="n">
        <v>0.2</v>
      </c>
      <c r="AK920" s="15">
        <f>ROUND(AI920*AJ920,2)</f>
        <v/>
      </c>
      <c r="AL920" s="15">
        <f>AI920+AK920</f>
        <v/>
      </c>
      <c r="AM920" s="15">
        <f>AE920-AL920</f>
        <v/>
      </c>
      <c r="AN920" s="16">
        <f>AM920/AE920</f>
        <v/>
      </c>
      <c r="AO920" s="15" t="inlineStr">
        <is>
          <t>60 mins</t>
        </is>
      </c>
      <c r="AP920" s="15" t="n"/>
      <c r="AQ920" s="15" t="inlineStr">
        <is>
          <t>Weight</t>
        </is>
      </c>
      <c r="AR920" s="15" t="n"/>
      <c r="AS920" s="15" t="n"/>
      <c r="AT920" s="3" t="inlineStr">
        <is>
          <t>On Demand</t>
        </is>
      </c>
    </row>
    <row r="921" ht="15.75" customHeight="1">
      <c r="A921" s="15" t="inlineStr">
        <is>
          <t>PROD_0198</t>
        </is>
      </c>
      <c r="B921" s="15" t="inlineStr">
        <is>
          <t>VAR_3</t>
        </is>
      </c>
      <c r="C921" s="15" t="inlineStr">
        <is>
          <t>Electrical Material</t>
        </is>
      </c>
      <c r="D921" s="15" t="inlineStr">
        <is>
          <t>Switch</t>
        </is>
      </c>
      <c r="E921" s="15" t="inlineStr">
        <is>
          <t>Anchor</t>
        </is>
      </c>
      <c r="F921" s="15" t="inlineStr">
        <is>
          <t>Ziva Grey</t>
        </is>
      </c>
      <c r="G921" s="15" t="n"/>
      <c r="H921" s="15" t="inlineStr">
        <is>
          <t>Module</t>
        </is>
      </c>
      <c r="I921" s="15" t="inlineStr">
        <is>
          <t>Single</t>
        </is>
      </c>
      <c r="J921" s="15" t="inlineStr">
        <is>
          <t>Switch Type</t>
        </is>
      </c>
      <c r="K921" s="15" t="inlineStr">
        <is>
          <t>Bell</t>
        </is>
      </c>
      <c r="L921" s="15" t="inlineStr">
        <is>
          <t>Amperage</t>
        </is>
      </c>
      <c r="M921" s="15" t="inlineStr">
        <is>
          <t>6 A</t>
        </is>
      </c>
      <c r="N921" s="15" t="n"/>
      <c r="O921" s="15" t="n"/>
      <c r="P921" s="15" t="n"/>
      <c r="Q921" s="15" t="inlineStr">
        <is>
          <t>Manufacturer's Warranty</t>
        </is>
      </c>
      <c r="R921" s="15" t="n"/>
      <c r="S921" s="15" t="n"/>
      <c r="T921" s="15" t="n"/>
      <c r="U921" s="15" t="n"/>
      <c r="V921" s="15" t="n"/>
      <c r="W921" s="15" t="n"/>
      <c r="X921" s="15" t="n"/>
      <c r="Y921" s="15" t="inlineStr">
        <is>
          <t>SWT_ANCH_ZVAGRY_Bell_1M</t>
        </is>
      </c>
      <c r="Z921" s="15" t="n">
        <v>8536</v>
      </c>
      <c r="AA921" s="15" t="n"/>
      <c r="AB921" s="15" t="n"/>
      <c r="AC921" s="15" t="n"/>
      <c r="AD921" s="15" t="n"/>
      <c r="AE921" s="15" t="n">
        <v>184</v>
      </c>
      <c r="AF921" s="16" t="n">
        <v>0.5</v>
      </c>
      <c r="AG921" s="15">
        <f>ROUND(AE921-(AE921*AF921),2)</f>
        <v/>
      </c>
      <c r="AH921" s="16" t="n">
        <v>0.18</v>
      </c>
      <c r="AI921" s="15">
        <f>ROUND(AG921+(AG921*AH921),2)</f>
        <v/>
      </c>
      <c r="AJ921" s="16" t="n">
        <v>0.2</v>
      </c>
      <c r="AK921" s="15">
        <f>ROUND(AI921*AJ921,2)</f>
        <v/>
      </c>
      <c r="AL921" s="15">
        <f>AI921+AK921</f>
        <v/>
      </c>
      <c r="AM921" s="15">
        <f>AE921-AL921</f>
        <v/>
      </c>
      <c r="AN921" s="16">
        <f>AM921/AE921</f>
        <v/>
      </c>
      <c r="AO921" s="15" t="inlineStr">
        <is>
          <t>60 mins</t>
        </is>
      </c>
      <c r="AP921" s="15" t="n"/>
      <c r="AQ921" s="15" t="inlineStr">
        <is>
          <t>Weight</t>
        </is>
      </c>
      <c r="AR921" s="15" t="n"/>
      <c r="AS921" s="15" t="n"/>
      <c r="AT921" s="3" t="inlineStr">
        <is>
          <t>On Demand</t>
        </is>
      </c>
    </row>
    <row r="922" ht="15.75" customHeight="1">
      <c r="A922" s="15" t="inlineStr">
        <is>
          <t>PROD_0198</t>
        </is>
      </c>
      <c r="B922" s="15" t="inlineStr">
        <is>
          <t>VAR_4</t>
        </is>
      </c>
      <c r="C922" s="15" t="inlineStr">
        <is>
          <t>Electrical Material</t>
        </is>
      </c>
      <c r="D922" s="15" t="inlineStr">
        <is>
          <t>Switch</t>
        </is>
      </c>
      <c r="E922" s="15" t="inlineStr">
        <is>
          <t>Anchor</t>
        </is>
      </c>
      <c r="F922" s="15" t="inlineStr">
        <is>
          <t>Ziva Grey</t>
        </is>
      </c>
      <c r="G922" s="15" t="n"/>
      <c r="H922" s="15" t="inlineStr">
        <is>
          <t>Module</t>
        </is>
      </c>
      <c r="I922" s="15" t="inlineStr">
        <is>
          <t>Double</t>
        </is>
      </c>
      <c r="J922" s="15" t="inlineStr">
        <is>
          <t>Switch Type</t>
        </is>
      </c>
      <c r="K922" s="15" t="inlineStr">
        <is>
          <t>Bell</t>
        </is>
      </c>
      <c r="L922" s="15" t="inlineStr">
        <is>
          <t>Amperage</t>
        </is>
      </c>
      <c r="M922" s="15" t="inlineStr">
        <is>
          <t>6 A</t>
        </is>
      </c>
      <c r="N922" s="15" t="n"/>
      <c r="O922" s="15" t="n"/>
      <c r="P922" s="15" t="n"/>
      <c r="Q922" s="15" t="inlineStr">
        <is>
          <t>Manufacturer's Warranty</t>
        </is>
      </c>
      <c r="R922" s="15" t="n"/>
      <c r="S922" s="15" t="n"/>
      <c r="T922" s="15" t="n"/>
      <c r="U922" s="15" t="n"/>
      <c r="V922" s="15" t="n"/>
      <c r="W922" s="15" t="n"/>
      <c r="X922" s="15" t="n"/>
      <c r="Y922" s="15" t="inlineStr">
        <is>
          <t>SWT_ANCH_ZVAGRY_Bell_2M</t>
        </is>
      </c>
      <c r="Z922" s="15" t="n">
        <v>8536</v>
      </c>
      <c r="AA922" s="15" t="n"/>
      <c r="AB922" s="15" t="n"/>
      <c r="AC922" s="15" t="n"/>
      <c r="AD922" s="15" t="n"/>
      <c r="AE922" s="15" t="n">
        <v>184</v>
      </c>
      <c r="AF922" s="16" t="n">
        <v>0.5</v>
      </c>
      <c r="AG922" s="15">
        <f>ROUND(AE922-(AE922*AF922),2)</f>
        <v/>
      </c>
      <c r="AH922" s="16" t="n">
        <v>0.18</v>
      </c>
      <c r="AI922" s="15">
        <f>ROUND(AG922+(AG922*AH922),2)</f>
        <v/>
      </c>
      <c r="AJ922" s="16" t="n">
        <v>0.2</v>
      </c>
      <c r="AK922" s="15">
        <f>ROUND(AI922*AJ922,2)</f>
        <v/>
      </c>
      <c r="AL922" s="15">
        <f>AI922+AK922</f>
        <v/>
      </c>
      <c r="AM922" s="15">
        <f>AE922-AL922</f>
        <v/>
      </c>
      <c r="AN922" s="16">
        <f>AM922/AE922</f>
        <v/>
      </c>
      <c r="AO922" s="15" t="inlineStr">
        <is>
          <t>60 mins</t>
        </is>
      </c>
      <c r="AP922" s="15" t="n"/>
      <c r="AQ922" s="15" t="inlineStr">
        <is>
          <t>Weight</t>
        </is>
      </c>
      <c r="AR922" s="15" t="n"/>
      <c r="AS922" s="15" t="n"/>
      <c r="AT922" s="3" t="inlineStr">
        <is>
          <t>On Demand</t>
        </is>
      </c>
    </row>
    <row r="923" ht="15.75" customHeight="1">
      <c r="A923" s="3" t="inlineStr">
        <is>
          <t>PROD_0199</t>
        </is>
      </c>
      <c r="B923" s="3" t="inlineStr">
        <is>
          <t>VAR_1</t>
        </is>
      </c>
      <c r="C923" s="3" t="inlineStr">
        <is>
          <t>Electrical Material</t>
        </is>
      </c>
      <c r="D923" s="3" t="inlineStr">
        <is>
          <t>Switch</t>
        </is>
      </c>
      <c r="E923" s="3" t="inlineStr">
        <is>
          <t>Anchor</t>
        </is>
      </c>
      <c r="F923" s="3" t="inlineStr">
        <is>
          <t>Rider/ Regent</t>
        </is>
      </c>
      <c r="H923" s="3" t="inlineStr">
        <is>
          <t>Module</t>
        </is>
      </c>
      <c r="I923" s="3" t="inlineStr">
        <is>
          <t>Single</t>
        </is>
      </c>
      <c r="J923" s="3" t="inlineStr">
        <is>
          <t>Switch Type</t>
        </is>
      </c>
      <c r="K923" s="3" t="inlineStr">
        <is>
          <t>Normal</t>
        </is>
      </c>
      <c r="L923" s="3" t="inlineStr">
        <is>
          <t>Amperage</t>
        </is>
      </c>
      <c r="M923" s="3" t="inlineStr">
        <is>
          <t>6 A</t>
        </is>
      </c>
      <c r="Q923" s="3" t="inlineStr">
        <is>
          <t>Manufacturer's Warranty</t>
        </is>
      </c>
      <c r="R923" s="3" t="n">
        <v>47101</v>
      </c>
      <c r="Y923" s="3" t="inlineStr">
        <is>
          <t>SWT_ANCH_RDR_6A</t>
        </is>
      </c>
      <c r="Z923" s="3" t="n">
        <v>8536</v>
      </c>
      <c r="AE923" s="3" t="n">
        <v>56</v>
      </c>
      <c r="AF923" s="4" t="n">
        <v>0.5</v>
      </c>
      <c r="AG923" s="3">
        <f>ROUND(AE923-(AE923*AF923),2)</f>
        <v/>
      </c>
      <c r="AH923" s="4" t="n">
        <v>0.18</v>
      </c>
      <c r="AI923" s="3">
        <f>ROUND(AG923+(AG923*AH923),2)</f>
        <v/>
      </c>
      <c r="AJ923" s="4" t="n">
        <v>0.2</v>
      </c>
      <c r="AK923" s="3">
        <f>ROUND(AI923*AJ923,2)</f>
        <v/>
      </c>
      <c r="AL923" s="3">
        <f>AI923+AK923</f>
        <v/>
      </c>
      <c r="AM923" s="3">
        <f>AE923-AL923</f>
        <v/>
      </c>
      <c r="AN923" s="4">
        <f>AM923/AE923</f>
        <v/>
      </c>
      <c r="AO923" s="3" t="inlineStr">
        <is>
          <t>60 mins</t>
        </is>
      </c>
      <c r="AQ923" s="3" t="inlineStr">
        <is>
          <t>Weight</t>
        </is>
      </c>
      <c r="AT923" s="3" t="inlineStr">
        <is>
          <t>Actvie</t>
        </is>
      </c>
    </row>
    <row r="924" ht="15.75" customHeight="1">
      <c r="A924" s="3" t="inlineStr">
        <is>
          <t>PROD_0199</t>
        </is>
      </c>
      <c r="B924" s="3" t="inlineStr">
        <is>
          <t>VAR_2</t>
        </is>
      </c>
      <c r="C924" s="3" t="inlineStr">
        <is>
          <t>Electrical Material</t>
        </is>
      </c>
      <c r="D924" s="3" t="inlineStr">
        <is>
          <t>Switch</t>
        </is>
      </c>
      <c r="E924" s="3" t="inlineStr">
        <is>
          <t>Anchor</t>
        </is>
      </c>
      <c r="F924" s="3" t="inlineStr">
        <is>
          <t>Rider/ Regent</t>
        </is>
      </c>
      <c r="H924" s="3" t="inlineStr">
        <is>
          <t>Module</t>
        </is>
      </c>
      <c r="I924" s="3" t="inlineStr">
        <is>
          <t>Single</t>
        </is>
      </c>
      <c r="J924" s="3" t="inlineStr">
        <is>
          <t>Switch Type</t>
        </is>
      </c>
      <c r="K924" s="3" t="inlineStr">
        <is>
          <t>Power</t>
        </is>
      </c>
      <c r="L924" s="3" t="inlineStr">
        <is>
          <t>Amperage</t>
        </is>
      </c>
      <c r="M924" s="3" t="inlineStr">
        <is>
          <t>16 A</t>
        </is>
      </c>
      <c r="Q924" s="3" t="inlineStr">
        <is>
          <t>Manufacturer's Warranty</t>
        </is>
      </c>
      <c r="R924" s="3" t="n">
        <v>47161</v>
      </c>
      <c r="Y924" s="3" t="inlineStr">
        <is>
          <t>SWT_ANCH_RDR_16A</t>
        </is>
      </c>
      <c r="Z924" s="3" t="n">
        <v>8536</v>
      </c>
      <c r="AE924" s="3" t="n">
        <v>111</v>
      </c>
      <c r="AF924" s="4" t="n">
        <v>0.5</v>
      </c>
      <c r="AG924" s="3">
        <f>ROUND(AE924-(AE924*AF924),2)</f>
        <v/>
      </c>
      <c r="AH924" s="4" t="n">
        <v>0.18</v>
      </c>
      <c r="AI924" s="3">
        <f>ROUND(AG924+(AG924*AH924),2)</f>
        <v/>
      </c>
      <c r="AJ924" s="4" t="n">
        <v>0.2</v>
      </c>
      <c r="AK924" s="3">
        <f>ROUND(AI924*AJ924,2)</f>
        <v/>
      </c>
      <c r="AL924" s="3">
        <f>AI924+AK924</f>
        <v/>
      </c>
      <c r="AM924" s="3">
        <f>AE924-AL924</f>
        <v/>
      </c>
      <c r="AN924" s="4">
        <f>AM924/AE924</f>
        <v/>
      </c>
      <c r="AO924" s="3" t="inlineStr">
        <is>
          <t>60 mins</t>
        </is>
      </c>
      <c r="AQ924" s="3" t="inlineStr">
        <is>
          <t>Weight</t>
        </is>
      </c>
      <c r="AT924" s="3" t="inlineStr">
        <is>
          <t>Actvie</t>
        </is>
      </c>
    </row>
    <row r="925" ht="15.75" customHeight="1">
      <c r="A925" s="3" t="inlineStr">
        <is>
          <t>PROD_0199</t>
        </is>
      </c>
      <c r="B925" s="3" t="inlineStr">
        <is>
          <t>VAR_3</t>
        </is>
      </c>
      <c r="C925" s="3" t="inlineStr">
        <is>
          <t>Electrical Material</t>
        </is>
      </c>
      <c r="D925" s="3" t="inlineStr">
        <is>
          <t>Switch</t>
        </is>
      </c>
      <c r="E925" s="3" t="inlineStr">
        <is>
          <t>Anchor</t>
        </is>
      </c>
      <c r="F925" s="3" t="inlineStr">
        <is>
          <t>Rider/ Regent</t>
        </is>
      </c>
      <c r="H925" s="3" t="inlineStr">
        <is>
          <t>Module</t>
        </is>
      </c>
      <c r="I925" s="3" t="inlineStr">
        <is>
          <t>Single</t>
        </is>
      </c>
      <c r="J925" s="3" t="inlineStr">
        <is>
          <t>Switch Type</t>
        </is>
      </c>
      <c r="K925" s="3" t="inlineStr">
        <is>
          <t>Bell</t>
        </is>
      </c>
      <c r="L925" s="3" t="inlineStr">
        <is>
          <t>Amperage</t>
        </is>
      </c>
      <c r="M925" s="3" t="inlineStr">
        <is>
          <t>6 A</t>
        </is>
      </c>
      <c r="Q925" s="3" t="inlineStr">
        <is>
          <t>Manufacturer's Warranty</t>
        </is>
      </c>
      <c r="R925" s="3" t="n">
        <v>47104</v>
      </c>
      <c r="Y925" s="3" t="inlineStr">
        <is>
          <t>SWT_ANCH_RDR_Bell_1M</t>
        </is>
      </c>
      <c r="Z925" s="3" t="n">
        <v>8536</v>
      </c>
      <c r="AE925" s="3" t="n">
        <v>93</v>
      </c>
      <c r="AF925" s="4" t="n">
        <v>0.5</v>
      </c>
      <c r="AG925" s="3">
        <f>ROUND(AE925-(AE925*AF925),2)</f>
        <v/>
      </c>
      <c r="AH925" s="4" t="n">
        <v>0.18</v>
      </c>
      <c r="AI925" s="3">
        <f>ROUND(AG925+(AG925*AH925),2)</f>
        <v/>
      </c>
      <c r="AJ925" s="4" t="n">
        <v>0.2</v>
      </c>
      <c r="AK925" s="3">
        <f>ROUND(AI925*AJ925,2)</f>
        <v/>
      </c>
      <c r="AL925" s="3">
        <f>AI925+AK925</f>
        <v/>
      </c>
      <c r="AM925" s="3">
        <f>AE925-AL925</f>
        <v/>
      </c>
      <c r="AN925" s="4">
        <f>AM925/AE925</f>
        <v/>
      </c>
      <c r="AO925" s="3" t="inlineStr">
        <is>
          <t>60 mins</t>
        </is>
      </c>
      <c r="AQ925" s="3" t="inlineStr">
        <is>
          <t>Weight</t>
        </is>
      </c>
      <c r="AT925" s="3" t="inlineStr">
        <is>
          <t>Actvie</t>
        </is>
      </c>
    </row>
    <row r="926" ht="15.75" customHeight="1">
      <c r="A926" s="3" t="inlineStr">
        <is>
          <t>PROD_0199</t>
        </is>
      </c>
      <c r="B926" s="3" t="inlineStr">
        <is>
          <t>VAR_4</t>
        </is>
      </c>
      <c r="C926" s="3" t="inlineStr">
        <is>
          <t>Electrical Material</t>
        </is>
      </c>
      <c r="D926" s="3" t="inlineStr">
        <is>
          <t>Switch</t>
        </is>
      </c>
      <c r="E926" s="3" t="inlineStr">
        <is>
          <t>Anchor</t>
        </is>
      </c>
      <c r="F926" s="3" t="inlineStr">
        <is>
          <t>Rider/ Regent</t>
        </is>
      </c>
      <c r="H926" s="3" t="inlineStr">
        <is>
          <t>Module</t>
        </is>
      </c>
      <c r="I926" s="3" t="inlineStr">
        <is>
          <t>Double</t>
        </is>
      </c>
      <c r="J926" s="3" t="inlineStr">
        <is>
          <t>Switch Type</t>
        </is>
      </c>
      <c r="K926" s="3" t="inlineStr">
        <is>
          <t>Bell</t>
        </is>
      </c>
      <c r="L926" s="3" t="inlineStr">
        <is>
          <t>Amperage</t>
        </is>
      </c>
      <c r="M926" s="3" t="inlineStr">
        <is>
          <t>6 A</t>
        </is>
      </c>
      <c r="Q926" s="3" t="inlineStr">
        <is>
          <t>Manufacturer's Warranty</t>
        </is>
      </c>
      <c r="R926" s="3" t="n">
        <v>47204</v>
      </c>
      <c r="Y926" s="3" t="inlineStr">
        <is>
          <t>SWT_ANCH_RDR_Bell_2M</t>
        </is>
      </c>
      <c r="Z926" s="3" t="n">
        <v>8536</v>
      </c>
      <c r="AE926" s="3" t="n">
        <v>110</v>
      </c>
      <c r="AF926" s="4" t="n">
        <v>0.5</v>
      </c>
      <c r="AG926" s="3">
        <f>ROUND(AE926-(AE926*AF926),2)</f>
        <v/>
      </c>
      <c r="AH926" s="4" t="n">
        <v>0.18</v>
      </c>
      <c r="AI926" s="3">
        <f>ROUND(AG926+(AG926*AH926),2)</f>
        <v/>
      </c>
      <c r="AJ926" s="4" t="n">
        <v>0.2</v>
      </c>
      <c r="AK926" s="3">
        <f>ROUND(AI926*AJ926,2)</f>
        <v/>
      </c>
      <c r="AL926" s="3">
        <f>AI926+AK926</f>
        <v/>
      </c>
      <c r="AM926" s="3">
        <f>AE926-AL926</f>
        <v/>
      </c>
      <c r="AN926" s="4">
        <f>AM926/AE926</f>
        <v/>
      </c>
      <c r="AO926" s="3" t="inlineStr">
        <is>
          <t>60 mins</t>
        </is>
      </c>
      <c r="AQ926" s="3" t="inlineStr">
        <is>
          <t>Weight</t>
        </is>
      </c>
      <c r="AT926" s="3" t="inlineStr">
        <is>
          <t>Actvie</t>
        </is>
      </c>
    </row>
    <row r="927" ht="15.75" customHeight="1">
      <c r="A927" s="3" t="inlineStr">
        <is>
          <t>PROD_0200</t>
        </is>
      </c>
      <c r="B927" s="3" t="inlineStr">
        <is>
          <t>VAR_1</t>
        </is>
      </c>
      <c r="C927" s="3" t="inlineStr">
        <is>
          <t>Electrical Material</t>
        </is>
      </c>
      <c r="D927" s="3" t="inlineStr">
        <is>
          <t>Switch</t>
        </is>
      </c>
      <c r="E927" s="3" t="inlineStr">
        <is>
          <t>Legrand</t>
        </is>
      </c>
      <c r="F927" s="3" t="inlineStr">
        <is>
          <t>Myrius</t>
        </is>
      </c>
      <c r="H927" s="3" t="inlineStr">
        <is>
          <t>Module</t>
        </is>
      </c>
      <c r="I927" s="3" t="inlineStr">
        <is>
          <t>Single</t>
        </is>
      </c>
      <c r="J927" s="3" t="inlineStr">
        <is>
          <t>Switch Type</t>
        </is>
      </c>
      <c r="K927" s="3" t="inlineStr">
        <is>
          <t>Normal</t>
        </is>
      </c>
      <c r="L927" s="3" t="inlineStr">
        <is>
          <t>Amperage</t>
        </is>
      </c>
      <c r="M927" s="3" t="inlineStr">
        <is>
          <t>6 A</t>
        </is>
      </c>
      <c r="N927" s="3" t="inlineStr">
        <is>
          <t>6792 00</t>
        </is>
      </c>
      <c r="Q927" s="3" t="inlineStr">
        <is>
          <t>Manufacturer's Warranty</t>
        </is>
      </c>
      <c r="Y927" s="3" t="inlineStr">
        <is>
          <t>SWT_LGRD_MRS_6A_1, SWT_LGRD_MRS_6A_2</t>
        </is>
      </c>
      <c r="Z927" s="3" t="n">
        <v>8536</v>
      </c>
      <c r="AE927" s="3" t="n">
        <v>148</v>
      </c>
      <c r="AF927" s="4" t="n">
        <v>0.5</v>
      </c>
      <c r="AG927" s="3">
        <f>ROUND(AE927-(AE927*AF927),2)</f>
        <v/>
      </c>
      <c r="AH927" s="4" t="n">
        <v>0.18</v>
      </c>
      <c r="AI927" s="3">
        <f>ROUND(AG927+(AG927*AH927),2)</f>
        <v/>
      </c>
      <c r="AJ927" s="4" t="n">
        <v>0.2</v>
      </c>
      <c r="AK927" s="3">
        <f>ROUND(AI927*AJ927,2)</f>
        <v/>
      </c>
      <c r="AL927" s="3">
        <f>AI927+AK927</f>
        <v/>
      </c>
      <c r="AM927" s="3">
        <f>AE927-AL927</f>
        <v/>
      </c>
      <c r="AN927" s="4">
        <f>AM927/AE927</f>
        <v/>
      </c>
      <c r="AO927" s="3" t="inlineStr">
        <is>
          <t>60 mins</t>
        </is>
      </c>
      <c r="AQ927" s="3" t="inlineStr">
        <is>
          <t>Weight</t>
        </is>
      </c>
      <c r="AT927" s="3" t="inlineStr">
        <is>
          <t>Actvie</t>
        </is>
      </c>
    </row>
    <row r="928" ht="15.75" customHeight="1">
      <c r="A928" s="3" t="inlineStr">
        <is>
          <t>PROD_0200</t>
        </is>
      </c>
      <c r="B928" s="3" t="inlineStr">
        <is>
          <t>VAR_2</t>
        </is>
      </c>
      <c r="C928" s="3" t="inlineStr">
        <is>
          <t>Electrical Material</t>
        </is>
      </c>
      <c r="D928" s="3" t="inlineStr">
        <is>
          <t>Switch</t>
        </is>
      </c>
      <c r="E928" s="3" t="inlineStr">
        <is>
          <t>Legrand</t>
        </is>
      </c>
      <c r="F928" s="3" t="inlineStr">
        <is>
          <t>Myrius</t>
        </is>
      </c>
      <c r="H928" s="3" t="inlineStr">
        <is>
          <t>Module</t>
        </is>
      </c>
      <c r="I928" s="3" t="inlineStr">
        <is>
          <t>Single</t>
        </is>
      </c>
      <c r="J928" s="3" t="inlineStr">
        <is>
          <t>Switch Type</t>
        </is>
      </c>
      <c r="K928" s="3" t="inlineStr">
        <is>
          <t>Power</t>
        </is>
      </c>
      <c r="L928" s="3" t="inlineStr">
        <is>
          <t>Amperage</t>
        </is>
      </c>
      <c r="M928" s="3" t="inlineStr">
        <is>
          <t>16 A</t>
        </is>
      </c>
      <c r="N928" s="17" t="n">
        <v>1787012</v>
      </c>
      <c r="Q928" s="3" t="inlineStr">
        <is>
          <t>Manufacturer's Warranty</t>
        </is>
      </c>
      <c r="Y928" s="3" t="inlineStr">
        <is>
          <t>SWT_LGRD_MRS_16A_1, SWT_LGRD_MRS_16A_2</t>
        </is>
      </c>
      <c r="Z928" s="3" t="n">
        <v>8536</v>
      </c>
      <c r="AE928" s="3" t="n">
        <v>346</v>
      </c>
      <c r="AF928" s="4" t="n">
        <v>0.5</v>
      </c>
      <c r="AG928" s="3">
        <f>ROUND(AE928-(AE928*AF928),2)</f>
        <v/>
      </c>
      <c r="AH928" s="4" t="n">
        <v>0.18</v>
      </c>
      <c r="AI928" s="3">
        <f>ROUND(AG928+(AG928*AH928),2)</f>
        <v/>
      </c>
      <c r="AJ928" s="4" t="n">
        <v>0.2</v>
      </c>
      <c r="AK928" s="3">
        <f>ROUND(AI928*AJ928,2)</f>
        <v/>
      </c>
      <c r="AL928" s="3">
        <f>AI928+AK928</f>
        <v/>
      </c>
      <c r="AM928" s="3">
        <f>AE928-AL928</f>
        <v/>
      </c>
      <c r="AN928" s="4">
        <f>AM928/AE928</f>
        <v/>
      </c>
      <c r="AO928" s="3" t="inlineStr">
        <is>
          <t>60 mins</t>
        </is>
      </c>
      <c r="AQ928" s="3" t="inlineStr">
        <is>
          <t>Weight</t>
        </is>
      </c>
      <c r="AT928" s="3" t="inlineStr">
        <is>
          <t>Actvie</t>
        </is>
      </c>
    </row>
    <row r="929" ht="15.75" customHeight="1">
      <c r="A929" s="3" t="inlineStr">
        <is>
          <t>PROD_0200</t>
        </is>
      </c>
      <c r="B929" s="3" t="inlineStr">
        <is>
          <t>VAR_3</t>
        </is>
      </c>
      <c r="C929" s="3" t="inlineStr">
        <is>
          <t>Electrical Material</t>
        </is>
      </c>
      <c r="D929" s="3" t="inlineStr">
        <is>
          <t>Switch</t>
        </is>
      </c>
      <c r="E929" s="3" t="inlineStr">
        <is>
          <t>Legrand</t>
        </is>
      </c>
      <c r="F929" s="3" t="inlineStr">
        <is>
          <t>Myrius</t>
        </is>
      </c>
      <c r="H929" s="3" t="inlineStr">
        <is>
          <t>Module</t>
        </is>
      </c>
      <c r="I929" s="3" t="inlineStr">
        <is>
          <t>Single</t>
        </is>
      </c>
      <c r="J929" s="3" t="inlineStr">
        <is>
          <t>Switch Type</t>
        </is>
      </c>
      <c r="K929" s="3" t="inlineStr">
        <is>
          <t>Bell</t>
        </is>
      </c>
      <c r="L929" s="3" t="inlineStr">
        <is>
          <t>Amperage</t>
        </is>
      </c>
      <c r="M929" s="3" t="inlineStr">
        <is>
          <t>6 A</t>
        </is>
      </c>
      <c r="N929" s="3" t="inlineStr">
        <is>
          <t>6792 20</t>
        </is>
      </c>
      <c r="Q929" s="3" t="inlineStr">
        <is>
          <t>Manufacturer's Warranty</t>
        </is>
      </c>
      <c r="Y929" s="3" t="inlineStr">
        <is>
          <t>SWT_LGRD_MRS_Bell_1M</t>
        </is>
      </c>
      <c r="Z929" s="3" t="n">
        <v>8536</v>
      </c>
      <c r="AE929" s="3" t="n">
        <v>290</v>
      </c>
      <c r="AF929" s="4" t="n">
        <v>0.5</v>
      </c>
      <c r="AG929" s="3">
        <f>ROUND(AE929-(AE929*AF929),2)</f>
        <v/>
      </c>
      <c r="AH929" s="4" t="n">
        <v>0.18</v>
      </c>
      <c r="AI929" s="3">
        <f>ROUND(AG929+(AG929*AH929),2)</f>
        <v/>
      </c>
      <c r="AJ929" s="4" t="n">
        <v>0.2</v>
      </c>
      <c r="AK929" s="3">
        <f>ROUND(AI929*AJ929,2)</f>
        <v/>
      </c>
      <c r="AL929" s="3">
        <f>AI929+AK929</f>
        <v/>
      </c>
      <c r="AM929" s="3">
        <f>AE929-AL929</f>
        <v/>
      </c>
      <c r="AN929" s="4">
        <f>AM929/AE929</f>
        <v/>
      </c>
      <c r="AO929" s="3" t="inlineStr">
        <is>
          <t>60 mins</t>
        </is>
      </c>
      <c r="AQ929" s="3" t="inlineStr">
        <is>
          <t>Weight</t>
        </is>
      </c>
      <c r="AT929" s="3" t="inlineStr">
        <is>
          <t>Actvie</t>
        </is>
      </c>
    </row>
    <row r="930" ht="15.75" customHeight="1">
      <c r="A930" s="3" t="inlineStr">
        <is>
          <t>PROD_0200</t>
        </is>
      </c>
      <c r="B930" s="3" t="inlineStr">
        <is>
          <t>VAR_4</t>
        </is>
      </c>
      <c r="C930" s="3" t="inlineStr">
        <is>
          <t>Electrical Material</t>
        </is>
      </c>
      <c r="D930" s="3" t="inlineStr">
        <is>
          <t>Switch</t>
        </is>
      </c>
      <c r="E930" s="3" t="inlineStr">
        <is>
          <t>Legrand</t>
        </is>
      </c>
      <c r="F930" s="3" t="inlineStr">
        <is>
          <t>Myrius</t>
        </is>
      </c>
      <c r="H930" s="3" t="inlineStr">
        <is>
          <t>Module</t>
        </is>
      </c>
      <c r="I930" s="3" t="inlineStr">
        <is>
          <t>Double</t>
        </is>
      </c>
      <c r="J930" s="3" t="inlineStr">
        <is>
          <t>Switch Type</t>
        </is>
      </c>
      <c r="K930" s="3" t="inlineStr">
        <is>
          <t>Bell</t>
        </is>
      </c>
      <c r="L930" s="3" t="inlineStr">
        <is>
          <t>Amperage</t>
        </is>
      </c>
      <c r="M930" s="3" t="inlineStr">
        <is>
          <t>6 A</t>
        </is>
      </c>
      <c r="N930" s="3" t="inlineStr">
        <is>
          <t>6792 22</t>
        </is>
      </c>
      <c r="Q930" s="3" t="inlineStr">
        <is>
          <t>Manufacturer's Warranty</t>
        </is>
      </c>
      <c r="Y930" s="3" t="inlineStr">
        <is>
          <t>SWT_LGRD_MRS_Bell_2M</t>
        </is>
      </c>
      <c r="Z930" s="3" t="n">
        <v>8536</v>
      </c>
      <c r="AE930" s="3" t="n">
        <v>440</v>
      </c>
      <c r="AF930" s="4" t="n">
        <v>0.5</v>
      </c>
      <c r="AG930" s="3">
        <f>ROUND(AE930-(AE930*AF930),2)</f>
        <v/>
      </c>
      <c r="AH930" s="4" t="n">
        <v>0.18</v>
      </c>
      <c r="AI930" s="3">
        <f>ROUND(AG930+(AG930*AH930),2)</f>
        <v/>
      </c>
      <c r="AJ930" s="4" t="n">
        <v>0.2</v>
      </c>
      <c r="AK930" s="3">
        <f>ROUND(AI930*AJ930,2)</f>
        <v/>
      </c>
      <c r="AL930" s="3">
        <f>AI930+AK930</f>
        <v/>
      </c>
      <c r="AM930" s="3">
        <f>AE930-AL930</f>
        <v/>
      </c>
      <c r="AN930" s="4">
        <f>AM930/AE930</f>
        <v/>
      </c>
      <c r="AO930" s="3" t="inlineStr">
        <is>
          <t>60 mins</t>
        </is>
      </c>
      <c r="AQ930" s="3" t="inlineStr">
        <is>
          <t>Weight</t>
        </is>
      </c>
      <c r="AT930" s="3" t="inlineStr">
        <is>
          <t>Actvie</t>
        </is>
      </c>
    </row>
    <row r="931" ht="15.75" customHeight="1">
      <c r="A931" s="3" t="inlineStr">
        <is>
          <t>PROD_0201</t>
        </is>
      </c>
      <c r="B931" s="3" t="inlineStr">
        <is>
          <t>VAR_1</t>
        </is>
      </c>
      <c r="C931" s="3" t="inlineStr">
        <is>
          <t>Electrical Material</t>
        </is>
      </c>
      <c r="D931" s="3" t="inlineStr">
        <is>
          <t>Switch</t>
        </is>
      </c>
      <c r="E931" s="3" t="inlineStr">
        <is>
          <t>North West</t>
        </is>
      </c>
      <c r="F931" s="3" t="inlineStr">
        <is>
          <t>Stylus Plus</t>
        </is>
      </c>
      <c r="H931" s="3" t="inlineStr">
        <is>
          <t>Module</t>
        </is>
      </c>
      <c r="I931" s="3" t="inlineStr">
        <is>
          <t>Single</t>
        </is>
      </c>
      <c r="J931" s="3" t="inlineStr">
        <is>
          <t>Switch Type</t>
        </is>
      </c>
      <c r="K931" s="3" t="inlineStr">
        <is>
          <t>Normal</t>
        </is>
      </c>
      <c r="L931" s="3" t="inlineStr">
        <is>
          <t>Amperage</t>
        </is>
      </c>
      <c r="M931" s="3" t="inlineStr">
        <is>
          <t>6 A</t>
        </is>
      </c>
      <c r="N931" s="3" t="inlineStr">
        <is>
          <t>SR110-PLUS</t>
        </is>
      </c>
      <c r="Q931" s="3" t="inlineStr">
        <is>
          <t>Manufacturer's Warranty</t>
        </is>
      </c>
      <c r="Y931" s="3" t="inlineStr">
        <is>
          <t>SWT_NRWS_STLS+_6A_1, SWT_NRWS_STLS+_6A_2</t>
        </is>
      </c>
      <c r="Z931" s="3" t="n">
        <v>8536</v>
      </c>
      <c r="AE931" s="3" t="n">
        <v>150</v>
      </c>
      <c r="AF931" s="4" t="n">
        <v>0.5</v>
      </c>
      <c r="AG931" s="3">
        <f>ROUND(AE931-(AE931*AF931),2)</f>
        <v/>
      </c>
      <c r="AH931" s="4" t="n">
        <v>0.18</v>
      </c>
      <c r="AI931" s="3">
        <f>ROUND(AG931+(AG931*AH931),2)</f>
        <v/>
      </c>
      <c r="AJ931" s="4" t="n">
        <v>0.2</v>
      </c>
      <c r="AK931" s="3">
        <f>ROUND(AI931*AJ931,2)</f>
        <v/>
      </c>
      <c r="AL931" s="3">
        <f>AI931+AK931</f>
        <v/>
      </c>
      <c r="AM931" s="3">
        <f>AE931-AL931</f>
        <v/>
      </c>
      <c r="AN931" s="4">
        <f>AM931/AE931</f>
        <v/>
      </c>
      <c r="AO931" s="3" t="inlineStr">
        <is>
          <t>60 mins</t>
        </is>
      </c>
      <c r="AQ931" s="3" t="inlineStr">
        <is>
          <t>Weight</t>
        </is>
      </c>
      <c r="AT931" s="3" t="inlineStr">
        <is>
          <t>Actvie</t>
        </is>
      </c>
    </row>
    <row r="932" ht="15.75" customHeight="1">
      <c r="A932" s="3" t="inlineStr">
        <is>
          <t>PROD_0201</t>
        </is>
      </c>
      <c r="B932" s="3" t="inlineStr">
        <is>
          <t>VAR_2</t>
        </is>
      </c>
      <c r="C932" s="3" t="inlineStr">
        <is>
          <t>Electrical Material</t>
        </is>
      </c>
      <c r="D932" s="3" t="inlineStr">
        <is>
          <t>Switch</t>
        </is>
      </c>
      <c r="E932" s="3" t="inlineStr">
        <is>
          <t>North West</t>
        </is>
      </c>
      <c r="F932" s="3" t="inlineStr">
        <is>
          <t>Stylus Plus</t>
        </is>
      </c>
      <c r="H932" s="3" t="inlineStr">
        <is>
          <t>Module</t>
        </is>
      </c>
      <c r="I932" s="3" t="inlineStr">
        <is>
          <t>Single</t>
        </is>
      </c>
      <c r="J932" s="3" t="inlineStr">
        <is>
          <t>Switch Type</t>
        </is>
      </c>
      <c r="K932" s="3" t="inlineStr">
        <is>
          <t>Power</t>
        </is>
      </c>
      <c r="L932" s="3" t="inlineStr">
        <is>
          <t>Amperage</t>
        </is>
      </c>
      <c r="M932" s="3" t="inlineStr">
        <is>
          <t>16 A</t>
        </is>
      </c>
      <c r="N932" s="3" t="inlineStr">
        <is>
          <t>SR130-PLUS</t>
        </is>
      </c>
      <c r="Q932" s="3" t="inlineStr">
        <is>
          <t>Manufacturer's Warranty</t>
        </is>
      </c>
      <c r="Y932" s="3" t="inlineStr">
        <is>
          <t>SWT_NRWS_STLS+_16A_1, SWT_NRWS_STLS+_16A_2</t>
        </is>
      </c>
      <c r="Z932" s="3" t="n">
        <v>8536</v>
      </c>
      <c r="AE932" s="3" t="n">
        <v>255</v>
      </c>
      <c r="AF932" s="4" t="n">
        <v>0.5</v>
      </c>
      <c r="AG932" s="3">
        <f>ROUND(AE932-(AE932*AF932),2)</f>
        <v/>
      </c>
      <c r="AH932" s="4" t="n">
        <v>0.18</v>
      </c>
      <c r="AI932" s="3">
        <f>ROUND(AG932+(AG932*AH932),2)</f>
        <v/>
      </c>
      <c r="AJ932" s="4" t="n">
        <v>0.2</v>
      </c>
      <c r="AK932" s="3">
        <f>ROUND(AI932*AJ932,2)</f>
        <v/>
      </c>
      <c r="AL932" s="3">
        <f>AI932+AK932</f>
        <v/>
      </c>
      <c r="AM932" s="3">
        <f>AE932-AL932</f>
        <v/>
      </c>
      <c r="AN932" s="4">
        <f>AM932/AE932</f>
        <v/>
      </c>
      <c r="AO932" s="3" t="inlineStr">
        <is>
          <t>60 mins</t>
        </is>
      </c>
      <c r="AQ932" s="3" t="inlineStr">
        <is>
          <t>Weight</t>
        </is>
      </c>
      <c r="AT932" s="3" t="inlineStr">
        <is>
          <t>Actvie</t>
        </is>
      </c>
    </row>
    <row r="933" ht="15.75" customHeight="1">
      <c r="A933" s="3" t="inlineStr">
        <is>
          <t>PROD_0201</t>
        </is>
      </c>
      <c r="B933" s="3" t="inlineStr">
        <is>
          <t>VAR_3</t>
        </is>
      </c>
      <c r="C933" s="3" t="inlineStr">
        <is>
          <t>Electrical Material</t>
        </is>
      </c>
      <c r="D933" s="3" t="inlineStr">
        <is>
          <t>Switch</t>
        </is>
      </c>
      <c r="E933" s="3" t="inlineStr">
        <is>
          <t>North West</t>
        </is>
      </c>
      <c r="F933" s="3" t="inlineStr">
        <is>
          <t>Stylus Plus</t>
        </is>
      </c>
      <c r="H933" s="3" t="inlineStr">
        <is>
          <t>Module</t>
        </is>
      </c>
      <c r="I933" s="3" t="inlineStr">
        <is>
          <t>Single</t>
        </is>
      </c>
      <c r="J933" s="3" t="inlineStr">
        <is>
          <t>Switch Type</t>
        </is>
      </c>
      <c r="K933" s="3" t="inlineStr">
        <is>
          <t>Bell</t>
        </is>
      </c>
      <c r="L933" s="3" t="inlineStr">
        <is>
          <t>Amperage</t>
        </is>
      </c>
      <c r="M933" s="3" t="inlineStr">
        <is>
          <t>6 A</t>
        </is>
      </c>
      <c r="N933" s="3" t="inlineStr">
        <is>
          <t>SR310-PLUS</t>
        </is>
      </c>
      <c r="Q933" s="3" t="inlineStr">
        <is>
          <t>Manufacturer's Warranty</t>
        </is>
      </c>
      <c r="Y933" s="3" t="inlineStr">
        <is>
          <t>SWT_NRWS_STLS+_Bell_1M</t>
        </is>
      </c>
      <c r="Z933" s="3" t="n">
        <v>8536</v>
      </c>
      <c r="AE933" s="3" t="n">
        <v>230</v>
      </c>
      <c r="AF933" s="4" t="n">
        <v>0.5</v>
      </c>
      <c r="AG933" s="3">
        <f>ROUND(AE933-(AE933*AF933),2)</f>
        <v/>
      </c>
      <c r="AH933" s="4" t="n">
        <v>0.18</v>
      </c>
      <c r="AI933" s="3">
        <f>ROUND(AG933+(AG933*AH933),2)</f>
        <v/>
      </c>
      <c r="AJ933" s="4" t="n">
        <v>0.2</v>
      </c>
      <c r="AK933" s="3">
        <f>ROUND(AI933*AJ933,2)</f>
        <v/>
      </c>
      <c r="AL933" s="3">
        <f>AI933+AK933</f>
        <v/>
      </c>
      <c r="AM933" s="3">
        <f>AE933-AL933</f>
        <v/>
      </c>
      <c r="AN933" s="4">
        <f>AM933/AE933</f>
        <v/>
      </c>
      <c r="AO933" s="3" t="inlineStr">
        <is>
          <t>60 mins</t>
        </is>
      </c>
      <c r="AQ933" s="3" t="inlineStr">
        <is>
          <t>Weight</t>
        </is>
      </c>
      <c r="AT933" s="3" t="inlineStr">
        <is>
          <t>Actvie</t>
        </is>
      </c>
    </row>
    <row r="934" ht="15.75" customHeight="1">
      <c r="A934" s="3" t="inlineStr">
        <is>
          <t>PROD_0201</t>
        </is>
      </c>
      <c r="B934" s="3" t="inlineStr">
        <is>
          <t>VAR_4</t>
        </is>
      </c>
      <c r="C934" s="3" t="inlineStr">
        <is>
          <t>Electrical Material</t>
        </is>
      </c>
      <c r="D934" s="3" t="inlineStr">
        <is>
          <t>Switch</t>
        </is>
      </c>
      <c r="E934" s="3" t="inlineStr">
        <is>
          <t>North West</t>
        </is>
      </c>
      <c r="F934" s="3" t="inlineStr">
        <is>
          <t>Stylus Plus</t>
        </is>
      </c>
      <c r="H934" s="3" t="inlineStr">
        <is>
          <t>Module</t>
        </is>
      </c>
      <c r="I934" s="3" t="inlineStr">
        <is>
          <t>Double</t>
        </is>
      </c>
      <c r="J934" s="3" t="inlineStr">
        <is>
          <t>Switch Type</t>
        </is>
      </c>
      <c r="K934" s="3" t="inlineStr">
        <is>
          <t>Bell</t>
        </is>
      </c>
      <c r="L934" s="3" t="inlineStr">
        <is>
          <t>Amperage</t>
        </is>
      </c>
      <c r="M934" s="3" t="inlineStr">
        <is>
          <t>6 A</t>
        </is>
      </c>
      <c r="Q934" s="3" t="inlineStr">
        <is>
          <t>Manufacturer's Warranty</t>
        </is>
      </c>
      <c r="Y934" s="3" t="inlineStr">
        <is>
          <t>SWT_NRWS_STLS+_Bell_2M_1, SWT_NRWS_STLS+_Bell_2M_2</t>
        </is>
      </c>
      <c r="Z934" s="3" t="n">
        <v>8536</v>
      </c>
      <c r="AE934" s="3" t="n">
        <v>230</v>
      </c>
      <c r="AF934" s="4" t="n">
        <v>0.5</v>
      </c>
      <c r="AG934" s="3">
        <f>ROUND(AE934-(AE934*AF934),2)</f>
        <v/>
      </c>
      <c r="AH934" s="4" t="n">
        <v>0.18</v>
      </c>
      <c r="AI934" s="3">
        <f>ROUND(AG934+(AG934*AH934),2)</f>
        <v/>
      </c>
      <c r="AJ934" s="4" t="n">
        <v>0.2</v>
      </c>
      <c r="AK934" s="3">
        <f>ROUND(AI934*AJ934,2)</f>
        <v/>
      </c>
      <c r="AL934" s="3">
        <f>AI934+AK934</f>
        <v/>
      </c>
      <c r="AM934" s="3">
        <f>AE934-AL934</f>
        <v/>
      </c>
      <c r="AN934" s="4">
        <f>AM934/AE934</f>
        <v/>
      </c>
      <c r="AO934" s="3" t="inlineStr">
        <is>
          <t>60 mins</t>
        </is>
      </c>
      <c r="AQ934" s="3" t="inlineStr">
        <is>
          <t>Weight</t>
        </is>
      </c>
      <c r="AT934" s="3" t="inlineStr">
        <is>
          <t>Actvie</t>
        </is>
      </c>
    </row>
    <row r="935" ht="15.75" customHeight="1">
      <c r="A935" s="3" t="inlineStr">
        <is>
          <t>PROD_0202</t>
        </is>
      </c>
      <c r="B935" s="3" t="inlineStr">
        <is>
          <t>VAR_1</t>
        </is>
      </c>
      <c r="C935" s="3" t="inlineStr">
        <is>
          <t>Electrical Material</t>
        </is>
      </c>
      <c r="D935" s="3" t="inlineStr">
        <is>
          <t>Switch</t>
        </is>
      </c>
      <c r="E935" s="3" t="inlineStr">
        <is>
          <t>Crabtree</t>
        </is>
      </c>
      <c r="F935" s="3" t="inlineStr">
        <is>
          <t>Verona</t>
        </is>
      </c>
      <c r="H935" s="3" t="inlineStr">
        <is>
          <t>Module</t>
        </is>
      </c>
      <c r="I935" s="3" t="inlineStr">
        <is>
          <t>Single</t>
        </is>
      </c>
      <c r="J935" s="3" t="inlineStr">
        <is>
          <t>Switch Type</t>
        </is>
      </c>
      <c r="K935" s="3" t="inlineStr">
        <is>
          <t>Normal</t>
        </is>
      </c>
      <c r="L935" s="3" t="inlineStr">
        <is>
          <t>Amperage</t>
        </is>
      </c>
      <c r="M935" s="3" t="inlineStr">
        <is>
          <t>6 A</t>
        </is>
      </c>
      <c r="Q935" s="3" t="inlineStr">
        <is>
          <t>Manufacturer's Warranty</t>
        </is>
      </c>
      <c r="R935" s="3" t="inlineStr">
        <is>
          <t>ACVSXXWO61</t>
        </is>
      </c>
      <c r="Y935" s="3" t="inlineStr">
        <is>
          <t>SWT_CRB_VRN_6A</t>
        </is>
      </c>
      <c r="Z935" s="3" t="n">
        <v>8536</v>
      </c>
      <c r="AE935" s="3" t="n">
        <v>75</v>
      </c>
      <c r="AF935" s="4" t="n">
        <v>0.5</v>
      </c>
      <c r="AG935" s="3">
        <f>ROUND(AE935-(AE935*AF935),2)</f>
        <v/>
      </c>
      <c r="AH935" s="4" t="n">
        <v>0.18</v>
      </c>
      <c r="AI935" s="3">
        <f>ROUND(AG935+(AG935*AH935),2)</f>
        <v/>
      </c>
      <c r="AJ935" s="4" t="n">
        <v>0.2</v>
      </c>
      <c r="AK935" s="3">
        <f>ROUND(AI935*AJ935,2)</f>
        <v/>
      </c>
      <c r="AL935" s="3">
        <f>AI935+AK935</f>
        <v/>
      </c>
      <c r="AM935" s="3">
        <f>AE935-AL935</f>
        <v/>
      </c>
      <c r="AN935" s="4">
        <f>AM935/AE935</f>
        <v/>
      </c>
      <c r="AO935" s="3" t="inlineStr">
        <is>
          <t>60 mins</t>
        </is>
      </c>
      <c r="AQ935" s="3" t="inlineStr">
        <is>
          <t>Weight</t>
        </is>
      </c>
      <c r="AT935" s="3" t="inlineStr">
        <is>
          <t>Actvie</t>
        </is>
      </c>
    </row>
    <row r="936" ht="15.75" customHeight="1">
      <c r="A936" s="3" t="inlineStr">
        <is>
          <t>PROD_0202</t>
        </is>
      </c>
      <c r="B936" s="3" t="inlineStr">
        <is>
          <t>VAR_2</t>
        </is>
      </c>
      <c r="C936" s="3" t="inlineStr">
        <is>
          <t>Electrical Material</t>
        </is>
      </c>
      <c r="D936" s="3" t="inlineStr">
        <is>
          <t>Switch</t>
        </is>
      </c>
      <c r="E936" s="3" t="inlineStr">
        <is>
          <t>Crabtree</t>
        </is>
      </c>
      <c r="F936" s="3" t="inlineStr">
        <is>
          <t>Verona</t>
        </is>
      </c>
      <c r="H936" s="3" t="inlineStr">
        <is>
          <t>Module</t>
        </is>
      </c>
      <c r="I936" s="3" t="inlineStr">
        <is>
          <t>Single</t>
        </is>
      </c>
      <c r="J936" s="3" t="inlineStr">
        <is>
          <t>Switch Type</t>
        </is>
      </c>
      <c r="K936" s="3" t="inlineStr">
        <is>
          <t>Power</t>
        </is>
      </c>
      <c r="L936" s="3" t="inlineStr">
        <is>
          <t>Amperage</t>
        </is>
      </c>
      <c r="M936" s="3" t="inlineStr">
        <is>
          <t>16 A</t>
        </is>
      </c>
      <c r="Q936" s="3" t="inlineStr">
        <is>
          <t>Manufacturer's Warranty</t>
        </is>
      </c>
      <c r="R936" s="3" t="inlineStr">
        <is>
          <t>ACVSXXW161</t>
        </is>
      </c>
      <c r="Y936" s="3" t="inlineStr">
        <is>
          <t>SWT_CRB_VRN_16A</t>
        </is>
      </c>
      <c r="Z936" s="3" t="n">
        <v>8536</v>
      </c>
      <c r="AE936" s="3" t="n">
        <v>179</v>
      </c>
      <c r="AF936" s="4" t="n">
        <v>0.5</v>
      </c>
      <c r="AG936" s="3">
        <f>ROUND(AE936-(AE936*AF936),2)</f>
        <v/>
      </c>
      <c r="AH936" s="4" t="n">
        <v>0.18</v>
      </c>
      <c r="AI936" s="3">
        <f>ROUND(AG936+(AG936*AH936),2)</f>
        <v/>
      </c>
      <c r="AJ936" s="4" t="n">
        <v>0.2</v>
      </c>
      <c r="AK936" s="3">
        <f>ROUND(AI936*AJ936,2)</f>
        <v/>
      </c>
      <c r="AL936" s="3">
        <f>AI936+AK936</f>
        <v/>
      </c>
      <c r="AM936" s="3">
        <f>AE936-AL936</f>
        <v/>
      </c>
      <c r="AN936" s="4">
        <f>AM936/AE936</f>
        <v/>
      </c>
      <c r="AO936" s="3" t="inlineStr">
        <is>
          <t>60 mins</t>
        </is>
      </c>
      <c r="AQ936" s="3" t="inlineStr">
        <is>
          <t>Weight</t>
        </is>
      </c>
      <c r="AT936" s="3" t="inlineStr">
        <is>
          <t>Actvie</t>
        </is>
      </c>
    </row>
    <row r="937" ht="15.75" customHeight="1">
      <c r="A937" s="3" t="inlineStr">
        <is>
          <t>PROD_0202</t>
        </is>
      </c>
      <c r="B937" s="3" t="inlineStr">
        <is>
          <t>VAR_3</t>
        </is>
      </c>
      <c r="C937" s="3" t="inlineStr">
        <is>
          <t>Electrical Material</t>
        </is>
      </c>
      <c r="D937" s="3" t="inlineStr">
        <is>
          <t>Switch</t>
        </is>
      </c>
      <c r="E937" s="3" t="inlineStr">
        <is>
          <t>Crabtree</t>
        </is>
      </c>
      <c r="F937" s="3" t="inlineStr">
        <is>
          <t>Verona</t>
        </is>
      </c>
      <c r="H937" s="3" t="inlineStr">
        <is>
          <t>Module</t>
        </is>
      </c>
      <c r="I937" s="3" t="inlineStr">
        <is>
          <t>Single</t>
        </is>
      </c>
      <c r="J937" s="3" t="inlineStr">
        <is>
          <t>Switch Type</t>
        </is>
      </c>
      <c r="K937" s="3" t="inlineStr">
        <is>
          <t>Bell</t>
        </is>
      </c>
      <c r="L937" s="3" t="inlineStr">
        <is>
          <t>Amperage</t>
        </is>
      </c>
      <c r="M937" s="3" t="inlineStr">
        <is>
          <t>6 A</t>
        </is>
      </c>
      <c r="Q937" s="3" t="inlineStr">
        <is>
          <t>Manufacturer's Warranty</t>
        </is>
      </c>
      <c r="R937" s="3" t="inlineStr">
        <is>
          <t>ACVSBIW061</t>
        </is>
      </c>
      <c r="Y937" s="3" t="inlineStr">
        <is>
          <t>SWT_CRB_VRN_Bell_1M</t>
        </is>
      </c>
      <c r="Z937" s="3" t="n">
        <v>8536</v>
      </c>
      <c r="AE937" s="3" t="n">
        <v>177</v>
      </c>
      <c r="AF937" s="4" t="n">
        <v>0.5</v>
      </c>
      <c r="AG937" s="3">
        <f>ROUND(AE937-(AE937*AF937),2)</f>
        <v/>
      </c>
      <c r="AH937" s="4" t="n">
        <v>0.18</v>
      </c>
      <c r="AI937" s="3">
        <f>ROUND(AG937+(AG937*AH937),2)</f>
        <v/>
      </c>
      <c r="AJ937" s="4" t="n">
        <v>0.2</v>
      </c>
      <c r="AK937" s="3">
        <f>ROUND(AI937*AJ937,2)</f>
        <v/>
      </c>
      <c r="AL937" s="3">
        <f>AI937+AK937</f>
        <v/>
      </c>
      <c r="AM937" s="3">
        <f>AE937-AL937</f>
        <v/>
      </c>
      <c r="AN937" s="4">
        <f>AM937/AE937</f>
        <v/>
      </c>
      <c r="AO937" s="3" t="inlineStr">
        <is>
          <t>60 mins</t>
        </is>
      </c>
      <c r="AQ937" s="3" t="inlineStr">
        <is>
          <t>Weight</t>
        </is>
      </c>
      <c r="AT937" s="3" t="inlineStr">
        <is>
          <t>Actvie</t>
        </is>
      </c>
    </row>
    <row r="938" ht="15.75" customHeight="1">
      <c r="A938" s="3" t="inlineStr">
        <is>
          <t>PROD_0202</t>
        </is>
      </c>
      <c r="B938" s="3" t="inlineStr">
        <is>
          <t>VAR_4</t>
        </is>
      </c>
      <c r="C938" s="3" t="inlineStr">
        <is>
          <t>Electrical Material</t>
        </is>
      </c>
      <c r="D938" s="3" t="inlineStr">
        <is>
          <t>Switch</t>
        </is>
      </c>
      <c r="E938" s="3" t="inlineStr">
        <is>
          <t>Crabtree</t>
        </is>
      </c>
      <c r="F938" s="3" t="inlineStr">
        <is>
          <t>Verona</t>
        </is>
      </c>
      <c r="H938" s="3" t="inlineStr">
        <is>
          <t>Module</t>
        </is>
      </c>
      <c r="I938" s="3" t="inlineStr">
        <is>
          <t>Double</t>
        </is>
      </c>
      <c r="J938" s="3" t="inlineStr">
        <is>
          <t>Switch Type</t>
        </is>
      </c>
      <c r="K938" s="3" t="inlineStr">
        <is>
          <t>Bell</t>
        </is>
      </c>
      <c r="L938" s="3" t="inlineStr">
        <is>
          <t>Amperage</t>
        </is>
      </c>
      <c r="M938" s="3" t="inlineStr">
        <is>
          <t>10 A</t>
        </is>
      </c>
      <c r="Q938" s="3" t="inlineStr">
        <is>
          <t>Manufacturer's Warranty</t>
        </is>
      </c>
      <c r="R938" s="3" t="inlineStr">
        <is>
          <t>ACVMBIW101</t>
        </is>
      </c>
      <c r="Y938" s="3" t="inlineStr">
        <is>
          <t>SWT_CRB_VRN_Bell_2M</t>
        </is>
      </c>
      <c r="Z938" s="3" t="n">
        <v>8536</v>
      </c>
      <c r="AE938" s="3" t="n">
        <v>222</v>
      </c>
      <c r="AF938" s="4" t="n">
        <v>0.5</v>
      </c>
      <c r="AG938" s="3">
        <f>ROUND(AE938-(AE938*AF938),2)</f>
        <v/>
      </c>
      <c r="AH938" s="4" t="n">
        <v>0.18</v>
      </c>
      <c r="AI938" s="3">
        <f>ROUND(AG938+(AG938*AH938),2)</f>
        <v/>
      </c>
      <c r="AJ938" s="4" t="n">
        <v>0.2</v>
      </c>
      <c r="AK938" s="3">
        <f>ROUND(AI938*AJ938,2)</f>
        <v/>
      </c>
      <c r="AL938" s="3">
        <f>AI938+AK938</f>
        <v/>
      </c>
      <c r="AM938" s="3">
        <f>AE938-AL938</f>
        <v/>
      </c>
      <c r="AN938" s="4">
        <f>AM938/AE938</f>
        <v/>
      </c>
      <c r="AO938" s="3" t="inlineStr">
        <is>
          <t>60 mins</t>
        </is>
      </c>
      <c r="AQ938" s="3" t="inlineStr">
        <is>
          <t>Weight</t>
        </is>
      </c>
      <c r="AT938" s="3" t="inlineStr">
        <is>
          <t>Actvie</t>
        </is>
      </c>
    </row>
    <row r="939" ht="15.75" customHeight="1">
      <c r="A939" s="3" t="inlineStr">
        <is>
          <t>PROD_0203</t>
        </is>
      </c>
      <c r="B939" s="3" t="inlineStr">
        <is>
          <t>VAR_1</t>
        </is>
      </c>
      <c r="C939" s="3" t="inlineStr">
        <is>
          <t>Electrical Material</t>
        </is>
      </c>
      <c r="D939" s="3" t="inlineStr">
        <is>
          <t>Switch</t>
        </is>
      </c>
      <c r="E939" s="3" t="inlineStr">
        <is>
          <t>Havells Reo</t>
        </is>
      </c>
      <c r="F939" s="3" t="inlineStr">
        <is>
          <t>Bliss White</t>
        </is>
      </c>
      <c r="H939" s="3" t="inlineStr">
        <is>
          <t>Module</t>
        </is>
      </c>
      <c r="I939" s="3" t="inlineStr">
        <is>
          <t>Single</t>
        </is>
      </c>
      <c r="J939" s="3" t="inlineStr">
        <is>
          <t>Switch Type</t>
        </is>
      </c>
      <c r="K939" s="3" t="inlineStr">
        <is>
          <t>Normal</t>
        </is>
      </c>
      <c r="L939" s="3" t="inlineStr">
        <is>
          <t>Amperage</t>
        </is>
      </c>
      <c r="M939" s="3" t="inlineStr">
        <is>
          <t>6 A</t>
        </is>
      </c>
      <c r="Q939" s="3" t="inlineStr">
        <is>
          <t>Manufacturer's Warranty</t>
        </is>
      </c>
      <c r="R939" s="3" t="inlineStr">
        <is>
          <t>AHBSXXW061</t>
        </is>
      </c>
      <c r="Y939" s="3" t="inlineStr">
        <is>
          <t>SWT_HVL_REO_BLSWHT_6A</t>
        </is>
      </c>
      <c r="Z939" s="3" t="n">
        <v>8536</v>
      </c>
      <c r="AE939" s="3" t="n">
        <v>29</v>
      </c>
      <c r="AF939" s="4" t="n">
        <v>0.5</v>
      </c>
      <c r="AG939" s="3">
        <f>ROUND(AE939-(AE939*AF939),2)</f>
        <v/>
      </c>
      <c r="AH939" s="4" t="n">
        <v>0.18</v>
      </c>
      <c r="AI939" s="3">
        <f>ROUND(AG939+(AG939*AH939),2)</f>
        <v/>
      </c>
      <c r="AJ939" s="4" t="n">
        <v>0.2</v>
      </c>
      <c r="AK939" s="3">
        <f>ROUND(AI939*AJ939,2)</f>
        <v/>
      </c>
      <c r="AL939" s="3">
        <f>AI939+AK939</f>
        <v/>
      </c>
      <c r="AM939" s="3">
        <f>AE939-AL939</f>
        <v/>
      </c>
      <c r="AN939" s="4">
        <f>AM939/AE939</f>
        <v/>
      </c>
      <c r="AO939" s="3" t="inlineStr">
        <is>
          <t>60 mins</t>
        </is>
      </c>
      <c r="AQ939" s="3" t="inlineStr">
        <is>
          <t>Weight</t>
        </is>
      </c>
      <c r="AT939" s="3" t="inlineStr">
        <is>
          <t>Active</t>
        </is>
      </c>
    </row>
    <row r="940" ht="15.75" customHeight="1">
      <c r="A940" s="3" t="inlineStr">
        <is>
          <t>PROD_0203</t>
        </is>
      </c>
      <c r="B940" s="3" t="inlineStr">
        <is>
          <t>VAR_2</t>
        </is>
      </c>
      <c r="C940" s="3" t="inlineStr">
        <is>
          <t>Electrical Material</t>
        </is>
      </c>
      <c r="D940" s="3" t="inlineStr">
        <is>
          <t>Switch</t>
        </is>
      </c>
      <c r="E940" s="3" t="inlineStr">
        <is>
          <t>Havells Reo</t>
        </is>
      </c>
      <c r="F940" s="3" t="inlineStr">
        <is>
          <t>Bliss White</t>
        </is>
      </c>
      <c r="H940" s="3" t="inlineStr">
        <is>
          <t>Module</t>
        </is>
      </c>
      <c r="I940" s="3" t="inlineStr">
        <is>
          <t>Single</t>
        </is>
      </c>
      <c r="J940" s="3" t="inlineStr">
        <is>
          <t>Switch Type</t>
        </is>
      </c>
      <c r="K940" s="3" t="inlineStr">
        <is>
          <t>Power</t>
        </is>
      </c>
      <c r="L940" s="3" t="inlineStr">
        <is>
          <t>Amperage</t>
        </is>
      </c>
      <c r="M940" s="3" t="inlineStr">
        <is>
          <t>16 A</t>
        </is>
      </c>
      <c r="Q940" s="3" t="inlineStr">
        <is>
          <t>Manufacturer's Warranty</t>
        </is>
      </c>
      <c r="R940" s="3" t="inlineStr">
        <is>
          <t>AHBSXXW161</t>
        </is>
      </c>
      <c r="Y940" s="3" t="inlineStr">
        <is>
          <t>SWT_HVL_REO_BLSWHT_16A</t>
        </is>
      </c>
      <c r="Z940" s="3" t="n">
        <v>8536</v>
      </c>
      <c r="AE940" s="3" t="n">
        <v>82</v>
      </c>
      <c r="AF940" s="4" t="n">
        <v>0.5</v>
      </c>
      <c r="AG940" s="3">
        <f>ROUND(AE940-(AE940*AF940),2)</f>
        <v/>
      </c>
      <c r="AH940" s="4" t="n">
        <v>0.18</v>
      </c>
      <c r="AI940" s="3">
        <f>ROUND(AG940+(AG940*AH940),2)</f>
        <v/>
      </c>
      <c r="AJ940" s="4" t="n">
        <v>0.2</v>
      </c>
      <c r="AK940" s="3">
        <f>ROUND(AI940*AJ940,2)</f>
        <v/>
      </c>
      <c r="AL940" s="3">
        <f>AI940+AK940</f>
        <v/>
      </c>
      <c r="AM940" s="3">
        <f>AE940-AL940</f>
        <v/>
      </c>
      <c r="AN940" s="4">
        <f>AM940/AE940</f>
        <v/>
      </c>
      <c r="AO940" s="3" t="inlineStr">
        <is>
          <t>60 mins</t>
        </is>
      </c>
      <c r="AQ940" s="3" t="inlineStr">
        <is>
          <t>Weight</t>
        </is>
      </c>
      <c r="AT940" s="3" t="inlineStr">
        <is>
          <t>Active</t>
        </is>
      </c>
    </row>
    <row r="941" ht="15.75" customHeight="1">
      <c r="A941" s="3" t="inlineStr">
        <is>
          <t>PROD_0203</t>
        </is>
      </c>
      <c r="B941" s="3" t="inlineStr">
        <is>
          <t>VAR_3</t>
        </is>
      </c>
      <c r="C941" s="3" t="inlineStr">
        <is>
          <t>Electrical Material</t>
        </is>
      </c>
      <c r="D941" s="3" t="inlineStr">
        <is>
          <t>Switch</t>
        </is>
      </c>
      <c r="E941" s="3" t="inlineStr">
        <is>
          <t>Havells Reo</t>
        </is>
      </c>
      <c r="F941" s="3" t="inlineStr">
        <is>
          <t>Bliss White</t>
        </is>
      </c>
      <c r="H941" s="3" t="inlineStr">
        <is>
          <t>Module</t>
        </is>
      </c>
      <c r="I941" s="3" t="inlineStr">
        <is>
          <t>Single</t>
        </is>
      </c>
      <c r="J941" s="3" t="inlineStr">
        <is>
          <t>Switch Type</t>
        </is>
      </c>
      <c r="K941" s="3" t="inlineStr">
        <is>
          <t>Bell</t>
        </is>
      </c>
      <c r="L941" s="3" t="inlineStr">
        <is>
          <t>Amperage</t>
        </is>
      </c>
      <c r="M941" s="3" t="inlineStr">
        <is>
          <t>6 A</t>
        </is>
      </c>
      <c r="Q941" s="3" t="inlineStr">
        <is>
          <t>Manufacturer's Warranty</t>
        </is>
      </c>
      <c r="R941" s="3" t="inlineStr">
        <is>
          <t>AHBSBXW061</t>
        </is>
      </c>
      <c r="Y941" s="3" t="inlineStr">
        <is>
          <t>SWT_HVL_REO_BLSWHT_BELL_1M</t>
        </is>
      </c>
      <c r="Z941" s="3" t="n">
        <v>8536</v>
      </c>
      <c r="AE941" s="3" t="n">
        <v>61</v>
      </c>
      <c r="AF941" s="4" t="n">
        <v>0.5</v>
      </c>
      <c r="AG941" s="3">
        <f>ROUND(AE941-(AE941*AF941),2)</f>
        <v/>
      </c>
      <c r="AH941" s="4" t="n">
        <v>0.18</v>
      </c>
      <c r="AI941" s="3">
        <f>ROUND(AG941+(AG941*AH941),2)</f>
        <v/>
      </c>
      <c r="AJ941" s="4" t="n">
        <v>0.2</v>
      </c>
      <c r="AK941" s="3">
        <f>ROUND(AI941*AJ941,2)</f>
        <v/>
      </c>
      <c r="AL941" s="3">
        <f>AI941+AK941</f>
        <v/>
      </c>
      <c r="AM941" s="3">
        <f>AE941-AL941</f>
        <v/>
      </c>
      <c r="AN941" s="4">
        <f>AM941/AE941</f>
        <v/>
      </c>
      <c r="AO941" s="3" t="inlineStr">
        <is>
          <t>60 mins</t>
        </is>
      </c>
      <c r="AQ941" s="3" t="inlineStr">
        <is>
          <t>Weight</t>
        </is>
      </c>
      <c r="AT941" s="3" t="inlineStr">
        <is>
          <t>Active</t>
        </is>
      </c>
    </row>
    <row r="942" ht="15.75" customHeight="1">
      <c r="A942" s="3" t="inlineStr">
        <is>
          <t>PROD_0203</t>
        </is>
      </c>
      <c r="B942" s="3" t="inlineStr">
        <is>
          <t>VAR_4</t>
        </is>
      </c>
      <c r="C942" s="3" t="inlineStr">
        <is>
          <t>Electrical Material</t>
        </is>
      </c>
      <c r="D942" s="3" t="inlineStr">
        <is>
          <t>Switch</t>
        </is>
      </c>
      <c r="E942" s="3" t="inlineStr">
        <is>
          <t>Havells Reo</t>
        </is>
      </c>
      <c r="F942" s="3" t="inlineStr">
        <is>
          <t>Bliss White</t>
        </is>
      </c>
      <c r="H942" s="3" t="inlineStr">
        <is>
          <t>Module</t>
        </is>
      </c>
      <c r="I942" s="3" t="inlineStr">
        <is>
          <t>Double</t>
        </is>
      </c>
      <c r="J942" s="3" t="inlineStr">
        <is>
          <t>Switch Type</t>
        </is>
      </c>
      <c r="K942" s="3" t="inlineStr">
        <is>
          <t>Bell</t>
        </is>
      </c>
      <c r="L942" s="3" t="inlineStr">
        <is>
          <t>Amperage</t>
        </is>
      </c>
      <c r="M942" s="3" t="inlineStr">
        <is>
          <t>6 A</t>
        </is>
      </c>
      <c r="Q942" s="3" t="inlineStr">
        <is>
          <t>Manufacturer's Warranty</t>
        </is>
      </c>
      <c r="R942" s="3" t="inlineStr">
        <is>
          <t>AHBMBIW061</t>
        </is>
      </c>
      <c r="Z942" s="3" t="n">
        <v>8536</v>
      </c>
      <c r="AE942" s="3" t="n">
        <v>82</v>
      </c>
      <c r="AF942" s="4" t="n">
        <v>0.5</v>
      </c>
      <c r="AG942" s="3">
        <f>ROUND(AE942-(AE942*AF942),2)</f>
        <v/>
      </c>
      <c r="AH942" s="4" t="n">
        <v>0.18</v>
      </c>
      <c r="AI942" s="3">
        <f>ROUND(AG942+(AG942*AH942),2)</f>
        <v/>
      </c>
      <c r="AJ942" s="4" t="n">
        <v>0.2</v>
      </c>
      <c r="AK942" s="3">
        <f>ROUND(AI942*AJ942,2)</f>
        <v/>
      </c>
      <c r="AL942" s="3">
        <f>AI942+AK942</f>
        <v/>
      </c>
      <c r="AM942" s="3">
        <f>AE942-AL942</f>
        <v/>
      </c>
      <c r="AN942" s="4">
        <f>AM942/AE942</f>
        <v/>
      </c>
      <c r="AO942" s="3" t="inlineStr">
        <is>
          <t>60 mins</t>
        </is>
      </c>
      <c r="AQ942" s="3" t="inlineStr">
        <is>
          <t>Weight</t>
        </is>
      </c>
      <c r="AT942" s="3" t="inlineStr">
        <is>
          <t>Active</t>
        </is>
      </c>
    </row>
    <row r="943" ht="15.75" customHeight="1">
      <c r="A943" s="3" t="inlineStr">
        <is>
          <t>PROD_0204</t>
        </is>
      </c>
      <c r="B943" s="3" t="inlineStr">
        <is>
          <t>VAR_1</t>
        </is>
      </c>
      <c r="C943" s="3" t="inlineStr">
        <is>
          <t>Electrical Material</t>
        </is>
      </c>
      <c r="D943" s="3" t="inlineStr">
        <is>
          <t>Switch</t>
        </is>
      </c>
      <c r="E943" s="3" t="inlineStr">
        <is>
          <t>Havells Reo</t>
        </is>
      </c>
      <c r="F943" s="3" t="inlineStr">
        <is>
          <t>Bliss Ash Grey</t>
        </is>
      </c>
      <c r="H943" s="3" t="inlineStr">
        <is>
          <t>Module</t>
        </is>
      </c>
      <c r="I943" s="3" t="inlineStr">
        <is>
          <t>Single</t>
        </is>
      </c>
      <c r="J943" s="3" t="inlineStr">
        <is>
          <t>Switch Type</t>
        </is>
      </c>
      <c r="K943" s="3" t="inlineStr">
        <is>
          <t>Normal</t>
        </is>
      </c>
      <c r="L943" s="3" t="inlineStr">
        <is>
          <t>Amperage</t>
        </is>
      </c>
      <c r="M943" s="3" t="inlineStr">
        <is>
          <t>10 A</t>
        </is>
      </c>
      <c r="Q943" s="3" t="inlineStr">
        <is>
          <t>Manufacturer's Warranty</t>
        </is>
      </c>
      <c r="R943" s="3" t="inlineStr">
        <is>
          <t>AHBSXXG101</t>
        </is>
      </c>
      <c r="Y943" s="3" t="inlineStr">
        <is>
          <t>SWT_HVL_REO_BLSASHGRY_10A</t>
        </is>
      </c>
      <c r="Z943" s="3" t="n">
        <v>8536</v>
      </c>
      <c r="AE943" s="3" t="n">
        <v>30</v>
      </c>
      <c r="AF943" s="4" t="n">
        <v>0.5</v>
      </c>
      <c r="AG943" s="3">
        <f>ROUND(AE943-(AE943*AF943),2)</f>
        <v/>
      </c>
      <c r="AH943" s="4" t="n">
        <v>0.18</v>
      </c>
      <c r="AI943" s="3">
        <f>ROUND(AG943+(AG943*AH943),2)</f>
        <v/>
      </c>
      <c r="AJ943" s="4" t="n">
        <v>0.2</v>
      </c>
      <c r="AK943" s="3">
        <f>ROUND(AI943*AJ943,2)</f>
        <v/>
      </c>
      <c r="AL943" s="3">
        <f>AI943+AK943</f>
        <v/>
      </c>
      <c r="AM943" s="3">
        <f>AE943-AL943</f>
        <v/>
      </c>
      <c r="AN943" s="4">
        <f>AM943/AE943</f>
        <v/>
      </c>
      <c r="AO943" s="3" t="inlineStr">
        <is>
          <t>60 mins</t>
        </is>
      </c>
      <c r="AQ943" s="3" t="inlineStr">
        <is>
          <t>Weight</t>
        </is>
      </c>
      <c r="AT943" s="3" t="inlineStr">
        <is>
          <t>Active</t>
        </is>
      </c>
    </row>
    <row r="944" ht="15.75" customHeight="1">
      <c r="A944" s="3" t="inlineStr">
        <is>
          <t>PROD_0204</t>
        </is>
      </c>
      <c r="B944" s="3" t="inlineStr">
        <is>
          <t>VAR_2</t>
        </is>
      </c>
      <c r="C944" s="3" t="inlineStr">
        <is>
          <t>Electrical Material</t>
        </is>
      </c>
      <c r="D944" s="3" t="inlineStr">
        <is>
          <t>Switch</t>
        </is>
      </c>
      <c r="E944" s="3" t="inlineStr">
        <is>
          <t>Havells Reo</t>
        </is>
      </c>
      <c r="F944" s="3" t="inlineStr">
        <is>
          <t>Bliss Ash Grey</t>
        </is>
      </c>
      <c r="H944" s="3" t="inlineStr">
        <is>
          <t>Module</t>
        </is>
      </c>
      <c r="I944" s="3" t="inlineStr">
        <is>
          <t>Single</t>
        </is>
      </c>
      <c r="J944" s="3" t="inlineStr">
        <is>
          <t>Switch Type</t>
        </is>
      </c>
      <c r="K944" s="3" t="inlineStr">
        <is>
          <t>Power</t>
        </is>
      </c>
      <c r="L944" s="3" t="inlineStr">
        <is>
          <t>Amperage</t>
        </is>
      </c>
      <c r="M944" s="3" t="inlineStr">
        <is>
          <t>20 A</t>
        </is>
      </c>
      <c r="Q944" s="3" t="inlineStr">
        <is>
          <t>Manufacturer's Warranty</t>
        </is>
      </c>
      <c r="R944" s="3" t="inlineStr">
        <is>
          <t>AHBSXXG201</t>
        </is>
      </c>
      <c r="Y944" s="3" t="inlineStr">
        <is>
          <t>SWT_HVL_REO_BLSASHGRY_20A</t>
        </is>
      </c>
      <c r="Z944" s="3" t="n">
        <v>8536</v>
      </c>
      <c r="AE944" s="3" t="n">
        <v>91</v>
      </c>
      <c r="AF944" s="4" t="n">
        <v>0.5</v>
      </c>
      <c r="AG944" s="3">
        <f>ROUND(AE944-(AE944*AF944),2)</f>
        <v/>
      </c>
      <c r="AH944" s="4" t="n">
        <v>0.18</v>
      </c>
      <c r="AI944" s="3">
        <f>ROUND(AG944+(AG944*AH944),2)</f>
        <v/>
      </c>
      <c r="AJ944" s="4" t="n">
        <v>0.2</v>
      </c>
      <c r="AK944" s="3">
        <f>ROUND(AI944*AJ944,2)</f>
        <v/>
      </c>
      <c r="AL944" s="3">
        <f>AI944+AK944</f>
        <v/>
      </c>
      <c r="AM944" s="3">
        <f>AE944-AL944</f>
        <v/>
      </c>
      <c r="AN944" s="4">
        <f>AM944/AE944</f>
        <v/>
      </c>
      <c r="AO944" s="3" t="inlineStr">
        <is>
          <t>60 mins</t>
        </is>
      </c>
      <c r="AQ944" s="3" t="inlineStr">
        <is>
          <t>Weight</t>
        </is>
      </c>
      <c r="AT944" s="3" t="inlineStr">
        <is>
          <t>Active</t>
        </is>
      </c>
    </row>
    <row r="945" ht="15.75" customHeight="1">
      <c r="A945" s="3" t="inlineStr">
        <is>
          <t>PROD_0204</t>
        </is>
      </c>
      <c r="B945" s="3" t="inlineStr">
        <is>
          <t>VAR_3</t>
        </is>
      </c>
      <c r="C945" s="3" t="inlineStr">
        <is>
          <t>Electrical Material</t>
        </is>
      </c>
      <c r="D945" s="3" t="inlineStr">
        <is>
          <t>Switch</t>
        </is>
      </c>
      <c r="E945" s="3" t="inlineStr">
        <is>
          <t>Havells Reo</t>
        </is>
      </c>
      <c r="F945" s="3" t="inlineStr">
        <is>
          <t>Bliss Ash Grey</t>
        </is>
      </c>
      <c r="H945" s="3" t="inlineStr">
        <is>
          <t>Module</t>
        </is>
      </c>
      <c r="I945" s="3" t="inlineStr">
        <is>
          <t>Single</t>
        </is>
      </c>
      <c r="J945" s="3" t="inlineStr">
        <is>
          <t>Switch Type</t>
        </is>
      </c>
      <c r="K945" s="3" t="inlineStr">
        <is>
          <t>Bell</t>
        </is>
      </c>
      <c r="L945" s="3" t="inlineStr">
        <is>
          <t>Amperage</t>
        </is>
      </c>
      <c r="M945" s="3" t="inlineStr">
        <is>
          <t>10 A</t>
        </is>
      </c>
      <c r="Q945" s="3" t="inlineStr">
        <is>
          <t>Manufacturer's Warranty</t>
        </is>
      </c>
      <c r="R945" s="3" t="inlineStr">
        <is>
          <t>AHBSBXG101</t>
        </is>
      </c>
      <c r="Y945" s="3" t="inlineStr">
        <is>
          <t>SWT_HVL_REO_BLSASHGRY_BELL_1M</t>
        </is>
      </c>
      <c r="Z945" s="3" t="n">
        <v>8536</v>
      </c>
      <c r="AE945" s="3" t="n">
        <v>79</v>
      </c>
      <c r="AF945" s="4" t="n">
        <v>0.5</v>
      </c>
      <c r="AG945" s="3">
        <f>ROUND(AE945-(AE945*AF945),2)</f>
        <v/>
      </c>
      <c r="AH945" s="4" t="n">
        <v>0.18</v>
      </c>
      <c r="AI945" s="3">
        <f>ROUND(AG945+(AG945*AH945),2)</f>
        <v/>
      </c>
      <c r="AJ945" s="4" t="n">
        <v>0.2</v>
      </c>
      <c r="AK945" s="3">
        <f>ROUND(AI945*AJ945,2)</f>
        <v/>
      </c>
      <c r="AL945" s="3">
        <f>AI945+AK945</f>
        <v/>
      </c>
      <c r="AM945" s="3">
        <f>AE945-AL945</f>
        <v/>
      </c>
      <c r="AN945" s="4">
        <f>AM945/AE945</f>
        <v/>
      </c>
      <c r="AO945" s="3" t="inlineStr">
        <is>
          <t>60 mins</t>
        </is>
      </c>
      <c r="AQ945" s="3" t="inlineStr">
        <is>
          <t>Weight</t>
        </is>
      </c>
      <c r="AT945" s="3" t="inlineStr">
        <is>
          <t>Active</t>
        </is>
      </c>
    </row>
    <row r="946" ht="15.75" customHeight="1">
      <c r="A946" s="3" t="inlineStr">
        <is>
          <t>PROD_0204</t>
        </is>
      </c>
      <c r="B946" s="3" t="inlineStr">
        <is>
          <t>VAR_4</t>
        </is>
      </c>
      <c r="C946" s="3" t="inlineStr">
        <is>
          <t>Electrical Material</t>
        </is>
      </c>
      <c r="D946" s="3" t="inlineStr">
        <is>
          <t>Switch</t>
        </is>
      </c>
      <c r="E946" s="3" t="inlineStr">
        <is>
          <t>Havells Reo</t>
        </is>
      </c>
      <c r="F946" s="3" t="inlineStr">
        <is>
          <t>Bliss Ash Grey</t>
        </is>
      </c>
      <c r="H946" s="3" t="inlineStr">
        <is>
          <t>Module</t>
        </is>
      </c>
      <c r="I946" s="3" t="inlineStr">
        <is>
          <t>Double</t>
        </is>
      </c>
      <c r="J946" s="3" t="inlineStr">
        <is>
          <t>Switch Type</t>
        </is>
      </c>
      <c r="K946" s="3" t="inlineStr">
        <is>
          <t>Bell</t>
        </is>
      </c>
      <c r="L946" s="3" t="inlineStr">
        <is>
          <t>Amperage</t>
        </is>
      </c>
      <c r="M946" s="3" t="inlineStr">
        <is>
          <t>10 A</t>
        </is>
      </c>
      <c r="Q946" s="3" t="inlineStr">
        <is>
          <t>Manufacturer's Warranty</t>
        </is>
      </c>
      <c r="R946" s="3" t="inlineStr">
        <is>
          <t>AHBMBIG101</t>
        </is>
      </c>
      <c r="Z946" s="3" t="n">
        <v>8536</v>
      </c>
      <c r="AE946" s="3" t="n">
        <v>104</v>
      </c>
      <c r="AF946" s="4" t="n">
        <v>0.5</v>
      </c>
      <c r="AG946" s="3">
        <f>ROUND(AE946-(AE946*AF946),2)</f>
        <v/>
      </c>
      <c r="AH946" s="4" t="n">
        <v>0.18</v>
      </c>
      <c r="AI946" s="3">
        <f>ROUND(AG946+(AG946*AH946),2)</f>
        <v/>
      </c>
      <c r="AJ946" s="4" t="n">
        <v>0.2</v>
      </c>
      <c r="AK946" s="3">
        <f>ROUND(AI946*AJ946,2)</f>
        <v/>
      </c>
      <c r="AL946" s="3">
        <f>AI946+AK946</f>
        <v/>
      </c>
      <c r="AM946" s="3">
        <f>AE946-AL946</f>
        <v/>
      </c>
      <c r="AN946" s="4">
        <f>AM946/AE946</f>
        <v/>
      </c>
      <c r="AO946" s="3" t="inlineStr">
        <is>
          <t>60 mins</t>
        </is>
      </c>
      <c r="AQ946" s="3" t="inlineStr">
        <is>
          <t>Weight</t>
        </is>
      </c>
      <c r="AT946" s="3" t="inlineStr">
        <is>
          <t>Actvie</t>
        </is>
      </c>
    </row>
    <row r="947" ht="15.75" customHeight="1">
      <c r="A947" s="3" t="inlineStr">
        <is>
          <t>PROD_0205</t>
        </is>
      </c>
      <c r="B947" s="3" t="inlineStr">
        <is>
          <t>VAR_1</t>
        </is>
      </c>
      <c r="C947" s="3" t="inlineStr">
        <is>
          <t>Electrical Material</t>
        </is>
      </c>
      <c r="D947" s="3" t="inlineStr">
        <is>
          <t>Switch</t>
        </is>
      </c>
      <c r="E947" s="3" t="inlineStr">
        <is>
          <t>Schneider</t>
        </is>
      </c>
      <c r="F947" s="3" t="inlineStr">
        <is>
          <t>Livia</t>
        </is>
      </c>
      <c r="H947" s="3" t="inlineStr">
        <is>
          <t>Module</t>
        </is>
      </c>
      <c r="I947" s="3" t="inlineStr">
        <is>
          <t>Single</t>
        </is>
      </c>
      <c r="J947" s="3" t="inlineStr">
        <is>
          <t>Switch Type</t>
        </is>
      </c>
      <c r="K947" s="3" t="inlineStr">
        <is>
          <t>Normal</t>
        </is>
      </c>
      <c r="L947" s="3" t="inlineStr">
        <is>
          <t>Amperage</t>
        </is>
      </c>
      <c r="M947" s="3" t="inlineStr">
        <is>
          <t>10 A</t>
        </is>
      </c>
      <c r="Q947" s="3" t="inlineStr">
        <is>
          <t>Manufacturer's Warranty</t>
        </is>
      </c>
      <c r="R947" s="3" t="inlineStr">
        <is>
          <t>P1001</t>
        </is>
      </c>
      <c r="Y947" s="3" t="inlineStr">
        <is>
          <t>SWT_SCH_LIVA_10A</t>
        </is>
      </c>
      <c r="Z947" s="3" t="n">
        <v>8536</v>
      </c>
      <c r="AE947" s="3" t="n">
        <v>139</v>
      </c>
      <c r="AF947" s="4" t="n">
        <v>0.5</v>
      </c>
      <c r="AG947" s="3">
        <f>ROUND(AE947-(AE947*AF947),2)</f>
        <v/>
      </c>
      <c r="AH947" s="4" t="n">
        <v>0.18</v>
      </c>
      <c r="AI947" s="3">
        <f>ROUND(AG947+(AG947*AH947),2)</f>
        <v/>
      </c>
      <c r="AJ947" s="4" t="n">
        <v>0.2</v>
      </c>
      <c r="AK947" s="3">
        <f>ROUND(AI947*AJ947,2)</f>
        <v/>
      </c>
      <c r="AL947" s="3">
        <f>AI947+AK947</f>
        <v/>
      </c>
      <c r="AM947" s="3">
        <f>AE947-AL947</f>
        <v/>
      </c>
      <c r="AN947" s="4">
        <f>AM947/AE947</f>
        <v/>
      </c>
      <c r="AO947" s="3" t="inlineStr">
        <is>
          <t>60 mins</t>
        </is>
      </c>
      <c r="AQ947" s="3" t="inlineStr">
        <is>
          <t>Weight</t>
        </is>
      </c>
      <c r="AT947" s="3" t="inlineStr">
        <is>
          <t>Actvie</t>
        </is>
      </c>
    </row>
    <row r="948" ht="15.75" customHeight="1">
      <c r="A948" s="3" t="inlineStr">
        <is>
          <t>PROD_0205</t>
        </is>
      </c>
      <c r="B948" s="3" t="inlineStr">
        <is>
          <t>VAR_2</t>
        </is>
      </c>
      <c r="C948" s="3" t="inlineStr">
        <is>
          <t>Electrical Material</t>
        </is>
      </c>
      <c r="D948" s="3" t="inlineStr">
        <is>
          <t>Switch</t>
        </is>
      </c>
      <c r="E948" s="3" t="inlineStr">
        <is>
          <t>Schneider</t>
        </is>
      </c>
      <c r="F948" s="3" t="inlineStr">
        <is>
          <t>Livia</t>
        </is>
      </c>
      <c r="H948" s="3" t="inlineStr">
        <is>
          <t>Module</t>
        </is>
      </c>
      <c r="I948" s="3" t="inlineStr">
        <is>
          <t>Single</t>
        </is>
      </c>
      <c r="J948" s="3" t="inlineStr">
        <is>
          <t>Switch Type</t>
        </is>
      </c>
      <c r="K948" s="3" t="inlineStr">
        <is>
          <t>Power</t>
        </is>
      </c>
      <c r="L948" s="3" t="inlineStr">
        <is>
          <t>Amperage</t>
        </is>
      </c>
      <c r="M948" s="3" t="inlineStr">
        <is>
          <t>16 A</t>
        </is>
      </c>
      <c r="Q948" s="3" t="inlineStr">
        <is>
          <t>Manufacturer's Warranty</t>
        </is>
      </c>
      <c r="R948" s="3" t="inlineStr">
        <is>
          <t>P1101</t>
        </is>
      </c>
      <c r="Y948" s="3" t="inlineStr">
        <is>
          <t>SWT_SCH_LIVA_16A</t>
        </is>
      </c>
      <c r="Z948" s="3" t="n">
        <v>8536</v>
      </c>
      <c r="AE948" s="3" t="n">
        <v>246</v>
      </c>
      <c r="AF948" s="4" t="n">
        <v>0.5</v>
      </c>
      <c r="AG948" s="3">
        <f>ROUND(AE948-(AE948*AF948),2)</f>
        <v/>
      </c>
      <c r="AH948" s="4" t="n">
        <v>0.18</v>
      </c>
      <c r="AI948" s="3">
        <f>ROUND(AG948+(AG948*AH948),2)</f>
        <v/>
      </c>
      <c r="AJ948" s="4" t="n">
        <v>0.2</v>
      </c>
      <c r="AK948" s="3">
        <f>ROUND(AI948*AJ948,2)</f>
        <v/>
      </c>
      <c r="AL948" s="3">
        <f>AI948+AK948</f>
        <v/>
      </c>
      <c r="AM948" s="3">
        <f>AE948-AL948</f>
        <v/>
      </c>
      <c r="AN948" s="4">
        <f>AM948/AE948</f>
        <v/>
      </c>
      <c r="AO948" s="3" t="inlineStr">
        <is>
          <t>60 mins</t>
        </is>
      </c>
      <c r="AQ948" s="3" t="inlineStr">
        <is>
          <t>Weight</t>
        </is>
      </c>
      <c r="AT948" s="3" t="inlineStr">
        <is>
          <t>Actvie</t>
        </is>
      </c>
    </row>
    <row r="949" ht="15.75" customHeight="1">
      <c r="A949" s="3" t="inlineStr">
        <is>
          <t>PROD_0205</t>
        </is>
      </c>
      <c r="B949" s="3" t="inlineStr">
        <is>
          <t>VAR_3</t>
        </is>
      </c>
      <c r="C949" s="3" t="inlineStr">
        <is>
          <t>Electrical Material</t>
        </is>
      </c>
      <c r="D949" s="3" t="inlineStr">
        <is>
          <t>Switch</t>
        </is>
      </c>
      <c r="E949" s="3" t="inlineStr">
        <is>
          <t>Schneider</t>
        </is>
      </c>
      <c r="F949" s="3" t="inlineStr">
        <is>
          <t>Livia</t>
        </is>
      </c>
      <c r="H949" s="3" t="inlineStr">
        <is>
          <t>Module</t>
        </is>
      </c>
      <c r="I949" s="3" t="inlineStr">
        <is>
          <t>Single</t>
        </is>
      </c>
      <c r="J949" s="3" t="inlineStr">
        <is>
          <t>Switch Type</t>
        </is>
      </c>
      <c r="K949" s="3" t="inlineStr">
        <is>
          <t>Bell</t>
        </is>
      </c>
      <c r="L949" s="3" t="inlineStr">
        <is>
          <t>Amperage</t>
        </is>
      </c>
      <c r="M949" s="3" t="inlineStr">
        <is>
          <t>10 A</t>
        </is>
      </c>
      <c r="Q949" s="3" t="inlineStr">
        <is>
          <t>Manufacturer's Warranty</t>
        </is>
      </c>
      <c r="R949" s="3" t="inlineStr">
        <is>
          <t>P1005</t>
        </is>
      </c>
      <c r="Y949" s="3" t="inlineStr">
        <is>
          <t>SWT_SCH_LIVA_BELL_1M</t>
        </is>
      </c>
      <c r="Z949" s="3" t="n">
        <v>8536</v>
      </c>
      <c r="AE949" s="3" t="n">
        <v>255</v>
      </c>
      <c r="AF949" s="4" t="n">
        <v>0.5</v>
      </c>
      <c r="AG949" s="3">
        <f>ROUND(AE949-(AE949*AF949),2)</f>
        <v/>
      </c>
      <c r="AH949" s="4" t="n">
        <v>0.18</v>
      </c>
      <c r="AI949" s="3">
        <f>ROUND(AG949+(AG949*AH949),2)</f>
        <v/>
      </c>
      <c r="AJ949" s="4" t="n">
        <v>0.2</v>
      </c>
      <c r="AK949" s="3">
        <f>ROUND(AI949*AJ949,2)</f>
        <v/>
      </c>
      <c r="AL949" s="3">
        <f>AI949+AK949</f>
        <v/>
      </c>
      <c r="AM949" s="3">
        <f>AE949-AL949</f>
        <v/>
      </c>
      <c r="AN949" s="4">
        <f>AM949/AE949</f>
        <v/>
      </c>
      <c r="AO949" s="3" t="inlineStr">
        <is>
          <t>60 mins</t>
        </is>
      </c>
      <c r="AQ949" s="3" t="inlineStr">
        <is>
          <t>Weight</t>
        </is>
      </c>
      <c r="AT949" s="3" t="inlineStr">
        <is>
          <t>Actvie</t>
        </is>
      </c>
    </row>
    <row r="950" ht="15.75" customHeight="1">
      <c r="A950" s="3" t="inlineStr">
        <is>
          <t>PROD_0205</t>
        </is>
      </c>
      <c r="B950" s="3" t="inlineStr">
        <is>
          <t>VAR_4</t>
        </is>
      </c>
      <c r="C950" s="3" t="inlineStr">
        <is>
          <t>Electrical Material</t>
        </is>
      </c>
      <c r="D950" s="3" t="inlineStr">
        <is>
          <t>Switch</t>
        </is>
      </c>
      <c r="E950" s="3" t="inlineStr">
        <is>
          <t>Schneider</t>
        </is>
      </c>
      <c r="F950" s="3" t="inlineStr">
        <is>
          <t>Livia</t>
        </is>
      </c>
      <c r="H950" s="3" t="inlineStr">
        <is>
          <t>Module</t>
        </is>
      </c>
      <c r="I950" s="3" t="inlineStr">
        <is>
          <t>Double</t>
        </is>
      </c>
      <c r="J950" s="3" t="inlineStr">
        <is>
          <t>Switch Type</t>
        </is>
      </c>
      <c r="K950" s="3" t="inlineStr">
        <is>
          <t>Bell</t>
        </is>
      </c>
      <c r="L950" s="3" t="inlineStr">
        <is>
          <t>Amperage</t>
        </is>
      </c>
      <c r="M950" s="3" t="inlineStr">
        <is>
          <t>10 A</t>
        </is>
      </c>
      <c r="Q950" s="3" t="inlineStr">
        <is>
          <t>Manufacturer's Warranty</t>
        </is>
      </c>
      <c r="R950" s="3" t="inlineStr">
        <is>
          <t>P1025</t>
        </is>
      </c>
      <c r="Y950" s="3" t="inlineStr">
        <is>
          <t>SWT_SCH_LIVA_BELL_2M</t>
        </is>
      </c>
      <c r="Z950" s="3" t="n">
        <v>8536</v>
      </c>
      <c r="AE950" s="3" t="n">
        <v>343</v>
      </c>
      <c r="AF950" s="4" t="n">
        <v>0.5</v>
      </c>
      <c r="AG950" s="3">
        <f>ROUND(AE950-(AE950*AF950),2)</f>
        <v/>
      </c>
      <c r="AH950" s="4" t="n">
        <v>0.18</v>
      </c>
      <c r="AI950" s="3">
        <f>ROUND(AG950+(AG950*AH950),2)</f>
        <v/>
      </c>
      <c r="AJ950" s="4" t="n">
        <v>0.2</v>
      </c>
      <c r="AK950" s="3">
        <f>ROUND(AI950*AJ950,2)</f>
        <v/>
      </c>
      <c r="AL950" s="3">
        <f>AI950+AK950</f>
        <v/>
      </c>
      <c r="AM950" s="3">
        <f>AE950-AL950</f>
        <v/>
      </c>
      <c r="AN950" s="4">
        <f>AM950/AE950</f>
        <v/>
      </c>
      <c r="AO950" s="3" t="inlineStr">
        <is>
          <t>60 mins</t>
        </is>
      </c>
      <c r="AQ950" s="3" t="inlineStr">
        <is>
          <t>Weight</t>
        </is>
      </c>
      <c r="AT950" s="3" t="inlineStr">
        <is>
          <t>Actvie</t>
        </is>
      </c>
    </row>
    <row r="951" ht="15.75" customHeight="1">
      <c r="A951" s="15" t="inlineStr">
        <is>
          <t>PROD_0206</t>
        </is>
      </c>
      <c r="B951" s="15" t="inlineStr">
        <is>
          <t>VAR_1</t>
        </is>
      </c>
      <c r="C951" s="15" t="inlineStr">
        <is>
          <t>Electrical Material</t>
        </is>
      </c>
      <c r="D951" s="15" t="inlineStr">
        <is>
          <t>Regulator</t>
        </is>
      </c>
      <c r="E951" s="15" t="inlineStr">
        <is>
          <t>ABB</t>
        </is>
      </c>
      <c r="F951" s="15" t="inlineStr">
        <is>
          <t>Adiya White</t>
        </is>
      </c>
      <c r="G951" s="15" t="n"/>
      <c r="H951" s="15" t="inlineStr">
        <is>
          <t>Module</t>
        </is>
      </c>
      <c r="I951" s="15" t="inlineStr">
        <is>
          <t>Single</t>
        </is>
      </c>
      <c r="J951" s="15" t="n"/>
      <c r="K951" s="15" t="n"/>
      <c r="L951" s="15" t="n"/>
      <c r="M951" s="15" t="n"/>
      <c r="N951" s="15" t="n"/>
      <c r="O951" s="15" t="n"/>
      <c r="P951" s="15" t="n"/>
      <c r="Q951" s="15" t="inlineStr">
        <is>
          <t>Manufacturer's Warranty</t>
        </is>
      </c>
      <c r="R951" s="15" t="inlineStr">
        <is>
          <t>1SYK100001A1343</t>
        </is>
      </c>
      <c r="S951" s="15" t="n"/>
      <c r="T951" s="15" t="n"/>
      <c r="U951" s="15" t="n"/>
      <c r="V951" s="15" t="n"/>
      <c r="W951" s="15" t="n"/>
      <c r="X951" s="15" t="n"/>
      <c r="Y951" s="15" t="inlineStr">
        <is>
          <t>REG_ABB_ADY_1M</t>
        </is>
      </c>
      <c r="Z951" s="15" t="n">
        <v>8536</v>
      </c>
      <c r="AA951" s="15" t="n"/>
      <c r="AB951" s="15" t="n"/>
      <c r="AC951" s="15" t="n"/>
      <c r="AD951" s="15" t="n"/>
      <c r="AE951" s="15" t="n">
        <v>517</v>
      </c>
      <c r="AF951" s="16" t="n">
        <v>0.5</v>
      </c>
      <c r="AG951" s="15">
        <f>ROUND(AE951-(AE951*AF951),2)</f>
        <v/>
      </c>
      <c r="AH951" s="16" t="n">
        <v>0.18</v>
      </c>
      <c r="AI951" s="15">
        <f>ROUND(AG951+(AG951*AH951),2)</f>
        <v/>
      </c>
      <c r="AJ951" s="16" t="n">
        <v>0.2</v>
      </c>
      <c r="AK951" s="15">
        <f>ROUND(AI951*AJ951,2)</f>
        <v/>
      </c>
      <c r="AL951" s="15">
        <f>AI951+AK951</f>
        <v/>
      </c>
      <c r="AM951" s="15">
        <f>AE951-AL951</f>
        <v/>
      </c>
      <c r="AN951" s="16">
        <f>AM951/AE951</f>
        <v/>
      </c>
      <c r="AO951" s="15" t="inlineStr">
        <is>
          <t>60 mins</t>
        </is>
      </c>
      <c r="AP951" s="15" t="n"/>
      <c r="AQ951" s="15" t="inlineStr">
        <is>
          <t>Weight</t>
        </is>
      </c>
      <c r="AR951" s="15" t="n"/>
      <c r="AS951" s="15" t="n"/>
      <c r="AT951" s="3" t="inlineStr">
        <is>
          <t>On Demand</t>
        </is>
      </c>
    </row>
    <row r="952" ht="15.75" customHeight="1">
      <c r="A952" s="15" t="inlineStr">
        <is>
          <t>PROD_0206</t>
        </is>
      </c>
      <c r="B952" s="15" t="inlineStr">
        <is>
          <t>VAR_2</t>
        </is>
      </c>
      <c r="C952" s="15" t="inlineStr">
        <is>
          <t>Electrical Material</t>
        </is>
      </c>
      <c r="D952" s="15" t="inlineStr">
        <is>
          <t>Regulator</t>
        </is>
      </c>
      <c r="E952" s="15" t="inlineStr">
        <is>
          <t>ABB</t>
        </is>
      </c>
      <c r="F952" s="15" t="inlineStr">
        <is>
          <t>Adiya White</t>
        </is>
      </c>
      <c r="G952" s="15" t="n"/>
      <c r="H952" s="15" t="inlineStr">
        <is>
          <t>Module</t>
        </is>
      </c>
      <c r="I952" s="15" t="inlineStr">
        <is>
          <t>Double</t>
        </is>
      </c>
      <c r="J952" s="15" t="n"/>
      <c r="K952" s="15" t="n"/>
      <c r="L952" s="15" t="n"/>
      <c r="M952" s="15" t="n"/>
      <c r="N952" s="15" t="n"/>
      <c r="O952" s="15" t="n"/>
      <c r="P952" s="15" t="n"/>
      <c r="Q952" s="15" t="inlineStr">
        <is>
          <t>Manufacturer's Warranty</t>
        </is>
      </c>
      <c r="R952" s="15" t="inlineStr">
        <is>
          <t>1SYK100001A1342</t>
        </is>
      </c>
      <c r="S952" s="15" t="n"/>
      <c r="T952" s="15" t="n"/>
      <c r="U952" s="15" t="n"/>
      <c r="V952" s="15" t="n"/>
      <c r="W952" s="15" t="n"/>
      <c r="X952" s="15" t="n"/>
      <c r="Y952" s="15" t="inlineStr">
        <is>
          <t>REG_ABB_ADY_2M</t>
        </is>
      </c>
      <c r="Z952" s="15" t="n">
        <v>8536</v>
      </c>
      <c r="AA952" s="15" t="n"/>
      <c r="AB952" s="15" t="n"/>
      <c r="AC952" s="15" t="n"/>
      <c r="AD952" s="15" t="n"/>
      <c r="AE952" s="15" t="n">
        <v>693</v>
      </c>
      <c r="AF952" s="16" t="n">
        <v>0.5</v>
      </c>
      <c r="AG952" s="15">
        <f>ROUND(AE952-(AE952*AF952),2)</f>
        <v/>
      </c>
      <c r="AH952" s="16" t="n">
        <v>0.18</v>
      </c>
      <c r="AI952" s="15">
        <f>ROUND(AG952+(AG952*AH952),2)</f>
        <v/>
      </c>
      <c r="AJ952" s="16" t="n">
        <v>0.2</v>
      </c>
      <c r="AK952" s="15">
        <f>ROUND(AI952*AJ952,2)</f>
        <v/>
      </c>
      <c r="AL952" s="15">
        <f>AI952+AK952</f>
        <v/>
      </c>
      <c r="AM952" s="15">
        <f>AE952-AL952</f>
        <v/>
      </c>
      <c r="AN952" s="16">
        <f>AM952/AE952</f>
        <v/>
      </c>
      <c r="AO952" s="15" t="inlineStr">
        <is>
          <t>60 mins</t>
        </is>
      </c>
      <c r="AP952" s="15" t="n"/>
      <c r="AQ952" s="15" t="inlineStr">
        <is>
          <t>Weight</t>
        </is>
      </c>
      <c r="AR952" s="15" t="n"/>
      <c r="AS952" s="15" t="n"/>
      <c r="AT952" s="3" t="inlineStr">
        <is>
          <t>On Demand</t>
        </is>
      </c>
    </row>
    <row r="953" ht="15.75" customHeight="1">
      <c r="A953" s="3" t="inlineStr">
        <is>
          <t>PROD_0207</t>
        </is>
      </c>
      <c r="B953" s="3" t="inlineStr">
        <is>
          <t>VAR_1</t>
        </is>
      </c>
      <c r="C953" s="3" t="inlineStr">
        <is>
          <t>Electrical Material</t>
        </is>
      </c>
      <c r="D953" s="3" t="inlineStr">
        <is>
          <t>Regulator</t>
        </is>
      </c>
      <c r="E953" s="3" t="inlineStr">
        <is>
          <t>ABB</t>
        </is>
      </c>
      <c r="F953" s="3" t="inlineStr">
        <is>
          <t>Snieo</t>
        </is>
      </c>
      <c r="H953" s="3" t="inlineStr">
        <is>
          <t>Module</t>
        </is>
      </c>
      <c r="I953" s="3" t="inlineStr">
        <is>
          <t>Single</t>
        </is>
      </c>
      <c r="Q953" s="3" t="inlineStr">
        <is>
          <t>Manufacturer's Warranty</t>
        </is>
      </c>
      <c r="R953" s="3" t="inlineStr">
        <is>
          <t>CPW1SFR4</t>
        </is>
      </c>
      <c r="Y953" s="3" t="inlineStr">
        <is>
          <t>REG_ABB_SNIE_1M_1, REG_ABB_SNIE_1M_2</t>
        </is>
      </c>
      <c r="Z953" s="3" t="n">
        <v>8536</v>
      </c>
      <c r="AE953" s="3" t="n">
        <v>425</v>
      </c>
      <c r="AF953" s="4" t="n">
        <v>0.5</v>
      </c>
      <c r="AG953" s="3">
        <f>ROUND(AE953-(AE953*AF953),2)</f>
        <v/>
      </c>
      <c r="AH953" s="4" t="n">
        <v>0.18</v>
      </c>
      <c r="AI953" s="3">
        <f>ROUND(AG953+(AG953*AH953),2)</f>
        <v/>
      </c>
      <c r="AJ953" s="4" t="n">
        <v>0.2</v>
      </c>
      <c r="AK953" s="3">
        <f>ROUND(AI953*AJ953,2)</f>
        <v/>
      </c>
      <c r="AL953" s="3">
        <f>AI953+AK953</f>
        <v/>
      </c>
      <c r="AM953" s="3">
        <f>AE953-AL953</f>
        <v/>
      </c>
      <c r="AN953" s="4">
        <f>AM953/AE953</f>
        <v/>
      </c>
      <c r="AO953" s="3" t="inlineStr">
        <is>
          <t>60 mins</t>
        </is>
      </c>
      <c r="AQ953" s="3" t="inlineStr">
        <is>
          <t>Weight</t>
        </is>
      </c>
      <c r="AT953" s="3" t="inlineStr">
        <is>
          <t>Actvie</t>
        </is>
      </c>
    </row>
    <row r="954" ht="15.75" customHeight="1">
      <c r="A954" s="3" t="inlineStr">
        <is>
          <t>PROD_0207</t>
        </is>
      </c>
      <c r="B954" s="3" t="inlineStr">
        <is>
          <t>VAR_2</t>
        </is>
      </c>
      <c r="C954" s="3" t="inlineStr">
        <is>
          <t>Electrical Material</t>
        </is>
      </c>
      <c r="D954" s="3" t="inlineStr">
        <is>
          <t>Regulator</t>
        </is>
      </c>
      <c r="E954" s="3" t="inlineStr">
        <is>
          <t>ABB</t>
        </is>
      </c>
      <c r="F954" s="3" t="inlineStr">
        <is>
          <t>Snieo</t>
        </is>
      </c>
      <c r="H954" s="3" t="inlineStr">
        <is>
          <t>Module</t>
        </is>
      </c>
      <c r="I954" s="3" t="inlineStr">
        <is>
          <t>Double</t>
        </is>
      </c>
      <c r="Q954" s="3" t="inlineStr">
        <is>
          <t>Manufacturer's Warranty</t>
        </is>
      </c>
      <c r="R954" s="3" t="inlineStr">
        <is>
          <t>CPW2SFR5</t>
        </is>
      </c>
      <c r="Y954" s="3" t="inlineStr">
        <is>
          <t>REG_ABB_SNIE_2M</t>
        </is>
      </c>
      <c r="Z954" s="3" t="n">
        <v>8536</v>
      </c>
      <c r="AE954" s="3" t="n">
        <v>575</v>
      </c>
      <c r="AF954" s="4" t="n">
        <v>0.5</v>
      </c>
      <c r="AG954" s="3">
        <f>ROUND(AE954-(AE954*AF954),2)</f>
        <v/>
      </c>
      <c r="AH954" s="4" t="n">
        <v>0.18</v>
      </c>
      <c r="AI954" s="3">
        <f>ROUND(AG954+(AG954*AH954),2)</f>
        <v/>
      </c>
      <c r="AJ954" s="4" t="n">
        <v>0.2</v>
      </c>
      <c r="AK954" s="3">
        <f>ROUND(AI954*AJ954,2)</f>
        <v/>
      </c>
      <c r="AL954" s="3">
        <f>AI954+AK954</f>
        <v/>
      </c>
      <c r="AM954" s="3">
        <f>AE954-AL954</f>
        <v/>
      </c>
      <c r="AN954" s="4">
        <f>AM954/AE954</f>
        <v/>
      </c>
      <c r="AO954" s="3" t="inlineStr">
        <is>
          <t>60 mins</t>
        </is>
      </c>
      <c r="AQ954" s="3" t="inlineStr">
        <is>
          <t>Weight</t>
        </is>
      </c>
      <c r="AT954" s="3" t="inlineStr">
        <is>
          <t>Actvie</t>
        </is>
      </c>
    </row>
    <row r="955" ht="15.75" customHeight="1">
      <c r="A955" s="3" t="inlineStr">
        <is>
          <t>PROD_0208</t>
        </is>
      </c>
      <c r="B955" s="3" t="inlineStr">
        <is>
          <t>VAR_1</t>
        </is>
      </c>
      <c r="C955" s="3" t="inlineStr">
        <is>
          <t>Electrical Material</t>
        </is>
      </c>
      <c r="D955" s="3" t="inlineStr">
        <is>
          <t>Regulator</t>
        </is>
      </c>
      <c r="E955" s="3" t="inlineStr">
        <is>
          <t>Anchor</t>
        </is>
      </c>
      <c r="F955" s="3" t="inlineStr">
        <is>
          <t>Penta White</t>
        </is>
      </c>
      <c r="H955" s="3" t="inlineStr">
        <is>
          <t>Module</t>
        </is>
      </c>
      <c r="I955" s="3" t="inlineStr">
        <is>
          <t>Single</t>
        </is>
      </c>
      <c r="Q955" s="3" t="inlineStr">
        <is>
          <t>Manufacturer's Warranty</t>
        </is>
      </c>
      <c r="R955" s="3" t="n">
        <v>65301</v>
      </c>
      <c r="Y955" s="3" t="inlineStr">
        <is>
          <t>REG_ANCH_PNTWHT_1M</t>
        </is>
      </c>
      <c r="Z955" s="3" t="n">
        <v>8536</v>
      </c>
      <c r="AE955" s="3" t="n">
        <v>342</v>
      </c>
      <c r="AF955" s="4" t="n">
        <v>0.5</v>
      </c>
      <c r="AG955" s="3">
        <f>ROUND(AE955-(AE955*AF955),2)</f>
        <v/>
      </c>
      <c r="AH955" s="4" t="n">
        <v>0.18</v>
      </c>
      <c r="AI955" s="3">
        <f>ROUND(AG955+(AG955*AH955),2)</f>
        <v/>
      </c>
      <c r="AJ955" s="4" t="n">
        <v>0.2</v>
      </c>
      <c r="AK955" s="3">
        <f>ROUND(AI955*AJ955,2)</f>
        <v/>
      </c>
      <c r="AL955" s="3">
        <f>AI955+AK955</f>
        <v/>
      </c>
      <c r="AM955" s="3">
        <f>AE955-AL955</f>
        <v/>
      </c>
      <c r="AN955" s="4">
        <f>AM955/AE955</f>
        <v/>
      </c>
      <c r="AO955" s="3" t="inlineStr">
        <is>
          <t>60 mins</t>
        </is>
      </c>
      <c r="AQ955" s="3" t="inlineStr">
        <is>
          <t>Weight</t>
        </is>
      </c>
      <c r="AT955" s="3" t="inlineStr">
        <is>
          <t>Actvie</t>
        </is>
      </c>
    </row>
    <row r="956" ht="15.75" customHeight="1">
      <c r="A956" s="3" t="inlineStr">
        <is>
          <t>PROD_0208</t>
        </is>
      </c>
      <c r="B956" s="3" t="inlineStr">
        <is>
          <t>VAR_2</t>
        </is>
      </c>
      <c r="C956" s="3" t="inlineStr">
        <is>
          <t>Electrical Material</t>
        </is>
      </c>
      <c r="D956" s="3" t="inlineStr">
        <is>
          <t>Regulator</t>
        </is>
      </c>
      <c r="E956" s="3" t="inlineStr">
        <is>
          <t>Anchor</t>
        </is>
      </c>
      <c r="F956" s="3" t="inlineStr">
        <is>
          <t>Penta White</t>
        </is>
      </c>
      <c r="H956" s="3" t="inlineStr">
        <is>
          <t>Module</t>
        </is>
      </c>
      <c r="I956" s="3" t="inlineStr">
        <is>
          <t>Double</t>
        </is>
      </c>
      <c r="Q956" s="3" t="inlineStr">
        <is>
          <t>Manufacturer's Warranty</t>
        </is>
      </c>
      <c r="R956" s="3" t="n">
        <v>65302</v>
      </c>
      <c r="Y956" s="3" t="inlineStr">
        <is>
          <t>REG_ANCH_PNTWHT_2M</t>
        </is>
      </c>
      <c r="Z956" s="3" t="n">
        <v>8536</v>
      </c>
      <c r="AE956" s="3" t="n">
        <v>405</v>
      </c>
      <c r="AF956" s="4" t="n">
        <v>0.5</v>
      </c>
      <c r="AG956" s="3">
        <f>ROUND(AE956-(AE956*AF956),2)</f>
        <v/>
      </c>
      <c r="AH956" s="4" t="n">
        <v>0.18</v>
      </c>
      <c r="AI956" s="3">
        <f>ROUND(AG956+(AG956*AH956),2)</f>
        <v/>
      </c>
      <c r="AJ956" s="4" t="n">
        <v>0.2</v>
      </c>
      <c r="AK956" s="3">
        <f>ROUND(AI956*AJ956,2)</f>
        <v/>
      </c>
      <c r="AL956" s="3">
        <f>AI956+AK956</f>
        <v/>
      </c>
      <c r="AM956" s="3">
        <f>AE956-AL956</f>
        <v/>
      </c>
      <c r="AN956" s="4">
        <f>AM956/AE956</f>
        <v/>
      </c>
      <c r="AO956" s="3" t="inlineStr">
        <is>
          <t>60 mins</t>
        </is>
      </c>
      <c r="AQ956" s="3" t="inlineStr">
        <is>
          <t>Weight</t>
        </is>
      </c>
      <c r="AT956" s="3" t="inlineStr">
        <is>
          <t>Actvie</t>
        </is>
      </c>
    </row>
    <row r="957" ht="15.75" customHeight="1">
      <c r="A957" s="3" t="inlineStr">
        <is>
          <t>PROD_0209</t>
        </is>
      </c>
      <c r="B957" s="3" t="inlineStr">
        <is>
          <t>VAR_1</t>
        </is>
      </c>
      <c r="C957" s="3" t="inlineStr">
        <is>
          <t>Electrical Material</t>
        </is>
      </c>
      <c r="D957" s="3" t="inlineStr">
        <is>
          <t>Regulator</t>
        </is>
      </c>
      <c r="E957" s="3" t="inlineStr">
        <is>
          <t>Anchor</t>
        </is>
      </c>
      <c r="F957" s="3" t="inlineStr">
        <is>
          <t>Penta Grey</t>
        </is>
      </c>
      <c r="H957" s="3" t="inlineStr">
        <is>
          <t>Module</t>
        </is>
      </c>
      <c r="I957" s="3" t="inlineStr">
        <is>
          <t>Single</t>
        </is>
      </c>
      <c r="Q957" s="3" t="inlineStr">
        <is>
          <t>Manufacturer's Warranty</t>
        </is>
      </c>
      <c r="R957" s="3" t="inlineStr">
        <is>
          <t>65301B</t>
        </is>
      </c>
      <c r="Y957" s="3" t="inlineStr">
        <is>
          <t>REG_ANCH_PNTGRY_1M</t>
        </is>
      </c>
      <c r="Z957" s="3" t="n">
        <v>8536</v>
      </c>
      <c r="AE957" s="3" t="n">
        <v>427</v>
      </c>
      <c r="AF957" s="4" t="n">
        <v>0.5</v>
      </c>
      <c r="AG957" s="3">
        <f>ROUND(AE957-(AE957*AF957),2)</f>
        <v/>
      </c>
      <c r="AH957" s="4" t="n">
        <v>0.18</v>
      </c>
      <c r="AI957" s="3">
        <f>ROUND(AG957+(AG957*AH957),2)</f>
        <v/>
      </c>
      <c r="AJ957" s="4" t="n">
        <v>0.2</v>
      </c>
      <c r="AK957" s="3">
        <f>ROUND(AI957*AJ957,2)</f>
        <v/>
      </c>
      <c r="AL957" s="3">
        <f>AI957+AK957</f>
        <v/>
      </c>
      <c r="AM957" s="3">
        <f>AE957-AL957</f>
        <v/>
      </c>
      <c r="AN957" s="4">
        <f>AM957/AE957</f>
        <v/>
      </c>
      <c r="AO957" s="3" t="inlineStr">
        <is>
          <t>60 mins</t>
        </is>
      </c>
      <c r="AQ957" s="3" t="inlineStr">
        <is>
          <t>Weight</t>
        </is>
      </c>
      <c r="AT957" s="3" t="inlineStr">
        <is>
          <t>Actvie</t>
        </is>
      </c>
    </row>
    <row r="958" ht="15.75" customHeight="1">
      <c r="A958" s="3" t="inlineStr">
        <is>
          <t>PROD_0209</t>
        </is>
      </c>
      <c r="B958" s="3" t="inlineStr">
        <is>
          <t>VAR_2</t>
        </is>
      </c>
      <c r="C958" s="3" t="inlineStr">
        <is>
          <t>Electrical Material</t>
        </is>
      </c>
      <c r="D958" s="3" t="inlineStr">
        <is>
          <t>Regulator</t>
        </is>
      </c>
      <c r="E958" s="3" t="inlineStr">
        <is>
          <t>Anchor</t>
        </is>
      </c>
      <c r="F958" s="3" t="inlineStr">
        <is>
          <t>Penta Grey</t>
        </is>
      </c>
      <c r="H958" s="3" t="inlineStr">
        <is>
          <t>Module</t>
        </is>
      </c>
      <c r="I958" s="3" t="inlineStr">
        <is>
          <t>Double</t>
        </is>
      </c>
      <c r="Q958" s="3" t="inlineStr">
        <is>
          <t>Manufacturer's Warranty</t>
        </is>
      </c>
      <c r="R958" s="3" t="inlineStr">
        <is>
          <t>65302B</t>
        </is>
      </c>
      <c r="Y958" s="3" t="inlineStr">
        <is>
          <t>REG_ANCH_PNTGRY_2M</t>
        </is>
      </c>
      <c r="Z958" s="3" t="n">
        <v>8536</v>
      </c>
      <c r="AE958" s="3" t="n">
        <v>455</v>
      </c>
      <c r="AF958" s="4" t="n">
        <v>0.5</v>
      </c>
      <c r="AG958" s="3">
        <f>ROUND(AE958-(AE958*AF958),2)</f>
        <v/>
      </c>
      <c r="AH958" s="4" t="n">
        <v>0.18</v>
      </c>
      <c r="AI958" s="3">
        <f>ROUND(AG958+(AG958*AH958),2)</f>
        <v/>
      </c>
      <c r="AJ958" s="4" t="n">
        <v>0.2</v>
      </c>
      <c r="AK958" s="3">
        <f>ROUND(AI958*AJ958,2)</f>
        <v/>
      </c>
      <c r="AL958" s="3">
        <f>AI958+AK958</f>
        <v/>
      </c>
      <c r="AM958" s="3">
        <f>AE958-AL958</f>
        <v/>
      </c>
      <c r="AN958" s="4">
        <f>AM958/AE958</f>
        <v/>
      </c>
      <c r="AO958" s="3" t="inlineStr">
        <is>
          <t>60 mins</t>
        </is>
      </c>
      <c r="AQ958" s="3" t="inlineStr">
        <is>
          <t>Weight</t>
        </is>
      </c>
      <c r="AT958" s="3" t="inlineStr">
        <is>
          <t>Actvie</t>
        </is>
      </c>
    </row>
    <row r="959" ht="15.75" customHeight="1">
      <c r="A959" s="15" t="inlineStr">
        <is>
          <t>PROD_0210</t>
        </is>
      </c>
      <c r="B959" s="15" t="inlineStr">
        <is>
          <t>VAR_1</t>
        </is>
      </c>
      <c r="C959" s="15" t="inlineStr">
        <is>
          <t>Electrical Material</t>
        </is>
      </c>
      <c r="D959" s="15" t="inlineStr">
        <is>
          <t>Regulator</t>
        </is>
      </c>
      <c r="E959" s="15" t="inlineStr">
        <is>
          <t>Anchor</t>
        </is>
      </c>
      <c r="F959" s="15" t="inlineStr">
        <is>
          <t>Ziva White</t>
        </is>
      </c>
      <c r="G959" s="15" t="n"/>
      <c r="H959" s="15" t="inlineStr">
        <is>
          <t>Module</t>
        </is>
      </c>
      <c r="I959" s="15" t="inlineStr">
        <is>
          <t>Single</t>
        </is>
      </c>
      <c r="J959" s="15" t="n"/>
      <c r="K959" s="15" t="n"/>
      <c r="L959" s="15" t="n"/>
      <c r="M959" s="15" t="n"/>
      <c r="N959" s="15" t="n"/>
      <c r="O959" s="15" t="n"/>
      <c r="P959" s="15" t="n"/>
      <c r="Q959" s="15" t="inlineStr">
        <is>
          <t>Manufacturer's Warranty</t>
        </is>
      </c>
      <c r="R959" s="15" t="n">
        <v>68301</v>
      </c>
      <c r="S959" s="15" t="n"/>
      <c r="T959" s="15" t="n"/>
      <c r="U959" s="15" t="n"/>
      <c r="V959" s="15" t="n"/>
      <c r="W959" s="15" t="n"/>
      <c r="X959" s="15" t="n"/>
      <c r="Y959" s="15" t="inlineStr">
        <is>
          <t>REG_ANCH_ZVAWHT_1M</t>
        </is>
      </c>
      <c r="Z959" s="15" t="n">
        <v>8536</v>
      </c>
      <c r="AA959" s="15" t="n"/>
      <c r="AB959" s="15" t="n"/>
      <c r="AC959" s="15" t="n"/>
      <c r="AD959" s="15" t="n"/>
      <c r="AE959" s="15" t="n">
        <v>281</v>
      </c>
      <c r="AF959" s="16" t="n">
        <v>0.5</v>
      </c>
      <c r="AG959" s="15">
        <f>ROUND(AE959-(AE959*AF959),2)</f>
        <v/>
      </c>
      <c r="AH959" s="16" t="n">
        <v>0.18</v>
      </c>
      <c r="AI959" s="15">
        <f>ROUND(AG959+(AG959*AH959),2)</f>
        <v/>
      </c>
      <c r="AJ959" s="16" t="n">
        <v>0.2</v>
      </c>
      <c r="AK959" s="15">
        <f>ROUND(AI959*AJ959,2)</f>
        <v/>
      </c>
      <c r="AL959" s="15">
        <f>AI959+AK959</f>
        <v/>
      </c>
      <c r="AM959" s="15">
        <f>AE959-AL959</f>
        <v/>
      </c>
      <c r="AN959" s="16">
        <f>AM959/AE959</f>
        <v/>
      </c>
      <c r="AO959" s="15" t="inlineStr">
        <is>
          <t>60 mins</t>
        </is>
      </c>
      <c r="AP959" s="15" t="n"/>
      <c r="AQ959" s="15" t="inlineStr">
        <is>
          <t>Weight</t>
        </is>
      </c>
      <c r="AR959" s="15" t="n"/>
      <c r="AS959" s="15" t="n"/>
      <c r="AT959" s="3" t="inlineStr">
        <is>
          <t>On Demand</t>
        </is>
      </c>
    </row>
    <row r="960" ht="15.75" customHeight="1">
      <c r="A960" s="15" t="inlineStr">
        <is>
          <t>PROD_0210</t>
        </is>
      </c>
      <c r="B960" s="15" t="inlineStr">
        <is>
          <t>VAR_2</t>
        </is>
      </c>
      <c r="C960" s="15" t="inlineStr">
        <is>
          <t>Electrical Material</t>
        </is>
      </c>
      <c r="D960" s="15" t="inlineStr">
        <is>
          <t>Regulator</t>
        </is>
      </c>
      <c r="E960" s="15" t="inlineStr">
        <is>
          <t>Anchor</t>
        </is>
      </c>
      <c r="F960" s="15" t="inlineStr">
        <is>
          <t>Ziva White</t>
        </is>
      </c>
      <c r="G960" s="15" t="n"/>
      <c r="H960" s="15" t="inlineStr">
        <is>
          <t>Module</t>
        </is>
      </c>
      <c r="I960" s="15" t="inlineStr">
        <is>
          <t>Double</t>
        </is>
      </c>
      <c r="J960" s="15" t="n"/>
      <c r="K960" s="15" t="n"/>
      <c r="L960" s="15" t="n"/>
      <c r="M960" s="15" t="n"/>
      <c r="N960" s="15" t="n"/>
      <c r="O960" s="15" t="n"/>
      <c r="P960" s="15" t="n"/>
      <c r="Q960" s="15" t="inlineStr">
        <is>
          <t>Manufacturer's Warranty</t>
        </is>
      </c>
      <c r="R960" s="15" t="n">
        <v>68302</v>
      </c>
      <c r="S960" s="15" t="n"/>
      <c r="T960" s="15" t="n"/>
      <c r="U960" s="15" t="n"/>
      <c r="V960" s="15" t="n"/>
      <c r="W960" s="15" t="n"/>
      <c r="X960" s="15" t="n"/>
      <c r="Y960" s="15" t="inlineStr">
        <is>
          <t>REG_ANCH_ZVAWHT_2M</t>
        </is>
      </c>
      <c r="Z960" s="15" t="n">
        <v>8536</v>
      </c>
      <c r="AA960" s="15" t="n"/>
      <c r="AB960" s="15" t="n"/>
      <c r="AC960" s="15" t="n"/>
      <c r="AD960" s="15" t="n"/>
      <c r="AE960" s="15" t="n">
        <v>324</v>
      </c>
      <c r="AF960" s="16" t="n">
        <v>0.5</v>
      </c>
      <c r="AG960" s="15">
        <f>ROUND(AE960-(AE960*AF960),2)</f>
        <v/>
      </c>
      <c r="AH960" s="16" t="n">
        <v>0.18</v>
      </c>
      <c r="AI960" s="15">
        <f>ROUND(AG960+(AG960*AH960),2)</f>
        <v/>
      </c>
      <c r="AJ960" s="16" t="n">
        <v>0.2</v>
      </c>
      <c r="AK960" s="15">
        <f>ROUND(AI960*AJ960,2)</f>
        <v/>
      </c>
      <c r="AL960" s="15">
        <f>AI960+AK960</f>
        <v/>
      </c>
      <c r="AM960" s="15">
        <f>AE960-AL960</f>
        <v/>
      </c>
      <c r="AN960" s="16">
        <f>AM960/AE960</f>
        <v/>
      </c>
      <c r="AO960" s="15" t="inlineStr">
        <is>
          <t>60 mins</t>
        </is>
      </c>
      <c r="AP960" s="15" t="n"/>
      <c r="AQ960" s="15" t="inlineStr">
        <is>
          <t>Weight</t>
        </is>
      </c>
      <c r="AR960" s="15" t="n"/>
      <c r="AS960" s="15" t="n"/>
      <c r="AT960" s="3" t="inlineStr">
        <is>
          <t>On Demand</t>
        </is>
      </c>
    </row>
    <row r="961" ht="15.75" customHeight="1">
      <c r="A961" s="15" t="inlineStr">
        <is>
          <t>PROD_0211</t>
        </is>
      </c>
      <c r="B961" s="15" t="inlineStr">
        <is>
          <t>VAR_1</t>
        </is>
      </c>
      <c r="C961" s="15" t="inlineStr">
        <is>
          <t>Electrical Material</t>
        </is>
      </c>
      <c r="D961" s="15" t="inlineStr">
        <is>
          <t>Regulator</t>
        </is>
      </c>
      <c r="E961" s="15" t="inlineStr">
        <is>
          <t>Anchor</t>
        </is>
      </c>
      <c r="F961" s="15" t="inlineStr">
        <is>
          <t>Ziva Grey</t>
        </is>
      </c>
      <c r="G961" s="15" t="n"/>
      <c r="H961" s="15" t="inlineStr">
        <is>
          <t>Module</t>
        </is>
      </c>
      <c r="I961" s="15" t="inlineStr">
        <is>
          <t>Single</t>
        </is>
      </c>
      <c r="J961" s="15" t="n"/>
      <c r="K961" s="15" t="n"/>
      <c r="L961" s="15" t="n"/>
      <c r="M961" s="15" t="n"/>
      <c r="N961" s="15" t="n"/>
      <c r="O961" s="15" t="n"/>
      <c r="P961" s="15" t="n"/>
      <c r="Q961" s="15" t="inlineStr">
        <is>
          <t>Manufacturer's Warranty</t>
        </is>
      </c>
      <c r="R961" s="15" t="n"/>
      <c r="S961" s="15" t="n"/>
      <c r="T961" s="15" t="n"/>
      <c r="U961" s="15" t="n"/>
      <c r="V961" s="15" t="n"/>
      <c r="W961" s="15" t="n"/>
      <c r="X961" s="15" t="n"/>
      <c r="Y961" s="15" t="inlineStr">
        <is>
          <t>REG_ANCH_ZVAGRY_1M</t>
        </is>
      </c>
      <c r="Z961" s="15" t="n">
        <v>8536</v>
      </c>
      <c r="AA961" s="15" t="n"/>
      <c r="AB961" s="15" t="n"/>
      <c r="AC961" s="15" t="n"/>
      <c r="AD961" s="15" t="n"/>
      <c r="AE961" s="15" t="n">
        <v>324</v>
      </c>
      <c r="AF961" s="16" t="n">
        <v>0.5</v>
      </c>
      <c r="AG961" s="15">
        <f>ROUND(AE961-(AE961*AF961),2)</f>
        <v/>
      </c>
      <c r="AH961" s="16" t="n">
        <v>0.18</v>
      </c>
      <c r="AI961" s="15">
        <f>ROUND(AG961+(AG961*AH961),2)</f>
        <v/>
      </c>
      <c r="AJ961" s="16" t="n">
        <v>0.2</v>
      </c>
      <c r="AK961" s="15">
        <f>ROUND(AI961*AJ961,2)</f>
        <v/>
      </c>
      <c r="AL961" s="15">
        <f>AI961+AK961</f>
        <v/>
      </c>
      <c r="AM961" s="15">
        <f>AE961-AL961</f>
        <v/>
      </c>
      <c r="AN961" s="16">
        <f>AM961/AE961</f>
        <v/>
      </c>
      <c r="AO961" s="15" t="inlineStr">
        <is>
          <t>60 mins</t>
        </is>
      </c>
      <c r="AP961" s="15" t="n"/>
      <c r="AQ961" s="15" t="inlineStr">
        <is>
          <t>Weight</t>
        </is>
      </c>
      <c r="AR961" s="15" t="n"/>
      <c r="AS961" s="15" t="n"/>
      <c r="AT961" s="3" t="inlineStr">
        <is>
          <t>On Demand</t>
        </is>
      </c>
    </row>
    <row r="962" ht="15.75" customHeight="1">
      <c r="A962" s="15" t="inlineStr">
        <is>
          <t>PROD_0211</t>
        </is>
      </c>
      <c r="B962" s="15" t="inlineStr">
        <is>
          <t>VAR_2</t>
        </is>
      </c>
      <c r="C962" s="15" t="inlineStr">
        <is>
          <t>Electrical Material</t>
        </is>
      </c>
      <c r="D962" s="15" t="inlineStr">
        <is>
          <t>Regulator</t>
        </is>
      </c>
      <c r="E962" s="15" t="inlineStr">
        <is>
          <t>Anchor</t>
        </is>
      </c>
      <c r="F962" s="15" t="inlineStr">
        <is>
          <t>Ziva Grey</t>
        </is>
      </c>
      <c r="G962" s="15" t="n"/>
      <c r="H962" s="15" t="inlineStr">
        <is>
          <t>Module</t>
        </is>
      </c>
      <c r="I962" s="15" t="inlineStr">
        <is>
          <t>Double</t>
        </is>
      </c>
      <c r="J962" s="15" t="n"/>
      <c r="K962" s="15" t="n"/>
      <c r="L962" s="15" t="n"/>
      <c r="M962" s="15" t="n"/>
      <c r="N962" s="15" t="n"/>
      <c r="O962" s="15" t="n"/>
      <c r="P962" s="15" t="n"/>
      <c r="Q962" s="15" t="inlineStr">
        <is>
          <t>Manufacturer's Warranty</t>
        </is>
      </c>
      <c r="R962" s="15" t="n"/>
      <c r="S962" s="15" t="n"/>
      <c r="T962" s="15" t="n"/>
      <c r="U962" s="15" t="n"/>
      <c r="V962" s="15" t="n"/>
      <c r="W962" s="15" t="n"/>
      <c r="X962" s="15" t="n"/>
      <c r="Y962" s="15" t="inlineStr">
        <is>
          <t>REG_ANCH_ZVAGRY_2M</t>
        </is>
      </c>
      <c r="Z962" s="15" t="n">
        <v>8536</v>
      </c>
      <c r="AA962" s="15" t="n"/>
      <c r="AB962" s="15" t="n"/>
      <c r="AC962" s="15" t="n"/>
      <c r="AD962" s="15" t="n"/>
      <c r="AE962" s="15" t="n">
        <v>324</v>
      </c>
      <c r="AF962" s="16" t="n">
        <v>0.5</v>
      </c>
      <c r="AG962" s="15">
        <f>ROUND(AE962-(AE962*AF962),2)</f>
        <v/>
      </c>
      <c r="AH962" s="16" t="n">
        <v>0.18</v>
      </c>
      <c r="AI962" s="15">
        <f>ROUND(AG962+(AG962*AH962),2)</f>
        <v/>
      </c>
      <c r="AJ962" s="16" t="n">
        <v>0.2</v>
      </c>
      <c r="AK962" s="15">
        <f>ROUND(AI962*AJ962,2)</f>
        <v/>
      </c>
      <c r="AL962" s="15">
        <f>AI962+AK962</f>
        <v/>
      </c>
      <c r="AM962" s="15">
        <f>AE962-AL962</f>
        <v/>
      </c>
      <c r="AN962" s="16">
        <f>AM962/AE962</f>
        <v/>
      </c>
      <c r="AO962" s="15" t="inlineStr">
        <is>
          <t>60 mins</t>
        </is>
      </c>
      <c r="AP962" s="15" t="n"/>
      <c r="AQ962" s="15" t="inlineStr">
        <is>
          <t>Weight</t>
        </is>
      </c>
      <c r="AR962" s="15" t="n"/>
      <c r="AS962" s="15" t="n"/>
      <c r="AT962" s="3" t="inlineStr">
        <is>
          <t>On Demand</t>
        </is>
      </c>
    </row>
    <row r="963" ht="15.75" customHeight="1">
      <c r="A963" s="3" t="inlineStr">
        <is>
          <t>PROD_0212</t>
        </is>
      </c>
      <c r="B963" s="3" t="inlineStr">
        <is>
          <t>VAR_1</t>
        </is>
      </c>
      <c r="C963" s="3" t="inlineStr">
        <is>
          <t>Electrical Material</t>
        </is>
      </c>
      <c r="D963" s="3" t="inlineStr">
        <is>
          <t>Regulator</t>
        </is>
      </c>
      <c r="E963" s="3" t="inlineStr">
        <is>
          <t>Anchor</t>
        </is>
      </c>
      <c r="F963" s="3" t="inlineStr">
        <is>
          <t>Rider/ Regent</t>
        </is>
      </c>
      <c r="H963" s="3" t="inlineStr">
        <is>
          <t>Module</t>
        </is>
      </c>
      <c r="I963" s="3" t="inlineStr">
        <is>
          <t>Single</t>
        </is>
      </c>
      <c r="Q963" s="3" t="inlineStr">
        <is>
          <t>Manufacturer's Warranty</t>
        </is>
      </c>
      <c r="R963" s="3" t="n">
        <v>47513</v>
      </c>
      <c r="Y963" s="3" t="inlineStr">
        <is>
          <t>REG_ANCH_RDR_1M</t>
        </is>
      </c>
      <c r="Z963" s="3" t="n">
        <v>8536</v>
      </c>
      <c r="AE963" s="3" t="n">
        <v>364</v>
      </c>
      <c r="AF963" s="4" t="n">
        <v>0.5</v>
      </c>
      <c r="AG963" s="3">
        <f>ROUND(AE963-(AE963*AF963),2)</f>
        <v/>
      </c>
      <c r="AH963" s="4" t="n">
        <v>0.18</v>
      </c>
      <c r="AI963" s="3">
        <f>ROUND(AG963+(AG963*AH963),2)</f>
        <v/>
      </c>
      <c r="AJ963" s="4" t="n">
        <v>0.2</v>
      </c>
      <c r="AK963" s="3">
        <f>ROUND(AI963*AJ963,2)</f>
        <v/>
      </c>
      <c r="AL963" s="3">
        <f>AI963+AK963</f>
        <v/>
      </c>
      <c r="AM963" s="3">
        <f>AE963-AL963</f>
        <v/>
      </c>
      <c r="AN963" s="4">
        <f>AM963/AE963</f>
        <v/>
      </c>
      <c r="AO963" s="3" t="inlineStr">
        <is>
          <t>60 mins</t>
        </is>
      </c>
      <c r="AQ963" s="3" t="inlineStr">
        <is>
          <t>Weight</t>
        </is>
      </c>
      <c r="AT963" s="3" t="inlineStr">
        <is>
          <t>Actvie</t>
        </is>
      </c>
    </row>
    <row r="964" ht="15.75" customHeight="1">
      <c r="A964" s="3" t="inlineStr">
        <is>
          <t>PROD_0212</t>
        </is>
      </c>
      <c r="B964" s="3" t="inlineStr">
        <is>
          <t>VAR_2</t>
        </is>
      </c>
      <c r="C964" s="3" t="inlineStr">
        <is>
          <t>Electrical Material</t>
        </is>
      </c>
      <c r="D964" s="3" t="inlineStr">
        <is>
          <t>Regulator</t>
        </is>
      </c>
      <c r="E964" s="3" t="inlineStr">
        <is>
          <t>Anchor</t>
        </is>
      </c>
      <c r="F964" s="3" t="inlineStr">
        <is>
          <t>Rider/ Regent</t>
        </is>
      </c>
      <c r="H964" s="3" t="inlineStr">
        <is>
          <t>Module</t>
        </is>
      </c>
      <c r="I964" s="3" t="inlineStr">
        <is>
          <t>Double</t>
        </is>
      </c>
      <c r="Q964" s="3" t="inlineStr">
        <is>
          <t>Manufacturer's Warranty</t>
        </is>
      </c>
      <c r="R964" s="3" t="n">
        <v>47500</v>
      </c>
      <c r="Y964" s="3" t="inlineStr">
        <is>
          <t>REG_ANCH_RDR_2M</t>
        </is>
      </c>
      <c r="Z964" s="3" t="n">
        <v>8536</v>
      </c>
      <c r="AE964" s="3" t="n">
        <v>419</v>
      </c>
      <c r="AF964" s="4" t="n">
        <v>0.5</v>
      </c>
      <c r="AG964" s="3">
        <f>ROUND(AE964-(AE964*AF964),2)</f>
        <v/>
      </c>
      <c r="AH964" s="4" t="n">
        <v>0.18</v>
      </c>
      <c r="AI964" s="3">
        <f>ROUND(AG964+(AG964*AH964),2)</f>
        <v/>
      </c>
      <c r="AJ964" s="4" t="n">
        <v>0.2</v>
      </c>
      <c r="AK964" s="3">
        <f>ROUND(AI964*AJ964,2)</f>
        <v/>
      </c>
      <c r="AL964" s="3">
        <f>AI964+AK964</f>
        <v/>
      </c>
      <c r="AM964" s="3">
        <f>AE964-AL964</f>
        <v/>
      </c>
      <c r="AN964" s="4">
        <f>AM964/AE964</f>
        <v/>
      </c>
      <c r="AO964" s="3" t="inlineStr">
        <is>
          <t>60 mins</t>
        </is>
      </c>
      <c r="AQ964" s="3" t="inlineStr">
        <is>
          <t>Weight</t>
        </is>
      </c>
      <c r="AT964" s="3" t="inlineStr">
        <is>
          <t>Actvie</t>
        </is>
      </c>
    </row>
    <row r="965" ht="15.75" customHeight="1">
      <c r="A965" s="3" t="inlineStr">
        <is>
          <t>PROD_0213</t>
        </is>
      </c>
      <c r="B965" s="3" t="inlineStr">
        <is>
          <t>VAR_1</t>
        </is>
      </c>
      <c r="C965" s="3" t="inlineStr">
        <is>
          <t>Electrical Material</t>
        </is>
      </c>
      <c r="D965" s="3" t="inlineStr">
        <is>
          <t>Regulator</t>
        </is>
      </c>
      <c r="E965" s="3" t="inlineStr">
        <is>
          <t>Legrand</t>
        </is>
      </c>
      <c r="F965" s="3" t="inlineStr">
        <is>
          <t>Myrius</t>
        </is>
      </c>
      <c r="H965" s="3" t="inlineStr">
        <is>
          <t>Module</t>
        </is>
      </c>
      <c r="I965" s="3" t="inlineStr">
        <is>
          <t>Single</t>
        </is>
      </c>
      <c r="Q965" s="3" t="inlineStr">
        <is>
          <t>Manufacturer's Warranty</t>
        </is>
      </c>
      <c r="R965" s="3" t="inlineStr">
        <is>
          <t>6792 39</t>
        </is>
      </c>
      <c r="Y965" s="3" t="inlineStr">
        <is>
          <t>REG_LGRD_MRS_1M_1, REG_LGRD_MRS_1M_2</t>
        </is>
      </c>
      <c r="Z965" s="3" t="n">
        <v>8536</v>
      </c>
      <c r="AE965" s="3" t="n">
        <v>884</v>
      </c>
      <c r="AF965" s="4" t="n">
        <v>0.5</v>
      </c>
      <c r="AG965" s="3">
        <f>ROUND(AE965-(AE965*AF965),2)</f>
        <v/>
      </c>
      <c r="AH965" s="4" t="n">
        <v>0.18</v>
      </c>
      <c r="AI965" s="3">
        <f>ROUND(AG965+(AG965*AH965),2)</f>
        <v/>
      </c>
      <c r="AJ965" s="4" t="n">
        <v>0.2</v>
      </c>
      <c r="AK965" s="3">
        <f>ROUND(AI965*AJ965,2)</f>
        <v/>
      </c>
      <c r="AL965" s="3">
        <f>AI965+AK965</f>
        <v/>
      </c>
      <c r="AM965" s="3">
        <f>AE965-AL965</f>
        <v/>
      </c>
      <c r="AN965" s="4">
        <f>AM965/AE965</f>
        <v/>
      </c>
      <c r="AO965" s="3" t="inlineStr">
        <is>
          <t>60 mins</t>
        </is>
      </c>
      <c r="AQ965" s="3" t="inlineStr">
        <is>
          <t>Weight</t>
        </is>
      </c>
      <c r="AT965" s="3" t="inlineStr">
        <is>
          <t>Actvie</t>
        </is>
      </c>
    </row>
    <row r="966" ht="15.75" customHeight="1">
      <c r="A966" s="3" t="inlineStr">
        <is>
          <t>PROD_0213</t>
        </is>
      </c>
      <c r="B966" s="3" t="inlineStr">
        <is>
          <t>VAR_2</t>
        </is>
      </c>
      <c r="C966" s="3" t="inlineStr">
        <is>
          <t>Electrical Material</t>
        </is>
      </c>
      <c r="D966" s="3" t="inlineStr">
        <is>
          <t>Regulator</t>
        </is>
      </c>
      <c r="E966" s="3" t="inlineStr">
        <is>
          <t>Legrand</t>
        </is>
      </c>
      <c r="F966" s="3" t="inlineStr">
        <is>
          <t>Myrius</t>
        </is>
      </c>
      <c r="H966" s="3" t="inlineStr">
        <is>
          <t>Module</t>
        </is>
      </c>
      <c r="I966" s="3" t="inlineStr">
        <is>
          <t>Double</t>
        </is>
      </c>
      <c r="Q966" s="3" t="inlineStr">
        <is>
          <t>Manufacturer's Warranty</t>
        </is>
      </c>
      <c r="R966" s="3" t="inlineStr">
        <is>
          <t>6792 40</t>
        </is>
      </c>
      <c r="Y966" s="3" t="inlineStr">
        <is>
          <t>REG_LGRD_MRS_2M_1, REG_LGRD_MRS_2M_2</t>
        </is>
      </c>
      <c r="Z966" s="3" t="n">
        <v>8536</v>
      </c>
      <c r="AE966" s="3" t="n">
        <v>1012</v>
      </c>
      <c r="AF966" s="4" t="n">
        <v>0.5</v>
      </c>
      <c r="AG966" s="3">
        <f>ROUND(AE966-(AE966*AF966),2)</f>
        <v/>
      </c>
      <c r="AH966" s="4" t="n">
        <v>0.18</v>
      </c>
      <c r="AI966" s="3">
        <f>ROUND(AG966+(AG966*AH966),2)</f>
        <v/>
      </c>
      <c r="AJ966" s="4" t="n">
        <v>0.2</v>
      </c>
      <c r="AK966" s="3">
        <f>ROUND(AI966*AJ966,2)</f>
        <v/>
      </c>
      <c r="AL966" s="3">
        <f>AI966+AK966</f>
        <v/>
      </c>
      <c r="AM966" s="3">
        <f>AE966-AL966</f>
        <v/>
      </c>
      <c r="AN966" s="4">
        <f>AM966/AE966</f>
        <v/>
      </c>
      <c r="AO966" s="3" t="inlineStr">
        <is>
          <t>60 mins</t>
        </is>
      </c>
      <c r="AQ966" s="3" t="inlineStr">
        <is>
          <t>Weight</t>
        </is>
      </c>
      <c r="AT966" s="3" t="inlineStr">
        <is>
          <t>Actvie</t>
        </is>
      </c>
    </row>
    <row r="967" ht="15.75" customHeight="1">
      <c r="A967" s="3" t="inlineStr">
        <is>
          <t>PROD_0214</t>
        </is>
      </c>
      <c r="B967" s="3" t="inlineStr">
        <is>
          <t>VAR_1</t>
        </is>
      </c>
      <c r="C967" s="3" t="inlineStr">
        <is>
          <t>Electrical Material</t>
        </is>
      </c>
      <c r="D967" s="3" t="inlineStr">
        <is>
          <t>Regulator</t>
        </is>
      </c>
      <c r="E967" s="3" t="inlineStr">
        <is>
          <t>North West</t>
        </is>
      </c>
      <c r="F967" s="3" t="inlineStr">
        <is>
          <t>Stylus Plus</t>
        </is>
      </c>
      <c r="H967" s="3" t="inlineStr">
        <is>
          <t>Module</t>
        </is>
      </c>
      <c r="I967" s="3" t="inlineStr">
        <is>
          <t>Single</t>
        </is>
      </c>
      <c r="Q967" s="3" t="inlineStr">
        <is>
          <t>Manufacturer's Warranty</t>
        </is>
      </c>
      <c r="R967" s="3" t="inlineStr">
        <is>
          <t>M1700-PLUS</t>
        </is>
      </c>
      <c r="Y967" s="3" t="inlineStr">
        <is>
          <t>REG_NRWS_STL_1M</t>
        </is>
      </c>
      <c r="Z967" s="3" t="n">
        <v>8536</v>
      </c>
      <c r="AE967" s="3" t="n">
        <v>710</v>
      </c>
      <c r="AF967" s="4" t="n">
        <v>0.5</v>
      </c>
      <c r="AG967" s="3">
        <f>ROUND(AE967-(AE967*AF967),2)</f>
        <v/>
      </c>
      <c r="AH967" s="4" t="n">
        <v>0.18</v>
      </c>
      <c r="AI967" s="3">
        <f>ROUND(AG967+(AG967*AH967),2)</f>
        <v/>
      </c>
      <c r="AJ967" s="4" t="n">
        <v>0.2</v>
      </c>
      <c r="AK967" s="3">
        <f>ROUND(AI967*AJ967,2)</f>
        <v/>
      </c>
      <c r="AL967" s="3">
        <f>AI967+AK967</f>
        <v/>
      </c>
      <c r="AM967" s="3">
        <f>AE967-AL967</f>
        <v/>
      </c>
      <c r="AN967" s="4">
        <f>AM967/AE967</f>
        <v/>
      </c>
      <c r="AO967" s="3" t="inlineStr">
        <is>
          <t>60 mins</t>
        </is>
      </c>
      <c r="AQ967" s="3" t="inlineStr">
        <is>
          <t>Weight</t>
        </is>
      </c>
      <c r="AT967" s="3" t="inlineStr">
        <is>
          <t>Actvie</t>
        </is>
      </c>
    </row>
    <row r="968" ht="15.75" customHeight="1">
      <c r="A968" s="3" t="inlineStr">
        <is>
          <t>PROD_0214</t>
        </is>
      </c>
      <c r="B968" s="3" t="inlineStr">
        <is>
          <t>VAR_2</t>
        </is>
      </c>
      <c r="C968" s="3" t="inlineStr">
        <is>
          <t>Electrical Material</t>
        </is>
      </c>
      <c r="D968" s="3" t="inlineStr">
        <is>
          <t>Regulator</t>
        </is>
      </c>
      <c r="E968" s="3" t="inlineStr">
        <is>
          <t>North West</t>
        </is>
      </c>
      <c r="F968" s="3" t="inlineStr">
        <is>
          <t>Stylus Plus</t>
        </is>
      </c>
      <c r="H968" s="3" t="inlineStr">
        <is>
          <t>Module</t>
        </is>
      </c>
      <c r="I968" s="3" t="inlineStr">
        <is>
          <t>Double</t>
        </is>
      </c>
      <c r="Q968" s="3" t="inlineStr">
        <is>
          <t>Manufacturer's Warranty</t>
        </is>
      </c>
      <c r="R968" s="3" t="inlineStr">
        <is>
          <t>M1900-PLUS</t>
        </is>
      </c>
      <c r="Y968" s="3" t="inlineStr">
        <is>
          <t>REG_NRWS_STL_2M</t>
        </is>
      </c>
      <c r="Z968" s="3" t="n">
        <v>8536</v>
      </c>
      <c r="AE968" s="3" t="n">
        <v>965</v>
      </c>
      <c r="AF968" s="4" t="n">
        <v>0.5</v>
      </c>
      <c r="AG968" s="3">
        <f>ROUND(AE968-(AE968*AF968),2)</f>
        <v/>
      </c>
      <c r="AH968" s="4" t="n">
        <v>0.18</v>
      </c>
      <c r="AI968" s="3">
        <f>ROUND(AG968+(AG968*AH968),2)</f>
        <v/>
      </c>
      <c r="AJ968" s="4" t="n">
        <v>0.2</v>
      </c>
      <c r="AK968" s="3">
        <f>ROUND(AI968*AJ968,2)</f>
        <v/>
      </c>
      <c r="AL968" s="3">
        <f>AI968+AK968</f>
        <v/>
      </c>
      <c r="AM968" s="3">
        <f>AE968-AL968</f>
        <v/>
      </c>
      <c r="AN968" s="4">
        <f>AM968/AE968</f>
        <v/>
      </c>
      <c r="AO968" s="3" t="inlineStr">
        <is>
          <t>60 mins</t>
        </is>
      </c>
      <c r="AQ968" s="3" t="inlineStr">
        <is>
          <t>Weight</t>
        </is>
      </c>
      <c r="AT968" s="3" t="inlineStr">
        <is>
          <t>Actvie</t>
        </is>
      </c>
    </row>
    <row r="969" ht="15.75" customHeight="1">
      <c r="A969" s="3" t="inlineStr">
        <is>
          <t>PROD_0215</t>
        </is>
      </c>
      <c r="B969" s="3" t="inlineStr">
        <is>
          <t>VAR_1</t>
        </is>
      </c>
      <c r="C969" s="3" t="inlineStr">
        <is>
          <t>Electrical Material</t>
        </is>
      </c>
      <c r="D969" s="3" t="inlineStr">
        <is>
          <t>Regulator</t>
        </is>
      </c>
      <c r="E969" s="3" t="inlineStr">
        <is>
          <t>Crabtree</t>
        </is>
      </c>
      <c r="F969" s="3" t="inlineStr">
        <is>
          <t>Verona</t>
        </is>
      </c>
      <c r="H969" s="3" t="inlineStr">
        <is>
          <t>Module</t>
        </is>
      </c>
      <c r="I969" s="3" t="inlineStr">
        <is>
          <t>Single</t>
        </is>
      </c>
      <c r="Q969" s="3" t="inlineStr">
        <is>
          <t>Manufacturer's Warranty</t>
        </is>
      </c>
      <c r="R969" s="3" t="inlineStr">
        <is>
          <t>ACVRFXB004</t>
        </is>
      </c>
      <c r="Y969" s="3" t="inlineStr">
        <is>
          <t>REG_CRB_VRN_1M</t>
        </is>
      </c>
      <c r="Z969" s="3" t="n">
        <v>8536</v>
      </c>
      <c r="AE969" s="3" t="n">
        <v>524</v>
      </c>
      <c r="AF969" s="4" t="n">
        <v>0.5</v>
      </c>
      <c r="AG969" s="3">
        <f>ROUND(AE969-(AE969*AF969),2)</f>
        <v/>
      </c>
      <c r="AH969" s="4" t="n">
        <v>0.18</v>
      </c>
      <c r="AI969" s="3">
        <f>ROUND(AG969+(AG969*AH969),2)</f>
        <v/>
      </c>
      <c r="AJ969" s="4" t="n">
        <v>0.2</v>
      </c>
      <c r="AK969" s="3">
        <f>ROUND(AI969*AJ969,2)</f>
        <v/>
      </c>
      <c r="AL969" s="3">
        <f>AI969+AK969</f>
        <v/>
      </c>
      <c r="AM969" s="3">
        <f>AE969-AL969</f>
        <v/>
      </c>
      <c r="AN969" s="4">
        <f>AM969/AE969</f>
        <v/>
      </c>
      <c r="AO969" s="3" t="inlineStr">
        <is>
          <t>60 mins</t>
        </is>
      </c>
      <c r="AQ969" s="3" t="inlineStr">
        <is>
          <t>Weight</t>
        </is>
      </c>
      <c r="AT969" s="3" t="inlineStr">
        <is>
          <t>Actvie</t>
        </is>
      </c>
    </row>
    <row r="970" ht="15.75" customHeight="1">
      <c r="A970" s="3" t="inlineStr">
        <is>
          <t>PROD_0215</t>
        </is>
      </c>
      <c r="B970" s="3" t="inlineStr">
        <is>
          <t>VAR_2</t>
        </is>
      </c>
      <c r="C970" s="3" t="inlineStr">
        <is>
          <t>Electrical Material</t>
        </is>
      </c>
      <c r="D970" s="3" t="inlineStr">
        <is>
          <t>Regulator</t>
        </is>
      </c>
      <c r="E970" s="3" t="inlineStr">
        <is>
          <t>Crabtree</t>
        </is>
      </c>
      <c r="F970" s="3" t="inlineStr">
        <is>
          <t>Verona</t>
        </is>
      </c>
      <c r="H970" s="3" t="inlineStr">
        <is>
          <t>Module</t>
        </is>
      </c>
      <c r="I970" s="3" t="inlineStr">
        <is>
          <t>Double</t>
        </is>
      </c>
      <c r="Q970" s="3" t="inlineStr">
        <is>
          <t>Manufacturer's Warranty</t>
        </is>
      </c>
      <c r="R970" s="3" t="inlineStr">
        <is>
          <t>ACVRFHW008</t>
        </is>
      </c>
      <c r="Y970" s="3" t="inlineStr">
        <is>
          <t>REG_CRB_VRN_2M</t>
        </is>
      </c>
      <c r="Z970" s="3" t="n">
        <v>8536</v>
      </c>
      <c r="AE970" s="3" t="n">
        <v>597</v>
      </c>
      <c r="AF970" s="4" t="n">
        <v>0.5</v>
      </c>
      <c r="AG970" s="3">
        <f>ROUND(AE970-(AE970*AF970),2)</f>
        <v/>
      </c>
      <c r="AH970" s="4" t="n">
        <v>0.18</v>
      </c>
      <c r="AI970" s="3">
        <f>ROUND(AG970+(AG970*AH970),2)</f>
        <v/>
      </c>
      <c r="AJ970" s="4" t="n">
        <v>0.2</v>
      </c>
      <c r="AK970" s="3">
        <f>ROUND(AI970*AJ970,2)</f>
        <v/>
      </c>
      <c r="AL970" s="3">
        <f>AI970+AK970</f>
        <v/>
      </c>
      <c r="AM970" s="3">
        <f>AE970-AL970</f>
        <v/>
      </c>
      <c r="AN970" s="4">
        <f>AM970/AE970</f>
        <v/>
      </c>
      <c r="AO970" s="3" t="inlineStr">
        <is>
          <t>60 mins</t>
        </is>
      </c>
      <c r="AQ970" s="3" t="inlineStr">
        <is>
          <t>Weight</t>
        </is>
      </c>
      <c r="AT970" s="3" t="inlineStr">
        <is>
          <t>Actvie</t>
        </is>
      </c>
    </row>
    <row r="971" ht="15.75" customHeight="1">
      <c r="A971" s="3" t="inlineStr">
        <is>
          <t>PROD_0216</t>
        </is>
      </c>
      <c r="B971" s="3" t="inlineStr">
        <is>
          <t>VAR_1</t>
        </is>
      </c>
      <c r="C971" s="3" t="inlineStr">
        <is>
          <t>Electrical Material</t>
        </is>
      </c>
      <c r="D971" s="3" t="inlineStr">
        <is>
          <t>Regulator</t>
        </is>
      </c>
      <c r="E971" s="3" t="inlineStr">
        <is>
          <t>Havells Reo</t>
        </is>
      </c>
      <c r="F971" s="3" t="inlineStr">
        <is>
          <t>Bliss White</t>
        </is>
      </c>
      <c r="H971" s="3" t="inlineStr">
        <is>
          <t>Module</t>
        </is>
      </c>
      <c r="I971" s="3" t="inlineStr">
        <is>
          <t>Single</t>
        </is>
      </c>
      <c r="Q971" s="3" t="inlineStr">
        <is>
          <t>Manufacturer's Warranty</t>
        </is>
      </c>
      <c r="R971" s="3" t="inlineStr">
        <is>
          <t>AHBRFXW001</t>
        </is>
      </c>
      <c r="Y971" s="3" t="inlineStr">
        <is>
          <t>REG_HVL_REO_BLSWHT_1M</t>
        </is>
      </c>
      <c r="Z971" s="3" t="n">
        <v>8536</v>
      </c>
      <c r="AE971" s="3" t="n">
        <v>273</v>
      </c>
      <c r="AF971" s="4" t="n">
        <v>0.5</v>
      </c>
      <c r="AG971" s="3">
        <f>ROUND(AE971-(AE971*AF971),2)</f>
        <v/>
      </c>
      <c r="AH971" s="4" t="n">
        <v>0.18</v>
      </c>
      <c r="AI971" s="3">
        <f>ROUND(AG971+(AG971*AH971),2)</f>
        <v/>
      </c>
      <c r="AJ971" s="4" t="n">
        <v>0.2</v>
      </c>
      <c r="AK971" s="3">
        <f>ROUND(AI971*AJ971,2)</f>
        <v/>
      </c>
      <c r="AL971" s="3">
        <f>AI971+AK971</f>
        <v/>
      </c>
      <c r="AM971" s="3">
        <f>AE971-AL971</f>
        <v/>
      </c>
      <c r="AN971" s="4">
        <f>AM971/AE971</f>
        <v/>
      </c>
      <c r="AO971" s="3" t="inlineStr">
        <is>
          <t>60 mins</t>
        </is>
      </c>
      <c r="AQ971" s="3" t="inlineStr">
        <is>
          <t>Weight</t>
        </is>
      </c>
      <c r="AT971" s="3" t="inlineStr">
        <is>
          <t>Active</t>
        </is>
      </c>
    </row>
    <row r="972" ht="15.75" customHeight="1">
      <c r="A972" s="3" t="inlineStr">
        <is>
          <t>PROD_0216</t>
        </is>
      </c>
      <c r="B972" s="3" t="inlineStr">
        <is>
          <t>VAR_2</t>
        </is>
      </c>
      <c r="C972" s="3" t="inlineStr">
        <is>
          <t>Electrical Material</t>
        </is>
      </c>
      <c r="D972" s="3" t="inlineStr">
        <is>
          <t>Regulator</t>
        </is>
      </c>
      <c r="E972" s="3" t="inlineStr">
        <is>
          <t>Havells Reo</t>
        </is>
      </c>
      <c r="F972" s="3" t="inlineStr">
        <is>
          <t>Bliss White</t>
        </is>
      </c>
      <c r="H972" s="3" t="inlineStr">
        <is>
          <t>Module</t>
        </is>
      </c>
      <c r="I972" s="3" t="inlineStr">
        <is>
          <t>Double</t>
        </is>
      </c>
      <c r="Q972" s="3" t="inlineStr">
        <is>
          <t>Manufacturer's Warranty</t>
        </is>
      </c>
      <c r="R972" s="3" t="inlineStr">
        <is>
          <t>AHBRFXW002</t>
        </is>
      </c>
      <c r="Y972" s="3" t="inlineStr">
        <is>
          <t>REG_HVL_REO_BLSWHT_2M</t>
        </is>
      </c>
      <c r="Z972" s="3" t="n">
        <v>8536</v>
      </c>
      <c r="AE972" s="3" t="n">
        <v>316</v>
      </c>
      <c r="AF972" s="4" t="n">
        <v>0.5</v>
      </c>
      <c r="AG972" s="3">
        <f>ROUND(AE972-(AE972*AF972),2)</f>
        <v/>
      </c>
      <c r="AH972" s="4" t="n">
        <v>0.18</v>
      </c>
      <c r="AI972" s="3">
        <f>ROUND(AG972+(AG972*AH972),2)</f>
        <v/>
      </c>
      <c r="AJ972" s="4" t="n">
        <v>0.2</v>
      </c>
      <c r="AK972" s="3">
        <f>ROUND(AI972*AJ972,2)</f>
        <v/>
      </c>
      <c r="AL972" s="3">
        <f>AI972+AK972</f>
        <v/>
      </c>
      <c r="AM972" s="3">
        <f>AE972-AL972</f>
        <v/>
      </c>
      <c r="AN972" s="4">
        <f>AM972/AE972</f>
        <v/>
      </c>
      <c r="AO972" s="3" t="inlineStr">
        <is>
          <t>60 mins</t>
        </is>
      </c>
      <c r="AQ972" s="3" t="inlineStr">
        <is>
          <t>Weight</t>
        </is>
      </c>
      <c r="AT972" s="3" t="inlineStr">
        <is>
          <t>Active</t>
        </is>
      </c>
    </row>
    <row r="973" ht="15.75" customHeight="1">
      <c r="A973" s="3" t="inlineStr">
        <is>
          <t>PROD_0217</t>
        </is>
      </c>
      <c r="B973" s="3" t="inlineStr">
        <is>
          <t>VAR_1</t>
        </is>
      </c>
      <c r="C973" s="3" t="inlineStr">
        <is>
          <t>Electrical Material</t>
        </is>
      </c>
      <c r="D973" s="3" t="inlineStr">
        <is>
          <t>Regulator</t>
        </is>
      </c>
      <c r="E973" s="3" t="inlineStr">
        <is>
          <t>Havells Reo</t>
        </is>
      </c>
      <c r="F973" s="3" t="inlineStr">
        <is>
          <t>Bliss Ash Grey</t>
        </is>
      </c>
      <c r="H973" s="3" t="inlineStr">
        <is>
          <t>Module</t>
        </is>
      </c>
      <c r="I973" s="3" t="inlineStr">
        <is>
          <t>Single</t>
        </is>
      </c>
      <c r="Q973" s="3" t="inlineStr">
        <is>
          <t>Manufacturer's Warranty</t>
        </is>
      </c>
      <c r="R973" s="3" t="inlineStr">
        <is>
          <t>AHBRFXG001</t>
        </is>
      </c>
      <c r="Y973" s="3" t="inlineStr">
        <is>
          <t>REG_HVL_REO_BLSASHGRY_1M</t>
        </is>
      </c>
      <c r="Z973" s="3" t="n">
        <v>8536</v>
      </c>
      <c r="AE973" s="3" t="n">
        <v>290</v>
      </c>
      <c r="AF973" s="4" t="n">
        <v>0.5</v>
      </c>
      <c r="AG973" s="3">
        <f>ROUND(AE973-(AE973*AF973),2)</f>
        <v/>
      </c>
      <c r="AH973" s="4" t="n">
        <v>0.18</v>
      </c>
      <c r="AI973" s="3">
        <f>ROUND(AG973+(AG973*AH973),2)</f>
        <v/>
      </c>
      <c r="AJ973" s="4" t="n">
        <v>0.2</v>
      </c>
      <c r="AK973" s="3">
        <f>ROUND(AI973*AJ973,2)</f>
        <v/>
      </c>
      <c r="AL973" s="3">
        <f>AI973+AK973</f>
        <v/>
      </c>
      <c r="AM973" s="3">
        <f>AE973-AL973</f>
        <v/>
      </c>
      <c r="AN973" s="4">
        <f>AM973/AE973</f>
        <v/>
      </c>
      <c r="AO973" s="3" t="inlineStr">
        <is>
          <t>60 mins</t>
        </is>
      </c>
      <c r="AQ973" s="3" t="inlineStr">
        <is>
          <t>Weight</t>
        </is>
      </c>
      <c r="AT973" s="3" t="inlineStr">
        <is>
          <t>Active</t>
        </is>
      </c>
    </row>
    <row r="974" ht="15.75" customHeight="1">
      <c r="A974" s="3" t="inlineStr">
        <is>
          <t>PROD_0217</t>
        </is>
      </c>
      <c r="B974" s="3" t="inlineStr">
        <is>
          <t>VAR_2</t>
        </is>
      </c>
      <c r="C974" s="3" t="inlineStr">
        <is>
          <t>Electrical Material</t>
        </is>
      </c>
      <c r="D974" s="3" t="inlineStr">
        <is>
          <t>Regulator</t>
        </is>
      </c>
      <c r="E974" s="3" t="inlineStr">
        <is>
          <t>Havells Reo</t>
        </is>
      </c>
      <c r="F974" s="3" t="inlineStr">
        <is>
          <t>Bliss Ash Grey</t>
        </is>
      </c>
      <c r="H974" s="3" t="inlineStr">
        <is>
          <t>Module</t>
        </is>
      </c>
      <c r="I974" s="3" t="inlineStr">
        <is>
          <t>Double</t>
        </is>
      </c>
      <c r="Q974" s="3" t="inlineStr">
        <is>
          <t>Manufacturer's Warranty</t>
        </is>
      </c>
      <c r="R974" s="3" t="inlineStr">
        <is>
          <t>AHBRFXG002</t>
        </is>
      </c>
      <c r="Y974" s="3" t="inlineStr">
        <is>
          <t>REG_HVL_REO_BLSASHGRY_2M</t>
        </is>
      </c>
      <c r="Z974" s="3" t="n">
        <v>8536</v>
      </c>
      <c r="AE974" s="3" t="n">
        <v>331</v>
      </c>
      <c r="AF974" s="4" t="n">
        <v>0.5</v>
      </c>
      <c r="AG974" s="3">
        <f>ROUND(AE974-(AE974*AF974),2)</f>
        <v/>
      </c>
      <c r="AH974" s="4" t="n">
        <v>0.18</v>
      </c>
      <c r="AI974" s="3">
        <f>ROUND(AG974+(AG974*AH974),2)</f>
        <v/>
      </c>
      <c r="AJ974" s="4" t="n">
        <v>0.2</v>
      </c>
      <c r="AK974" s="3">
        <f>ROUND(AI974*AJ974,2)</f>
        <v/>
      </c>
      <c r="AL974" s="3">
        <f>AI974+AK974</f>
        <v/>
      </c>
      <c r="AM974" s="3">
        <f>AE974-AL974</f>
        <v/>
      </c>
      <c r="AN974" s="4">
        <f>AM974/AE974</f>
        <v/>
      </c>
      <c r="AO974" s="3" t="inlineStr">
        <is>
          <t>60 mins</t>
        </is>
      </c>
      <c r="AQ974" s="3" t="inlineStr">
        <is>
          <t>Weight</t>
        </is>
      </c>
      <c r="AT974" s="3" t="inlineStr">
        <is>
          <t>Active</t>
        </is>
      </c>
    </row>
    <row r="975" ht="15.75" customHeight="1">
      <c r="A975" s="3" t="inlineStr">
        <is>
          <t>PROD_0218</t>
        </is>
      </c>
      <c r="B975" s="3" t="inlineStr">
        <is>
          <t>VAR_1</t>
        </is>
      </c>
      <c r="C975" s="3" t="inlineStr">
        <is>
          <t>Electrical Material</t>
        </is>
      </c>
      <c r="D975" s="3" t="inlineStr">
        <is>
          <t>Regulator</t>
        </is>
      </c>
      <c r="E975" s="3" t="inlineStr">
        <is>
          <t>Schneider</t>
        </is>
      </c>
      <c r="F975" s="3" t="inlineStr">
        <is>
          <t>Livia</t>
        </is>
      </c>
      <c r="H975" s="3" t="inlineStr">
        <is>
          <t>Module</t>
        </is>
      </c>
      <c r="I975" s="3" t="inlineStr">
        <is>
          <t>Single</t>
        </is>
      </c>
      <c r="Q975" s="3" t="inlineStr">
        <is>
          <t>Manufacturer's Warranty</t>
        </is>
      </c>
      <c r="R975" s="3" t="inlineStr">
        <is>
          <t>P3100</t>
        </is>
      </c>
      <c r="Y975" s="3" t="inlineStr">
        <is>
          <t>REG_SCH_LIVA_1M</t>
        </is>
      </c>
      <c r="Z975" s="3" t="n">
        <v>8536</v>
      </c>
      <c r="AE975" s="3" t="n">
        <v>788</v>
      </c>
      <c r="AF975" s="4" t="n">
        <v>0.5</v>
      </c>
      <c r="AG975" s="3">
        <f>ROUND(AE975-(AE975*AF975),2)</f>
        <v/>
      </c>
      <c r="AH975" s="4" t="n">
        <v>0.18</v>
      </c>
      <c r="AI975" s="3">
        <f>ROUND(AG975+(AG975*AH975),2)</f>
        <v/>
      </c>
      <c r="AJ975" s="4" t="n">
        <v>0.2</v>
      </c>
      <c r="AK975" s="3">
        <f>ROUND(AI975*AJ975,2)</f>
        <v/>
      </c>
      <c r="AL975" s="3">
        <f>AI975+AK975</f>
        <v/>
      </c>
      <c r="AM975" s="3">
        <f>AE975-AL975</f>
        <v/>
      </c>
      <c r="AN975" s="4">
        <f>AM975/AE975</f>
        <v/>
      </c>
      <c r="AO975" s="3" t="inlineStr">
        <is>
          <t>60 mins</t>
        </is>
      </c>
      <c r="AQ975" s="3" t="inlineStr">
        <is>
          <t>Weight</t>
        </is>
      </c>
      <c r="AT975" s="3" t="inlineStr">
        <is>
          <t>Active</t>
        </is>
      </c>
    </row>
    <row r="976" ht="15.75" customHeight="1">
      <c r="A976" s="3" t="inlineStr">
        <is>
          <t>PROD_0218</t>
        </is>
      </c>
      <c r="B976" s="3" t="inlineStr">
        <is>
          <t>VAR_2</t>
        </is>
      </c>
      <c r="C976" s="3" t="inlineStr">
        <is>
          <t>Electrical Material</t>
        </is>
      </c>
      <c r="D976" s="3" t="inlineStr">
        <is>
          <t>Regulator</t>
        </is>
      </c>
      <c r="E976" s="3" t="inlineStr">
        <is>
          <t>Schneider</t>
        </is>
      </c>
      <c r="F976" s="3" t="inlineStr">
        <is>
          <t>Livia</t>
        </is>
      </c>
      <c r="H976" s="3" t="inlineStr">
        <is>
          <t>Module</t>
        </is>
      </c>
      <c r="I976" s="3" t="inlineStr">
        <is>
          <t>Double</t>
        </is>
      </c>
      <c r="Q976" s="3" t="inlineStr">
        <is>
          <t>Manufacturer's Warranty</t>
        </is>
      </c>
      <c r="R976" s="3" t="inlineStr">
        <is>
          <t>P3200</t>
        </is>
      </c>
      <c r="Y976" s="3" t="inlineStr">
        <is>
          <t>REG_SCH_LIVA_2M</t>
        </is>
      </c>
      <c r="Z976" s="3" t="n">
        <v>8536</v>
      </c>
      <c r="AE976" s="3" t="n">
        <v>916</v>
      </c>
      <c r="AF976" s="4" t="n">
        <v>0.5</v>
      </c>
      <c r="AG976" s="3">
        <f>ROUND(AE976-(AE976*AF976),2)</f>
        <v/>
      </c>
      <c r="AH976" s="4" t="n">
        <v>0.18</v>
      </c>
      <c r="AI976" s="3">
        <f>ROUND(AG976+(AG976*AH976),2)</f>
        <v/>
      </c>
      <c r="AJ976" s="4" t="n">
        <v>0.2</v>
      </c>
      <c r="AK976" s="3">
        <f>ROUND(AI976*AJ976,2)</f>
        <v/>
      </c>
      <c r="AL976" s="3">
        <f>AI976+AK976</f>
        <v/>
      </c>
      <c r="AM976" s="3">
        <f>AE976-AL976</f>
        <v/>
      </c>
      <c r="AN976" s="4">
        <f>AM976/AE976</f>
        <v/>
      </c>
      <c r="AO976" s="3" t="inlineStr">
        <is>
          <t>60 mins</t>
        </is>
      </c>
      <c r="AQ976" s="3" t="inlineStr">
        <is>
          <t>Weight</t>
        </is>
      </c>
      <c r="AT976" s="3" t="inlineStr">
        <is>
          <t>Active</t>
        </is>
      </c>
    </row>
    <row r="977" ht="15.75" customHeight="1">
      <c r="A977" s="15" t="inlineStr">
        <is>
          <t>PROD_0219</t>
        </is>
      </c>
      <c r="B977" s="15" t="inlineStr">
        <is>
          <t>VAR_1</t>
        </is>
      </c>
      <c r="C977" s="15" t="inlineStr">
        <is>
          <t>Electrical Material</t>
        </is>
      </c>
      <c r="D977" s="15" t="inlineStr">
        <is>
          <t>Sockets</t>
        </is>
      </c>
      <c r="E977" s="15" t="inlineStr">
        <is>
          <t>ABB</t>
        </is>
      </c>
      <c r="F977" s="15" t="inlineStr">
        <is>
          <t>Adiya White</t>
        </is>
      </c>
      <c r="G977" s="15" t="n"/>
      <c r="H977" s="15" t="inlineStr">
        <is>
          <t>Module</t>
        </is>
      </c>
      <c r="I977" s="15" t="inlineStr">
        <is>
          <t>Single</t>
        </is>
      </c>
      <c r="J977" s="15" t="inlineStr">
        <is>
          <t>Amperage</t>
        </is>
      </c>
      <c r="K977" s="15" t="inlineStr">
        <is>
          <t>6 A</t>
        </is>
      </c>
      <c r="L977" s="15" t="n"/>
      <c r="M977" s="15" t="n"/>
      <c r="N977" s="15" t="n"/>
      <c r="O977" s="15" t="n"/>
      <c r="P977" s="15" t="n"/>
      <c r="Q977" s="15" t="inlineStr">
        <is>
          <t>Manufacturer's Warranty</t>
        </is>
      </c>
      <c r="R977" s="15" t="inlineStr">
        <is>
          <t>1SYK100001A1327</t>
        </is>
      </c>
      <c r="S977" s="15" t="n"/>
      <c r="T977" s="15" t="n"/>
      <c r="U977" s="15" t="n"/>
      <c r="V977" s="15" t="n"/>
      <c r="W977" s="15" t="n"/>
      <c r="X977" s="15" t="n"/>
      <c r="Y977" s="15" t="n"/>
      <c r="Z977" s="15" t="n">
        <v>8536</v>
      </c>
      <c r="AA977" s="15" t="n"/>
      <c r="AB977" s="15" t="n"/>
      <c r="AC977" s="15" t="n"/>
      <c r="AD977" s="15" t="n"/>
      <c r="AE977" s="15" t="n">
        <v>173</v>
      </c>
      <c r="AF977" s="16" t="n">
        <v>0.5</v>
      </c>
      <c r="AG977" s="15">
        <f>ROUND(AE977-(AE977*AF977),2)</f>
        <v/>
      </c>
      <c r="AH977" s="16" t="n">
        <v>0.18</v>
      </c>
      <c r="AI977" s="15">
        <f>ROUND(AG977+(AG977*AH977),2)</f>
        <v/>
      </c>
      <c r="AJ977" s="16" t="n">
        <v>0.2</v>
      </c>
      <c r="AK977" s="15">
        <f>ROUND(AI977*AJ977,2)</f>
        <v/>
      </c>
      <c r="AL977" s="15">
        <f>AI977+AK977</f>
        <v/>
      </c>
      <c r="AM977" s="15">
        <f>AE977-AL977</f>
        <v/>
      </c>
      <c r="AN977" s="16">
        <f>AM977/AE977</f>
        <v/>
      </c>
      <c r="AO977" s="15" t="inlineStr">
        <is>
          <t>60 mins</t>
        </is>
      </c>
      <c r="AP977" s="15" t="n"/>
      <c r="AQ977" s="15" t="inlineStr">
        <is>
          <t>Weight</t>
        </is>
      </c>
      <c r="AR977" s="15" t="n"/>
      <c r="AS977" s="15" t="n"/>
      <c r="AT977" s="3" t="inlineStr">
        <is>
          <t>On Demand</t>
        </is>
      </c>
    </row>
    <row r="978" ht="15.75" customHeight="1">
      <c r="A978" s="15" t="inlineStr">
        <is>
          <t>PROD_0219</t>
        </is>
      </c>
      <c r="B978" s="15" t="inlineStr">
        <is>
          <t>VAR_2</t>
        </is>
      </c>
      <c r="C978" s="15" t="inlineStr">
        <is>
          <t>Electrical Material</t>
        </is>
      </c>
      <c r="D978" s="15" t="inlineStr">
        <is>
          <t>Sockets</t>
        </is>
      </c>
      <c r="E978" s="15" t="inlineStr">
        <is>
          <t>ABB</t>
        </is>
      </c>
      <c r="F978" s="15" t="inlineStr">
        <is>
          <t>Adiya White</t>
        </is>
      </c>
      <c r="G978" s="15" t="n"/>
      <c r="H978" s="15" t="inlineStr">
        <is>
          <t>Module</t>
        </is>
      </c>
      <c r="I978" s="15" t="inlineStr">
        <is>
          <t>Double</t>
        </is>
      </c>
      <c r="J978" s="15" t="inlineStr">
        <is>
          <t>Amperage</t>
        </is>
      </c>
      <c r="K978" s="15" t="inlineStr">
        <is>
          <t>16 A</t>
        </is>
      </c>
      <c r="L978" s="15" t="n"/>
      <c r="M978" s="15" t="n"/>
      <c r="N978" s="15" t="n"/>
      <c r="O978" s="15" t="n"/>
      <c r="P978" s="15" t="n"/>
      <c r="Q978" s="15" t="inlineStr">
        <is>
          <t>Manufacturer's Warranty</t>
        </is>
      </c>
      <c r="R978" s="15" t="inlineStr">
        <is>
          <t>1SYK100001A1323</t>
        </is>
      </c>
      <c r="S978" s="15" t="n"/>
      <c r="T978" s="15" t="n"/>
      <c r="U978" s="15" t="n"/>
      <c r="V978" s="15" t="n"/>
      <c r="W978" s="15" t="n"/>
      <c r="X978" s="15" t="n"/>
      <c r="Y978" s="15" t="inlineStr">
        <is>
          <t>SCK_ABB_ADY_2M</t>
        </is>
      </c>
      <c r="Z978" s="15" t="n">
        <v>8536</v>
      </c>
      <c r="AA978" s="15" t="n"/>
      <c r="AB978" s="15" t="n"/>
      <c r="AC978" s="15" t="n"/>
      <c r="AD978" s="15" t="n"/>
      <c r="AE978" s="15" t="n">
        <v>299</v>
      </c>
      <c r="AF978" s="16" t="n">
        <v>0.5</v>
      </c>
      <c r="AG978" s="15">
        <f>ROUND(AE978-(AE978*AF978),2)</f>
        <v/>
      </c>
      <c r="AH978" s="16" t="n">
        <v>0.18</v>
      </c>
      <c r="AI978" s="15">
        <f>ROUND(AG978+(AG978*AH978),2)</f>
        <v/>
      </c>
      <c r="AJ978" s="16" t="n">
        <v>0.2</v>
      </c>
      <c r="AK978" s="15">
        <f>ROUND(AI978*AJ978,2)</f>
        <v/>
      </c>
      <c r="AL978" s="15">
        <f>AI978+AK978</f>
        <v/>
      </c>
      <c r="AM978" s="15">
        <f>AE978-AL978</f>
        <v/>
      </c>
      <c r="AN978" s="16">
        <f>AM978/AE978</f>
        <v/>
      </c>
      <c r="AO978" s="15" t="inlineStr">
        <is>
          <t>60 mins</t>
        </is>
      </c>
      <c r="AP978" s="15" t="n"/>
      <c r="AQ978" s="15" t="inlineStr">
        <is>
          <t>Weight</t>
        </is>
      </c>
      <c r="AR978" s="15" t="n"/>
      <c r="AS978" s="15" t="n"/>
      <c r="AT978" s="3" t="inlineStr">
        <is>
          <t>On Demand</t>
        </is>
      </c>
    </row>
    <row r="979" ht="15.75" customHeight="1">
      <c r="A979" s="3" t="inlineStr">
        <is>
          <t>PROD_0220</t>
        </is>
      </c>
      <c r="B979" s="3" t="inlineStr">
        <is>
          <t>VAR_1</t>
        </is>
      </c>
      <c r="C979" s="3" t="inlineStr">
        <is>
          <t>Electrical Material</t>
        </is>
      </c>
      <c r="D979" s="3" t="inlineStr">
        <is>
          <t>Sockets</t>
        </is>
      </c>
      <c r="E979" s="3" t="inlineStr">
        <is>
          <t>ABB</t>
        </is>
      </c>
      <c r="F979" s="3" t="inlineStr">
        <is>
          <t>Snieo</t>
        </is>
      </c>
      <c r="H979" s="3" t="inlineStr">
        <is>
          <t>Module</t>
        </is>
      </c>
      <c r="I979" s="3" t="inlineStr">
        <is>
          <t>Single</t>
        </is>
      </c>
      <c r="J979" s="3" t="inlineStr">
        <is>
          <t>Amperage</t>
        </is>
      </c>
      <c r="K979" s="3" t="inlineStr">
        <is>
          <t>6 A</t>
        </is>
      </c>
      <c r="Q979" s="3" t="inlineStr">
        <is>
          <t>Manufacturer's Warranty</t>
        </is>
      </c>
      <c r="R979" s="3" t="inlineStr">
        <is>
          <t>CPWS2166</t>
        </is>
      </c>
      <c r="Z979" s="3" t="n">
        <v>8536</v>
      </c>
      <c r="AE979" s="3" t="n">
        <v>170</v>
      </c>
      <c r="AF979" s="4" t="n">
        <v>0.5</v>
      </c>
      <c r="AG979" s="3">
        <f>ROUND(AE979-(AE979*AF979),2)</f>
        <v/>
      </c>
      <c r="AH979" s="4" t="n">
        <v>0.18</v>
      </c>
      <c r="AI979" s="3">
        <f>ROUND(AG979+(AG979*AH979),2)</f>
        <v/>
      </c>
      <c r="AJ979" s="4" t="n">
        <v>0.2</v>
      </c>
      <c r="AK979" s="3">
        <f>ROUND(AI979*AJ979,2)</f>
        <v/>
      </c>
      <c r="AL979" s="3">
        <f>AI979+AK979</f>
        <v/>
      </c>
      <c r="AM979" s="3">
        <f>AE979-AL979</f>
        <v/>
      </c>
      <c r="AN979" s="4">
        <f>AM979/AE979</f>
        <v/>
      </c>
      <c r="AO979" s="3" t="inlineStr">
        <is>
          <t>60 mins</t>
        </is>
      </c>
      <c r="AQ979" s="3" t="inlineStr">
        <is>
          <t>Weight</t>
        </is>
      </c>
      <c r="AT979" s="3" t="inlineStr">
        <is>
          <t>Active</t>
        </is>
      </c>
    </row>
    <row r="980" ht="15.75" customHeight="1">
      <c r="A980" s="3" t="inlineStr">
        <is>
          <t>PROD_0220</t>
        </is>
      </c>
      <c r="B980" s="3" t="inlineStr">
        <is>
          <t>VAR_2</t>
        </is>
      </c>
      <c r="C980" s="3" t="inlineStr">
        <is>
          <t>Electrical Material</t>
        </is>
      </c>
      <c r="D980" s="3" t="inlineStr">
        <is>
          <t>Sockets</t>
        </is>
      </c>
      <c r="E980" s="3" t="inlineStr">
        <is>
          <t>ABB</t>
        </is>
      </c>
      <c r="F980" s="3" t="inlineStr">
        <is>
          <t>Snieo</t>
        </is>
      </c>
      <c r="H980" s="3" t="inlineStr">
        <is>
          <t>Module</t>
        </is>
      </c>
      <c r="I980" s="3" t="inlineStr">
        <is>
          <t>Double</t>
        </is>
      </c>
      <c r="J980" s="3" t="inlineStr">
        <is>
          <t>Amperage</t>
        </is>
      </c>
      <c r="K980" s="3" t="inlineStr">
        <is>
          <t>16 A</t>
        </is>
      </c>
      <c r="Q980" s="3" t="inlineStr">
        <is>
          <t>Manufacturer's Warranty</t>
        </is>
      </c>
      <c r="R980" s="3" t="inlineStr">
        <is>
          <t>CPWS2065</t>
        </is>
      </c>
      <c r="Y980" s="3" t="inlineStr">
        <is>
          <t>SCK_ABB_SNIE_2M_1, SCK_ABB_SNIE_2M_2</t>
        </is>
      </c>
      <c r="Z980" s="3" t="n">
        <v>8536</v>
      </c>
      <c r="AE980" s="3" t="n">
        <v>260</v>
      </c>
      <c r="AF980" s="4" t="n">
        <v>0.5</v>
      </c>
      <c r="AG980" s="3">
        <f>ROUND(AE980-(AE980*AF980),2)</f>
        <v/>
      </c>
      <c r="AH980" s="4" t="n">
        <v>0.18</v>
      </c>
      <c r="AI980" s="3">
        <f>ROUND(AG980+(AG980*AH980),2)</f>
        <v/>
      </c>
      <c r="AJ980" s="4" t="n">
        <v>0.2</v>
      </c>
      <c r="AK980" s="3">
        <f>ROUND(AI980*AJ980,2)</f>
        <v/>
      </c>
      <c r="AL980" s="3">
        <f>AI980+AK980</f>
        <v/>
      </c>
      <c r="AM980" s="3">
        <f>AE980-AL980</f>
        <v/>
      </c>
      <c r="AN980" s="4">
        <f>AM980/AE980</f>
        <v/>
      </c>
      <c r="AO980" s="3" t="inlineStr">
        <is>
          <t>60 mins</t>
        </is>
      </c>
      <c r="AQ980" s="3" t="inlineStr">
        <is>
          <t>Weight</t>
        </is>
      </c>
      <c r="AT980" s="3" t="inlineStr">
        <is>
          <t>Active</t>
        </is>
      </c>
    </row>
    <row r="981" ht="15.75" customHeight="1">
      <c r="A981" s="3" t="inlineStr">
        <is>
          <t>PROD_0221</t>
        </is>
      </c>
      <c r="B981" s="3" t="inlineStr">
        <is>
          <t>VAR_1</t>
        </is>
      </c>
      <c r="C981" s="3" t="inlineStr">
        <is>
          <t>Electrical Material</t>
        </is>
      </c>
      <c r="D981" s="3" t="inlineStr">
        <is>
          <t>Sockets</t>
        </is>
      </c>
      <c r="E981" s="3" t="inlineStr">
        <is>
          <t>Anchor</t>
        </is>
      </c>
      <c r="F981" s="3" t="inlineStr">
        <is>
          <t>Penta White</t>
        </is>
      </c>
      <c r="H981" s="3" t="inlineStr">
        <is>
          <t>Module</t>
        </is>
      </c>
      <c r="I981" s="3" t="inlineStr">
        <is>
          <t>Single</t>
        </is>
      </c>
      <c r="J981" s="3" t="inlineStr">
        <is>
          <t>Amperage</t>
        </is>
      </c>
      <c r="K981" s="3" t="inlineStr">
        <is>
          <t>6 A</t>
        </is>
      </c>
      <c r="Q981" s="3" t="inlineStr">
        <is>
          <t>Manufacturer's Warranty</t>
        </is>
      </c>
      <c r="R981" s="3" t="n">
        <v>65208</v>
      </c>
      <c r="Y981" s="3" t="inlineStr">
        <is>
          <t>SCK_ANCH_PNTWHT_1M_1, SCK_ANCH_PNTWHT_1M_2</t>
        </is>
      </c>
      <c r="Z981" s="3" t="n">
        <v>8536</v>
      </c>
      <c r="AE981" s="3" t="n">
        <v>116</v>
      </c>
      <c r="AF981" s="4" t="n">
        <v>0.5</v>
      </c>
      <c r="AG981" s="3">
        <f>ROUND(AE981-(AE981*AF981),2)</f>
        <v/>
      </c>
      <c r="AH981" s="4" t="n">
        <v>0.18</v>
      </c>
      <c r="AI981" s="3">
        <f>ROUND(AG981+(AG981*AH981),2)</f>
        <v/>
      </c>
      <c r="AJ981" s="4" t="n">
        <v>0.2</v>
      </c>
      <c r="AK981" s="3">
        <f>ROUND(AI981*AJ981,2)</f>
        <v/>
      </c>
      <c r="AL981" s="3">
        <f>AI981+AK981</f>
        <v/>
      </c>
      <c r="AM981" s="3">
        <f>AE981-AL981</f>
        <v/>
      </c>
      <c r="AN981" s="4">
        <f>AM981/AE981</f>
        <v/>
      </c>
      <c r="AO981" s="3" t="inlineStr">
        <is>
          <t>60 mins</t>
        </is>
      </c>
      <c r="AQ981" s="3" t="inlineStr">
        <is>
          <t>Weight</t>
        </is>
      </c>
      <c r="AT981" s="3" t="inlineStr">
        <is>
          <t>Active</t>
        </is>
      </c>
    </row>
    <row r="982" ht="15.75" customHeight="1">
      <c r="A982" s="3" t="inlineStr">
        <is>
          <t>PROD_0221</t>
        </is>
      </c>
      <c r="B982" s="3" t="inlineStr">
        <is>
          <t>VAR_2</t>
        </is>
      </c>
      <c r="C982" s="3" t="inlineStr">
        <is>
          <t>Electrical Material</t>
        </is>
      </c>
      <c r="D982" s="3" t="inlineStr">
        <is>
          <t>Sockets</t>
        </is>
      </c>
      <c r="E982" s="3" t="inlineStr">
        <is>
          <t>Anchor</t>
        </is>
      </c>
      <c r="F982" s="3" t="inlineStr">
        <is>
          <t>Penta White</t>
        </is>
      </c>
      <c r="H982" s="3" t="inlineStr">
        <is>
          <t>Module</t>
        </is>
      </c>
      <c r="I982" s="3" t="inlineStr">
        <is>
          <t>Double</t>
        </is>
      </c>
      <c r="J982" s="3" t="inlineStr">
        <is>
          <t>Amperage</t>
        </is>
      </c>
      <c r="K982" s="3" t="inlineStr">
        <is>
          <t>16 A</t>
        </is>
      </c>
      <c r="Q982" s="3" t="inlineStr">
        <is>
          <t>Manufacturer's Warranty</t>
        </is>
      </c>
      <c r="R982" s="3" t="n">
        <v>65204</v>
      </c>
      <c r="Y982" s="3" t="inlineStr">
        <is>
          <t>SCK_ANCH_PNTWHT_2M</t>
        </is>
      </c>
      <c r="Z982" s="3" t="n">
        <v>8536</v>
      </c>
      <c r="AE982" s="3" t="n">
        <v>193</v>
      </c>
      <c r="AF982" s="4" t="n">
        <v>0.5</v>
      </c>
      <c r="AG982" s="3">
        <f>ROUND(AE982-(AE982*AF982),2)</f>
        <v/>
      </c>
      <c r="AH982" s="4" t="n">
        <v>0.18</v>
      </c>
      <c r="AI982" s="3">
        <f>ROUND(AG982+(AG982*AH982),2)</f>
        <v/>
      </c>
      <c r="AJ982" s="4" t="n">
        <v>0.2</v>
      </c>
      <c r="AK982" s="3">
        <f>ROUND(AI982*AJ982,2)</f>
        <v/>
      </c>
      <c r="AL982" s="3">
        <f>AI982+AK982</f>
        <v/>
      </c>
      <c r="AM982" s="3">
        <f>AE982-AL982</f>
        <v/>
      </c>
      <c r="AN982" s="4">
        <f>AM982/AE982</f>
        <v/>
      </c>
      <c r="AO982" s="3" t="inlineStr">
        <is>
          <t>60 mins</t>
        </is>
      </c>
      <c r="AQ982" s="3" t="inlineStr">
        <is>
          <t>Weight</t>
        </is>
      </c>
      <c r="AT982" s="3" t="inlineStr">
        <is>
          <t>Active</t>
        </is>
      </c>
    </row>
    <row r="983" ht="15.75" customHeight="1">
      <c r="A983" s="3" t="inlineStr">
        <is>
          <t>PROD_0222</t>
        </is>
      </c>
      <c r="B983" s="3" t="inlineStr">
        <is>
          <t>VAR_1</t>
        </is>
      </c>
      <c r="C983" s="3" t="inlineStr">
        <is>
          <t>Electrical Material</t>
        </is>
      </c>
      <c r="D983" s="3" t="inlineStr">
        <is>
          <t>Sockets</t>
        </is>
      </c>
      <c r="E983" s="3" t="inlineStr">
        <is>
          <t>Anchor</t>
        </is>
      </c>
      <c r="F983" s="3" t="inlineStr">
        <is>
          <t>Penta Grey</t>
        </is>
      </c>
      <c r="H983" s="3" t="inlineStr">
        <is>
          <t>Module</t>
        </is>
      </c>
      <c r="I983" s="3" t="inlineStr">
        <is>
          <t>Single</t>
        </is>
      </c>
      <c r="J983" s="3" t="inlineStr">
        <is>
          <t>Amperage</t>
        </is>
      </c>
      <c r="K983" s="3" t="inlineStr">
        <is>
          <t>6 A</t>
        </is>
      </c>
      <c r="Q983" s="3" t="inlineStr">
        <is>
          <t>Manufacturer's Warranty</t>
        </is>
      </c>
      <c r="R983" s="3" t="inlineStr">
        <is>
          <t>65208B</t>
        </is>
      </c>
      <c r="Y983" s="3" t="inlineStr">
        <is>
          <t>SCK_ANCH_PNTGRY_1M_1, SCK_ANCH_PNTGRY_1M_2</t>
        </is>
      </c>
      <c r="Z983" s="3" t="n">
        <v>8536</v>
      </c>
      <c r="AE983" s="3" t="n">
        <v>141</v>
      </c>
      <c r="AF983" s="4" t="n">
        <v>0.5</v>
      </c>
      <c r="AG983" s="3">
        <f>ROUND(AE983-(AE983*AF983),2)</f>
        <v/>
      </c>
      <c r="AH983" s="4" t="n">
        <v>0.18</v>
      </c>
      <c r="AI983" s="3">
        <f>ROUND(AG983+(AG983*AH983),2)</f>
        <v/>
      </c>
      <c r="AJ983" s="4" t="n">
        <v>0.2</v>
      </c>
      <c r="AK983" s="3">
        <f>ROUND(AI983*AJ983,2)</f>
        <v/>
      </c>
      <c r="AL983" s="3">
        <f>AI983+AK983</f>
        <v/>
      </c>
      <c r="AM983" s="3">
        <f>AE983-AL983</f>
        <v/>
      </c>
      <c r="AN983" s="4">
        <f>AM983/AE983</f>
        <v/>
      </c>
      <c r="AO983" s="3" t="inlineStr">
        <is>
          <t>60 mins</t>
        </is>
      </c>
      <c r="AQ983" s="3" t="inlineStr">
        <is>
          <t>Weight</t>
        </is>
      </c>
      <c r="AT983" s="3" t="inlineStr">
        <is>
          <t>Active</t>
        </is>
      </c>
    </row>
    <row r="984" ht="15.75" customHeight="1">
      <c r="A984" s="3" t="inlineStr">
        <is>
          <t>PROD_0222</t>
        </is>
      </c>
      <c r="B984" s="3" t="inlineStr">
        <is>
          <t>VAR_2</t>
        </is>
      </c>
      <c r="C984" s="3" t="inlineStr">
        <is>
          <t>Electrical Material</t>
        </is>
      </c>
      <c r="D984" s="3" t="inlineStr">
        <is>
          <t>Sockets</t>
        </is>
      </c>
      <c r="E984" s="3" t="inlineStr">
        <is>
          <t>Anchor</t>
        </is>
      </c>
      <c r="F984" s="3" t="inlineStr">
        <is>
          <t>Penta Grey</t>
        </is>
      </c>
      <c r="H984" s="3" t="inlineStr">
        <is>
          <t>Module</t>
        </is>
      </c>
      <c r="I984" s="3" t="inlineStr">
        <is>
          <t>Double</t>
        </is>
      </c>
      <c r="J984" s="3" t="inlineStr">
        <is>
          <t>Amperage</t>
        </is>
      </c>
      <c r="K984" s="3" t="inlineStr">
        <is>
          <t>16 A</t>
        </is>
      </c>
      <c r="Q984" s="3" t="inlineStr">
        <is>
          <t>Manufacturer's Warranty</t>
        </is>
      </c>
      <c r="R984" s="3" t="inlineStr">
        <is>
          <t>65204B</t>
        </is>
      </c>
      <c r="Y984" s="3" t="inlineStr">
        <is>
          <t>SCK_ANCH_PNTGRY_2M</t>
        </is>
      </c>
      <c r="Z984" s="3" t="n">
        <v>8536</v>
      </c>
      <c r="AE984" s="3" t="n">
        <v>234</v>
      </c>
      <c r="AF984" s="4" t="n">
        <v>0.5</v>
      </c>
      <c r="AG984" s="3">
        <f>ROUND(AE984-(AE984*AF984),2)</f>
        <v/>
      </c>
      <c r="AH984" s="4" t="n">
        <v>0.18</v>
      </c>
      <c r="AI984" s="3">
        <f>ROUND(AG984+(AG984*AH984),2)</f>
        <v/>
      </c>
      <c r="AJ984" s="4" t="n">
        <v>0.2</v>
      </c>
      <c r="AK984" s="3">
        <f>ROUND(AI984*AJ984,2)</f>
        <v/>
      </c>
      <c r="AL984" s="3">
        <f>AI984+AK984</f>
        <v/>
      </c>
      <c r="AM984" s="3">
        <f>AE984-AL984</f>
        <v/>
      </c>
      <c r="AN984" s="4">
        <f>AM984/AE984</f>
        <v/>
      </c>
      <c r="AO984" s="3" t="inlineStr">
        <is>
          <t>60 mins</t>
        </is>
      </c>
      <c r="AQ984" s="3" t="inlineStr">
        <is>
          <t>Weight</t>
        </is>
      </c>
      <c r="AT984" s="3" t="inlineStr">
        <is>
          <t>Active</t>
        </is>
      </c>
    </row>
    <row r="985" ht="15.75" customHeight="1">
      <c r="A985" s="15" t="inlineStr">
        <is>
          <t>PROD_0223</t>
        </is>
      </c>
      <c r="B985" s="15" t="inlineStr">
        <is>
          <t>VAR_1</t>
        </is>
      </c>
      <c r="C985" s="15" t="inlineStr">
        <is>
          <t>Electrical Material</t>
        </is>
      </c>
      <c r="D985" s="15" t="inlineStr">
        <is>
          <t>Sockets</t>
        </is>
      </c>
      <c r="E985" s="15" t="inlineStr">
        <is>
          <t>Anchor</t>
        </is>
      </c>
      <c r="F985" s="15" t="inlineStr">
        <is>
          <t>Ziva White</t>
        </is>
      </c>
      <c r="G985" s="15" t="n"/>
      <c r="H985" s="15" t="inlineStr">
        <is>
          <t>Module</t>
        </is>
      </c>
      <c r="I985" s="15" t="inlineStr">
        <is>
          <t>Single</t>
        </is>
      </c>
      <c r="J985" s="15" t="inlineStr">
        <is>
          <t>Amperage</t>
        </is>
      </c>
      <c r="K985" s="15" t="inlineStr">
        <is>
          <t>6 A</t>
        </is>
      </c>
      <c r="L985" s="15" t="n"/>
      <c r="M985" s="15" t="n"/>
      <c r="N985" s="15" t="n"/>
      <c r="O985" s="15" t="n"/>
      <c r="P985" s="15" t="n"/>
      <c r="Q985" s="15" t="inlineStr">
        <is>
          <t>Manufacturer's Warranty</t>
        </is>
      </c>
      <c r="R985" s="15" t="n">
        <v>68208</v>
      </c>
      <c r="S985" s="15" t="n"/>
      <c r="T985" s="15" t="n"/>
      <c r="U985" s="15" t="n"/>
      <c r="V985" s="15" t="n"/>
      <c r="W985" s="15" t="n"/>
      <c r="X985" s="15" t="n"/>
      <c r="Y985" s="15" t="inlineStr">
        <is>
          <t>SCK_ANCH_ZVAWHT</t>
        </is>
      </c>
      <c r="Z985" s="15" t="n">
        <v>8536</v>
      </c>
      <c r="AA985" s="15" t="n"/>
      <c r="AB985" s="15" t="n"/>
      <c r="AC985" s="15" t="n"/>
      <c r="AD985" s="15" t="n"/>
      <c r="AE985" s="15" t="n">
        <v>62</v>
      </c>
      <c r="AF985" s="16" t="n">
        <v>0.5</v>
      </c>
      <c r="AG985" s="15">
        <f>ROUND(AE985-(AE985*AF985),2)</f>
        <v/>
      </c>
      <c r="AH985" s="16" t="n">
        <v>0.18</v>
      </c>
      <c r="AI985" s="15">
        <f>ROUND(AG985+(AG985*AH985),2)</f>
        <v/>
      </c>
      <c r="AJ985" s="16" t="n">
        <v>0.2</v>
      </c>
      <c r="AK985" s="15">
        <f>ROUND(AI985*AJ985,2)</f>
        <v/>
      </c>
      <c r="AL985" s="15">
        <f>AI985+AK985</f>
        <v/>
      </c>
      <c r="AM985" s="15">
        <f>AE985-AL985</f>
        <v/>
      </c>
      <c r="AN985" s="16">
        <f>AM985/AE985</f>
        <v/>
      </c>
      <c r="AO985" s="15" t="inlineStr">
        <is>
          <t>60 mins</t>
        </is>
      </c>
      <c r="AP985" s="15" t="n"/>
      <c r="AQ985" s="15" t="inlineStr">
        <is>
          <t>Weight</t>
        </is>
      </c>
      <c r="AR985" s="15" t="n"/>
      <c r="AS985" s="15" t="n"/>
      <c r="AT985" s="3" t="inlineStr">
        <is>
          <t>On Demand</t>
        </is>
      </c>
    </row>
    <row r="986" ht="15.75" customHeight="1">
      <c r="A986" s="15" t="inlineStr">
        <is>
          <t>PROD_0223</t>
        </is>
      </c>
      <c r="B986" s="15" t="inlineStr">
        <is>
          <t>VAR_2</t>
        </is>
      </c>
      <c r="C986" s="15" t="inlineStr">
        <is>
          <t>Electrical Material</t>
        </is>
      </c>
      <c r="D986" s="15" t="inlineStr">
        <is>
          <t>Sockets</t>
        </is>
      </c>
      <c r="E986" s="15" t="inlineStr">
        <is>
          <t>Anchor</t>
        </is>
      </c>
      <c r="F986" s="15" t="inlineStr">
        <is>
          <t>Ziva White</t>
        </is>
      </c>
      <c r="G986" s="15" t="n"/>
      <c r="H986" s="15" t="inlineStr">
        <is>
          <t>Module</t>
        </is>
      </c>
      <c r="I986" s="15" t="inlineStr">
        <is>
          <t>Double</t>
        </is>
      </c>
      <c r="J986" s="15" t="inlineStr">
        <is>
          <t>Amperage</t>
        </is>
      </c>
      <c r="K986" s="15" t="inlineStr">
        <is>
          <t>16 A</t>
        </is>
      </c>
      <c r="L986" s="15" t="n"/>
      <c r="M986" s="15" t="n"/>
      <c r="N986" s="15" t="n"/>
      <c r="O986" s="15" t="n"/>
      <c r="P986" s="15" t="n"/>
      <c r="Q986" s="15" t="inlineStr">
        <is>
          <t>Manufacturer's Warranty</t>
        </is>
      </c>
      <c r="R986" s="15" t="n">
        <v>68205</v>
      </c>
      <c r="S986" s="15" t="n"/>
      <c r="T986" s="15" t="n"/>
      <c r="U986" s="15" t="n"/>
      <c r="V986" s="15" t="n"/>
      <c r="W986" s="15" t="n"/>
      <c r="X986" s="15" t="n"/>
      <c r="Y986" s="15" t="inlineStr">
        <is>
          <t>SCK_ANCH_ZVAWHT</t>
        </is>
      </c>
      <c r="Z986" s="15" t="n">
        <v>8536</v>
      </c>
      <c r="AA986" s="15" t="n"/>
      <c r="AB986" s="15" t="n"/>
      <c r="AC986" s="15" t="n"/>
      <c r="AD986" s="15" t="n"/>
      <c r="AE986" s="15" t="n">
        <v>135</v>
      </c>
      <c r="AF986" s="16" t="n">
        <v>0.5</v>
      </c>
      <c r="AG986" s="15">
        <f>ROUND(AE986-(AE986*AF986),2)</f>
        <v/>
      </c>
      <c r="AH986" s="16" t="n">
        <v>0.18</v>
      </c>
      <c r="AI986" s="15">
        <f>ROUND(AG986+(AG986*AH986),2)</f>
        <v/>
      </c>
      <c r="AJ986" s="16" t="n">
        <v>0.2</v>
      </c>
      <c r="AK986" s="15">
        <f>ROUND(AI986*AJ986,2)</f>
        <v/>
      </c>
      <c r="AL986" s="15">
        <f>AI986+AK986</f>
        <v/>
      </c>
      <c r="AM986" s="15">
        <f>AE986-AL986</f>
        <v/>
      </c>
      <c r="AN986" s="16">
        <f>AM986/AE986</f>
        <v/>
      </c>
      <c r="AO986" s="15" t="inlineStr">
        <is>
          <t>60 mins</t>
        </is>
      </c>
      <c r="AP986" s="15" t="n"/>
      <c r="AQ986" s="15" t="inlineStr">
        <is>
          <t>Weight</t>
        </is>
      </c>
      <c r="AR986" s="15" t="n"/>
      <c r="AS986" s="15" t="n"/>
      <c r="AT986" s="3" t="inlineStr">
        <is>
          <t>On Demand</t>
        </is>
      </c>
    </row>
    <row r="987" ht="15.75" customHeight="1">
      <c r="A987" s="15" t="inlineStr">
        <is>
          <t>PROD_0224</t>
        </is>
      </c>
      <c r="B987" s="15" t="inlineStr">
        <is>
          <t>VAR_1</t>
        </is>
      </c>
      <c r="C987" s="15" t="inlineStr">
        <is>
          <t>Electrical Material</t>
        </is>
      </c>
      <c r="D987" s="15" t="inlineStr">
        <is>
          <t>Sockets</t>
        </is>
      </c>
      <c r="E987" s="15" t="inlineStr">
        <is>
          <t>Anchor</t>
        </is>
      </c>
      <c r="F987" s="15" t="inlineStr">
        <is>
          <t>Ziva Grey</t>
        </is>
      </c>
      <c r="G987" s="15" t="n"/>
      <c r="H987" s="15" t="inlineStr">
        <is>
          <t>Module</t>
        </is>
      </c>
      <c r="I987" s="15" t="inlineStr">
        <is>
          <t>Single</t>
        </is>
      </c>
      <c r="J987" s="15" t="inlineStr">
        <is>
          <t>Amperage</t>
        </is>
      </c>
      <c r="K987" s="15" t="inlineStr">
        <is>
          <t>6 A</t>
        </is>
      </c>
      <c r="L987" s="15" t="n"/>
      <c r="M987" s="15" t="n"/>
      <c r="N987" s="15" t="n"/>
      <c r="O987" s="15" t="n"/>
      <c r="P987" s="15" t="n"/>
      <c r="Q987" s="15" t="inlineStr">
        <is>
          <t>Manufacturer's Warranty</t>
        </is>
      </c>
      <c r="R987" s="15" t="n"/>
      <c r="S987" s="15" t="n"/>
      <c r="T987" s="15" t="n"/>
      <c r="U987" s="15" t="n"/>
      <c r="V987" s="15" t="n"/>
      <c r="W987" s="15" t="n"/>
      <c r="X987" s="15" t="n"/>
      <c r="Y987" s="15" t="inlineStr">
        <is>
          <t>SCK_ANCH_ZVAGRY</t>
        </is>
      </c>
      <c r="Z987" s="15" t="n">
        <v>8536</v>
      </c>
      <c r="AA987" s="15" t="n"/>
      <c r="AB987" s="15" t="n"/>
      <c r="AC987" s="15" t="n"/>
      <c r="AD987" s="15" t="n"/>
      <c r="AE987" s="15" t="n">
        <v>135</v>
      </c>
      <c r="AF987" s="16" t="n">
        <v>0.5</v>
      </c>
      <c r="AG987" s="15">
        <f>ROUND(AE987-(AE987*AF987),2)</f>
        <v/>
      </c>
      <c r="AH987" s="16" t="n">
        <v>0.18</v>
      </c>
      <c r="AI987" s="15">
        <f>ROUND(AG987+(AG987*AH987),2)</f>
        <v/>
      </c>
      <c r="AJ987" s="16" t="n">
        <v>0.2</v>
      </c>
      <c r="AK987" s="15">
        <f>ROUND(AI987*AJ987,2)</f>
        <v/>
      </c>
      <c r="AL987" s="15">
        <f>AI987+AK987</f>
        <v/>
      </c>
      <c r="AM987" s="15">
        <f>AE987-AL987</f>
        <v/>
      </c>
      <c r="AN987" s="16">
        <f>AM987/AE987</f>
        <v/>
      </c>
      <c r="AO987" s="15" t="inlineStr">
        <is>
          <t>60 mins</t>
        </is>
      </c>
      <c r="AP987" s="15" t="n"/>
      <c r="AQ987" s="15" t="inlineStr">
        <is>
          <t>Weight</t>
        </is>
      </c>
      <c r="AR987" s="15" t="n"/>
      <c r="AS987" s="15" t="n"/>
      <c r="AT987" s="3" t="inlineStr">
        <is>
          <t>On Demand</t>
        </is>
      </c>
    </row>
    <row r="988" ht="15.75" customHeight="1">
      <c r="A988" s="15" t="inlineStr">
        <is>
          <t>PROD_0224</t>
        </is>
      </c>
      <c r="B988" s="15" t="inlineStr">
        <is>
          <t>VAR_2</t>
        </is>
      </c>
      <c r="C988" s="15" t="inlineStr">
        <is>
          <t>Electrical Material</t>
        </is>
      </c>
      <c r="D988" s="15" t="inlineStr">
        <is>
          <t>Sockets</t>
        </is>
      </c>
      <c r="E988" s="15" t="inlineStr">
        <is>
          <t>Anchor</t>
        </is>
      </c>
      <c r="F988" s="15" t="inlineStr">
        <is>
          <t>Ziva Grey</t>
        </is>
      </c>
      <c r="G988" s="15" t="n"/>
      <c r="H988" s="15" t="inlineStr">
        <is>
          <t>Module</t>
        </is>
      </c>
      <c r="I988" s="15" t="inlineStr">
        <is>
          <t>Double</t>
        </is>
      </c>
      <c r="J988" s="15" t="inlineStr">
        <is>
          <t>Amperage</t>
        </is>
      </c>
      <c r="K988" s="15" t="inlineStr">
        <is>
          <t>16 A</t>
        </is>
      </c>
      <c r="L988" s="15" t="n"/>
      <c r="M988" s="15" t="n"/>
      <c r="N988" s="15" t="n"/>
      <c r="O988" s="15" t="n"/>
      <c r="P988" s="15" t="n"/>
      <c r="Q988" s="15" t="inlineStr">
        <is>
          <t>Manufacturer's Warranty</t>
        </is>
      </c>
      <c r="R988" s="15" t="n"/>
      <c r="S988" s="15" t="n"/>
      <c r="T988" s="15" t="n"/>
      <c r="U988" s="15" t="n"/>
      <c r="V988" s="15" t="n"/>
      <c r="W988" s="15" t="n"/>
      <c r="X988" s="15" t="n"/>
      <c r="Y988" s="15" t="inlineStr">
        <is>
          <t>SCK_ANCH_ZVAGRY</t>
        </is>
      </c>
      <c r="Z988" s="15" t="n">
        <v>8536</v>
      </c>
      <c r="AA988" s="15" t="n"/>
      <c r="AB988" s="15" t="n"/>
      <c r="AC988" s="15" t="n"/>
      <c r="AD988" s="15" t="n"/>
      <c r="AE988" s="15" t="n">
        <v>135</v>
      </c>
      <c r="AF988" s="16" t="n">
        <v>0.5</v>
      </c>
      <c r="AG988" s="15">
        <f>ROUND(AE988-(AE988*AF988),2)</f>
        <v/>
      </c>
      <c r="AH988" s="16" t="n">
        <v>0.18</v>
      </c>
      <c r="AI988" s="15">
        <f>ROUND(AG988+(AG988*AH988),2)</f>
        <v/>
      </c>
      <c r="AJ988" s="16" t="n">
        <v>0.2</v>
      </c>
      <c r="AK988" s="15">
        <f>ROUND(AI988*AJ988,2)</f>
        <v/>
      </c>
      <c r="AL988" s="15">
        <f>AI988+AK988</f>
        <v/>
      </c>
      <c r="AM988" s="15">
        <f>AE988-AL988</f>
        <v/>
      </c>
      <c r="AN988" s="16">
        <f>AM988/AE988</f>
        <v/>
      </c>
      <c r="AO988" s="15" t="inlineStr">
        <is>
          <t>60 mins</t>
        </is>
      </c>
      <c r="AP988" s="15" t="n"/>
      <c r="AQ988" s="15" t="inlineStr">
        <is>
          <t>Weight</t>
        </is>
      </c>
      <c r="AR988" s="15" t="n"/>
      <c r="AS988" s="15" t="n"/>
      <c r="AT988" s="3" t="inlineStr">
        <is>
          <t>On Demand</t>
        </is>
      </c>
    </row>
    <row r="989" ht="15.75" customHeight="1">
      <c r="A989" s="3" t="inlineStr">
        <is>
          <t>PROD_0225</t>
        </is>
      </c>
      <c r="B989" s="3" t="inlineStr">
        <is>
          <t>VAR_1</t>
        </is>
      </c>
      <c r="C989" s="3" t="inlineStr">
        <is>
          <t>Electrical Material</t>
        </is>
      </c>
      <c r="D989" s="3" t="inlineStr">
        <is>
          <t>Sockets</t>
        </is>
      </c>
      <c r="E989" s="3" t="inlineStr">
        <is>
          <t>Anchor</t>
        </is>
      </c>
      <c r="F989" s="3" t="inlineStr">
        <is>
          <t>Rider/ Regent</t>
        </is>
      </c>
      <c r="H989" s="3" t="inlineStr">
        <is>
          <t>Module</t>
        </is>
      </c>
      <c r="I989" s="3" t="inlineStr">
        <is>
          <t>Single</t>
        </is>
      </c>
      <c r="J989" s="3" t="inlineStr">
        <is>
          <t>Amperage</t>
        </is>
      </c>
      <c r="K989" s="3" t="inlineStr">
        <is>
          <t>6 A</t>
        </is>
      </c>
      <c r="Q989" s="3" t="inlineStr">
        <is>
          <t>Manufacturer's Warranty</t>
        </is>
      </c>
      <c r="R989" s="3" t="n">
        <v>47369</v>
      </c>
      <c r="Y989" s="3" t="inlineStr">
        <is>
          <t>SCK_ANCH_RDR</t>
        </is>
      </c>
      <c r="Z989" s="3" t="n">
        <v>8536</v>
      </c>
      <c r="AE989" s="3" t="n">
        <v>132</v>
      </c>
      <c r="AF989" s="4" t="n">
        <v>0.5</v>
      </c>
      <c r="AG989" s="3">
        <f>ROUND(AE989-(AE989*AF989),2)</f>
        <v/>
      </c>
      <c r="AH989" s="4" t="n">
        <v>0.18</v>
      </c>
      <c r="AI989" s="3">
        <f>ROUND(AG989+(AG989*AH989),2)</f>
        <v/>
      </c>
      <c r="AJ989" s="4" t="n">
        <v>0.2</v>
      </c>
      <c r="AK989" s="3">
        <f>ROUND(AI989*AJ989,2)</f>
        <v/>
      </c>
      <c r="AL989" s="3">
        <f>AI989+AK989</f>
        <v/>
      </c>
      <c r="AM989" s="3">
        <f>AE989-AL989</f>
        <v/>
      </c>
      <c r="AN989" s="4">
        <f>AM989/AE989</f>
        <v/>
      </c>
      <c r="AO989" s="3" t="inlineStr">
        <is>
          <t>60 mins</t>
        </is>
      </c>
      <c r="AQ989" s="3" t="inlineStr">
        <is>
          <t>Weight</t>
        </is>
      </c>
      <c r="AT989" s="3" t="inlineStr">
        <is>
          <t>Active</t>
        </is>
      </c>
    </row>
    <row r="990" ht="15.75" customHeight="1">
      <c r="A990" s="3" t="inlineStr">
        <is>
          <t>PROD_0225</t>
        </is>
      </c>
      <c r="B990" s="3" t="inlineStr">
        <is>
          <t>VAR_2</t>
        </is>
      </c>
      <c r="C990" s="3" t="inlineStr">
        <is>
          <t>Electrical Material</t>
        </is>
      </c>
      <c r="D990" s="3" t="inlineStr">
        <is>
          <t>Sockets</t>
        </is>
      </c>
      <c r="E990" s="3" t="inlineStr">
        <is>
          <t>Anchor</t>
        </is>
      </c>
      <c r="F990" s="3" t="inlineStr">
        <is>
          <t>Rider/ Regent</t>
        </is>
      </c>
      <c r="H990" s="3" t="inlineStr">
        <is>
          <t>Module</t>
        </is>
      </c>
      <c r="I990" s="3" t="inlineStr">
        <is>
          <t>Double</t>
        </is>
      </c>
      <c r="J990" s="3" t="inlineStr">
        <is>
          <t>Amperage</t>
        </is>
      </c>
      <c r="K990" s="3" t="inlineStr">
        <is>
          <t>16 A</t>
        </is>
      </c>
      <c r="Q990" s="3" t="inlineStr">
        <is>
          <t>Manufacturer's Warranty</t>
        </is>
      </c>
      <c r="R990" s="3" t="n">
        <v>47366</v>
      </c>
      <c r="Y990" s="3" t="inlineStr">
        <is>
          <t>SCK_ANCH_RDR</t>
        </is>
      </c>
      <c r="Z990" s="3" t="n">
        <v>8536</v>
      </c>
      <c r="AE990" s="3" t="n">
        <v>198</v>
      </c>
      <c r="AF990" s="4" t="n">
        <v>0.5</v>
      </c>
      <c r="AG990" s="3">
        <f>ROUND(AE990-(AE990*AF990),2)</f>
        <v/>
      </c>
      <c r="AH990" s="4" t="n">
        <v>0.18</v>
      </c>
      <c r="AI990" s="3">
        <f>ROUND(AG990+(AG990*AH990),2)</f>
        <v/>
      </c>
      <c r="AJ990" s="4" t="n">
        <v>0.2</v>
      </c>
      <c r="AK990" s="3">
        <f>ROUND(AI990*AJ990,2)</f>
        <v/>
      </c>
      <c r="AL990" s="3">
        <f>AI990+AK990</f>
        <v/>
      </c>
      <c r="AM990" s="3">
        <f>AE990-AL990</f>
        <v/>
      </c>
      <c r="AN990" s="4">
        <f>AM990/AE990</f>
        <v/>
      </c>
      <c r="AO990" s="3" t="inlineStr">
        <is>
          <t>60 mins</t>
        </is>
      </c>
      <c r="AQ990" s="3" t="inlineStr">
        <is>
          <t>Weight</t>
        </is>
      </c>
      <c r="AT990" s="3" t="inlineStr">
        <is>
          <t>Active</t>
        </is>
      </c>
    </row>
    <row r="991" ht="15.75" customHeight="1">
      <c r="A991" s="3" t="inlineStr">
        <is>
          <t>PROD_0226</t>
        </is>
      </c>
      <c r="B991" s="3" t="inlineStr">
        <is>
          <t>VAR_1</t>
        </is>
      </c>
      <c r="C991" s="3" t="inlineStr">
        <is>
          <t>Electrical Material</t>
        </is>
      </c>
      <c r="D991" s="3" t="inlineStr">
        <is>
          <t>Sockets</t>
        </is>
      </c>
      <c r="E991" s="3" t="inlineStr">
        <is>
          <t>Legrand</t>
        </is>
      </c>
      <c r="F991" s="3" t="inlineStr">
        <is>
          <t>Myrius</t>
        </is>
      </c>
      <c r="H991" s="3" t="inlineStr">
        <is>
          <t>Module</t>
        </is>
      </c>
      <c r="I991" s="3" t="inlineStr">
        <is>
          <t>Single</t>
        </is>
      </c>
      <c r="J991" s="3" t="inlineStr">
        <is>
          <t>Amperage</t>
        </is>
      </c>
      <c r="K991" s="3" t="inlineStr">
        <is>
          <t>6 A</t>
        </is>
      </c>
      <c r="Q991" s="3" t="inlineStr">
        <is>
          <t>Manufacturer's Warranty</t>
        </is>
      </c>
      <c r="Y991" s="3" t="inlineStr">
        <is>
          <t>SCK_LEG_MRS_1, SCK_LEG_MRS_2</t>
        </is>
      </c>
      <c r="Z991" s="3" t="n">
        <v>8536</v>
      </c>
      <c r="AE991" s="3" t="n">
        <v>338</v>
      </c>
      <c r="AF991" s="4" t="n">
        <v>0.5</v>
      </c>
      <c r="AG991" s="3">
        <f>ROUND(AE991-(AE991*AF991),2)</f>
        <v/>
      </c>
      <c r="AH991" s="4" t="n">
        <v>0.18</v>
      </c>
      <c r="AI991" s="3">
        <f>ROUND(AG991+(AG991*AH991),2)</f>
        <v/>
      </c>
      <c r="AJ991" s="4" t="n">
        <v>0.2</v>
      </c>
      <c r="AK991" s="3">
        <f>ROUND(AI991*AJ991,2)</f>
        <v/>
      </c>
      <c r="AL991" s="3">
        <f>AI991+AK991</f>
        <v/>
      </c>
      <c r="AM991" s="3">
        <f>AE991-AL991</f>
        <v/>
      </c>
      <c r="AN991" s="4">
        <f>AM991/AE991</f>
        <v/>
      </c>
      <c r="AO991" s="3" t="inlineStr">
        <is>
          <t>60 mins</t>
        </is>
      </c>
      <c r="AQ991" s="3" t="inlineStr">
        <is>
          <t>Weight</t>
        </is>
      </c>
      <c r="AT991" s="3" t="inlineStr">
        <is>
          <t>Active</t>
        </is>
      </c>
    </row>
    <row r="992" ht="15.75" customHeight="1">
      <c r="A992" s="3" t="inlineStr">
        <is>
          <t>PROD_0226</t>
        </is>
      </c>
      <c r="B992" s="3" t="inlineStr">
        <is>
          <t>VAR_2</t>
        </is>
      </c>
      <c r="C992" s="3" t="inlineStr">
        <is>
          <t>Electrical Material</t>
        </is>
      </c>
      <c r="D992" s="3" t="inlineStr">
        <is>
          <t>Sockets</t>
        </is>
      </c>
      <c r="E992" s="3" t="inlineStr">
        <is>
          <t>Legrand</t>
        </is>
      </c>
      <c r="F992" s="3" t="inlineStr">
        <is>
          <t>Myrius</t>
        </is>
      </c>
      <c r="H992" s="3" t="inlineStr">
        <is>
          <t>Module</t>
        </is>
      </c>
      <c r="I992" s="3" t="inlineStr">
        <is>
          <t>Double</t>
        </is>
      </c>
      <c r="J992" s="3" t="inlineStr">
        <is>
          <t>Amperage</t>
        </is>
      </c>
      <c r="K992" s="3" t="inlineStr">
        <is>
          <t>16 A</t>
        </is>
      </c>
      <c r="Q992" s="3" t="inlineStr">
        <is>
          <t>Manufacturer's Warranty</t>
        </is>
      </c>
      <c r="R992" s="3" t="inlineStr">
        <is>
          <t>6792 29</t>
        </is>
      </c>
      <c r="Y992" s="3" t="inlineStr">
        <is>
          <t>SCK_LEG_MRS_1, SCK_LEG_MRS_2</t>
        </is>
      </c>
      <c r="Z992" s="3" t="n">
        <v>8536</v>
      </c>
      <c r="AE992" s="3" t="n">
        <v>546</v>
      </c>
      <c r="AF992" s="4" t="n">
        <v>0.5</v>
      </c>
      <c r="AG992" s="3">
        <f>ROUND(AE992-(AE992*AF992),2)</f>
        <v/>
      </c>
      <c r="AH992" s="4" t="n">
        <v>0.18</v>
      </c>
      <c r="AI992" s="3">
        <f>ROUND(AG992+(AG992*AH992),2)</f>
        <v/>
      </c>
      <c r="AJ992" s="4" t="n">
        <v>0.2</v>
      </c>
      <c r="AK992" s="3">
        <f>ROUND(AI992*AJ992,2)</f>
        <v/>
      </c>
      <c r="AL992" s="3">
        <f>AI992+AK992</f>
        <v/>
      </c>
      <c r="AM992" s="3">
        <f>AE992-AL992</f>
        <v/>
      </c>
      <c r="AN992" s="4">
        <f>AM992/AE992</f>
        <v/>
      </c>
      <c r="AO992" s="3" t="inlineStr">
        <is>
          <t>60 mins</t>
        </is>
      </c>
      <c r="AQ992" s="3" t="inlineStr">
        <is>
          <t>Weight</t>
        </is>
      </c>
      <c r="AT992" s="3" t="inlineStr">
        <is>
          <t>Active</t>
        </is>
      </c>
    </row>
    <row r="993" ht="15.75" customHeight="1">
      <c r="A993" s="3" t="inlineStr">
        <is>
          <t>PROD_0227</t>
        </is>
      </c>
      <c r="B993" s="3" t="inlineStr">
        <is>
          <t>VAR_1</t>
        </is>
      </c>
      <c r="C993" s="3" t="inlineStr">
        <is>
          <t>Electrical Material</t>
        </is>
      </c>
      <c r="D993" s="3" t="inlineStr">
        <is>
          <t>Sockets</t>
        </is>
      </c>
      <c r="E993" s="3" t="inlineStr">
        <is>
          <t>North West</t>
        </is>
      </c>
      <c r="F993" s="3" t="inlineStr">
        <is>
          <t>Stylus Plus</t>
        </is>
      </c>
      <c r="H993" s="3" t="inlineStr">
        <is>
          <t>Module</t>
        </is>
      </c>
      <c r="I993" s="3" t="inlineStr">
        <is>
          <t>Single</t>
        </is>
      </c>
      <c r="J993" s="3" t="inlineStr">
        <is>
          <t>Amperage</t>
        </is>
      </c>
      <c r="K993" s="3" t="inlineStr">
        <is>
          <t>6 A</t>
        </is>
      </c>
      <c r="Q993" s="3" t="inlineStr">
        <is>
          <t>Manufacturer's Warranty</t>
        </is>
      </c>
      <c r="R993" s="3" t="inlineStr">
        <is>
          <t>M1212-PLUS</t>
        </is>
      </c>
      <c r="Y993" s="3" t="inlineStr">
        <is>
          <t>SCK_NRWS_STL_6A_1, SCK_NRWS_STL_6A_2</t>
        </is>
      </c>
      <c r="Z993" s="3" t="n">
        <v>8536</v>
      </c>
      <c r="AE993" s="3" t="n">
        <v>280</v>
      </c>
      <c r="AF993" s="4" t="n">
        <v>0.5</v>
      </c>
      <c r="AG993" s="3">
        <f>ROUND(AE993-(AE993*AF993),2)</f>
        <v/>
      </c>
      <c r="AH993" s="4" t="n">
        <v>0.18</v>
      </c>
      <c r="AI993" s="3">
        <f>ROUND(AG993+(AG993*AH993),2)</f>
        <v/>
      </c>
      <c r="AJ993" s="4" t="n">
        <v>0.2</v>
      </c>
      <c r="AK993" s="3">
        <f>ROUND(AI993*AJ993,2)</f>
        <v/>
      </c>
      <c r="AL993" s="3">
        <f>AI993+AK993</f>
        <v/>
      </c>
      <c r="AM993" s="3">
        <f>AE993-AL993</f>
        <v/>
      </c>
      <c r="AN993" s="4">
        <f>AM993/AE993</f>
        <v/>
      </c>
      <c r="AO993" s="3" t="inlineStr">
        <is>
          <t>60 mins</t>
        </is>
      </c>
      <c r="AQ993" s="3" t="inlineStr">
        <is>
          <t>Weight</t>
        </is>
      </c>
      <c r="AT993" s="3" t="inlineStr">
        <is>
          <t>Active</t>
        </is>
      </c>
    </row>
    <row r="994" ht="15.75" customHeight="1">
      <c r="A994" s="3" t="inlineStr">
        <is>
          <t>PROD_0227</t>
        </is>
      </c>
      <c r="B994" s="3" t="inlineStr">
        <is>
          <t>VAR_2</t>
        </is>
      </c>
      <c r="C994" s="3" t="inlineStr">
        <is>
          <t>Electrical Material</t>
        </is>
      </c>
      <c r="D994" s="3" t="inlineStr">
        <is>
          <t>Sockets</t>
        </is>
      </c>
      <c r="E994" s="3" t="inlineStr">
        <is>
          <t>North West</t>
        </is>
      </c>
      <c r="F994" s="3" t="inlineStr">
        <is>
          <t>Stylus Plus</t>
        </is>
      </c>
      <c r="H994" s="3" t="inlineStr">
        <is>
          <t>Module</t>
        </is>
      </c>
      <c r="I994" s="3" t="inlineStr">
        <is>
          <t>Double</t>
        </is>
      </c>
      <c r="J994" s="3" t="inlineStr">
        <is>
          <t>Amperage</t>
        </is>
      </c>
      <c r="K994" s="3" t="inlineStr">
        <is>
          <t>16 A</t>
        </is>
      </c>
      <c r="Q994" s="3" t="inlineStr">
        <is>
          <t>Manufacturer's Warranty</t>
        </is>
      </c>
      <c r="R994" s="3" t="inlineStr">
        <is>
          <t>M1332-PLUS</t>
        </is>
      </c>
      <c r="Y994" s="3" t="inlineStr">
        <is>
          <t>SCK_NRWS_STL_16A_1, SCK_NRWS_STL_16A_2</t>
        </is>
      </c>
      <c r="Z994" s="3" t="n">
        <v>8536</v>
      </c>
      <c r="AE994" s="3" t="n">
        <v>410</v>
      </c>
      <c r="AF994" s="4" t="n">
        <v>0.5</v>
      </c>
      <c r="AG994" s="3">
        <f>ROUND(AE994-(AE994*AF994),2)</f>
        <v/>
      </c>
      <c r="AH994" s="4" t="n">
        <v>0.18</v>
      </c>
      <c r="AI994" s="3">
        <f>ROUND(AG994+(AG994*AH994),2)</f>
        <v/>
      </c>
      <c r="AJ994" s="4" t="n">
        <v>0.2</v>
      </c>
      <c r="AK994" s="3">
        <f>ROUND(AI994*AJ994,2)</f>
        <v/>
      </c>
      <c r="AL994" s="3">
        <f>AI994+AK994</f>
        <v/>
      </c>
      <c r="AM994" s="3">
        <f>AE994-AL994</f>
        <v/>
      </c>
      <c r="AN994" s="4">
        <f>AM994/AE994</f>
        <v/>
      </c>
      <c r="AO994" s="3" t="inlineStr">
        <is>
          <t>60 mins</t>
        </is>
      </c>
      <c r="AQ994" s="3" t="inlineStr">
        <is>
          <t>Weight</t>
        </is>
      </c>
      <c r="AT994" s="3" t="inlineStr">
        <is>
          <t>Active</t>
        </is>
      </c>
    </row>
    <row r="995" ht="15.75" customHeight="1">
      <c r="A995" s="3" t="inlineStr">
        <is>
          <t>PROD_0228</t>
        </is>
      </c>
      <c r="B995" s="3" t="inlineStr">
        <is>
          <t>VAR_1</t>
        </is>
      </c>
      <c r="C995" s="3" t="inlineStr">
        <is>
          <t>Electrical Material</t>
        </is>
      </c>
      <c r="D995" s="3" t="inlineStr">
        <is>
          <t>Sockets</t>
        </is>
      </c>
      <c r="E995" s="3" t="inlineStr">
        <is>
          <t>Crabtree</t>
        </is>
      </c>
      <c r="F995" s="3" t="inlineStr">
        <is>
          <t>Verona</t>
        </is>
      </c>
      <c r="H995" s="3" t="inlineStr">
        <is>
          <t>Module</t>
        </is>
      </c>
      <c r="I995" s="3" t="inlineStr">
        <is>
          <t>Single</t>
        </is>
      </c>
      <c r="J995" s="3" t="inlineStr">
        <is>
          <t>Amperage</t>
        </is>
      </c>
      <c r="K995" s="3" t="inlineStr">
        <is>
          <t>6 A</t>
        </is>
      </c>
      <c r="Q995" s="3" t="inlineStr">
        <is>
          <t>Manufacturer's Warranty</t>
        </is>
      </c>
      <c r="R995" s="3" t="inlineStr">
        <is>
          <t>ACVKSWW063</t>
        </is>
      </c>
      <c r="Y995" s="3" t="inlineStr">
        <is>
          <t>SCK_CRB_VRN_1, SCK_CRB_VRN_2</t>
        </is>
      </c>
      <c r="Z995" s="3" t="n">
        <v>8536</v>
      </c>
      <c r="AE995" s="3" t="n">
        <v>171</v>
      </c>
      <c r="AF995" s="4" t="n">
        <v>0.5</v>
      </c>
      <c r="AG995" s="3">
        <f>ROUND(AE995-(AE995*AF995),2)</f>
        <v/>
      </c>
      <c r="AH995" s="4" t="n">
        <v>0.18</v>
      </c>
      <c r="AI995" s="3">
        <f>ROUND(AG995+(AG995*AH995),2)</f>
        <v/>
      </c>
      <c r="AJ995" s="4" t="n">
        <v>0.2</v>
      </c>
      <c r="AK995" s="3">
        <f>ROUND(AI995*AJ995,2)</f>
        <v/>
      </c>
      <c r="AL995" s="3">
        <f>AI995+AK995</f>
        <v/>
      </c>
      <c r="AM995" s="3">
        <f>AE995-AL995</f>
        <v/>
      </c>
      <c r="AN995" s="4">
        <f>AM995/AE995</f>
        <v/>
      </c>
      <c r="AO995" s="3" t="inlineStr">
        <is>
          <t>60 mins</t>
        </is>
      </c>
      <c r="AQ995" s="3" t="inlineStr">
        <is>
          <t>Weight</t>
        </is>
      </c>
      <c r="AT995" s="3" t="inlineStr">
        <is>
          <t>Active</t>
        </is>
      </c>
    </row>
    <row r="996" ht="15.75" customHeight="1">
      <c r="A996" s="3" t="inlineStr">
        <is>
          <t>PROD_0228</t>
        </is>
      </c>
      <c r="B996" s="3" t="inlineStr">
        <is>
          <t>VAR_2</t>
        </is>
      </c>
      <c r="C996" s="3" t="inlineStr">
        <is>
          <t>Electrical Material</t>
        </is>
      </c>
      <c r="D996" s="3" t="inlineStr">
        <is>
          <t>Sockets</t>
        </is>
      </c>
      <c r="E996" s="3" t="inlineStr">
        <is>
          <t>Crabtree</t>
        </is>
      </c>
      <c r="F996" s="3" t="inlineStr">
        <is>
          <t>Verona</t>
        </is>
      </c>
      <c r="H996" s="3" t="inlineStr">
        <is>
          <t>Module</t>
        </is>
      </c>
      <c r="I996" s="3" t="inlineStr">
        <is>
          <t>Double</t>
        </is>
      </c>
      <c r="J996" s="3" t="inlineStr">
        <is>
          <t>Amperage</t>
        </is>
      </c>
      <c r="K996" s="3" t="inlineStr">
        <is>
          <t>16 A</t>
        </is>
      </c>
      <c r="Q996" s="3" t="inlineStr">
        <is>
          <t>Manufacturer's Warranty</t>
        </is>
      </c>
      <c r="R996" s="3" t="inlineStr">
        <is>
          <t>ACVKCWW163</t>
        </is>
      </c>
      <c r="Y996" s="3" t="inlineStr">
        <is>
          <t>SCK_CRB_VRN_1, SCK_CRB_VRN_2</t>
        </is>
      </c>
      <c r="Z996" s="3" t="n">
        <v>8536</v>
      </c>
      <c r="AE996" s="3" t="n">
        <v>264</v>
      </c>
      <c r="AF996" s="4" t="n">
        <v>0.5</v>
      </c>
      <c r="AG996" s="3">
        <f>ROUND(AE996-(AE996*AF996),2)</f>
        <v/>
      </c>
      <c r="AH996" s="4" t="n">
        <v>0.18</v>
      </c>
      <c r="AI996" s="3">
        <f>ROUND(AG996+(AG996*AH996),2)</f>
        <v/>
      </c>
      <c r="AJ996" s="4" t="n">
        <v>0.2</v>
      </c>
      <c r="AK996" s="3">
        <f>ROUND(AI996*AJ996,2)</f>
        <v/>
      </c>
      <c r="AL996" s="3">
        <f>AI996+AK996</f>
        <v/>
      </c>
      <c r="AM996" s="3">
        <f>AE996-AL996</f>
        <v/>
      </c>
      <c r="AN996" s="4">
        <f>AM996/AE996</f>
        <v/>
      </c>
      <c r="AO996" s="3" t="inlineStr">
        <is>
          <t>60 mins</t>
        </is>
      </c>
      <c r="AQ996" s="3" t="inlineStr">
        <is>
          <t>Weight</t>
        </is>
      </c>
      <c r="AT996" s="3" t="inlineStr">
        <is>
          <t>Active</t>
        </is>
      </c>
    </row>
    <row r="997" ht="15.75" customHeight="1">
      <c r="A997" s="3" t="inlineStr">
        <is>
          <t>PROD_0229</t>
        </is>
      </c>
      <c r="B997" s="3" t="inlineStr">
        <is>
          <t>VAR_1</t>
        </is>
      </c>
      <c r="C997" s="3" t="inlineStr">
        <is>
          <t>Electrical Material</t>
        </is>
      </c>
      <c r="D997" s="3" t="inlineStr">
        <is>
          <t>Sockets</t>
        </is>
      </c>
      <c r="E997" s="3" t="inlineStr">
        <is>
          <t>Havells Reo</t>
        </is>
      </c>
      <c r="F997" s="3" t="inlineStr">
        <is>
          <t>Bliss White</t>
        </is>
      </c>
      <c r="H997" s="3" t="inlineStr">
        <is>
          <t>Module</t>
        </is>
      </c>
      <c r="I997" s="3" t="inlineStr">
        <is>
          <t>Single</t>
        </is>
      </c>
      <c r="J997" s="3" t="inlineStr">
        <is>
          <t>Amperage</t>
        </is>
      </c>
      <c r="K997" s="3" t="inlineStr">
        <is>
          <t>6 A</t>
        </is>
      </c>
      <c r="Q997" s="3" t="inlineStr">
        <is>
          <t>Manufacturer's Warranty</t>
        </is>
      </c>
      <c r="R997" s="3" t="inlineStr">
        <is>
          <t>AHBKSWW063</t>
        </is>
      </c>
      <c r="Y997" s="3" t="inlineStr">
        <is>
          <t>SCK_HVL_REO_BLSWHT_6A</t>
        </is>
      </c>
      <c r="Z997" s="3" t="n">
        <v>8536</v>
      </c>
      <c r="AE997" s="3" t="n">
        <v>63</v>
      </c>
      <c r="AF997" s="4" t="n">
        <v>0.5</v>
      </c>
      <c r="AG997" s="3">
        <f>ROUND(AE997-(AE997*AF997),2)</f>
        <v/>
      </c>
      <c r="AH997" s="4" t="n">
        <v>0.18</v>
      </c>
      <c r="AI997" s="3">
        <f>ROUND(AG997+(AG997*AH997),2)</f>
        <v/>
      </c>
      <c r="AJ997" s="4" t="n">
        <v>0.2</v>
      </c>
      <c r="AK997" s="3">
        <f>ROUND(AI997*AJ997,2)</f>
        <v/>
      </c>
      <c r="AL997" s="3">
        <f>AI997+AK997</f>
        <v/>
      </c>
      <c r="AM997" s="3">
        <f>AE997-AL997</f>
        <v/>
      </c>
      <c r="AN997" s="4">
        <f>AM997/AE997</f>
        <v/>
      </c>
      <c r="AO997" s="3" t="inlineStr">
        <is>
          <t>60 mins</t>
        </is>
      </c>
      <c r="AQ997" s="3" t="inlineStr">
        <is>
          <t>Weight</t>
        </is>
      </c>
      <c r="AT997" s="3" t="inlineStr">
        <is>
          <t>Active</t>
        </is>
      </c>
    </row>
    <row r="998" ht="15.75" customHeight="1">
      <c r="A998" s="3" t="inlineStr">
        <is>
          <t>PROD_0229</t>
        </is>
      </c>
      <c r="B998" s="3" t="inlineStr">
        <is>
          <t>VAR_2</t>
        </is>
      </c>
      <c r="C998" s="3" t="inlineStr">
        <is>
          <t>Electrical Material</t>
        </is>
      </c>
      <c r="D998" s="3" t="inlineStr">
        <is>
          <t>Sockets</t>
        </is>
      </c>
      <c r="E998" s="3" t="inlineStr">
        <is>
          <t>Havells Reo</t>
        </is>
      </c>
      <c r="F998" s="3" t="inlineStr">
        <is>
          <t>Bliss White</t>
        </is>
      </c>
      <c r="H998" s="3" t="inlineStr">
        <is>
          <t>Module</t>
        </is>
      </c>
      <c r="I998" s="3" t="inlineStr">
        <is>
          <t>Double</t>
        </is>
      </c>
      <c r="J998" s="3" t="inlineStr">
        <is>
          <t>Amperage</t>
        </is>
      </c>
      <c r="K998" s="3" t="inlineStr">
        <is>
          <t>16 A</t>
        </is>
      </c>
      <c r="Q998" s="3" t="inlineStr">
        <is>
          <t>Manufacturer's Warranty</t>
        </is>
      </c>
      <c r="R998" s="3" t="inlineStr">
        <is>
          <t>AHBKCXW062</t>
        </is>
      </c>
      <c r="Y998" s="3" t="inlineStr">
        <is>
          <t>SCK_HVL_REO_BLSWHT_16A</t>
        </is>
      </c>
      <c r="Z998" s="3" t="n">
        <v>8536</v>
      </c>
      <c r="AE998" s="3" t="n">
        <v>142</v>
      </c>
      <c r="AF998" s="4" t="n">
        <v>0.5</v>
      </c>
      <c r="AG998" s="3">
        <f>ROUND(AE998-(AE998*AF998),2)</f>
        <v/>
      </c>
      <c r="AH998" s="4" t="n">
        <v>0.18</v>
      </c>
      <c r="AI998" s="3">
        <f>ROUND(AG998+(AG998*AH998),2)</f>
        <v/>
      </c>
      <c r="AJ998" s="4" t="n">
        <v>0.2</v>
      </c>
      <c r="AK998" s="3">
        <f>ROUND(AI998*AJ998,2)</f>
        <v/>
      </c>
      <c r="AL998" s="3">
        <f>AI998+AK998</f>
        <v/>
      </c>
      <c r="AM998" s="3">
        <f>AE998-AL998</f>
        <v/>
      </c>
      <c r="AN998" s="4">
        <f>AM998/AE998</f>
        <v/>
      </c>
      <c r="AO998" s="3" t="inlineStr">
        <is>
          <t>60 mins</t>
        </is>
      </c>
      <c r="AQ998" s="3" t="inlineStr">
        <is>
          <t>Weight</t>
        </is>
      </c>
      <c r="AT998" s="3" t="inlineStr">
        <is>
          <t>Active</t>
        </is>
      </c>
    </row>
    <row r="999" ht="15.75" customHeight="1">
      <c r="A999" s="3" t="inlineStr">
        <is>
          <t>PROD_0230</t>
        </is>
      </c>
      <c r="B999" s="3" t="inlineStr">
        <is>
          <t>VAR_1</t>
        </is>
      </c>
      <c r="C999" s="3" t="inlineStr">
        <is>
          <t>Electrical Material</t>
        </is>
      </c>
      <c r="D999" s="3" t="inlineStr">
        <is>
          <t>Sockets</t>
        </is>
      </c>
      <c r="E999" s="3" t="inlineStr">
        <is>
          <t>Havells Reo</t>
        </is>
      </c>
      <c r="F999" s="3" t="inlineStr">
        <is>
          <t>Bliss Ash Grey</t>
        </is>
      </c>
      <c r="H999" s="3" t="inlineStr">
        <is>
          <t>Module</t>
        </is>
      </c>
      <c r="I999" s="3" t="inlineStr">
        <is>
          <t>Single</t>
        </is>
      </c>
      <c r="J999" s="3" t="inlineStr">
        <is>
          <t>Amperage</t>
        </is>
      </c>
      <c r="K999" s="3" t="inlineStr">
        <is>
          <t>6 A</t>
        </is>
      </c>
      <c r="Q999" s="3" t="inlineStr">
        <is>
          <t>Manufacturer's Warranty</t>
        </is>
      </c>
      <c r="R999" s="3" t="inlineStr">
        <is>
          <t>AHBKSWG063</t>
        </is>
      </c>
      <c r="Y999" s="3" t="inlineStr">
        <is>
          <t>SCK_HVL_REO_BLSGRY</t>
        </is>
      </c>
      <c r="Z999" s="3" t="n">
        <v>8536</v>
      </c>
      <c r="AE999" s="3" t="n">
        <v>68</v>
      </c>
      <c r="AF999" s="4" t="n">
        <v>0.5</v>
      </c>
      <c r="AG999" s="3">
        <f>ROUND(AE999-(AE999*AF999),2)</f>
        <v/>
      </c>
      <c r="AH999" s="4" t="n">
        <v>0.18</v>
      </c>
      <c r="AI999" s="3">
        <f>ROUND(AG999+(AG999*AH999),2)</f>
        <v/>
      </c>
      <c r="AJ999" s="4" t="n">
        <v>0.2</v>
      </c>
      <c r="AK999" s="3">
        <f>ROUND(AI999*AJ999,2)</f>
        <v/>
      </c>
      <c r="AL999" s="3">
        <f>AI999+AK999</f>
        <v/>
      </c>
      <c r="AM999" s="3">
        <f>AE999-AL999</f>
        <v/>
      </c>
      <c r="AN999" s="4">
        <f>AM999/AE999</f>
        <v/>
      </c>
      <c r="AO999" s="3" t="inlineStr">
        <is>
          <t>60 mins</t>
        </is>
      </c>
      <c r="AQ999" s="3" t="inlineStr">
        <is>
          <t>Weight</t>
        </is>
      </c>
      <c r="AT999" s="3" t="inlineStr">
        <is>
          <t>Active</t>
        </is>
      </c>
    </row>
    <row r="1000" ht="15.75" customHeight="1">
      <c r="A1000" s="3" t="inlineStr">
        <is>
          <t>PROD_0230</t>
        </is>
      </c>
      <c r="B1000" s="3" t="inlineStr">
        <is>
          <t>VAR_2</t>
        </is>
      </c>
      <c r="C1000" s="3" t="inlineStr">
        <is>
          <t>Electrical Material</t>
        </is>
      </c>
      <c r="D1000" s="3" t="inlineStr">
        <is>
          <t>Sockets</t>
        </is>
      </c>
      <c r="E1000" s="3" t="inlineStr">
        <is>
          <t>Havells Reo</t>
        </is>
      </c>
      <c r="F1000" s="3" t="inlineStr">
        <is>
          <t>Bliss Ash Grey</t>
        </is>
      </c>
      <c r="H1000" s="3" t="inlineStr">
        <is>
          <t>Module</t>
        </is>
      </c>
      <c r="I1000" s="3" t="inlineStr">
        <is>
          <t>Double</t>
        </is>
      </c>
      <c r="J1000" s="3" t="inlineStr">
        <is>
          <t>Amperage</t>
        </is>
      </c>
      <c r="K1000" s="3" t="inlineStr">
        <is>
          <t>16 A</t>
        </is>
      </c>
      <c r="Q1000" s="3" t="inlineStr">
        <is>
          <t>Manufacturer's Warranty</t>
        </is>
      </c>
      <c r="R1000" s="3" t="inlineStr">
        <is>
          <t>AHBKCXG062</t>
        </is>
      </c>
      <c r="Y1000" s="3" t="inlineStr">
        <is>
          <t>SCK_HVL_REO_BLSGRY</t>
        </is>
      </c>
      <c r="Z1000" s="3" t="n">
        <v>8536</v>
      </c>
      <c r="AE1000" s="3" t="n">
        <v>152</v>
      </c>
      <c r="AF1000" s="4" t="n">
        <v>0.5</v>
      </c>
      <c r="AG1000" s="3">
        <f>ROUND(AE1000-(AE1000*AF1000),2)</f>
        <v/>
      </c>
      <c r="AH1000" s="4" t="n">
        <v>0.18</v>
      </c>
      <c r="AI1000" s="3">
        <f>ROUND(AG1000+(AG1000*AH1000),2)</f>
        <v/>
      </c>
      <c r="AJ1000" s="4" t="n">
        <v>0.2</v>
      </c>
      <c r="AK1000" s="3">
        <f>ROUND(AI1000*AJ1000,2)</f>
        <v/>
      </c>
      <c r="AL1000" s="3">
        <f>AI1000+AK1000</f>
        <v/>
      </c>
      <c r="AM1000" s="3">
        <f>AE1000-AL1000</f>
        <v/>
      </c>
      <c r="AN1000" s="4">
        <f>AM1000/AE1000</f>
        <v/>
      </c>
      <c r="AO1000" s="3" t="inlineStr">
        <is>
          <t>60 mins</t>
        </is>
      </c>
      <c r="AQ1000" s="3" t="inlineStr">
        <is>
          <t>Weight</t>
        </is>
      </c>
      <c r="AT1000" s="3" t="inlineStr">
        <is>
          <t>Active</t>
        </is>
      </c>
    </row>
    <row r="1001" ht="15.75" customHeight="1">
      <c r="A1001" s="3" t="inlineStr">
        <is>
          <t>PROD_0231</t>
        </is>
      </c>
      <c r="B1001" s="3" t="inlineStr">
        <is>
          <t>VAR_1</t>
        </is>
      </c>
      <c r="C1001" s="3" t="inlineStr">
        <is>
          <t>Electrical Material</t>
        </is>
      </c>
      <c r="D1001" s="3" t="inlineStr">
        <is>
          <t>Sockets</t>
        </is>
      </c>
      <c r="E1001" s="3" t="inlineStr">
        <is>
          <t>Schneider</t>
        </is>
      </c>
      <c r="F1001" s="3" t="inlineStr">
        <is>
          <t>Livia</t>
        </is>
      </c>
      <c r="H1001" s="3" t="inlineStr">
        <is>
          <t>Module</t>
        </is>
      </c>
      <c r="I1001" s="3" t="inlineStr">
        <is>
          <t>Single</t>
        </is>
      </c>
      <c r="J1001" s="3" t="inlineStr">
        <is>
          <t>Amperage</t>
        </is>
      </c>
      <c r="K1001" s="3" t="inlineStr">
        <is>
          <t>6 A</t>
        </is>
      </c>
      <c r="Q1001" s="3" t="inlineStr">
        <is>
          <t>Manufacturer's Warranty</t>
        </is>
      </c>
      <c r="R1001" s="3" t="inlineStr">
        <is>
          <t>P2005NS_PG</t>
        </is>
      </c>
      <c r="Y1001" s="3" t="inlineStr">
        <is>
          <t>SCK_SCH_LIVA_6A</t>
        </is>
      </c>
      <c r="Z1001" s="3" t="n">
        <v>8536</v>
      </c>
      <c r="AE1001" s="3" t="n">
        <v>272</v>
      </c>
      <c r="AF1001" s="4" t="n">
        <v>0.5</v>
      </c>
      <c r="AG1001" s="3">
        <f>ROUND(AE1001-(AE1001*AF1001),2)</f>
        <v/>
      </c>
      <c r="AH1001" s="4" t="n">
        <v>0.18</v>
      </c>
      <c r="AI1001" s="3">
        <f>ROUND(AG1001+(AG1001*AH1001),2)</f>
        <v/>
      </c>
      <c r="AJ1001" s="4" t="n">
        <v>0.2</v>
      </c>
      <c r="AK1001" s="3">
        <f>ROUND(AI1001*AJ1001,2)</f>
        <v/>
      </c>
      <c r="AL1001" s="3">
        <f>AI1001+AK1001</f>
        <v/>
      </c>
      <c r="AM1001" s="3">
        <f>AE1001-AL1001</f>
        <v/>
      </c>
      <c r="AN1001" s="4">
        <f>AM1001/AE1001</f>
        <v/>
      </c>
      <c r="AO1001" s="3" t="inlineStr">
        <is>
          <t>60 mins</t>
        </is>
      </c>
      <c r="AQ1001" s="3" t="inlineStr">
        <is>
          <t>Weight</t>
        </is>
      </c>
      <c r="AT1001" s="3" t="inlineStr">
        <is>
          <t>Active</t>
        </is>
      </c>
    </row>
    <row r="1002" ht="15.75" customHeight="1">
      <c r="A1002" s="3" t="inlineStr">
        <is>
          <t>PROD_0231</t>
        </is>
      </c>
      <c r="B1002" s="3" t="inlineStr">
        <is>
          <t>VAR_2</t>
        </is>
      </c>
      <c r="C1002" s="3" t="inlineStr">
        <is>
          <t>Electrical Material</t>
        </is>
      </c>
      <c r="D1002" s="3" t="inlineStr">
        <is>
          <t>Sockets</t>
        </is>
      </c>
      <c r="E1002" s="3" t="inlineStr">
        <is>
          <t>Schneider</t>
        </is>
      </c>
      <c r="F1002" s="3" t="inlineStr">
        <is>
          <t>Livia</t>
        </is>
      </c>
      <c r="H1002" s="3" t="inlineStr">
        <is>
          <t>Module</t>
        </is>
      </c>
      <c r="I1002" s="3" t="inlineStr">
        <is>
          <t>Double</t>
        </is>
      </c>
      <c r="J1002" s="3" t="inlineStr">
        <is>
          <t>Amperage</t>
        </is>
      </c>
      <c r="K1002" s="3" t="inlineStr">
        <is>
          <t>16 A</t>
        </is>
      </c>
      <c r="Q1002" s="3" t="inlineStr">
        <is>
          <t>Manufacturer's Warranty</t>
        </is>
      </c>
      <c r="R1002" s="3" t="inlineStr">
        <is>
          <t>P2106</t>
        </is>
      </c>
      <c r="Y1002" s="3" t="inlineStr">
        <is>
          <t>SCK_SCH_LIVA_16A</t>
        </is>
      </c>
      <c r="Z1002" s="3" t="n">
        <v>8536</v>
      </c>
      <c r="AE1002" s="3" t="n">
        <v>409</v>
      </c>
      <c r="AF1002" s="4" t="n">
        <v>0.5</v>
      </c>
      <c r="AG1002" s="3">
        <f>ROUND(AE1002-(AE1002*AF1002),2)</f>
        <v/>
      </c>
      <c r="AH1002" s="4" t="n">
        <v>0.18</v>
      </c>
      <c r="AI1002" s="3">
        <f>ROUND(AG1002+(AG1002*AH1002),2)</f>
        <v/>
      </c>
      <c r="AJ1002" s="4" t="n">
        <v>0.2</v>
      </c>
      <c r="AK1002" s="3">
        <f>ROUND(AI1002*AJ1002,2)</f>
        <v/>
      </c>
      <c r="AL1002" s="3">
        <f>AI1002+AK1002</f>
        <v/>
      </c>
      <c r="AM1002" s="3">
        <f>AE1002-AL1002</f>
        <v/>
      </c>
      <c r="AN1002" s="4">
        <f>AM1002/AE1002</f>
        <v/>
      </c>
      <c r="AO1002" s="3" t="inlineStr">
        <is>
          <t>60 mins</t>
        </is>
      </c>
      <c r="AQ1002" s="3" t="inlineStr">
        <is>
          <t>Weight</t>
        </is>
      </c>
      <c r="AT1002" s="3" t="inlineStr">
        <is>
          <t>Active</t>
        </is>
      </c>
    </row>
    <row r="1003" ht="15.75" customHeight="1">
      <c r="A1003" s="3" t="inlineStr">
        <is>
          <t>PROD_0232</t>
        </is>
      </c>
      <c r="B1003" s="3" t="inlineStr">
        <is>
          <t>VAR_1</t>
        </is>
      </c>
      <c r="C1003" s="3" t="inlineStr">
        <is>
          <t>Electrical Material</t>
        </is>
      </c>
      <c r="D1003" s="3" t="inlineStr">
        <is>
          <t>MCB/ RCCB</t>
        </is>
      </c>
      <c r="E1003" s="3" t="inlineStr">
        <is>
          <t>Havells</t>
        </is>
      </c>
      <c r="F1003" s="3" t="inlineStr">
        <is>
          <t>MCB</t>
        </is>
      </c>
      <c r="H1003" s="3" t="inlineStr">
        <is>
          <t>Series</t>
        </is>
      </c>
      <c r="I1003" s="3" t="inlineStr">
        <is>
          <t>B</t>
        </is>
      </c>
      <c r="J1003" s="3" t="inlineStr">
        <is>
          <t>Amperage</t>
        </is>
      </c>
      <c r="K1003" s="3" t="inlineStr">
        <is>
          <t>6 A - 32 A</t>
        </is>
      </c>
      <c r="L1003" s="3" t="inlineStr">
        <is>
          <t>Poles</t>
        </is>
      </c>
      <c r="M1003" s="3" t="inlineStr">
        <is>
          <t>SP</t>
        </is>
      </c>
      <c r="Q1003" s="3" t="inlineStr">
        <is>
          <t>Manufacturer's Warranty</t>
        </is>
      </c>
      <c r="R1003" s="3" t="inlineStr">
        <is>
          <t>DHMGBSPF006-032</t>
        </is>
      </c>
      <c r="Y1003" s="3" t="inlineStr">
        <is>
          <t>MCB_HVL_B_SP</t>
        </is>
      </c>
      <c r="Z1003" s="3" t="n">
        <v>8536</v>
      </c>
      <c r="AE1003" s="3" t="n">
        <v>286</v>
      </c>
      <c r="AF1003" s="4" t="n">
        <v>0.5</v>
      </c>
      <c r="AG1003" s="3">
        <f>ROUND(AE1003-(AE1003*AF1003),2)</f>
        <v/>
      </c>
      <c r="AH1003" s="4" t="n">
        <v>0.18</v>
      </c>
      <c r="AI1003" s="3">
        <f>ROUND(AG1003+(AG1003*AH1003),2)</f>
        <v/>
      </c>
      <c r="AJ1003" s="4" t="n">
        <v>0.2</v>
      </c>
      <c r="AK1003" s="3">
        <f>ROUND(AI1003*AJ1003,2)</f>
        <v/>
      </c>
      <c r="AL1003" s="3">
        <f>AI1003+AK1003</f>
        <v/>
      </c>
      <c r="AM1003" s="3">
        <f>AE1003-AL1003</f>
        <v/>
      </c>
      <c r="AN1003" s="4">
        <f>AM1003/AE1003</f>
        <v/>
      </c>
      <c r="AO1003" s="3" t="inlineStr">
        <is>
          <t>60 mins</t>
        </is>
      </c>
      <c r="AQ1003" s="3" t="inlineStr">
        <is>
          <t>Weight</t>
        </is>
      </c>
      <c r="AT1003" s="3" t="inlineStr">
        <is>
          <t>On Demand</t>
        </is>
      </c>
    </row>
    <row r="1004" ht="15.75" customHeight="1">
      <c r="A1004" s="3" t="inlineStr">
        <is>
          <t>PROD_0232</t>
        </is>
      </c>
      <c r="B1004" s="3" t="inlineStr">
        <is>
          <t>VAR_2</t>
        </is>
      </c>
      <c r="C1004" s="3" t="inlineStr">
        <is>
          <t>Electrical Material</t>
        </is>
      </c>
      <c r="D1004" s="3" t="inlineStr">
        <is>
          <t>MCB/ RCCB</t>
        </is>
      </c>
      <c r="E1004" s="3" t="inlineStr">
        <is>
          <t>Havells</t>
        </is>
      </c>
      <c r="F1004" s="3" t="inlineStr">
        <is>
          <t>MCB</t>
        </is>
      </c>
      <c r="H1004" s="3" t="inlineStr">
        <is>
          <t>Series</t>
        </is>
      </c>
      <c r="I1004" s="3" t="inlineStr">
        <is>
          <t>B</t>
        </is>
      </c>
      <c r="J1004" s="3" t="inlineStr">
        <is>
          <t>Amperage</t>
        </is>
      </c>
      <c r="K1004" s="3" t="inlineStr">
        <is>
          <t>10 A</t>
        </is>
      </c>
      <c r="L1004" s="3" t="inlineStr">
        <is>
          <t>Poles</t>
        </is>
      </c>
      <c r="M1004" s="3" t="inlineStr">
        <is>
          <t>SP</t>
        </is>
      </c>
      <c r="Q1004" s="3" t="inlineStr">
        <is>
          <t>Manufacturer's Warranty</t>
        </is>
      </c>
      <c r="Y1004" s="3" t="inlineStr">
        <is>
          <t>MCB_HVL_B_SP</t>
        </is>
      </c>
      <c r="Z1004" s="3" t="n">
        <v>8536</v>
      </c>
      <c r="AE1004" s="3" t="n">
        <v>286</v>
      </c>
      <c r="AF1004" s="4" t="n">
        <v>0.5</v>
      </c>
      <c r="AG1004" s="3">
        <f>ROUND(AE1004-(AE1004*AF1004),2)</f>
        <v/>
      </c>
      <c r="AH1004" s="4" t="n">
        <v>0.18</v>
      </c>
      <c r="AI1004" s="3">
        <f>ROUND(AG1004+(AG1004*AH1004),2)</f>
        <v/>
      </c>
      <c r="AJ1004" s="4" t="n">
        <v>0.2</v>
      </c>
      <c r="AK1004" s="3">
        <f>ROUND(AI1004*AJ1004,2)</f>
        <v/>
      </c>
      <c r="AL1004" s="3">
        <f>AI1004+AK1004</f>
        <v/>
      </c>
      <c r="AM1004" s="3">
        <f>AE1004-AL1004</f>
        <v/>
      </c>
      <c r="AN1004" s="4">
        <f>AM1004/AE1004</f>
        <v/>
      </c>
      <c r="AO1004" s="3" t="inlineStr">
        <is>
          <t>60 mins</t>
        </is>
      </c>
      <c r="AQ1004" s="3" t="inlineStr">
        <is>
          <t>Weight</t>
        </is>
      </c>
      <c r="AT1004" s="3" t="inlineStr">
        <is>
          <t>On Demand</t>
        </is>
      </c>
    </row>
    <row r="1005" ht="15.75" customHeight="1">
      <c r="A1005" s="3" t="inlineStr">
        <is>
          <t>PROD_0232</t>
        </is>
      </c>
      <c r="B1005" s="3" t="inlineStr">
        <is>
          <t>VAR_3</t>
        </is>
      </c>
      <c r="C1005" s="3" t="inlineStr">
        <is>
          <t>Electrical Material</t>
        </is>
      </c>
      <c r="D1005" s="3" t="inlineStr">
        <is>
          <t>MCB/ RCCB</t>
        </is>
      </c>
      <c r="E1005" s="3" t="inlineStr">
        <is>
          <t>Havells</t>
        </is>
      </c>
      <c r="F1005" s="3" t="inlineStr">
        <is>
          <t>MCB</t>
        </is>
      </c>
      <c r="H1005" s="3" t="inlineStr">
        <is>
          <t>Series</t>
        </is>
      </c>
      <c r="I1005" s="3" t="inlineStr">
        <is>
          <t>B</t>
        </is>
      </c>
      <c r="J1005" s="3" t="inlineStr">
        <is>
          <t>Amperage</t>
        </is>
      </c>
      <c r="K1005" s="3" t="inlineStr">
        <is>
          <t>16 A</t>
        </is>
      </c>
      <c r="L1005" s="3" t="inlineStr">
        <is>
          <t>Poles</t>
        </is>
      </c>
      <c r="M1005" s="3" t="inlineStr">
        <is>
          <t>SP</t>
        </is>
      </c>
      <c r="Q1005" s="3" t="inlineStr">
        <is>
          <t>Manufacturer's Warranty</t>
        </is>
      </c>
      <c r="Y1005" s="3" t="inlineStr">
        <is>
          <t>MCB_HVL_B_SP</t>
        </is>
      </c>
      <c r="Z1005" s="3" t="n">
        <v>8536</v>
      </c>
      <c r="AE1005" s="3" t="n">
        <v>286</v>
      </c>
      <c r="AF1005" s="4" t="n">
        <v>0.5</v>
      </c>
      <c r="AG1005" s="3">
        <f>ROUND(AE1005-(AE1005*AF1005),2)</f>
        <v/>
      </c>
      <c r="AH1005" s="4" t="n">
        <v>0.18</v>
      </c>
      <c r="AI1005" s="3">
        <f>ROUND(AG1005+(AG1005*AH1005),2)</f>
        <v/>
      </c>
      <c r="AJ1005" s="4" t="n">
        <v>0.2</v>
      </c>
      <c r="AK1005" s="3">
        <f>ROUND(AI1005*AJ1005,2)</f>
        <v/>
      </c>
      <c r="AL1005" s="3">
        <f>AI1005+AK1005</f>
        <v/>
      </c>
      <c r="AM1005" s="3">
        <f>AE1005-AL1005</f>
        <v/>
      </c>
      <c r="AN1005" s="4">
        <f>AM1005/AE1005</f>
        <v/>
      </c>
      <c r="AO1005" s="3" t="inlineStr">
        <is>
          <t>60 mins</t>
        </is>
      </c>
      <c r="AQ1005" s="3" t="inlineStr">
        <is>
          <t>Weight</t>
        </is>
      </c>
      <c r="AT1005" s="3" t="inlineStr">
        <is>
          <t>On Demand</t>
        </is>
      </c>
    </row>
    <row r="1006" ht="15.75" customHeight="1">
      <c r="A1006" s="3" t="inlineStr">
        <is>
          <t>PROD_0232</t>
        </is>
      </c>
      <c r="B1006" s="3" t="inlineStr">
        <is>
          <t>VAR_4</t>
        </is>
      </c>
      <c r="C1006" s="3" t="inlineStr">
        <is>
          <t>Electrical Material</t>
        </is>
      </c>
      <c r="D1006" s="3" t="inlineStr">
        <is>
          <t>MCB/ RCCB</t>
        </is>
      </c>
      <c r="E1006" s="3" t="inlineStr">
        <is>
          <t>Havells</t>
        </is>
      </c>
      <c r="F1006" s="3" t="inlineStr">
        <is>
          <t>MCB</t>
        </is>
      </c>
      <c r="H1006" s="3" t="inlineStr">
        <is>
          <t>Series</t>
        </is>
      </c>
      <c r="I1006" s="3" t="inlineStr">
        <is>
          <t>B</t>
        </is>
      </c>
      <c r="J1006" s="3" t="inlineStr">
        <is>
          <t>Amperage</t>
        </is>
      </c>
      <c r="K1006" s="3" t="inlineStr">
        <is>
          <t>20 A</t>
        </is>
      </c>
      <c r="L1006" s="3" t="inlineStr">
        <is>
          <t>Poles</t>
        </is>
      </c>
      <c r="M1006" s="3" t="inlineStr">
        <is>
          <t>SP</t>
        </is>
      </c>
      <c r="Q1006" s="3" t="inlineStr">
        <is>
          <t>Manufacturer's Warranty</t>
        </is>
      </c>
      <c r="Y1006" s="3" t="inlineStr">
        <is>
          <t>MCB_HVL_B_SP</t>
        </is>
      </c>
      <c r="Z1006" s="3" t="n">
        <v>8536</v>
      </c>
      <c r="AE1006" s="3" t="n">
        <v>286</v>
      </c>
      <c r="AF1006" s="4" t="n">
        <v>0.5</v>
      </c>
      <c r="AG1006" s="3">
        <f>ROUND(AE1006-(AE1006*AF1006),2)</f>
        <v/>
      </c>
      <c r="AH1006" s="4" t="n">
        <v>0.18</v>
      </c>
      <c r="AI1006" s="3">
        <f>ROUND(AG1006+(AG1006*AH1006),2)</f>
        <v/>
      </c>
      <c r="AJ1006" s="4" t="n">
        <v>0.2</v>
      </c>
      <c r="AK1006" s="3">
        <f>ROUND(AI1006*AJ1006,2)</f>
        <v/>
      </c>
      <c r="AL1006" s="3">
        <f>AI1006+AK1006</f>
        <v/>
      </c>
      <c r="AM1006" s="3">
        <f>AE1006-AL1006</f>
        <v/>
      </c>
      <c r="AN1006" s="4">
        <f>AM1006/AE1006</f>
        <v/>
      </c>
      <c r="AO1006" s="3" t="inlineStr">
        <is>
          <t>60 mins</t>
        </is>
      </c>
      <c r="AQ1006" s="3" t="inlineStr">
        <is>
          <t>Weight</t>
        </is>
      </c>
      <c r="AT1006" s="3" t="inlineStr">
        <is>
          <t>On Demand</t>
        </is>
      </c>
    </row>
    <row r="1007" ht="15.75" customHeight="1">
      <c r="A1007" s="3" t="inlineStr">
        <is>
          <t>PROD_0232</t>
        </is>
      </c>
      <c r="B1007" s="3" t="inlineStr">
        <is>
          <t>VAR_5</t>
        </is>
      </c>
      <c r="C1007" s="3" t="inlineStr">
        <is>
          <t>Electrical Material</t>
        </is>
      </c>
      <c r="D1007" s="3" t="inlineStr">
        <is>
          <t>MCB/ RCCB</t>
        </is>
      </c>
      <c r="E1007" s="3" t="inlineStr">
        <is>
          <t>Havells</t>
        </is>
      </c>
      <c r="F1007" s="3" t="inlineStr">
        <is>
          <t>MCB</t>
        </is>
      </c>
      <c r="H1007" s="3" t="inlineStr">
        <is>
          <t>Series</t>
        </is>
      </c>
      <c r="I1007" s="3" t="inlineStr">
        <is>
          <t>B</t>
        </is>
      </c>
      <c r="J1007" s="3" t="inlineStr">
        <is>
          <t>Amperage</t>
        </is>
      </c>
      <c r="K1007" s="3" t="inlineStr">
        <is>
          <t>25 A</t>
        </is>
      </c>
      <c r="L1007" s="3" t="inlineStr">
        <is>
          <t>Poles</t>
        </is>
      </c>
      <c r="M1007" s="3" t="inlineStr">
        <is>
          <t>SP</t>
        </is>
      </c>
      <c r="Q1007" s="3" t="inlineStr">
        <is>
          <t>Manufacturer's Warranty</t>
        </is>
      </c>
      <c r="Y1007" s="3" t="inlineStr">
        <is>
          <t>MCB_HVL_B_SP</t>
        </is>
      </c>
      <c r="Z1007" s="3" t="n">
        <v>8536</v>
      </c>
      <c r="AE1007" s="3" t="n">
        <v>286</v>
      </c>
      <c r="AF1007" s="4" t="n">
        <v>0.5</v>
      </c>
      <c r="AG1007" s="3">
        <f>ROUND(AE1007-(AE1007*AF1007),2)</f>
        <v/>
      </c>
      <c r="AH1007" s="4" t="n">
        <v>0.18</v>
      </c>
      <c r="AI1007" s="3">
        <f>ROUND(AG1007+(AG1007*AH1007),2)</f>
        <v/>
      </c>
      <c r="AJ1007" s="4" t="n">
        <v>0.2</v>
      </c>
      <c r="AK1007" s="3">
        <f>ROUND(AI1007*AJ1007,2)</f>
        <v/>
      </c>
      <c r="AL1007" s="3">
        <f>AI1007+AK1007</f>
        <v/>
      </c>
      <c r="AM1007" s="3">
        <f>AE1007-AL1007</f>
        <v/>
      </c>
      <c r="AN1007" s="4">
        <f>AM1007/AE1007</f>
        <v/>
      </c>
      <c r="AO1007" s="3" t="inlineStr">
        <is>
          <t>60 mins</t>
        </is>
      </c>
      <c r="AQ1007" s="3" t="inlineStr">
        <is>
          <t>Weight</t>
        </is>
      </c>
      <c r="AT1007" s="3" t="inlineStr">
        <is>
          <t>On Demand</t>
        </is>
      </c>
    </row>
    <row r="1008" ht="15.75" customHeight="1">
      <c r="A1008" s="3" t="inlineStr">
        <is>
          <t>PROD_0232</t>
        </is>
      </c>
      <c r="B1008" s="3" t="inlineStr">
        <is>
          <t>VAR_6</t>
        </is>
      </c>
      <c r="C1008" s="3" t="inlineStr">
        <is>
          <t>Electrical Material</t>
        </is>
      </c>
      <c r="D1008" s="3" t="inlineStr">
        <is>
          <t>MCB/ RCCB</t>
        </is>
      </c>
      <c r="E1008" s="3" t="inlineStr">
        <is>
          <t>Havells</t>
        </is>
      </c>
      <c r="F1008" s="3" t="inlineStr">
        <is>
          <t>MCB</t>
        </is>
      </c>
      <c r="H1008" s="3" t="inlineStr">
        <is>
          <t>Series</t>
        </is>
      </c>
      <c r="I1008" s="3" t="inlineStr">
        <is>
          <t>B</t>
        </is>
      </c>
      <c r="J1008" s="3" t="inlineStr">
        <is>
          <t>Amperage</t>
        </is>
      </c>
      <c r="K1008" s="3" t="inlineStr">
        <is>
          <t>32 A</t>
        </is>
      </c>
      <c r="L1008" s="3" t="inlineStr">
        <is>
          <t>Poles</t>
        </is>
      </c>
      <c r="M1008" s="3" t="inlineStr">
        <is>
          <t>SP</t>
        </is>
      </c>
      <c r="Q1008" s="3" t="inlineStr">
        <is>
          <t>Manufacturer's Warranty</t>
        </is>
      </c>
      <c r="Y1008" s="3" t="inlineStr">
        <is>
          <t>MCB_HVL_B_SP</t>
        </is>
      </c>
      <c r="Z1008" s="3" t="n">
        <v>8536</v>
      </c>
      <c r="AE1008" s="3" t="n">
        <v>286</v>
      </c>
      <c r="AF1008" s="4" t="n">
        <v>0.5</v>
      </c>
      <c r="AG1008" s="3">
        <f>ROUND(AE1008-(AE1008*AF1008),2)</f>
        <v/>
      </c>
      <c r="AH1008" s="4" t="n">
        <v>0.18</v>
      </c>
      <c r="AI1008" s="3">
        <f>ROUND(AG1008+(AG1008*AH1008),2)</f>
        <v/>
      </c>
      <c r="AJ1008" s="4" t="n">
        <v>0.2</v>
      </c>
      <c r="AK1008" s="3">
        <f>ROUND(AI1008*AJ1008,2)</f>
        <v/>
      </c>
      <c r="AL1008" s="3">
        <f>AI1008+AK1008</f>
        <v/>
      </c>
      <c r="AM1008" s="3">
        <f>AE1008-AL1008</f>
        <v/>
      </c>
      <c r="AN1008" s="4">
        <f>AM1008/AE1008</f>
        <v/>
      </c>
      <c r="AO1008" s="3" t="inlineStr">
        <is>
          <t>60 mins</t>
        </is>
      </c>
      <c r="AQ1008" s="3" t="inlineStr">
        <is>
          <t>Weight</t>
        </is>
      </c>
      <c r="AT1008" s="3" t="inlineStr">
        <is>
          <t>On Demand</t>
        </is>
      </c>
    </row>
    <row r="1009" ht="15.75" customHeight="1">
      <c r="A1009" s="3" t="inlineStr">
        <is>
          <t>PROD_0232</t>
        </is>
      </c>
      <c r="B1009" s="3" t="inlineStr">
        <is>
          <t>VAR_7</t>
        </is>
      </c>
      <c r="C1009" s="3" t="inlineStr">
        <is>
          <t>Electrical Material</t>
        </is>
      </c>
      <c r="D1009" s="3" t="inlineStr">
        <is>
          <t>MCB/ RCCB</t>
        </is>
      </c>
      <c r="E1009" s="3" t="inlineStr">
        <is>
          <t>Havells</t>
        </is>
      </c>
      <c r="F1009" s="3" t="inlineStr">
        <is>
          <t>MCB</t>
        </is>
      </c>
      <c r="H1009" s="3" t="inlineStr">
        <is>
          <t>Series</t>
        </is>
      </c>
      <c r="I1009" s="3" t="inlineStr">
        <is>
          <t>B</t>
        </is>
      </c>
      <c r="J1009" s="3" t="inlineStr">
        <is>
          <t>Amperage</t>
        </is>
      </c>
      <c r="K1009" s="3" t="inlineStr">
        <is>
          <t>40 A</t>
        </is>
      </c>
      <c r="L1009" s="3" t="inlineStr">
        <is>
          <t>Poles</t>
        </is>
      </c>
      <c r="M1009" s="3" t="inlineStr">
        <is>
          <t>SP</t>
        </is>
      </c>
      <c r="Q1009" s="3" t="inlineStr">
        <is>
          <t>Manufacturer's Warranty</t>
        </is>
      </c>
      <c r="Y1009" s="3" t="inlineStr">
        <is>
          <t>MCB_HVL_B_SP</t>
        </is>
      </c>
      <c r="Z1009" s="3" t="n">
        <v>8536</v>
      </c>
      <c r="AE1009" s="3" t="n">
        <v>286</v>
      </c>
      <c r="AF1009" s="4" t="n">
        <v>0.5</v>
      </c>
      <c r="AG1009" s="3">
        <f>ROUND(AE1009-(AE1009*AF1009),2)</f>
        <v/>
      </c>
      <c r="AH1009" s="4" t="n">
        <v>0.18</v>
      </c>
      <c r="AI1009" s="3">
        <f>ROUND(AG1009+(AG1009*AH1009),2)</f>
        <v/>
      </c>
      <c r="AJ1009" s="4" t="n">
        <v>0.2</v>
      </c>
      <c r="AK1009" s="3">
        <f>ROUND(AI1009*AJ1009,2)</f>
        <v/>
      </c>
      <c r="AL1009" s="3">
        <f>AI1009+AK1009</f>
        <v/>
      </c>
      <c r="AM1009" s="3">
        <f>AE1009-AL1009</f>
        <v/>
      </c>
      <c r="AN1009" s="4">
        <f>AM1009/AE1009</f>
        <v/>
      </c>
      <c r="AO1009" s="3" t="inlineStr">
        <is>
          <t>60 mins</t>
        </is>
      </c>
      <c r="AQ1009" s="3" t="inlineStr">
        <is>
          <t>Weight</t>
        </is>
      </c>
      <c r="AT1009" s="3" t="inlineStr">
        <is>
          <t>On Demand</t>
        </is>
      </c>
    </row>
    <row r="1010" ht="15.75" customHeight="1">
      <c r="A1010" s="3" t="inlineStr">
        <is>
          <t>PROD_0232</t>
        </is>
      </c>
      <c r="B1010" s="3" t="inlineStr">
        <is>
          <t>VAR_8</t>
        </is>
      </c>
      <c r="C1010" s="3" t="inlineStr">
        <is>
          <t>Electrical Material</t>
        </is>
      </c>
      <c r="D1010" s="3" t="inlineStr">
        <is>
          <t>MCB/ RCCB</t>
        </is>
      </c>
      <c r="E1010" s="3" t="inlineStr">
        <is>
          <t>Havells</t>
        </is>
      </c>
      <c r="F1010" s="3" t="inlineStr">
        <is>
          <t>MCB</t>
        </is>
      </c>
      <c r="H1010" s="3" t="inlineStr">
        <is>
          <t>Series</t>
        </is>
      </c>
      <c r="I1010" s="3" t="inlineStr">
        <is>
          <t>C</t>
        </is>
      </c>
      <c r="J1010" s="3" t="inlineStr">
        <is>
          <t>Amperage</t>
        </is>
      </c>
      <c r="K1010" s="3" t="inlineStr">
        <is>
          <t>upto 5 A</t>
        </is>
      </c>
      <c r="L1010" s="3" t="inlineStr">
        <is>
          <t>Poles</t>
        </is>
      </c>
      <c r="M1010" s="3" t="inlineStr">
        <is>
          <t>SP</t>
        </is>
      </c>
      <c r="Q1010" s="3" t="inlineStr">
        <is>
          <t>Manufacturer's Warranty</t>
        </is>
      </c>
      <c r="R1010" s="3" t="inlineStr">
        <is>
          <t>DHMZCSPF0X5-005</t>
        </is>
      </c>
      <c r="Y1010" s="3" t="inlineStr">
        <is>
          <t>MCB_HVL_C_SP</t>
        </is>
      </c>
      <c r="Z1010" s="3" t="n">
        <v>8536</v>
      </c>
      <c r="AE1010" s="3" t="n">
        <v>516</v>
      </c>
      <c r="AF1010" s="4" t="n">
        <v>0.5</v>
      </c>
      <c r="AG1010" s="3">
        <f>ROUND(AE1010-(AE1010*AF1010),2)</f>
        <v/>
      </c>
      <c r="AH1010" s="4" t="n">
        <v>0.18</v>
      </c>
      <c r="AI1010" s="3">
        <f>ROUND(AG1010+(AG1010*AH1010),2)</f>
        <v/>
      </c>
      <c r="AJ1010" s="4" t="n">
        <v>0.2</v>
      </c>
      <c r="AK1010" s="3">
        <f>ROUND(AI1010*AJ1010,2)</f>
        <v/>
      </c>
      <c r="AL1010" s="3">
        <f>AI1010+AK1010</f>
        <v/>
      </c>
      <c r="AM1010" s="3">
        <f>AE1010-AL1010</f>
        <v/>
      </c>
      <c r="AN1010" s="4">
        <f>AM1010/AE1010</f>
        <v/>
      </c>
      <c r="AO1010" s="3" t="inlineStr">
        <is>
          <t>60 mins</t>
        </is>
      </c>
      <c r="AQ1010" s="3" t="inlineStr">
        <is>
          <t>Weight</t>
        </is>
      </c>
      <c r="AT1010" s="3" t="inlineStr">
        <is>
          <t>On Demand</t>
        </is>
      </c>
    </row>
    <row r="1011" ht="15.75" customHeight="1">
      <c r="A1011" s="3" t="inlineStr">
        <is>
          <t>PROD_0232</t>
        </is>
      </c>
      <c r="B1011" s="3" t="inlineStr">
        <is>
          <t>VAR_9</t>
        </is>
      </c>
      <c r="C1011" s="3" t="inlineStr">
        <is>
          <t>Electrical Material</t>
        </is>
      </c>
      <c r="D1011" s="3" t="inlineStr">
        <is>
          <t>MCB/ RCCB</t>
        </is>
      </c>
      <c r="E1011" s="3" t="inlineStr">
        <is>
          <t>Havells</t>
        </is>
      </c>
      <c r="F1011" s="3" t="inlineStr">
        <is>
          <t>MCB</t>
        </is>
      </c>
      <c r="H1011" s="3" t="inlineStr">
        <is>
          <t>Series</t>
        </is>
      </c>
      <c r="I1011" s="3" t="inlineStr">
        <is>
          <t>C</t>
        </is>
      </c>
      <c r="J1011" s="3" t="inlineStr">
        <is>
          <t>Amperage</t>
        </is>
      </c>
      <c r="K1011" s="3" t="inlineStr">
        <is>
          <t>6 A - 32 A</t>
        </is>
      </c>
      <c r="L1011" s="3" t="inlineStr">
        <is>
          <t>Poles</t>
        </is>
      </c>
      <c r="M1011" s="3" t="inlineStr">
        <is>
          <t>SP</t>
        </is>
      </c>
      <c r="Q1011" s="3" t="inlineStr">
        <is>
          <t>Manufacturer's Warranty</t>
        </is>
      </c>
      <c r="R1011" s="3" t="inlineStr">
        <is>
          <t>DHMZCSPF006-032</t>
        </is>
      </c>
      <c r="Y1011" s="3" t="inlineStr">
        <is>
          <t>MCB_HVL_C_SP</t>
        </is>
      </c>
      <c r="Z1011" s="3" t="n">
        <v>8536</v>
      </c>
      <c r="AE1011" s="3" t="n">
        <v>308</v>
      </c>
      <c r="AF1011" s="4" t="n">
        <v>0.5</v>
      </c>
      <c r="AG1011" s="3">
        <f>ROUND(AE1011-(AE1011*AF1011),2)</f>
        <v/>
      </c>
      <c r="AH1011" s="4" t="n">
        <v>0.18</v>
      </c>
      <c r="AI1011" s="3">
        <f>ROUND(AG1011+(AG1011*AH1011),2)</f>
        <v/>
      </c>
      <c r="AJ1011" s="4" t="n">
        <v>0.2</v>
      </c>
      <c r="AK1011" s="3">
        <f>ROUND(AI1011*AJ1011,2)</f>
        <v/>
      </c>
      <c r="AL1011" s="3">
        <f>AI1011+AK1011</f>
        <v/>
      </c>
      <c r="AM1011" s="3">
        <f>AE1011-AL1011</f>
        <v/>
      </c>
      <c r="AN1011" s="4">
        <f>AM1011/AE1011</f>
        <v/>
      </c>
      <c r="AO1011" s="3" t="inlineStr">
        <is>
          <t>60 mins</t>
        </is>
      </c>
      <c r="AQ1011" s="3" t="inlineStr">
        <is>
          <t>Weight</t>
        </is>
      </c>
      <c r="AT1011" s="3" t="inlineStr">
        <is>
          <t>On Demand</t>
        </is>
      </c>
    </row>
    <row r="1012" ht="15.75" customHeight="1">
      <c r="A1012" s="3" t="inlineStr">
        <is>
          <t>PROD_0232</t>
        </is>
      </c>
      <c r="B1012" s="3" t="inlineStr">
        <is>
          <t>VAR_10</t>
        </is>
      </c>
      <c r="C1012" s="3" t="inlineStr">
        <is>
          <t>Electrical Material</t>
        </is>
      </c>
      <c r="D1012" s="3" t="inlineStr">
        <is>
          <t>MCB/ RCCB</t>
        </is>
      </c>
      <c r="E1012" s="3" t="inlineStr">
        <is>
          <t>Havells</t>
        </is>
      </c>
      <c r="F1012" s="3" t="inlineStr">
        <is>
          <t>MCB</t>
        </is>
      </c>
      <c r="H1012" s="3" t="inlineStr">
        <is>
          <t>Series</t>
        </is>
      </c>
      <c r="I1012" s="3" t="inlineStr">
        <is>
          <t>C</t>
        </is>
      </c>
      <c r="J1012" s="3" t="inlineStr">
        <is>
          <t>Amperage</t>
        </is>
      </c>
      <c r="K1012" s="3" t="inlineStr">
        <is>
          <t>40 A</t>
        </is>
      </c>
      <c r="L1012" s="3" t="inlineStr">
        <is>
          <t>Poles</t>
        </is>
      </c>
      <c r="M1012" s="3" t="inlineStr">
        <is>
          <t>SP</t>
        </is>
      </c>
      <c r="Q1012" s="3" t="inlineStr">
        <is>
          <t>Manufacturer's Warranty</t>
        </is>
      </c>
      <c r="R1012" s="3" t="inlineStr">
        <is>
          <t>DHMZCSPF040</t>
        </is>
      </c>
      <c r="Y1012" s="3" t="inlineStr">
        <is>
          <t>MCB_HVL_C_SP</t>
        </is>
      </c>
      <c r="Z1012" s="3" t="n">
        <v>8536</v>
      </c>
      <c r="AE1012" s="3" t="n">
        <v>709</v>
      </c>
      <c r="AF1012" s="4" t="n">
        <v>0.5</v>
      </c>
      <c r="AG1012" s="3">
        <f>ROUND(AE1012-(AE1012*AF1012),2)</f>
        <v/>
      </c>
      <c r="AH1012" s="4" t="n">
        <v>0.18</v>
      </c>
      <c r="AI1012" s="3">
        <f>ROUND(AG1012+(AG1012*AH1012),2)</f>
        <v/>
      </c>
      <c r="AJ1012" s="4" t="n">
        <v>0.2</v>
      </c>
      <c r="AK1012" s="3">
        <f>ROUND(AI1012*AJ1012,2)</f>
        <v/>
      </c>
      <c r="AL1012" s="3">
        <f>AI1012+AK1012</f>
        <v/>
      </c>
      <c r="AM1012" s="3">
        <f>AE1012-AL1012</f>
        <v/>
      </c>
      <c r="AN1012" s="4">
        <f>AM1012/AE1012</f>
        <v/>
      </c>
      <c r="AO1012" s="3" t="inlineStr">
        <is>
          <t>60 mins</t>
        </is>
      </c>
      <c r="AQ1012" s="3" t="inlineStr">
        <is>
          <t>Weight</t>
        </is>
      </c>
      <c r="AT1012" s="3" t="inlineStr">
        <is>
          <t>On Demand</t>
        </is>
      </c>
    </row>
    <row r="1013" ht="15.75" customHeight="1">
      <c r="A1013" s="3" t="inlineStr">
        <is>
          <t>PROD_0232</t>
        </is>
      </c>
      <c r="B1013" s="3" t="inlineStr">
        <is>
          <t>VAR_11</t>
        </is>
      </c>
      <c r="C1013" s="3" t="inlineStr">
        <is>
          <t>Electrical Material</t>
        </is>
      </c>
      <c r="D1013" s="3" t="inlineStr">
        <is>
          <t>MCB/ RCCB</t>
        </is>
      </c>
      <c r="E1013" s="3" t="inlineStr">
        <is>
          <t>Havells</t>
        </is>
      </c>
      <c r="F1013" s="3" t="inlineStr">
        <is>
          <t>MCB</t>
        </is>
      </c>
      <c r="H1013" s="3" t="inlineStr">
        <is>
          <t>Series</t>
        </is>
      </c>
      <c r="I1013" s="3" t="inlineStr">
        <is>
          <t>C</t>
        </is>
      </c>
      <c r="J1013" s="3" t="inlineStr">
        <is>
          <t>Amperage</t>
        </is>
      </c>
      <c r="K1013" s="3" t="inlineStr">
        <is>
          <t>63 A</t>
        </is>
      </c>
      <c r="L1013" s="3" t="inlineStr">
        <is>
          <t>Poles</t>
        </is>
      </c>
      <c r="M1013" s="3" t="inlineStr">
        <is>
          <t>SP</t>
        </is>
      </c>
      <c r="Q1013" s="3" t="inlineStr">
        <is>
          <t>Manufacturer's Warranty</t>
        </is>
      </c>
      <c r="R1013" s="3" t="inlineStr">
        <is>
          <t>DHMZCSPF063</t>
        </is>
      </c>
      <c r="Y1013" s="3" t="inlineStr">
        <is>
          <t>MCB_HVL_C_SP</t>
        </is>
      </c>
      <c r="Z1013" s="3" t="n">
        <v>8536</v>
      </c>
      <c r="AE1013" s="3" t="n">
        <v>783</v>
      </c>
      <c r="AF1013" s="4" t="n">
        <v>0.5</v>
      </c>
      <c r="AG1013" s="3">
        <f>ROUND(AE1013-(AE1013*AF1013),2)</f>
        <v/>
      </c>
      <c r="AH1013" s="4" t="n">
        <v>0.18</v>
      </c>
      <c r="AI1013" s="3">
        <f>ROUND(AG1013+(AG1013*AH1013),2)</f>
        <v/>
      </c>
      <c r="AJ1013" s="4" t="n">
        <v>0.2</v>
      </c>
      <c r="AK1013" s="3">
        <f>ROUND(AI1013*AJ1013,2)</f>
        <v/>
      </c>
      <c r="AL1013" s="3">
        <f>AI1013+AK1013</f>
        <v/>
      </c>
      <c r="AM1013" s="3">
        <f>AE1013-AL1013</f>
        <v/>
      </c>
      <c r="AN1013" s="4">
        <f>AM1013/AE1013</f>
        <v/>
      </c>
      <c r="AO1013" s="3" t="inlineStr">
        <is>
          <t>60 mins</t>
        </is>
      </c>
      <c r="AQ1013" s="3" t="inlineStr">
        <is>
          <t>Weight</t>
        </is>
      </c>
      <c r="AT1013" s="3" t="inlineStr">
        <is>
          <t>On Demand</t>
        </is>
      </c>
    </row>
    <row r="1014" ht="15.75" customHeight="1">
      <c r="A1014" s="3" t="inlineStr">
        <is>
          <t>PROD_0232</t>
        </is>
      </c>
      <c r="B1014" s="3" t="inlineStr">
        <is>
          <t>VAR_12</t>
        </is>
      </c>
      <c r="C1014" s="3" t="inlineStr">
        <is>
          <t>Electrical Material</t>
        </is>
      </c>
      <c r="D1014" s="3" t="inlineStr">
        <is>
          <t>MCB/ RCCB</t>
        </is>
      </c>
      <c r="E1014" s="3" t="inlineStr">
        <is>
          <t>Havells</t>
        </is>
      </c>
      <c r="F1014" s="3" t="inlineStr">
        <is>
          <t>MCB</t>
        </is>
      </c>
      <c r="H1014" s="3" t="inlineStr">
        <is>
          <t>Series</t>
        </is>
      </c>
      <c r="I1014" s="3" t="inlineStr">
        <is>
          <t>C</t>
        </is>
      </c>
      <c r="J1014" s="3" t="inlineStr">
        <is>
          <t>Amperage</t>
        </is>
      </c>
      <c r="K1014" s="3" t="inlineStr">
        <is>
          <t>80 A</t>
        </is>
      </c>
      <c r="L1014" s="3" t="inlineStr">
        <is>
          <t>Poles</t>
        </is>
      </c>
      <c r="M1014" s="3" t="inlineStr">
        <is>
          <t>SP</t>
        </is>
      </c>
      <c r="Q1014" s="3" t="inlineStr">
        <is>
          <t>Manufacturer's Warranty</t>
        </is>
      </c>
      <c r="R1014" s="3" t="inlineStr">
        <is>
          <t xml:space="preserve">DHMZCSPF080 </t>
        </is>
      </c>
      <c r="Y1014" s="3" t="inlineStr">
        <is>
          <t>MCB_HVL_C_SP</t>
        </is>
      </c>
      <c r="Z1014" s="3" t="n">
        <v>8536</v>
      </c>
      <c r="AE1014" s="3" t="n">
        <v>2555</v>
      </c>
      <c r="AF1014" s="4" t="n">
        <v>0.5</v>
      </c>
      <c r="AG1014" s="3">
        <f>ROUND(AE1014-(AE1014*AF1014),2)</f>
        <v/>
      </c>
      <c r="AH1014" s="4" t="n">
        <v>0.18</v>
      </c>
      <c r="AI1014" s="3">
        <f>ROUND(AG1014+(AG1014*AH1014),2)</f>
        <v/>
      </c>
      <c r="AJ1014" s="4" t="n">
        <v>0.2</v>
      </c>
      <c r="AK1014" s="3">
        <f>ROUND(AI1014*AJ1014,2)</f>
        <v/>
      </c>
      <c r="AL1014" s="3">
        <f>AI1014+AK1014</f>
        <v/>
      </c>
      <c r="AM1014" s="3">
        <f>AE1014-AL1014</f>
        <v/>
      </c>
      <c r="AN1014" s="4">
        <f>AM1014/AE1014</f>
        <v/>
      </c>
      <c r="AO1014" s="3" t="inlineStr">
        <is>
          <t>60 mins</t>
        </is>
      </c>
      <c r="AQ1014" s="3" t="inlineStr">
        <is>
          <t>Weight</t>
        </is>
      </c>
      <c r="AT1014" s="3" t="inlineStr">
        <is>
          <t>On Demand</t>
        </is>
      </c>
    </row>
    <row r="1015" ht="15.75" customHeight="1">
      <c r="A1015" s="3" t="inlineStr">
        <is>
          <t>PROD_0232</t>
        </is>
      </c>
      <c r="B1015" s="3" t="inlineStr">
        <is>
          <t>VAR_13</t>
        </is>
      </c>
      <c r="C1015" s="3" t="inlineStr">
        <is>
          <t>Electrical Material</t>
        </is>
      </c>
      <c r="D1015" s="3" t="inlineStr">
        <is>
          <t>MCB/ RCCB</t>
        </is>
      </c>
      <c r="E1015" s="3" t="inlineStr">
        <is>
          <t>Havells</t>
        </is>
      </c>
      <c r="F1015" s="3" t="inlineStr">
        <is>
          <t>MCB</t>
        </is>
      </c>
      <c r="H1015" s="3" t="inlineStr">
        <is>
          <t>Series</t>
        </is>
      </c>
      <c r="I1015" s="3" t="inlineStr">
        <is>
          <t>C</t>
        </is>
      </c>
      <c r="J1015" s="3" t="inlineStr">
        <is>
          <t>Amperage</t>
        </is>
      </c>
      <c r="K1015" s="3" t="inlineStr">
        <is>
          <t>100 A</t>
        </is>
      </c>
      <c r="L1015" s="3" t="inlineStr">
        <is>
          <t>Poles</t>
        </is>
      </c>
      <c r="M1015" s="3" t="inlineStr">
        <is>
          <t>SP</t>
        </is>
      </c>
      <c r="Q1015" s="3" t="inlineStr">
        <is>
          <t>Manufacturer's Warranty</t>
        </is>
      </c>
      <c r="R1015" s="3" t="inlineStr">
        <is>
          <t>DHMZCSPF100</t>
        </is>
      </c>
      <c r="Y1015" s="3" t="inlineStr">
        <is>
          <t>MCB_HVL_C_SP</t>
        </is>
      </c>
      <c r="Z1015" s="3" t="n">
        <v>8536</v>
      </c>
      <c r="AE1015" s="3" t="n">
        <v>2863</v>
      </c>
      <c r="AF1015" s="4" t="n">
        <v>0.5</v>
      </c>
      <c r="AG1015" s="3">
        <f>ROUND(AE1015-(AE1015*AF1015),2)</f>
        <v/>
      </c>
      <c r="AH1015" s="4" t="n">
        <v>0.18</v>
      </c>
      <c r="AI1015" s="3">
        <f>ROUND(AG1015+(AG1015*AH1015),2)</f>
        <v/>
      </c>
      <c r="AJ1015" s="4" t="n">
        <v>0.2</v>
      </c>
      <c r="AK1015" s="3">
        <f>ROUND(AI1015*AJ1015,2)</f>
        <v/>
      </c>
      <c r="AL1015" s="3">
        <f>AI1015+AK1015</f>
        <v/>
      </c>
      <c r="AM1015" s="3">
        <f>AE1015-AL1015</f>
        <v/>
      </c>
      <c r="AN1015" s="4">
        <f>AM1015/AE1015</f>
        <v/>
      </c>
      <c r="AO1015" s="3" t="inlineStr">
        <is>
          <t>60 mins</t>
        </is>
      </c>
      <c r="AQ1015" s="3" t="inlineStr">
        <is>
          <t>Weight</t>
        </is>
      </c>
      <c r="AT1015" s="3" t="inlineStr">
        <is>
          <t>On Demand</t>
        </is>
      </c>
    </row>
    <row r="1016" ht="15.75" customHeight="1">
      <c r="A1016" s="3" t="inlineStr">
        <is>
          <t>PROD_0232</t>
        </is>
      </c>
      <c r="B1016" s="3" t="inlineStr">
        <is>
          <t>VAR_14</t>
        </is>
      </c>
      <c r="C1016" s="3" t="inlineStr">
        <is>
          <t>Electrical Material</t>
        </is>
      </c>
      <c r="D1016" s="3" t="inlineStr">
        <is>
          <t>MCB/ RCCB</t>
        </is>
      </c>
      <c r="E1016" s="3" t="inlineStr">
        <is>
          <t>Havells</t>
        </is>
      </c>
      <c r="F1016" s="3" t="inlineStr">
        <is>
          <t>MCB</t>
        </is>
      </c>
      <c r="H1016" s="3" t="inlineStr">
        <is>
          <t>Series</t>
        </is>
      </c>
      <c r="I1016" s="3" t="inlineStr">
        <is>
          <t>C</t>
        </is>
      </c>
      <c r="J1016" s="3" t="inlineStr">
        <is>
          <t>Amperage</t>
        </is>
      </c>
      <c r="K1016" s="3" t="inlineStr">
        <is>
          <t>125 A</t>
        </is>
      </c>
      <c r="L1016" s="3" t="inlineStr">
        <is>
          <t>Poles</t>
        </is>
      </c>
      <c r="M1016" s="3" t="inlineStr">
        <is>
          <t>SP</t>
        </is>
      </c>
      <c r="Q1016" s="3" t="inlineStr">
        <is>
          <t>Manufacturer's Warranty</t>
        </is>
      </c>
      <c r="R1016" s="3" t="inlineStr">
        <is>
          <t xml:space="preserve"> DHMZCSPF125</t>
        </is>
      </c>
      <c r="Y1016" s="3" t="inlineStr">
        <is>
          <t>MCB_HVL_C_SP</t>
        </is>
      </c>
      <c r="Z1016" s="3" t="n">
        <v>8536</v>
      </c>
      <c r="AE1016" s="3" t="n">
        <v>3138</v>
      </c>
      <c r="AF1016" s="4" t="n">
        <v>0.5</v>
      </c>
      <c r="AG1016" s="3">
        <f>ROUND(AE1016-(AE1016*AF1016),2)</f>
        <v/>
      </c>
      <c r="AH1016" s="4" t="n">
        <v>0.18</v>
      </c>
      <c r="AI1016" s="3">
        <f>ROUND(AG1016+(AG1016*AH1016),2)</f>
        <v/>
      </c>
      <c r="AJ1016" s="4" t="n">
        <v>0.2</v>
      </c>
      <c r="AK1016" s="3">
        <f>ROUND(AI1016*AJ1016,2)</f>
        <v/>
      </c>
      <c r="AL1016" s="3">
        <f>AI1016+AK1016</f>
        <v/>
      </c>
      <c r="AM1016" s="3">
        <f>AE1016-AL1016</f>
        <v/>
      </c>
      <c r="AN1016" s="4">
        <f>AM1016/AE1016</f>
        <v/>
      </c>
      <c r="AO1016" s="3" t="inlineStr">
        <is>
          <t>60 mins</t>
        </is>
      </c>
      <c r="AQ1016" s="3" t="inlineStr">
        <is>
          <t>Weight</t>
        </is>
      </c>
      <c r="AT1016" s="3" t="inlineStr">
        <is>
          <t>On Demand</t>
        </is>
      </c>
    </row>
    <row r="1017" ht="15.75" customHeight="1">
      <c r="A1017" s="3" t="inlineStr">
        <is>
          <t>PROD_0232</t>
        </is>
      </c>
      <c r="B1017" s="3" t="inlineStr">
        <is>
          <t>VAR_15</t>
        </is>
      </c>
      <c r="C1017" s="3" t="inlineStr">
        <is>
          <t>Electrical Material</t>
        </is>
      </c>
      <c r="D1017" s="3" t="inlineStr">
        <is>
          <t>MCB/ RCCB</t>
        </is>
      </c>
      <c r="E1017" s="3" t="inlineStr">
        <is>
          <t>Havells</t>
        </is>
      </c>
      <c r="F1017" s="3" t="inlineStr">
        <is>
          <t>MCB</t>
        </is>
      </c>
      <c r="H1017" s="3" t="inlineStr">
        <is>
          <t>Series</t>
        </is>
      </c>
      <c r="I1017" s="3" t="inlineStr">
        <is>
          <t>C</t>
        </is>
      </c>
      <c r="J1017" s="3" t="inlineStr">
        <is>
          <t>Amperage</t>
        </is>
      </c>
      <c r="K1017" s="3" t="inlineStr">
        <is>
          <t>upto 5 A</t>
        </is>
      </c>
      <c r="L1017" s="3" t="inlineStr">
        <is>
          <t>Poles</t>
        </is>
      </c>
      <c r="M1017" s="3" t="inlineStr">
        <is>
          <t>DP</t>
        </is>
      </c>
      <c r="Q1017" s="3" t="inlineStr">
        <is>
          <t>Manufacturer's Warranty</t>
        </is>
      </c>
      <c r="R1017" s="3" t="inlineStr">
        <is>
          <t>DHMZCDPF0X5-005</t>
        </is>
      </c>
      <c r="Y1017" s="3" t="inlineStr">
        <is>
          <t>MCB_HVL_C_DP</t>
        </is>
      </c>
      <c r="Z1017" s="3" t="n">
        <v>8536</v>
      </c>
      <c r="AE1017" s="3" t="n">
        <v>1343</v>
      </c>
      <c r="AF1017" s="4" t="n">
        <v>0.5</v>
      </c>
      <c r="AG1017" s="3">
        <f>ROUND(AE1017-(AE1017*AF1017),2)</f>
        <v/>
      </c>
      <c r="AH1017" s="4" t="n">
        <v>0.18</v>
      </c>
      <c r="AI1017" s="3">
        <f>ROUND(AG1017+(AG1017*AH1017),2)</f>
        <v/>
      </c>
      <c r="AJ1017" s="4" t="n">
        <v>0.2</v>
      </c>
      <c r="AK1017" s="3">
        <f>ROUND(AI1017*AJ1017,2)</f>
        <v/>
      </c>
      <c r="AL1017" s="3">
        <f>AI1017+AK1017</f>
        <v/>
      </c>
      <c r="AM1017" s="3">
        <f>AE1017-AL1017</f>
        <v/>
      </c>
      <c r="AN1017" s="4">
        <f>AM1017/AE1017</f>
        <v/>
      </c>
      <c r="AO1017" s="3" t="inlineStr">
        <is>
          <t>60 mins</t>
        </is>
      </c>
      <c r="AQ1017" s="3" t="inlineStr">
        <is>
          <t>Weight</t>
        </is>
      </c>
      <c r="AT1017" s="3" t="inlineStr">
        <is>
          <t>On Demand</t>
        </is>
      </c>
    </row>
    <row r="1018" ht="15.75" customHeight="1">
      <c r="A1018" s="3" t="inlineStr">
        <is>
          <t>PROD_0232</t>
        </is>
      </c>
      <c r="B1018" s="3" t="inlineStr">
        <is>
          <t>VAR_16</t>
        </is>
      </c>
      <c r="C1018" s="3" t="inlineStr">
        <is>
          <t>Electrical Material</t>
        </is>
      </c>
      <c r="D1018" s="3" t="inlineStr">
        <is>
          <t>MCB/ RCCB</t>
        </is>
      </c>
      <c r="E1018" s="3" t="inlineStr">
        <is>
          <t>Havells</t>
        </is>
      </c>
      <c r="F1018" s="3" t="inlineStr">
        <is>
          <t>MCB</t>
        </is>
      </c>
      <c r="H1018" s="3" t="inlineStr">
        <is>
          <t>Series</t>
        </is>
      </c>
      <c r="I1018" s="3" t="inlineStr">
        <is>
          <t>C</t>
        </is>
      </c>
      <c r="J1018" s="3" t="inlineStr">
        <is>
          <t>Amperage</t>
        </is>
      </c>
      <c r="K1018" s="3" t="inlineStr">
        <is>
          <t>6 A - 32 A</t>
        </is>
      </c>
      <c r="L1018" s="3" t="inlineStr">
        <is>
          <t>Poles</t>
        </is>
      </c>
      <c r="M1018" s="3" t="inlineStr">
        <is>
          <t>DP</t>
        </is>
      </c>
      <c r="Q1018" s="3" t="inlineStr">
        <is>
          <t>Manufacturer's Warranty</t>
        </is>
      </c>
      <c r="R1018" s="3" t="inlineStr">
        <is>
          <t>DHMZCDPF006-032</t>
        </is>
      </c>
      <c r="Y1018" s="3" t="inlineStr">
        <is>
          <t>MCB_HVL_C_DP</t>
        </is>
      </c>
      <c r="Z1018" s="3" t="n">
        <v>8536</v>
      </c>
      <c r="AE1018" s="3" t="n">
        <v>1007</v>
      </c>
      <c r="AF1018" s="4" t="n">
        <v>0.5</v>
      </c>
      <c r="AG1018" s="3">
        <f>ROUND(AE1018-(AE1018*AF1018),2)</f>
        <v/>
      </c>
      <c r="AH1018" s="4" t="n">
        <v>0.18</v>
      </c>
      <c r="AI1018" s="3">
        <f>ROUND(AG1018+(AG1018*AH1018),2)</f>
        <v/>
      </c>
      <c r="AJ1018" s="4" t="n">
        <v>0.2</v>
      </c>
      <c r="AK1018" s="3">
        <f>ROUND(AI1018*AJ1018,2)</f>
        <v/>
      </c>
      <c r="AL1018" s="3">
        <f>AI1018+AK1018</f>
        <v/>
      </c>
      <c r="AM1018" s="3">
        <f>AE1018-AL1018</f>
        <v/>
      </c>
      <c r="AN1018" s="4">
        <f>AM1018/AE1018</f>
        <v/>
      </c>
      <c r="AO1018" s="3" t="inlineStr">
        <is>
          <t>60 mins</t>
        </is>
      </c>
      <c r="AQ1018" s="3" t="inlineStr">
        <is>
          <t>Weight</t>
        </is>
      </c>
      <c r="AT1018" s="3" t="inlineStr">
        <is>
          <t>On Demand</t>
        </is>
      </c>
    </row>
    <row r="1019" ht="15.75" customHeight="1">
      <c r="A1019" s="3" t="inlineStr">
        <is>
          <t>PROD_0232</t>
        </is>
      </c>
      <c r="B1019" s="3" t="inlineStr">
        <is>
          <t>VAR_17</t>
        </is>
      </c>
      <c r="C1019" s="3" t="inlineStr">
        <is>
          <t>Electrical Material</t>
        </is>
      </c>
      <c r="D1019" s="3" t="inlineStr">
        <is>
          <t>MCB/ RCCB</t>
        </is>
      </c>
      <c r="E1019" s="3" t="inlineStr">
        <is>
          <t>Havells</t>
        </is>
      </c>
      <c r="F1019" s="3" t="inlineStr">
        <is>
          <t>MCB</t>
        </is>
      </c>
      <c r="H1019" s="3" t="inlineStr">
        <is>
          <t>Series</t>
        </is>
      </c>
      <c r="I1019" s="3" t="inlineStr">
        <is>
          <t>C</t>
        </is>
      </c>
      <c r="J1019" s="3" t="inlineStr">
        <is>
          <t>Amperage</t>
        </is>
      </c>
      <c r="K1019" s="3" t="inlineStr">
        <is>
          <t>40 A</t>
        </is>
      </c>
      <c r="L1019" s="3" t="inlineStr">
        <is>
          <t>Poles</t>
        </is>
      </c>
      <c r="M1019" s="3" t="inlineStr">
        <is>
          <t>DP</t>
        </is>
      </c>
      <c r="Q1019" s="3" t="inlineStr">
        <is>
          <t>Manufacturer's Warranty</t>
        </is>
      </c>
      <c r="R1019" s="3" t="inlineStr">
        <is>
          <t>DHMZCDPF040</t>
        </is>
      </c>
      <c r="Y1019" s="3" t="inlineStr">
        <is>
          <t>MCB_HVL_C_DP</t>
        </is>
      </c>
      <c r="Z1019" s="3" t="n">
        <v>8536</v>
      </c>
      <c r="AE1019" s="3" t="n">
        <v>1568</v>
      </c>
      <c r="AF1019" s="4" t="n">
        <v>0.5</v>
      </c>
      <c r="AG1019" s="3">
        <f>ROUND(AE1019-(AE1019*AF1019),2)</f>
        <v/>
      </c>
      <c r="AH1019" s="4" t="n">
        <v>0.18</v>
      </c>
      <c r="AI1019" s="3">
        <f>ROUND(AG1019+(AG1019*AH1019),2)</f>
        <v/>
      </c>
      <c r="AJ1019" s="4" t="n">
        <v>0.2</v>
      </c>
      <c r="AK1019" s="3">
        <f>ROUND(AI1019*AJ1019,2)</f>
        <v/>
      </c>
      <c r="AL1019" s="3">
        <f>AI1019+AK1019</f>
        <v/>
      </c>
      <c r="AM1019" s="3">
        <f>AE1019-AL1019</f>
        <v/>
      </c>
      <c r="AN1019" s="4">
        <f>AM1019/AE1019</f>
        <v/>
      </c>
      <c r="AO1019" s="3" t="inlineStr">
        <is>
          <t>60 mins</t>
        </is>
      </c>
      <c r="AQ1019" s="3" t="inlineStr">
        <is>
          <t>Weight</t>
        </is>
      </c>
      <c r="AT1019" s="3" t="inlineStr">
        <is>
          <t>On Demand</t>
        </is>
      </c>
    </row>
    <row r="1020" ht="15.75" customHeight="1">
      <c r="A1020" s="3" t="inlineStr">
        <is>
          <t>PROD_0232</t>
        </is>
      </c>
      <c r="B1020" s="3" t="inlineStr">
        <is>
          <t>VAR_18</t>
        </is>
      </c>
      <c r="C1020" s="3" t="inlineStr">
        <is>
          <t>Electrical Material</t>
        </is>
      </c>
      <c r="D1020" s="3" t="inlineStr">
        <is>
          <t>MCB/ RCCB</t>
        </is>
      </c>
      <c r="E1020" s="3" t="inlineStr">
        <is>
          <t>Havells</t>
        </is>
      </c>
      <c r="F1020" s="3" t="inlineStr">
        <is>
          <t>MCB</t>
        </is>
      </c>
      <c r="H1020" s="3" t="inlineStr">
        <is>
          <t>Series</t>
        </is>
      </c>
      <c r="I1020" s="3" t="inlineStr">
        <is>
          <t>C</t>
        </is>
      </c>
      <c r="J1020" s="3" t="inlineStr">
        <is>
          <t>Amperage</t>
        </is>
      </c>
      <c r="K1020" s="3" t="inlineStr">
        <is>
          <t>63 A</t>
        </is>
      </c>
      <c r="L1020" s="3" t="inlineStr">
        <is>
          <t>Poles</t>
        </is>
      </c>
      <c r="M1020" s="3" t="inlineStr">
        <is>
          <t>DP</t>
        </is>
      </c>
      <c r="Q1020" s="3" t="inlineStr">
        <is>
          <t>Manufacturer's Warranty</t>
        </is>
      </c>
      <c r="R1020" s="3" t="inlineStr">
        <is>
          <t>DHMZCDPF063</t>
        </is>
      </c>
      <c r="Y1020" s="3" t="inlineStr">
        <is>
          <t>MCB_HVL_C_DP</t>
        </is>
      </c>
      <c r="Z1020" s="3" t="n">
        <v>8536</v>
      </c>
      <c r="AE1020" s="3" t="n">
        <v>1700</v>
      </c>
      <c r="AF1020" s="4" t="n">
        <v>0.5</v>
      </c>
      <c r="AG1020" s="3">
        <f>ROUND(AE1020-(AE1020*AF1020),2)</f>
        <v/>
      </c>
      <c r="AH1020" s="4" t="n">
        <v>0.18</v>
      </c>
      <c r="AI1020" s="3">
        <f>ROUND(AG1020+(AG1020*AH1020),2)</f>
        <v/>
      </c>
      <c r="AJ1020" s="4" t="n">
        <v>0.2</v>
      </c>
      <c r="AK1020" s="3">
        <f>ROUND(AI1020*AJ1020,2)</f>
        <v/>
      </c>
      <c r="AL1020" s="3">
        <f>AI1020+AK1020</f>
        <v/>
      </c>
      <c r="AM1020" s="3">
        <f>AE1020-AL1020</f>
        <v/>
      </c>
      <c r="AN1020" s="4">
        <f>AM1020/AE1020</f>
        <v/>
      </c>
      <c r="AO1020" s="3" t="inlineStr">
        <is>
          <t>60 mins</t>
        </is>
      </c>
      <c r="AQ1020" s="3" t="inlineStr">
        <is>
          <t>Weight</t>
        </is>
      </c>
      <c r="AT1020" s="3" t="inlineStr">
        <is>
          <t>On Demand</t>
        </is>
      </c>
    </row>
    <row r="1021" ht="15.75" customHeight="1">
      <c r="A1021" s="3" t="inlineStr">
        <is>
          <t>PROD_0232</t>
        </is>
      </c>
      <c r="B1021" s="3" t="inlineStr">
        <is>
          <t>VAR_19</t>
        </is>
      </c>
      <c r="C1021" s="3" t="inlineStr">
        <is>
          <t>Electrical Material</t>
        </is>
      </c>
      <c r="D1021" s="3" t="inlineStr">
        <is>
          <t>MCB/ RCCB</t>
        </is>
      </c>
      <c r="E1021" s="3" t="inlineStr">
        <is>
          <t>Havells</t>
        </is>
      </c>
      <c r="F1021" s="3" t="inlineStr">
        <is>
          <t>MCB</t>
        </is>
      </c>
      <c r="H1021" s="3" t="inlineStr">
        <is>
          <t>Series</t>
        </is>
      </c>
      <c r="I1021" s="3" t="inlineStr">
        <is>
          <t>C</t>
        </is>
      </c>
      <c r="J1021" s="3" t="inlineStr">
        <is>
          <t>Amperage</t>
        </is>
      </c>
      <c r="K1021" s="3" t="inlineStr">
        <is>
          <t>80 A</t>
        </is>
      </c>
      <c r="L1021" s="3" t="inlineStr">
        <is>
          <t>Poles</t>
        </is>
      </c>
      <c r="M1021" s="3" t="inlineStr">
        <is>
          <t>DP</t>
        </is>
      </c>
      <c r="Q1021" s="3" t="inlineStr">
        <is>
          <t>Manufacturer's Warranty</t>
        </is>
      </c>
      <c r="R1021" s="3" t="inlineStr">
        <is>
          <t>DHMZCDPF080</t>
        </is>
      </c>
      <c r="Y1021" s="3" t="inlineStr">
        <is>
          <t>MCB_HVL_C_DP</t>
        </is>
      </c>
      <c r="Z1021" s="3" t="n">
        <v>8536</v>
      </c>
      <c r="AE1021" s="3" t="n">
        <v>2555</v>
      </c>
      <c r="AF1021" s="4" t="n">
        <v>0.5</v>
      </c>
      <c r="AG1021" s="3">
        <f>ROUND(AE1021-(AE1021*AF1021),2)</f>
        <v/>
      </c>
      <c r="AH1021" s="4" t="n">
        <v>0.18</v>
      </c>
      <c r="AI1021" s="3">
        <f>ROUND(AG1021+(AG1021*AH1021),2)</f>
        <v/>
      </c>
      <c r="AJ1021" s="4" t="n">
        <v>0.2</v>
      </c>
      <c r="AK1021" s="3">
        <f>ROUND(AI1021*AJ1021,2)</f>
        <v/>
      </c>
      <c r="AL1021" s="3">
        <f>AI1021+AK1021</f>
        <v/>
      </c>
      <c r="AM1021" s="3">
        <f>AE1021-AL1021</f>
        <v/>
      </c>
      <c r="AN1021" s="4">
        <f>AM1021/AE1021</f>
        <v/>
      </c>
      <c r="AO1021" s="3" t="inlineStr">
        <is>
          <t>60 mins</t>
        </is>
      </c>
      <c r="AQ1021" s="3" t="inlineStr">
        <is>
          <t>Weight</t>
        </is>
      </c>
      <c r="AT1021" s="3" t="inlineStr">
        <is>
          <t>On Demand</t>
        </is>
      </c>
    </row>
    <row r="1022" ht="15.75" customHeight="1">
      <c r="A1022" s="3" t="inlineStr">
        <is>
          <t>PROD_0232</t>
        </is>
      </c>
      <c r="B1022" s="3" t="inlineStr">
        <is>
          <t>VAR_20</t>
        </is>
      </c>
      <c r="C1022" s="3" t="inlineStr">
        <is>
          <t>Electrical Material</t>
        </is>
      </c>
      <c r="D1022" s="3" t="inlineStr">
        <is>
          <t>MCB/ RCCB</t>
        </is>
      </c>
      <c r="E1022" s="3" t="inlineStr">
        <is>
          <t>Havells</t>
        </is>
      </c>
      <c r="F1022" s="3" t="inlineStr">
        <is>
          <t>MCB</t>
        </is>
      </c>
      <c r="H1022" s="3" t="inlineStr">
        <is>
          <t>Series</t>
        </is>
      </c>
      <c r="I1022" s="3" t="inlineStr">
        <is>
          <t>C</t>
        </is>
      </c>
      <c r="J1022" s="3" t="inlineStr">
        <is>
          <t>Amperage</t>
        </is>
      </c>
      <c r="K1022" s="3" t="inlineStr">
        <is>
          <t>100 A</t>
        </is>
      </c>
      <c r="L1022" s="3" t="inlineStr">
        <is>
          <t>Poles</t>
        </is>
      </c>
      <c r="M1022" s="3" t="inlineStr">
        <is>
          <t>DP</t>
        </is>
      </c>
      <c r="Q1022" s="3" t="inlineStr">
        <is>
          <t>Manufacturer's Warranty</t>
        </is>
      </c>
      <c r="R1022" s="3" t="inlineStr">
        <is>
          <t>DHMZCDPF100</t>
        </is>
      </c>
      <c r="Y1022" s="3" t="inlineStr">
        <is>
          <t>MCB_HVL_C_DP</t>
        </is>
      </c>
      <c r="Z1022" s="3" t="n">
        <v>8536</v>
      </c>
      <c r="AE1022" s="3" t="n">
        <v>2863</v>
      </c>
      <c r="AF1022" s="4" t="n">
        <v>0.5</v>
      </c>
      <c r="AG1022" s="3">
        <f>ROUND(AE1022-(AE1022*AF1022),2)</f>
        <v/>
      </c>
      <c r="AH1022" s="4" t="n">
        <v>0.18</v>
      </c>
      <c r="AI1022" s="3">
        <f>ROUND(AG1022+(AG1022*AH1022),2)</f>
        <v/>
      </c>
      <c r="AJ1022" s="4" t="n">
        <v>0.2</v>
      </c>
      <c r="AK1022" s="3">
        <f>ROUND(AI1022*AJ1022,2)</f>
        <v/>
      </c>
      <c r="AL1022" s="3">
        <f>AI1022+AK1022</f>
        <v/>
      </c>
      <c r="AM1022" s="3">
        <f>AE1022-AL1022</f>
        <v/>
      </c>
      <c r="AN1022" s="4">
        <f>AM1022/AE1022</f>
        <v/>
      </c>
      <c r="AO1022" s="3" t="inlineStr">
        <is>
          <t>60 mins</t>
        </is>
      </c>
      <c r="AQ1022" s="3" t="inlineStr">
        <is>
          <t>Weight</t>
        </is>
      </c>
      <c r="AT1022" s="3" t="inlineStr">
        <is>
          <t>On Demand</t>
        </is>
      </c>
    </row>
    <row r="1023" ht="15.75" customHeight="1">
      <c r="A1023" s="3" t="inlineStr">
        <is>
          <t>PROD_0232</t>
        </is>
      </c>
      <c r="B1023" s="3" t="inlineStr">
        <is>
          <t>VAR_21</t>
        </is>
      </c>
      <c r="C1023" s="3" t="inlineStr">
        <is>
          <t>Electrical Material</t>
        </is>
      </c>
      <c r="D1023" s="3" t="inlineStr">
        <is>
          <t>MCB/ RCCB</t>
        </is>
      </c>
      <c r="E1023" s="3" t="inlineStr">
        <is>
          <t>Havells</t>
        </is>
      </c>
      <c r="F1023" s="3" t="inlineStr">
        <is>
          <t>MCB</t>
        </is>
      </c>
      <c r="H1023" s="3" t="inlineStr">
        <is>
          <t>Series</t>
        </is>
      </c>
      <c r="I1023" s="3" t="inlineStr">
        <is>
          <t>C</t>
        </is>
      </c>
      <c r="J1023" s="3" t="inlineStr">
        <is>
          <t>Amperage</t>
        </is>
      </c>
      <c r="K1023" s="3" t="inlineStr">
        <is>
          <t>125 A</t>
        </is>
      </c>
      <c r="L1023" s="3" t="inlineStr">
        <is>
          <t>Poles</t>
        </is>
      </c>
      <c r="M1023" s="3" t="inlineStr">
        <is>
          <t>DP</t>
        </is>
      </c>
      <c r="Q1023" s="3" t="inlineStr">
        <is>
          <t>Manufacturer's Warranty</t>
        </is>
      </c>
      <c r="R1023" s="3" t="inlineStr">
        <is>
          <t>DHMZCDPF125</t>
        </is>
      </c>
      <c r="Y1023" s="3" t="inlineStr">
        <is>
          <t>MCB_HVL_C_DP</t>
        </is>
      </c>
      <c r="Z1023" s="3" t="n">
        <v>8536</v>
      </c>
      <c r="AE1023" s="3" t="n">
        <v>3138</v>
      </c>
      <c r="AF1023" s="4" t="n">
        <v>0.5</v>
      </c>
      <c r="AG1023" s="3">
        <f>ROUND(AE1023-(AE1023*AF1023),2)</f>
        <v/>
      </c>
      <c r="AH1023" s="4" t="n">
        <v>0.18</v>
      </c>
      <c r="AI1023" s="3">
        <f>ROUND(AG1023+(AG1023*AH1023),2)</f>
        <v/>
      </c>
      <c r="AJ1023" s="4" t="n">
        <v>0.2</v>
      </c>
      <c r="AK1023" s="3">
        <f>ROUND(AI1023*AJ1023,2)</f>
        <v/>
      </c>
      <c r="AL1023" s="3">
        <f>AI1023+AK1023</f>
        <v/>
      </c>
      <c r="AM1023" s="3">
        <f>AE1023-AL1023</f>
        <v/>
      </c>
      <c r="AN1023" s="4">
        <f>AM1023/AE1023</f>
        <v/>
      </c>
      <c r="AO1023" s="3" t="inlineStr">
        <is>
          <t>60 mins</t>
        </is>
      </c>
      <c r="AQ1023" s="3" t="inlineStr">
        <is>
          <t>Weight</t>
        </is>
      </c>
      <c r="AT1023" s="3" t="inlineStr">
        <is>
          <t>On Demand</t>
        </is>
      </c>
    </row>
    <row r="1024" ht="15.75" customHeight="1">
      <c r="A1024" s="3" t="inlineStr">
        <is>
          <t>PROD_0232</t>
        </is>
      </c>
      <c r="B1024" s="3" t="inlineStr">
        <is>
          <t>VAR_22</t>
        </is>
      </c>
      <c r="C1024" s="3" t="inlineStr">
        <is>
          <t>Electrical Material</t>
        </is>
      </c>
      <c r="D1024" s="3" t="inlineStr">
        <is>
          <t>MCB/ RCCB</t>
        </is>
      </c>
      <c r="E1024" s="3" t="inlineStr">
        <is>
          <t>Havells</t>
        </is>
      </c>
      <c r="F1024" s="3" t="inlineStr">
        <is>
          <t>MCB</t>
        </is>
      </c>
      <c r="H1024" s="3" t="inlineStr">
        <is>
          <t>Series</t>
        </is>
      </c>
      <c r="I1024" s="3" t="inlineStr">
        <is>
          <t>C</t>
        </is>
      </c>
      <c r="J1024" s="3" t="inlineStr">
        <is>
          <t>Amperage</t>
        </is>
      </c>
      <c r="K1024" s="3" t="inlineStr">
        <is>
          <t>upto 5 A</t>
        </is>
      </c>
      <c r="L1024" s="3" t="inlineStr">
        <is>
          <t>Poles</t>
        </is>
      </c>
      <c r="M1024" s="3" t="inlineStr">
        <is>
          <t>TP</t>
        </is>
      </c>
      <c r="Q1024" s="3" t="inlineStr">
        <is>
          <t>Manufacturer's Warranty</t>
        </is>
      </c>
      <c r="R1024" s="3" t="inlineStr">
        <is>
          <t>DHMZCTPF0x5-005</t>
        </is>
      </c>
      <c r="Y1024" s="3" t="inlineStr">
        <is>
          <t>MCB_HVL_C_TP</t>
        </is>
      </c>
      <c r="Z1024" s="3" t="n">
        <v>8536</v>
      </c>
      <c r="AE1024" s="3" t="n">
        <v>1709</v>
      </c>
      <c r="AF1024" s="4" t="n">
        <v>0.5</v>
      </c>
      <c r="AG1024" s="3">
        <f>ROUND(AE1024-(AE1024*AF1024),2)</f>
        <v/>
      </c>
      <c r="AH1024" s="4" t="n">
        <v>0.18</v>
      </c>
      <c r="AI1024" s="3">
        <f>ROUND(AG1024+(AG1024*AH1024),2)</f>
        <v/>
      </c>
      <c r="AJ1024" s="4" t="n">
        <v>0.2</v>
      </c>
      <c r="AK1024" s="3">
        <f>ROUND(AI1024*AJ1024,2)</f>
        <v/>
      </c>
      <c r="AL1024" s="3">
        <f>AI1024+AK1024</f>
        <v/>
      </c>
      <c r="AM1024" s="3">
        <f>AE1024-AL1024</f>
        <v/>
      </c>
      <c r="AN1024" s="4">
        <f>AM1024/AE1024</f>
        <v/>
      </c>
      <c r="AO1024" s="3" t="inlineStr">
        <is>
          <t>60 mins</t>
        </is>
      </c>
      <c r="AQ1024" s="3" t="inlineStr">
        <is>
          <t>Weight</t>
        </is>
      </c>
      <c r="AT1024" s="3" t="inlineStr">
        <is>
          <t>On Demand</t>
        </is>
      </c>
    </row>
    <row r="1025" ht="15.75" customHeight="1">
      <c r="A1025" s="3" t="inlineStr">
        <is>
          <t>PROD_0232</t>
        </is>
      </c>
      <c r="B1025" s="3" t="inlineStr">
        <is>
          <t>VAR_23</t>
        </is>
      </c>
      <c r="C1025" s="3" t="inlineStr">
        <is>
          <t>Electrical Material</t>
        </is>
      </c>
      <c r="D1025" s="3" t="inlineStr">
        <is>
          <t>MCB/ RCCB</t>
        </is>
      </c>
      <c r="E1025" s="3" t="inlineStr">
        <is>
          <t>Havells</t>
        </is>
      </c>
      <c r="F1025" s="3" t="inlineStr">
        <is>
          <t>MCB</t>
        </is>
      </c>
      <c r="H1025" s="3" t="inlineStr">
        <is>
          <t>Series</t>
        </is>
      </c>
      <c r="I1025" s="3" t="inlineStr">
        <is>
          <t>C</t>
        </is>
      </c>
      <c r="J1025" s="3" t="inlineStr">
        <is>
          <t>Amperage</t>
        </is>
      </c>
      <c r="K1025" s="3" t="inlineStr">
        <is>
          <t>6 A - 32 A</t>
        </is>
      </c>
      <c r="L1025" s="3" t="inlineStr">
        <is>
          <t>Poles</t>
        </is>
      </c>
      <c r="M1025" s="3" t="inlineStr">
        <is>
          <t>TP</t>
        </is>
      </c>
      <c r="Q1025" s="3" t="inlineStr">
        <is>
          <t>Manufacturer's Warranty</t>
        </is>
      </c>
      <c r="R1025" s="3" t="inlineStr">
        <is>
          <t>DHMZCTPF006-032</t>
        </is>
      </c>
      <c r="Y1025" s="3" t="inlineStr">
        <is>
          <t>MCB_HVL_C_TP</t>
        </is>
      </c>
      <c r="Z1025" s="3" t="n">
        <v>8536</v>
      </c>
      <c r="AE1025" s="3" t="n">
        <v>1592</v>
      </c>
      <c r="AF1025" s="4" t="n">
        <v>0.5</v>
      </c>
      <c r="AG1025" s="3">
        <f>ROUND(AE1025-(AE1025*AF1025),2)</f>
        <v/>
      </c>
      <c r="AH1025" s="4" t="n">
        <v>0.18</v>
      </c>
      <c r="AI1025" s="3">
        <f>ROUND(AG1025+(AG1025*AH1025),2)</f>
        <v/>
      </c>
      <c r="AJ1025" s="4" t="n">
        <v>0.2</v>
      </c>
      <c r="AK1025" s="3">
        <f>ROUND(AI1025*AJ1025,2)</f>
        <v/>
      </c>
      <c r="AL1025" s="3">
        <f>AI1025+AK1025</f>
        <v/>
      </c>
      <c r="AM1025" s="3">
        <f>AE1025-AL1025</f>
        <v/>
      </c>
      <c r="AN1025" s="4">
        <f>AM1025/AE1025</f>
        <v/>
      </c>
      <c r="AO1025" s="3" t="inlineStr">
        <is>
          <t>60 mins</t>
        </is>
      </c>
      <c r="AQ1025" s="3" t="inlineStr">
        <is>
          <t>Weight</t>
        </is>
      </c>
      <c r="AT1025" s="3" t="inlineStr">
        <is>
          <t>On Demand</t>
        </is>
      </c>
    </row>
    <row r="1026" ht="15.75" customHeight="1">
      <c r="A1026" s="3" t="inlineStr">
        <is>
          <t>PROD_0232</t>
        </is>
      </c>
      <c r="B1026" s="3" t="inlineStr">
        <is>
          <t>VAR_24</t>
        </is>
      </c>
      <c r="C1026" s="3" t="inlineStr">
        <is>
          <t>Electrical Material</t>
        </is>
      </c>
      <c r="D1026" s="3" t="inlineStr">
        <is>
          <t>MCB/ RCCB</t>
        </is>
      </c>
      <c r="E1026" s="3" t="inlineStr">
        <is>
          <t>Havells</t>
        </is>
      </c>
      <c r="F1026" s="3" t="inlineStr">
        <is>
          <t>MCB</t>
        </is>
      </c>
      <c r="H1026" s="3" t="inlineStr">
        <is>
          <t>Series</t>
        </is>
      </c>
      <c r="I1026" s="3" t="inlineStr">
        <is>
          <t>C</t>
        </is>
      </c>
      <c r="J1026" s="3" t="inlineStr">
        <is>
          <t>Amperage</t>
        </is>
      </c>
      <c r="K1026" s="3" t="inlineStr">
        <is>
          <t>40 A</t>
        </is>
      </c>
      <c r="L1026" s="3" t="inlineStr">
        <is>
          <t>Poles</t>
        </is>
      </c>
      <c r="M1026" s="3" t="inlineStr">
        <is>
          <t>TP</t>
        </is>
      </c>
      <c r="Q1026" s="3" t="inlineStr">
        <is>
          <t>Manufacturer's Warranty</t>
        </is>
      </c>
      <c r="R1026" s="3" t="inlineStr">
        <is>
          <t>DHMZCTPF040</t>
        </is>
      </c>
      <c r="Y1026" s="3" t="inlineStr">
        <is>
          <t>MCB_HVL_C_TP</t>
        </is>
      </c>
      <c r="Z1026" s="3" t="n">
        <v>8536</v>
      </c>
      <c r="AE1026" s="3" t="n">
        <v>2318</v>
      </c>
      <c r="AF1026" s="4" t="n">
        <v>0.5</v>
      </c>
      <c r="AG1026" s="3">
        <f>ROUND(AE1026-(AE1026*AF1026),2)</f>
        <v/>
      </c>
      <c r="AH1026" s="4" t="n">
        <v>0.18</v>
      </c>
      <c r="AI1026" s="3">
        <f>ROUND(AG1026+(AG1026*AH1026),2)</f>
        <v/>
      </c>
      <c r="AJ1026" s="4" t="n">
        <v>0.2</v>
      </c>
      <c r="AK1026" s="3">
        <f>ROUND(AI1026*AJ1026,2)</f>
        <v/>
      </c>
      <c r="AL1026" s="3">
        <f>AI1026+AK1026</f>
        <v/>
      </c>
      <c r="AM1026" s="3">
        <f>AE1026-AL1026</f>
        <v/>
      </c>
      <c r="AN1026" s="4">
        <f>AM1026/AE1026</f>
        <v/>
      </c>
      <c r="AO1026" s="3" t="inlineStr">
        <is>
          <t>60 mins</t>
        </is>
      </c>
      <c r="AQ1026" s="3" t="inlineStr">
        <is>
          <t>Weight</t>
        </is>
      </c>
      <c r="AT1026" s="3" t="inlineStr">
        <is>
          <t>On Demand</t>
        </is>
      </c>
    </row>
    <row r="1027" ht="15.75" customHeight="1">
      <c r="A1027" s="3" t="inlineStr">
        <is>
          <t>PROD_0232</t>
        </is>
      </c>
      <c r="B1027" s="3" t="inlineStr">
        <is>
          <t>VAR_25</t>
        </is>
      </c>
      <c r="C1027" s="3" t="inlineStr">
        <is>
          <t>Electrical Material</t>
        </is>
      </c>
      <c r="D1027" s="3" t="inlineStr">
        <is>
          <t>MCB/ RCCB</t>
        </is>
      </c>
      <c r="E1027" s="3" t="inlineStr">
        <is>
          <t>Havells</t>
        </is>
      </c>
      <c r="F1027" s="3" t="inlineStr">
        <is>
          <t>MCB</t>
        </is>
      </c>
      <c r="H1027" s="3" t="inlineStr">
        <is>
          <t>Series</t>
        </is>
      </c>
      <c r="I1027" s="3" t="inlineStr">
        <is>
          <t>C</t>
        </is>
      </c>
      <c r="J1027" s="3" t="inlineStr">
        <is>
          <t>Amperage</t>
        </is>
      </c>
      <c r="K1027" s="3" t="inlineStr">
        <is>
          <t>63 A</t>
        </is>
      </c>
      <c r="L1027" s="3" t="inlineStr">
        <is>
          <t>Poles</t>
        </is>
      </c>
      <c r="M1027" s="3" t="inlineStr">
        <is>
          <t>TP</t>
        </is>
      </c>
      <c r="Q1027" s="3" t="inlineStr">
        <is>
          <t>Manufacturer's Warranty</t>
        </is>
      </c>
      <c r="R1027" s="3" t="inlineStr">
        <is>
          <t>DHMZCTPF063</t>
        </is>
      </c>
      <c r="Y1027" s="3" t="inlineStr">
        <is>
          <t>MCB_HVL_C_TP</t>
        </is>
      </c>
      <c r="Z1027" s="3" t="n">
        <v>8536</v>
      </c>
      <c r="AE1027" s="3" t="n">
        <v>2428</v>
      </c>
      <c r="AF1027" s="4" t="n">
        <v>0.5</v>
      </c>
      <c r="AG1027" s="3">
        <f>ROUND(AE1027-(AE1027*AF1027),2)</f>
        <v/>
      </c>
      <c r="AH1027" s="4" t="n">
        <v>0.18</v>
      </c>
      <c r="AI1027" s="3">
        <f>ROUND(AG1027+(AG1027*AH1027),2)</f>
        <v/>
      </c>
      <c r="AJ1027" s="4" t="n">
        <v>0.2</v>
      </c>
      <c r="AK1027" s="3">
        <f>ROUND(AI1027*AJ1027,2)</f>
        <v/>
      </c>
      <c r="AL1027" s="3">
        <f>AI1027+AK1027</f>
        <v/>
      </c>
      <c r="AM1027" s="3">
        <f>AE1027-AL1027</f>
        <v/>
      </c>
      <c r="AN1027" s="4">
        <f>AM1027/AE1027</f>
        <v/>
      </c>
      <c r="AO1027" s="3" t="inlineStr">
        <is>
          <t>60 mins</t>
        </is>
      </c>
      <c r="AQ1027" s="3" t="inlineStr">
        <is>
          <t>Weight</t>
        </is>
      </c>
      <c r="AT1027" s="3" t="inlineStr">
        <is>
          <t>On Demand</t>
        </is>
      </c>
    </row>
    <row r="1028" ht="15.75" customHeight="1">
      <c r="A1028" s="3" t="inlineStr">
        <is>
          <t>PROD_0232</t>
        </is>
      </c>
      <c r="B1028" s="3" t="inlineStr">
        <is>
          <t>VAR_26</t>
        </is>
      </c>
      <c r="C1028" s="3" t="inlineStr">
        <is>
          <t>Electrical Material</t>
        </is>
      </c>
      <c r="D1028" s="3" t="inlineStr">
        <is>
          <t>MCB/ RCCB</t>
        </is>
      </c>
      <c r="E1028" s="3" t="inlineStr">
        <is>
          <t>Havells</t>
        </is>
      </c>
      <c r="F1028" s="3" t="inlineStr">
        <is>
          <t>MCB</t>
        </is>
      </c>
      <c r="H1028" s="3" t="inlineStr">
        <is>
          <t>Series</t>
        </is>
      </c>
      <c r="I1028" s="3" t="inlineStr">
        <is>
          <t>C</t>
        </is>
      </c>
      <c r="J1028" s="3" t="inlineStr">
        <is>
          <t>Amperage</t>
        </is>
      </c>
      <c r="K1028" s="3" t="inlineStr">
        <is>
          <t>80 A</t>
        </is>
      </c>
      <c r="L1028" s="3" t="inlineStr">
        <is>
          <t>Poles</t>
        </is>
      </c>
      <c r="M1028" s="3" t="inlineStr">
        <is>
          <t>TP</t>
        </is>
      </c>
      <c r="Q1028" s="3" t="inlineStr">
        <is>
          <t>Manufacturer's Warranty</t>
        </is>
      </c>
      <c r="R1028" s="3" t="inlineStr">
        <is>
          <t>DHMZCTPF080</t>
        </is>
      </c>
      <c r="Y1028" s="3" t="inlineStr">
        <is>
          <t>MCB_HVL_C_TP</t>
        </is>
      </c>
      <c r="Z1028" s="3" t="n">
        <v>8536</v>
      </c>
      <c r="AE1028" s="3" t="n">
        <v>8118</v>
      </c>
      <c r="AF1028" s="4" t="n">
        <v>0.5</v>
      </c>
      <c r="AG1028" s="3">
        <f>ROUND(AE1028-(AE1028*AF1028),2)</f>
        <v/>
      </c>
      <c r="AH1028" s="4" t="n">
        <v>0.18</v>
      </c>
      <c r="AI1028" s="3">
        <f>ROUND(AG1028+(AG1028*AH1028),2)</f>
        <v/>
      </c>
      <c r="AJ1028" s="4" t="n">
        <v>0.2</v>
      </c>
      <c r="AK1028" s="3">
        <f>ROUND(AI1028*AJ1028,2)</f>
        <v/>
      </c>
      <c r="AL1028" s="3">
        <f>AI1028+AK1028</f>
        <v/>
      </c>
      <c r="AM1028" s="3">
        <f>AE1028-AL1028</f>
        <v/>
      </c>
      <c r="AN1028" s="4">
        <f>AM1028/AE1028</f>
        <v/>
      </c>
      <c r="AO1028" s="3" t="inlineStr">
        <is>
          <t>60 mins</t>
        </is>
      </c>
      <c r="AQ1028" s="3" t="inlineStr">
        <is>
          <t>Weight</t>
        </is>
      </c>
      <c r="AT1028" s="3" t="inlineStr">
        <is>
          <t>On Demand</t>
        </is>
      </c>
    </row>
    <row r="1029" ht="15.75" customHeight="1">
      <c r="A1029" s="3" t="inlineStr">
        <is>
          <t>PROD_0232</t>
        </is>
      </c>
      <c r="B1029" s="3" t="inlineStr">
        <is>
          <t>VAR_27</t>
        </is>
      </c>
      <c r="C1029" s="3" t="inlineStr">
        <is>
          <t>Electrical Material</t>
        </is>
      </c>
      <c r="D1029" s="3" t="inlineStr">
        <is>
          <t>MCB/ RCCB</t>
        </is>
      </c>
      <c r="E1029" s="3" t="inlineStr">
        <is>
          <t>Havells</t>
        </is>
      </c>
      <c r="F1029" s="3" t="inlineStr">
        <is>
          <t>MCB</t>
        </is>
      </c>
      <c r="H1029" s="3" t="inlineStr">
        <is>
          <t>Series</t>
        </is>
      </c>
      <c r="I1029" s="3" t="inlineStr">
        <is>
          <t>C</t>
        </is>
      </c>
      <c r="J1029" s="3" t="inlineStr">
        <is>
          <t>Amperage</t>
        </is>
      </c>
      <c r="K1029" s="3" t="inlineStr">
        <is>
          <t>100 A</t>
        </is>
      </c>
      <c r="L1029" s="3" t="inlineStr">
        <is>
          <t>Poles</t>
        </is>
      </c>
      <c r="M1029" s="3" t="inlineStr">
        <is>
          <t>TP</t>
        </is>
      </c>
      <c r="Q1029" s="3" t="inlineStr">
        <is>
          <t>Manufacturer's Warranty</t>
        </is>
      </c>
      <c r="R1029" s="3" t="inlineStr">
        <is>
          <t>DHMZCTPF100</t>
        </is>
      </c>
      <c r="Y1029" s="3" t="inlineStr">
        <is>
          <t>MCB_HVL_C_TP</t>
        </is>
      </c>
      <c r="Z1029" s="3" t="n">
        <v>8536</v>
      </c>
      <c r="AE1029" s="3" t="n">
        <v>8543</v>
      </c>
      <c r="AF1029" s="4" t="n">
        <v>0.5</v>
      </c>
      <c r="AG1029" s="3">
        <f>ROUND(AE1029-(AE1029*AF1029),2)</f>
        <v/>
      </c>
      <c r="AH1029" s="4" t="n">
        <v>0.18</v>
      </c>
      <c r="AI1029" s="3">
        <f>ROUND(AG1029+(AG1029*AH1029),2)</f>
        <v/>
      </c>
      <c r="AJ1029" s="4" t="n">
        <v>0.2</v>
      </c>
      <c r="AK1029" s="3">
        <f>ROUND(AI1029*AJ1029,2)</f>
        <v/>
      </c>
      <c r="AL1029" s="3">
        <f>AI1029+AK1029</f>
        <v/>
      </c>
      <c r="AM1029" s="3">
        <f>AE1029-AL1029</f>
        <v/>
      </c>
      <c r="AN1029" s="4">
        <f>AM1029/AE1029</f>
        <v/>
      </c>
      <c r="AO1029" s="3" t="inlineStr">
        <is>
          <t>60 mins</t>
        </is>
      </c>
      <c r="AQ1029" s="3" t="inlineStr">
        <is>
          <t>Weight</t>
        </is>
      </c>
      <c r="AT1029" s="3" t="inlineStr">
        <is>
          <t>On Demand</t>
        </is>
      </c>
    </row>
    <row r="1030" ht="15.75" customHeight="1">
      <c r="A1030" s="3" t="inlineStr">
        <is>
          <t>PROD_0232</t>
        </is>
      </c>
      <c r="B1030" s="3" t="inlineStr">
        <is>
          <t>VAR_28</t>
        </is>
      </c>
      <c r="C1030" s="3" t="inlineStr">
        <is>
          <t>Electrical Material</t>
        </is>
      </c>
      <c r="D1030" s="3" t="inlineStr">
        <is>
          <t>MCB/ RCCB</t>
        </is>
      </c>
      <c r="E1030" s="3" t="inlineStr">
        <is>
          <t>Havells</t>
        </is>
      </c>
      <c r="F1030" s="3" t="inlineStr">
        <is>
          <t>MCB</t>
        </is>
      </c>
      <c r="H1030" s="3" t="inlineStr">
        <is>
          <t>Series</t>
        </is>
      </c>
      <c r="I1030" s="3" t="inlineStr">
        <is>
          <t>C</t>
        </is>
      </c>
      <c r="J1030" s="3" t="inlineStr">
        <is>
          <t>Amperage</t>
        </is>
      </c>
      <c r="K1030" s="3" t="inlineStr">
        <is>
          <t>125 A</t>
        </is>
      </c>
      <c r="L1030" s="3" t="inlineStr">
        <is>
          <t>Poles</t>
        </is>
      </c>
      <c r="M1030" s="3" t="inlineStr">
        <is>
          <t>TP</t>
        </is>
      </c>
      <c r="Q1030" s="3" t="inlineStr">
        <is>
          <t>Manufacturer's Warranty</t>
        </is>
      </c>
      <c r="R1030" s="3" t="inlineStr">
        <is>
          <t>DHMZCTPF125</t>
        </is>
      </c>
      <c r="Y1030" s="3" t="inlineStr">
        <is>
          <t>MCB_HVL_C_TP</t>
        </is>
      </c>
      <c r="Z1030" s="3" t="n">
        <v>8536</v>
      </c>
      <c r="AE1030" s="3" t="n">
        <v>9610</v>
      </c>
      <c r="AF1030" s="4" t="n">
        <v>0.5</v>
      </c>
      <c r="AG1030" s="3">
        <f>ROUND(AE1030-(AE1030*AF1030),2)</f>
        <v/>
      </c>
      <c r="AH1030" s="4" t="n">
        <v>0.18</v>
      </c>
      <c r="AI1030" s="3">
        <f>ROUND(AG1030+(AG1030*AH1030),2)</f>
        <v/>
      </c>
      <c r="AJ1030" s="4" t="n">
        <v>0.2</v>
      </c>
      <c r="AK1030" s="3">
        <f>ROUND(AI1030*AJ1030,2)</f>
        <v/>
      </c>
      <c r="AL1030" s="3">
        <f>AI1030+AK1030</f>
        <v/>
      </c>
      <c r="AM1030" s="3">
        <f>AE1030-AL1030</f>
        <v/>
      </c>
      <c r="AN1030" s="4">
        <f>AM1030/AE1030</f>
        <v/>
      </c>
      <c r="AO1030" s="3" t="inlineStr">
        <is>
          <t>60 mins</t>
        </is>
      </c>
      <c r="AQ1030" s="3" t="inlineStr">
        <is>
          <t>Weight</t>
        </is>
      </c>
      <c r="AT1030" s="3" t="inlineStr">
        <is>
          <t>On Demand</t>
        </is>
      </c>
    </row>
    <row r="1031" ht="15.75" customHeight="1">
      <c r="A1031" s="3" t="inlineStr">
        <is>
          <t>PROD_0232</t>
        </is>
      </c>
      <c r="B1031" s="3" t="inlineStr">
        <is>
          <t>VAR_29</t>
        </is>
      </c>
      <c r="C1031" s="3" t="inlineStr">
        <is>
          <t>Electrical Material</t>
        </is>
      </c>
      <c r="D1031" s="3" t="inlineStr">
        <is>
          <t>MCB/ RCCB</t>
        </is>
      </c>
      <c r="E1031" s="3" t="inlineStr">
        <is>
          <t>Havells</t>
        </is>
      </c>
      <c r="F1031" s="3" t="inlineStr">
        <is>
          <t>MCB</t>
        </is>
      </c>
      <c r="H1031" s="3" t="inlineStr">
        <is>
          <t>Series</t>
        </is>
      </c>
      <c r="I1031" s="3" t="inlineStr">
        <is>
          <t>C</t>
        </is>
      </c>
      <c r="J1031" s="3" t="inlineStr">
        <is>
          <t>Amperage</t>
        </is>
      </c>
      <c r="K1031" s="3" t="inlineStr">
        <is>
          <t>upto 5 A</t>
        </is>
      </c>
      <c r="L1031" s="3" t="inlineStr">
        <is>
          <t>Poles</t>
        </is>
      </c>
      <c r="M1031" s="3" t="inlineStr">
        <is>
          <t>FP</t>
        </is>
      </c>
      <c r="Q1031" s="3" t="inlineStr">
        <is>
          <t>Manufacturer's Warranty</t>
        </is>
      </c>
      <c r="R1031" s="3" t="inlineStr">
        <is>
          <t>DHMZCFPF0x5-005</t>
        </is>
      </c>
      <c r="Y1031" s="3" t="inlineStr">
        <is>
          <t>MCB_HVL_C_FP</t>
        </is>
      </c>
      <c r="Z1031" s="3" t="n">
        <v>8536</v>
      </c>
      <c r="AE1031" s="3" t="n">
        <v>2664</v>
      </c>
      <c r="AF1031" s="4" t="n">
        <v>0.5</v>
      </c>
      <c r="AG1031" s="3">
        <f>ROUND(AE1031-(AE1031*AF1031),2)</f>
        <v/>
      </c>
      <c r="AH1031" s="4" t="n">
        <v>0.18</v>
      </c>
      <c r="AI1031" s="3">
        <f>ROUND(AG1031+(AG1031*AH1031),2)</f>
        <v/>
      </c>
      <c r="AJ1031" s="4" t="n">
        <v>0.2</v>
      </c>
      <c r="AK1031" s="3">
        <f>ROUND(AI1031*AJ1031,2)</f>
        <v/>
      </c>
      <c r="AL1031" s="3">
        <f>AI1031+AK1031</f>
        <v/>
      </c>
      <c r="AM1031" s="3">
        <f>AE1031-AL1031</f>
        <v/>
      </c>
      <c r="AN1031" s="4">
        <f>AM1031/AE1031</f>
        <v/>
      </c>
      <c r="AO1031" s="3" t="inlineStr">
        <is>
          <t>60 mins</t>
        </is>
      </c>
      <c r="AQ1031" s="3" t="inlineStr">
        <is>
          <t>Weight</t>
        </is>
      </c>
      <c r="AT1031" s="3" t="inlineStr">
        <is>
          <t>On Demand</t>
        </is>
      </c>
    </row>
    <row r="1032" ht="15.75" customHeight="1">
      <c r="A1032" s="3" t="inlineStr">
        <is>
          <t>PROD_0232</t>
        </is>
      </c>
      <c r="B1032" s="3" t="inlineStr">
        <is>
          <t>VAR_30</t>
        </is>
      </c>
      <c r="C1032" s="3" t="inlineStr">
        <is>
          <t>Electrical Material</t>
        </is>
      </c>
      <c r="D1032" s="3" t="inlineStr">
        <is>
          <t>MCB/ RCCB</t>
        </is>
      </c>
      <c r="E1032" s="3" t="inlineStr">
        <is>
          <t>Havells</t>
        </is>
      </c>
      <c r="F1032" s="3" t="inlineStr">
        <is>
          <t>MCB</t>
        </is>
      </c>
      <c r="H1032" s="3" t="inlineStr">
        <is>
          <t>Series</t>
        </is>
      </c>
      <c r="I1032" s="3" t="inlineStr">
        <is>
          <t>C</t>
        </is>
      </c>
      <c r="J1032" s="3" t="inlineStr">
        <is>
          <t>Amperage</t>
        </is>
      </c>
      <c r="K1032" s="3" t="inlineStr">
        <is>
          <t>6 A - 32 A</t>
        </is>
      </c>
      <c r="L1032" s="3" t="inlineStr">
        <is>
          <t>Poles</t>
        </is>
      </c>
      <c r="M1032" s="3" t="inlineStr">
        <is>
          <t>FP</t>
        </is>
      </c>
      <c r="Q1032" s="3" t="inlineStr">
        <is>
          <t>Manufacturer's Warranty</t>
        </is>
      </c>
      <c r="R1032" s="3" t="inlineStr">
        <is>
          <t>DHMZCFPF006-032</t>
        </is>
      </c>
      <c r="Y1032" s="3" t="inlineStr">
        <is>
          <t>MCB_HVL_C_FP</t>
        </is>
      </c>
      <c r="Z1032" s="3" t="n">
        <v>8536</v>
      </c>
      <c r="AE1032" s="3" t="n">
        <v>2290</v>
      </c>
      <c r="AF1032" s="4" t="n">
        <v>0.5</v>
      </c>
      <c r="AG1032" s="3">
        <f>ROUND(AE1032-(AE1032*AF1032),2)</f>
        <v/>
      </c>
      <c r="AH1032" s="4" t="n">
        <v>0.18</v>
      </c>
      <c r="AI1032" s="3">
        <f>ROUND(AG1032+(AG1032*AH1032),2)</f>
        <v/>
      </c>
      <c r="AJ1032" s="4" t="n">
        <v>0.2</v>
      </c>
      <c r="AK1032" s="3">
        <f>ROUND(AI1032*AJ1032,2)</f>
        <v/>
      </c>
      <c r="AL1032" s="3">
        <f>AI1032+AK1032</f>
        <v/>
      </c>
      <c r="AM1032" s="3">
        <f>AE1032-AL1032</f>
        <v/>
      </c>
      <c r="AN1032" s="4">
        <f>AM1032/AE1032</f>
        <v/>
      </c>
      <c r="AO1032" s="3" t="inlineStr">
        <is>
          <t>60 mins</t>
        </is>
      </c>
      <c r="AQ1032" s="3" t="inlineStr">
        <is>
          <t>Weight</t>
        </is>
      </c>
      <c r="AT1032" s="3" t="inlineStr">
        <is>
          <t>On Demand</t>
        </is>
      </c>
    </row>
    <row r="1033" ht="15.75" customHeight="1">
      <c r="A1033" s="3" t="inlineStr">
        <is>
          <t>PROD_0232</t>
        </is>
      </c>
      <c r="B1033" s="3" t="inlineStr">
        <is>
          <t>VAR_31</t>
        </is>
      </c>
      <c r="C1033" s="3" t="inlineStr">
        <is>
          <t>Electrical Material</t>
        </is>
      </c>
      <c r="D1033" s="3" t="inlineStr">
        <is>
          <t>MCB/ RCCB</t>
        </is>
      </c>
      <c r="E1033" s="3" t="inlineStr">
        <is>
          <t>Havells</t>
        </is>
      </c>
      <c r="F1033" s="3" t="inlineStr">
        <is>
          <t>MCB</t>
        </is>
      </c>
      <c r="H1033" s="3" t="inlineStr">
        <is>
          <t>Series</t>
        </is>
      </c>
      <c r="I1033" s="3" t="inlineStr">
        <is>
          <t>C</t>
        </is>
      </c>
      <c r="J1033" s="3" t="inlineStr">
        <is>
          <t>Amperage</t>
        </is>
      </c>
      <c r="K1033" s="3" t="inlineStr">
        <is>
          <t>40 A</t>
        </is>
      </c>
      <c r="L1033" s="3" t="inlineStr">
        <is>
          <t>Poles</t>
        </is>
      </c>
      <c r="M1033" s="3" t="inlineStr">
        <is>
          <t>FP</t>
        </is>
      </c>
      <c r="Q1033" s="3" t="inlineStr">
        <is>
          <t>Manufacturer's Warranty</t>
        </is>
      </c>
      <c r="R1033" s="3" t="inlineStr">
        <is>
          <t>DHMZCFPF040</t>
        </is>
      </c>
      <c r="Y1033" s="3" t="inlineStr">
        <is>
          <t>MCB_HVL_C_FP</t>
        </is>
      </c>
      <c r="Z1033" s="3" t="n">
        <v>8536</v>
      </c>
      <c r="AE1033" s="3" t="n">
        <v>3083</v>
      </c>
      <c r="AF1033" s="4" t="n">
        <v>0.5</v>
      </c>
      <c r="AG1033" s="3">
        <f>ROUND(AE1033-(AE1033*AF1033),2)</f>
        <v/>
      </c>
      <c r="AH1033" s="4" t="n">
        <v>0.18</v>
      </c>
      <c r="AI1033" s="3">
        <f>ROUND(AG1033+(AG1033*AH1033),2)</f>
        <v/>
      </c>
      <c r="AJ1033" s="4" t="n">
        <v>0.2</v>
      </c>
      <c r="AK1033" s="3">
        <f>ROUND(AI1033*AJ1033,2)</f>
        <v/>
      </c>
      <c r="AL1033" s="3">
        <f>AI1033+AK1033</f>
        <v/>
      </c>
      <c r="AM1033" s="3">
        <f>AE1033-AL1033</f>
        <v/>
      </c>
      <c r="AN1033" s="4">
        <f>AM1033/AE1033</f>
        <v/>
      </c>
      <c r="AO1033" s="3" t="inlineStr">
        <is>
          <t>60 mins</t>
        </is>
      </c>
      <c r="AQ1033" s="3" t="inlineStr">
        <is>
          <t>Weight</t>
        </is>
      </c>
      <c r="AT1033" s="3" t="inlineStr">
        <is>
          <t>On Demand</t>
        </is>
      </c>
    </row>
    <row r="1034" ht="15.75" customHeight="1">
      <c r="A1034" s="3" t="inlineStr">
        <is>
          <t>PROD_0232</t>
        </is>
      </c>
      <c r="B1034" s="3" t="inlineStr">
        <is>
          <t>VAR_32</t>
        </is>
      </c>
      <c r="C1034" s="3" t="inlineStr">
        <is>
          <t>Electrical Material</t>
        </is>
      </c>
      <c r="D1034" s="3" t="inlineStr">
        <is>
          <t>MCB/ RCCB</t>
        </is>
      </c>
      <c r="E1034" s="3" t="inlineStr">
        <is>
          <t>Havells</t>
        </is>
      </c>
      <c r="F1034" s="3" t="inlineStr">
        <is>
          <t>MCB</t>
        </is>
      </c>
      <c r="H1034" s="3" t="inlineStr">
        <is>
          <t>Series</t>
        </is>
      </c>
      <c r="I1034" s="3" t="inlineStr">
        <is>
          <t>C</t>
        </is>
      </c>
      <c r="J1034" s="3" t="inlineStr">
        <is>
          <t>Amperage</t>
        </is>
      </c>
      <c r="K1034" s="3" t="inlineStr">
        <is>
          <t>63 A</t>
        </is>
      </c>
      <c r="L1034" s="3" t="inlineStr">
        <is>
          <t>Poles</t>
        </is>
      </c>
      <c r="M1034" s="3" t="inlineStr">
        <is>
          <t>FP</t>
        </is>
      </c>
      <c r="Q1034" s="3" t="inlineStr">
        <is>
          <t>Manufacturer's Warranty</t>
        </is>
      </c>
      <c r="R1034" s="3" t="inlineStr">
        <is>
          <t>DHMZCFPF063</t>
        </is>
      </c>
      <c r="Y1034" s="3" t="inlineStr">
        <is>
          <t>MCB_HVL_C_FP</t>
        </is>
      </c>
      <c r="Z1034" s="3" t="n">
        <v>8536</v>
      </c>
      <c r="AE1034" s="3" t="n">
        <v>3207</v>
      </c>
      <c r="AF1034" s="4" t="n">
        <v>0.5</v>
      </c>
      <c r="AG1034" s="3">
        <f>ROUND(AE1034-(AE1034*AF1034),2)</f>
        <v/>
      </c>
      <c r="AH1034" s="4" t="n">
        <v>0.18</v>
      </c>
      <c r="AI1034" s="3">
        <f>ROUND(AG1034+(AG1034*AH1034),2)</f>
        <v/>
      </c>
      <c r="AJ1034" s="4" t="n">
        <v>0.2</v>
      </c>
      <c r="AK1034" s="3">
        <f>ROUND(AI1034*AJ1034,2)</f>
        <v/>
      </c>
      <c r="AL1034" s="3">
        <f>AI1034+AK1034</f>
        <v/>
      </c>
      <c r="AM1034" s="3">
        <f>AE1034-AL1034</f>
        <v/>
      </c>
      <c r="AN1034" s="4">
        <f>AM1034/AE1034</f>
        <v/>
      </c>
      <c r="AO1034" s="3" t="inlineStr">
        <is>
          <t>60 mins</t>
        </is>
      </c>
      <c r="AQ1034" s="3" t="inlineStr">
        <is>
          <t>Weight</t>
        </is>
      </c>
      <c r="AT1034" s="3" t="inlineStr">
        <is>
          <t>On Demand</t>
        </is>
      </c>
    </row>
    <row r="1035" ht="15.75" customHeight="1">
      <c r="A1035" s="3" t="inlineStr">
        <is>
          <t>PROD_0232</t>
        </is>
      </c>
      <c r="B1035" s="3" t="inlineStr">
        <is>
          <t>VAR_33</t>
        </is>
      </c>
      <c r="C1035" s="3" t="inlineStr">
        <is>
          <t>Electrical Material</t>
        </is>
      </c>
      <c r="D1035" s="3" t="inlineStr">
        <is>
          <t>MCB/ RCCB</t>
        </is>
      </c>
      <c r="E1035" s="3" t="inlineStr">
        <is>
          <t>Havells</t>
        </is>
      </c>
      <c r="F1035" s="3" t="inlineStr">
        <is>
          <t>MCB</t>
        </is>
      </c>
      <c r="H1035" s="3" t="inlineStr">
        <is>
          <t>Series</t>
        </is>
      </c>
      <c r="I1035" s="3" t="inlineStr">
        <is>
          <t>C</t>
        </is>
      </c>
      <c r="J1035" s="3" t="inlineStr">
        <is>
          <t>Amperage</t>
        </is>
      </c>
      <c r="K1035" s="3" t="inlineStr">
        <is>
          <t>80 A</t>
        </is>
      </c>
      <c r="L1035" s="3" t="inlineStr">
        <is>
          <t>Poles</t>
        </is>
      </c>
      <c r="M1035" s="3" t="inlineStr">
        <is>
          <t>FP</t>
        </is>
      </c>
      <c r="Q1035" s="3" t="inlineStr">
        <is>
          <t>Manufacturer's Warranty</t>
        </is>
      </c>
      <c r="R1035" s="3" t="inlineStr">
        <is>
          <t>DHMZCFPF080</t>
        </is>
      </c>
      <c r="Y1035" s="3" t="inlineStr">
        <is>
          <t>MCB_HVL_C_FP</t>
        </is>
      </c>
      <c r="Z1035" s="3" t="n">
        <v>8536</v>
      </c>
      <c r="AE1035" s="3" t="n">
        <v>9742</v>
      </c>
      <c r="AF1035" s="4" t="n">
        <v>0.5</v>
      </c>
      <c r="AG1035" s="3">
        <f>ROUND(AE1035-(AE1035*AF1035),2)</f>
        <v/>
      </c>
      <c r="AH1035" s="4" t="n">
        <v>0.18</v>
      </c>
      <c r="AI1035" s="3">
        <f>ROUND(AG1035+(AG1035*AH1035),2)</f>
        <v/>
      </c>
      <c r="AJ1035" s="4" t="n">
        <v>0.2</v>
      </c>
      <c r="AK1035" s="3">
        <f>ROUND(AI1035*AJ1035,2)</f>
        <v/>
      </c>
      <c r="AL1035" s="3">
        <f>AI1035+AK1035</f>
        <v/>
      </c>
      <c r="AM1035" s="3">
        <f>AE1035-AL1035</f>
        <v/>
      </c>
      <c r="AN1035" s="4">
        <f>AM1035/AE1035</f>
        <v/>
      </c>
      <c r="AO1035" s="3" t="inlineStr">
        <is>
          <t>60 mins</t>
        </is>
      </c>
      <c r="AQ1035" s="3" t="inlineStr">
        <is>
          <t>Weight</t>
        </is>
      </c>
      <c r="AT1035" s="3" t="inlineStr">
        <is>
          <t>On Demand</t>
        </is>
      </c>
    </row>
    <row r="1036" ht="15.75" customHeight="1">
      <c r="A1036" s="3" t="inlineStr">
        <is>
          <t>PROD_0232</t>
        </is>
      </c>
      <c r="B1036" s="3" t="inlineStr">
        <is>
          <t>VAR_34</t>
        </is>
      </c>
      <c r="C1036" s="3" t="inlineStr">
        <is>
          <t>Electrical Material</t>
        </is>
      </c>
      <c r="D1036" s="3" t="inlineStr">
        <is>
          <t>MCB/ RCCB</t>
        </is>
      </c>
      <c r="E1036" s="3" t="inlineStr">
        <is>
          <t>Havells</t>
        </is>
      </c>
      <c r="F1036" s="3" t="inlineStr">
        <is>
          <t>MCB</t>
        </is>
      </c>
      <c r="H1036" s="3" t="inlineStr">
        <is>
          <t>Series</t>
        </is>
      </c>
      <c r="I1036" s="3" t="inlineStr">
        <is>
          <t>C</t>
        </is>
      </c>
      <c r="J1036" s="3" t="inlineStr">
        <is>
          <t>Amperage</t>
        </is>
      </c>
      <c r="K1036" s="3" t="inlineStr">
        <is>
          <t>100 A</t>
        </is>
      </c>
      <c r="L1036" s="3" t="inlineStr">
        <is>
          <t>Poles</t>
        </is>
      </c>
      <c r="M1036" s="3" t="inlineStr">
        <is>
          <t>FP</t>
        </is>
      </c>
      <c r="Q1036" s="3" t="inlineStr">
        <is>
          <t>Manufacturer's Warranty</t>
        </is>
      </c>
      <c r="R1036" s="3" t="inlineStr">
        <is>
          <t>DHMZCFPF100</t>
        </is>
      </c>
      <c r="Y1036" s="3" t="inlineStr">
        <is>
          <t>MCB_HVL_C_FP</t>
        </is>
      </c>
      <c r="Z1036" s="3" t="n">
        <v>8536</v>
      </c>
      <c r="AE1036" s="3" t="n">
        <v>10642</v>
      </c>
      <c r="AF1036" s="4" t="n">
        <v>0.5</v>
      </c>
      <c r="AG1036" s="3">
        <f>ROUND(AE1036-(AE1036*AF1036),2)</f>
        <v/>
      </c>
      <c r="AH1036" s="4" t="n">
        <v>0.18</v>
      </c>
      <c r="AI1036" s="3">
        <f>ROUND(AG1036+(AG1036*AH1036),2)</f>
        <v/>
      </c>
      <c r="AJ1036" s="4" t="n">
        <v>0.2</v>
      </c>
      <c r="AK1036" s="3">
        <f>ROUND(AI1036*AJ1036,2)</f>
        <v/>
      </c>
      <c r="AL1036" s="3">
        <f>AI1036+AK1036</f>
        <v/>
      </c>
      <c r="AM1036" s="3">
        <f>AE1036-AL1036</f>
        <v/>
      </c>
      <c r="AN1036" s="4">
        <f>AM1036/AE1036</f>
        <v/>
      </c>
      <c r="AO1036" s="3" t="inlineStr">
        <is>
          <t>60 mins</t>
        </is>
      </c>
      <c r="AQ1036" s="3" t="inlineStr">
        <is>
          <t>Weight</t>
        </is>
      </c>
      <c r="AT1036" s="3" t="inlineStr">
        <is>
          <t>On Demand</t>
        </is>
      </c>
    </row>
    <row r="1037" ht="15.75" customHeight="1">
      <c r="A1037" s="3" t="inlineStr">
        <is>
          <t>PROD_0232</t>
        </is>
      </c>
      <c r="B1037" s="3" t="inlineStr">
        <is>
          <t>VAR_35</t>
        </is>
      </c>
      <c r="C1037" s="3" t="inlineStr">
        <is>
          <t>Electrical Material</t>
        </is>
      </c>
      <c r="D1037" s="3" t="inlineStr">
        <is>
          <t>MCB/ RCCB</t>
        </is>
      </c>
      <c r="E1037" s="3" t="inlineStr">
        <is>
          <t>Havells</t>
        </is>
      </c>
      <c r="F1037" s="3" t="inlineStr">
        <is>
          <t>MCB</t>
        </is>
      </c>
      <c r="H1037" s="3" t="inlineStr">
        <is>
          <t>Series</t>
        </is>
      </c>
      <c r="I1037" s="3" t="inlineStr">
        <is>
          <t>C</t>
        </is>
      </c>
      <c r="J1037" s="3" t="inlineStr">
        <is>
          <t>Amperage</t>
        </is>
      </c>
      <c r="K1037" s="3" t="inlineStr">
        <is>
          <t>125 A</t>
        </is>
      </c>
      <c r="L1037" s="3" t="inlineStr">
        <is>
          <t>Poles</t>
        </is>
      </c>
      <c r="M1037" s="3" t="inlineStr">
        <is>
          <t>FP</t>
        </is>
      </c>
      <c r="Q1037" s="3" t="inlineStr">
        <is>
          <t>Manufacturer's Warranty</t>
        </is>
      </c>
      <c r="R1037" s="3" t="inlineStr">
        <is>
          <t>DHMZCFPF125</t>
        </is>
      </c>
      <c r="Y1037" s="3" t="inlineStr">
        <is>
          <t>MCB_HVL_C_FP</t>
        </is>
      </c>
      <c r="Z1037" s="3" t="n">
        <v>8536</v>
      </c>
      <c r="AE1037" s="3" t="n">
        <v>11296</v>
      </c>
      <c r="AF1037" s="4" t="n">
        <v>0.5</v>
      </c>
      <c r="AG1037" s="3">
        <f>ROUND(AE1037-(AE1037*AF1037),2)</f>
        <v/>
      </c>
      <c r="AH1037" s="4" t="n">
        <v>0.18</v>
      </c>
      <c r="AI1037" s="3">
        <f>ROUND(AG1037+(AG1037*AH1037),2)</f>
        <v/>
      </c>
      <c r="AJ1037" s="4" t="n">
        <v>0.2</v>
      </c>
      <c r="AK1037" s="3">
        <f>ROUND(AI1037*AJ1037,2)</f>
        <v/>
      </c>
      <c r="AL1037" s="3">
        <f>AI1037+AK1037</f>
        <v/>
      </c>
      <c r="AM1037" s="3">
        <f>AE1037-AL1037</f>
        <v/>
      </c>
      <c r="AN1037" s="4">
        <f>AM1037/AE1037</f>
        <v/>
      </c>
      <c r="AO1037" s="3" t="inlineStr">
        <is>
          <t>60 mins</t>
        </is>
      </c>
      <c r="AQ1037" s="3" t="inlineStr">
        <is>
          <t>Weight</t>
        </is>
      </c>
      <c r="AT1037" s="3" t="inlineStr">
        <is>
          <t>On Demand</t>
        </is>
      </c>
    </row>
    <row r="1038" ht="15.75" customHeight="1">
      <c r="A1038" s="3" t="inlineStr">
        <is>
          <t>PROD_0232</t>
        </is>
      </c>
      <c r="B1038" s="3" t="inlineStr">
        <is>
          <t>VAR_36</t>
        </is>
      </c>
      <c r="C1038" s="3" t="inlineStr">
        <is>
          <t>Electrical Material</t>
        </is>
      </c>
      <c r="D1038" s="3" t="inlineStr">
        <is>
          <t>MCB/ RCCB</t>
        </is>
      </c>
      <c r="E1038" s="3" t="inlineStr">
        <is>
          <t>Havells</t>
        </is>
      </c>
      <c r="F1038" s="3" t="inlineStr">
        <is>
          <t>MCB</t>
        </is>
      </c>
      <c r="H1038" s="3" t="inlineStr">
        <is>
          <t>Series</t>
        </is>
      </c>
      <c r="I1038" s="3" t="inlineStr">
        <is>
          <t>C</t>
        </is>
      </c>
      <c r="J1038" s="3" t="inlineStr">
        <is>
          <t>Amperage</t>
        </is>
      </c>
      <c r="K1038" s="3" t="inlineStr">
        <is>
          <t>upto 5 A</t>
        </is>
      </c>
      <c r="L1038" s="3" t="inlineStr">
        <is>
          <t>Poles</t>
        </is>
      </c>
      <c r="M1038" s="3" t="inlineStr">
        <is>
          <t>SPN</t>
        </is>
      </c>
      <c r="Q1038" s="3" t="inlineStr">
        <is>
          <t>Manufacturer's Warranty</t>
        </is>
      </c>
      <c r="R1038" s="3" t="inlineStr">
        <is>
          <t>DHMZCSNF0x5-005</t>
        </is>
      </c>
      <c r="Y1038" s="3" t="inlineStr">
        <is>
          <t>MCB_HVL_C_SPN</t>
        </is>
      </c>
      <c r="Z1038" s="3" t="n">
        <v>8536</v>
      </c>
      <c r="AE1038" s="3" t="n">
        <v>1142</v>
      </c>
      <c r="AF1038" s="4" t="n">
        <v>0.5</v>
      </c>
      <c r="AG1038" s="3">
        <f>ROUND(AE1038-(AE1038*AF1038),2)</f>
        <v/>
      </c>
      <c r="AH1038" s="4" t="n">
        <v>0.18</v>
      </c>
      <c r="AI1038" s="3">
        <f>ROUND(AG1038+(AG1038*AH1038),2)</f>
        <v/>
      </c>
      <c r="AJ1038" s="4" t="n">
        <v>0.2</v>
      </c>
      <c r="AK1038" s="3">
        <f>ROUND(AI1038*AJ1038,2)</f>
        <v/>
      </c>
      <c r="AL1038" s="3">
        <f>AI1038+AK1038</f>
        <v/>
      </c>
      <c r="AM1038" s="3">
        <f>AE1038-AL1038</f>
        <v/>
      </c>
      <c r="AN1038" s="4">
        <f>AM1038/AE1038</f>
        <v/>
      </c>
      <c r="AO1038" s="3" t="inlineStr">
        <is>
          <t>60 mins</t>
        </is>
      </c>
      <c r="AQ1038" s="3" t="inlineStr">
        <is>
          <t>Weight</t>
        </is>
      </c>
      <c r="AT1038" s="3" t="inlineStr">
        <is>
          <t>On Demand</t>
        </is>
      </c>
    </row>
    <row r="1039" ht="15.75" customHeight="1">
      <c r="A1039" s="3" t="inlineStr">
        <is>
          <t>PROD_0232</t>
        </is>
      </c>
      <c r="B1039" s="3" t="inlineStr">
        <is>
          <t>VAR_37</t>
        </is>
      </c>
      <c r="C1039" s="3" t="inlineStr">
        <is>
          <t>Electrical Material</t>
        </is>
      </c>
      <c r="D1039" s="3" t="inlineStr">
        <is>
          <t>MCB/ RCCB</t>
        </is>
      </c>
      <c r="E1039" s="3" t="inlineStr">
        <is>
          <t>Havells</t>
        </is>
      </c>
      <c r="F1039" s="3" t="inlineStr">
        <is>
          <t>MCB</t>
        </is>
      </c>
      <c r="H1039" s="3" t="inlineStr">
        <is>
          <t>Series</t>
        </is>
      </c>
      <c r="I1039" s="3" t="inlineStr">
        <is>
          <t>C</t>
        </is>
      </c>
      <c r="J1039" s="3" t="inlineStr">
        <is>
          <t>Amperage</t>
        </is>
      </c>
      <c r="K1039" s="3" t="inlineStr">
        <is>
          <t>6 A - 32 A</t>
        </is>
      </c>
      <c r="L1039" s="3" t="inlineStr">
        <is>
          <t>Poles</t>
        </is>
      </c>
      <c r="M1039" s="3" t="inlineStr">
        <is>
          <t>SPN</t>
        </is>
      </c>
      <c r="Q1039" s="3" t="inlineStr">
        <is>
          <t>Manufacturer's Warranty</t>
        </is>
      </c>
      <c r="R1039" s="3" t="inlineStr">
        <is>
          <t>DHMZCSNF006-032</t>
        </is>
      </c>
      <c r="Y1039" s="3" t="inlineStr">
        <is>
          <t>MCB_HVL_C_SPN</t>
        </is>
      </c>
      <c r="Z1039" s="3" t="n">
        <v>8536</v>
      </c>
      <c r="AE1039" s="3" t="n">
        <v>986</v>
      </c>
      <c r="AF1039" s="4" t="n">
        <v>0.5</v>
      </c>
      <c r="AG1039" s="3">
        <f>ROUND(AE1039-(AE1039*AF1039),2)</f>
        <v/>
      </c>
      <c r="AH1039" s="4" t="n">
        <v>0.18</v>
      </c>
      <c r="AI1039" s="3">
        <f>ROUND(AG1039+(AG1039*AH1039),2)</f>
        <v/>
      </c>
      <c r="AJ1039" s="4" t="n">
        <v>0.2</v>
      </c>
      <c r="AK1039" s="3">
        <f>ROUND(AI1039*AJ1039,2)</f>
        <v/>
      </c>
      <c r="AL1039" s="3">
        <f>AI1039+AK1039</f>
        <v/>
      </c>
      <c r="AM1039" s="3">
        <f>AE1039-AL1039</f>
        <v/>
      </c>
      <c r="AN1039" s="4">
        <f>AM1039/AE1039</f>
        <v/>
      </c>
      <c r="AO1039" s="3" t="inlineStr">
        <is>
          <t>60 mins</t>
        </is>
      </c>
      <c r="AQ1039" s="3" t="inlineStr">
        <is>
          <t>Weight</t>
        </is>
      </c>
      <c r="AT1039" s="3" t="inlineStr">
        <is>
          <t>On Demand</t>
        </is>
      </c>
    </row>
    <row r="1040" ht="15.75" customHeight="1">
      <c r="A1040" s="3" t="inlineStr">
        <is>
          <t>PROD_0232</t>
        </is>
      </c>
      <c r="B1040" s="3" t="inlineStr">
        <is>
          <t>VAR_38</t>
        </is>
      </c>
      <c r="C1040" s="3" t="inlineStr">
        <is>
          <t>Electrical Material</t>
        </is>
      </c>
      <c r="D1040" s="3" t="inlineStr">
        <is>
          <t>MCB/ RCCB</t>
        </is>
      </c>
      <c r="E1040" s="3" t="inlineStr">
        <is>
          <t>Havells</t>
        </is>
      </c>
      <c r="F1040" s="3" t="inlineStr">
        <is>
          <t>MCB</t>
        </is>
      </c>
      <c r="H1040" s="3" t="inlineStr">
        <is>
          <t>Series</t>
        </is>
      </c>
      <c r="I1040" s="3" t="inlineStr">
        <is>
          <t>C</t>
        </is>
      </c>
      <c r="J1040" s="3" t="inlineStr">
        <is>
          <t>Amperage</t>
        </is>
      </c>
      <c r="K1040" s="3" t="inlineStr">
        <is>
          <t>40 A</t>
        </is>
      </c>
      <c r="L1040" s="3" t="inlineStr">
        <is>
          <t>Poles</t>
        </is>
      </c>
      <c r="M1040" s="3" t="inlineStr">
        <is>
          <t>SPN</t>
        </is>
      </c>
      <c r="Q1040" s="3" t="inlineStr">
        <is>
          <t>Manufacturer's Warranty</t>
        </is>
      </c>
      <c r="R1040" s="3" t="inlineStr">
        <is>
          <t>DHMZCSNF040</t>
        </is>
      </c>
      <c r="Y1040" s="3" t="inlineStr">
        <is>
          <t>MCB_HVL_C_SPN</t>
        </is>
      </c>
      <c r="Z1040" s="3" t="n">
        <v>8536</v>
      </c>
      <c r="AE1040" s="3" t="n">
        <v>1469</v>
      </c>
      <c r="AF1040" s="4" t="n">
        <v>0.5</v>
      </c>
      <c r="AG1040" s="3">
        <f>ROUND(AE1040-(AE1040*AF1040),2)</f>
        <v/>
      </c>
      <c r="AH1040" s="4" t="n">
        <v>0.18</v>
      </c>
      <c r="AI1040" s="3">
        <f>ROUND(AG1040+(AG1040*AH1040),2)</f>
        <v/>
      </c>
      <c r="AJ1040" s="4" t="n">
        <v>0.2</v>
      </c>
      <c r="AK1040" s="3">
        <f>ROUND(AI1040*AJ1040,2)</f>
        <v/>
      </c>
      <c r="AL1040" s="3">
        <f>AI1040+AK1040</f>
        <v/>
      </c>
      <c r="AM1040" s="3">
        <f>AE1040-AL1040</f>
        <v/>
      </c>
      <c r="AN1040" s="4">
        <f>AM1040/AE1040</f>
        <v/>
      </c>
      <c r="AO1040" s="3" t="inlineStr">
        <is>
          <t>60 mins</t>
        </is>
      </c>
      <c r="AQ1040" s="3" t="inlineStr">
        <is>
          <t>Weight</t>
        </is>
      </c>
      <c r="AT1040" s="3" t="inlineStr">
        <is>
          <t>On Demand</t>
        </is>
      </c>
    </row>
    <row r="1041" ht="15.75" customHeight="1">
      <c r="A1041" s="3" t="inlineStr">
        <is>
          <t>PROD_0232</t>
        </is>
      </c>
      <c r="B1041" s="3" t="inlineStr">
        <is>
          <t>VAR_39</t>
        </is>
      </c>
      <c r="C1041" s="3" t="inlineStr">
        <is>
          <t>Electrical Material</t>
        </is>
      </c>
      <c r="D1041" s="3" t="inlineStr">
        <is>
          <t>MCB/ RCCB</t>
        </is>
      </c>
      <c r="E1041" s="3" t="inlineStr">
        <is>
          <t>Havells</t>
        </is>
      </c>
      <c r="F1041" s="3" t="inlineStr">
        <is>
          <t>MCB</t>
        </is>
      </c>
      <c r="H1041" s="3" t="inlineStr">
        <is>
          <t>Series</t>
        </is>
      </c>
      <c r="I1041" s="3" t="inlineStr">
        <is>
          <t>C</t>
        </is>
      </c>
      <c r="J1041" s="3" t="inlineStr">
        <is>
          <t>Amperage</t>
        </is>
      </c>
      <c r="K1041" s="3" t="inlineStr">
        <is>
          <t>63 A</t>
        </is>
      </c>
      <c r="L1041" s="3" t="inlineStr">
        <is>
          <t>Poles</t>
        </is>
      </c>
      <c r="M1041" s="3" t="inlineStr">
        <is>
          <t>SPN</t>
        </is>
      </c>
      <c r="Q1041" s="3" t="inlineStr">
        <is>
          <t>Manufacturer's Warranty</t>
        </is>
      </c>
      <c r="R1041" s="3" t="inlineStr">
        <is>
          <t>DHMZCSNF063</t>
        </is>
      </c>
      <c r="Y1041" s="3" t="inlineStr">
        <is>
          <t>MCB_HVL_C_SPN</t>
        </is>
      </c>
      <c r="Z1041" s="3" t="n">
        <v>8536</v>
      </c>
      <c r="AE1041" s="3" t="n">
        <v>1562</v>
      </c>
      <c r="AF1041" s="4" t="n">
        <v>0.5</v>
      </c>
      <c r="AG1041" s="3">
        <f>ROUND(AE1041-(AE1041*AF1041),2)</f>
        <v/>
      </c>
      <c r="AH1041" s="4" t="n">
        <v>0.18</v>
      </c>
      <c r="AI1041" s="3">
        <f>ROUND(AG1041+(AG1041*AH1041),2)</f>
        <v/>
      </c>
      <c r="AJ1041" s="4" t="n">
        <v>0.2</v>
      </c>
      <c r="AK1041" s="3">
        <f>ROUND(AI1041*AJ1041,2)</f>
        <v/>
      </c>
      <c r="AL1041" s="3">
        <f>AI1041+AK1041</f>
        <v/>
      </c>
      <c r="AM1041" s="3">
        <f>AE1041-AL1041</f>
        <v/>
      </c>
      <c r="AN1041" s="4">
        <f>AM1041/AE1041</f>
        <v/>
      </c>
      <c r="AO1041" s="3" t="inlineStr">
        <is>
          <t>60 mins</t>
        </is>
      </c>
      <c r="AQ1041" s="3" t="inlineStr">
        <is>
          <t>Weight</t>
        </is>
      </c>
      <c r="AT1041" s="3" t="inlineStr">
        <is>
          <t>On Demand</t>
        </is>
      </c>
    </row>
    <row r="1042" ht="15.75" customHeight="1">
      <c r="A1042" s="3" t="inlineStr">
        <is>
          <t>PROD_0232</t>
        </is>
      </c>
      <c r="B1042" s="3" t="inlineStr">
        <is>
          <t>VAR_40</t>
        </is>
      </c>
      <c r="C1042" s="3" t="inlineStr">
        <is>
          <t>Electrical Material</t>
        </is>
      </c>
      <c r="D1042" s="3" t="inlineStr">
        <is>
          <t>MCB/ RCCB</t>
        </is>
      </c>
      <c r="E1042" s="3" t="inlineStr">
        <is>
          <t>Havells</t>
        </is>
      </c>
      <c r="F1042" s="3" t="inlineStr">
        <is>
          <t>MCB</t>
        </is>
      </c>
      <c r="H1042" s="3" t="inlineStr">
        <is>
          <t>Series</t>
        </is>
      </c>
      <c r="I1042" s="3" t="inlineStr">
        <is>
          <t>DC</t>
        </is>
      </c>
      <c r="J1042" s="3" t="inlineStr">
        <is>
          <t>Amperage</t>
        </is>
      </c>
      <c r="K1042" s="3" t="inlineStr">
        <is>
          <t>16 A</t>
        </is>
      </c>
      <c r="L1042" s="3" t="inlineStr">
        <is>
          <t>Poles</t>
        </is>
      </c>
      <c r="M1042" s="3" t="inlineStr">
        <is>
          <t>DP</t>
        </is>
      </c>
      <c r="Q1042" s="3" t="inlineStr">
        <is>
          <t>Manufacturer's Warranty</t>
        </is>
      </c>
      <c r="R1042" s="3" t="inlineStr">
        <is>
          <t>DHMZEDPF016</t>
        </is>
      </c>
      <c r="Y1042" s="3" t="inlineStr">
        <is>
          <t>MCB_HVL_DPDC</t>
        </is>
      </c>
      <c r="Z1042" s="3" t="n">
        <v>8536</v>
      </c>
      <c r="AE1042" s="3" t="n">
        <v>1125</v>
      </c>
      <c r="AF1042" s="4" t="n">
        <v>0.5</v>
      </c>
      <c r="AG1042" s="3">
        <f>ROUND(AE1042-(AE1042*AF1042),2)</f>
        <v/>
      </c>
      <c r="AH1042" s="4" t="n">
        <v>0.18</v>
      </c>
      <c r="AI1042" s="3">
        <f>ROUND(AG1042+(AG1042*AH1042),2)</f>
        <v/>
      </c>
      <c r="AJ1042" s="4" t="n">
        <v>0.2</v>
      </c>
      <c r="AK1042" s="3">
        <f>ROUND(AI1042*AJ1042,2)</f>
        <v/>
      </c>
      <c r="AL1042" s="3">
        <f>AI1042+AK1042</f>
        <v/>
      </c>
      <c r="AM1042" s="3">
        <f>AE1042-AL1042</f>
        <v/>
      </c>
      <c r="AN1042" s="4">
        <f>AM1042/AE1042</f>
        <v/>
      </c>
      <c r="AO1042" s="3" t="inlineStr">
        <is>
          <t>60 mins</t>
        </is>
      </c>
      <c r="AQ1042" s="3" t="inlineStr">
        <is>
          <t>Weight</t>
        </is>
      </c>
      <c r="AT1042" s="3" t="inlineStr">
        <is>
          <t>On Demand</t>
        </is>
      </c>
    </row>
    <row r="1043" ht="15.75" customHeight="1">
      <c r="A1043" s="3" t="inlineStr">
        <is>
          <t>PROD_0232</t>
        </is>
      </c>
      <c r="B1043" s="3" t="inlineStr">
        <is>
          <t>VAR_41</t>
        </is>
      </c>
      <c r="C1043" s="3" t="inlineStr">
        <is>
          <t>Electrical Material</t>
        </is>
      </c>
      <c r="D1043" s="3" t="inlineStr">
        <is>
          <t>MCB/ RCCB</t>
        </is>
      </c>
      <c r="E1043" s="3" t="inlineStr">
        <is>
          <t>Havells</t>
        </is>
      </c>
      <c r="F1043" s="3" t="inlineStr">
        <is>
          <t>MCB</t>
        </is>
      </c>
      <c r="H1043" s="3" t="inlineStr">
        <is>
          <t>Series</t>
        </is>
      </c>
      <c r="I1043" s="3" t="inlineStr">
        <is>
          <t>DC</t>
        </is>
      </c>
      <c r="J1043" s="3" t="inlineStr">
        <is>
          <t>Amperage</t>
        </is>
      </c>
      <c r="K1043" s="3" t="inlineStr">
        <is>
          <t>20 A</t>
        </is>
      </c>
      <c r="L1043" s="3" t="inlineStr">
        <is>
          <t>Poles</t>
        </is>
      </c>
      <c r="M1043" s="3" t="inlineStr">
        <is>
          <t>DP</t>
        </is>
      </c>
      <c r="Q1043" s="3" t="inlineStr">
        <is>
          <t>Manufacturer's Warranty</t>
        </is>
      </c>
      <c r="R1043" s="3" t="inlineStr">
        <is>
          <t>DHMZEDPF020</t>
        </is>
      </c>
      <c r="Y1043" s="3" t="inlineStr">
        <is>
          <t>MCB_HVL_DPDC</t>
        </is>
      </c>
      <c r="Z1043" s="3" t="n">
        <v>8536</v>
      </c>
      <c r="AE1043" s="3" t="n">
        <v>1125</v>
      </c>
      <c r="AF1043" s="4" t="n">
        <v>0.5</v>
      </c>
      <c r="AG1043" s="3">
        <f>ROUND(AE1043-(AE1043*AF1043),2)</f>
        <v/>
      </c>
      <c r="AH1043" s="4" t="n">
        <v>0.18</v>
      </c>
      <c r="AI1043" s="3">
        <f>ROUND(AG1043+(AG1043*AH1043),2)</f>
        <v/>
      </c>
      <c r="AJ1043" s="4" t="n">
        <v>0.2</v>
      </c>
      <c r="AK1043" s="3">
        <f>ROUND(AI1043*AJ1043,2)</f>
        <v/>
      </c>
      <c r="AL1043" s="3">
        <f>AI1043+AK1043</f>
        <v/>
      </c>
      <c r="AM1043" s="3">
        <f>AE1043-AL1043</f>
        <v/>
      </c>
      <c r="AN1043" s="4">
        <f>AM1043/AE1043</f>
        <v/>
      </c>
      <c r="AO1043" s="3" t="inlineStr">
        <is>
          <t>60 mins</t>
        </is>
      </c>
      <c r="AQ1043" s="3" t="inlineStr">
        <is>
          <t>Weight</t>
        </is>
      </c>
      <c r="AT1043" s="3" t="inlineStr">
        <is>
          <t>On Demand</t>
        </is>
      </c>
    </row>
    <row r="1044" ht="15.75" customHeight="1">
      <c r="A1044" s="3" t="inlineStr">
        <is>
          <t>PROD_0232</t>
        </is>
      </c>
      <c r="B1044" s="3" t="inlineStr">
        <is>
          <t>VAR_42</t>
        </is>
      </c>
      <c r="C1044" s="3" t="inlineStr">
        <is>
          <t>Electrical Material</t>
        </is>
      </c>
      <c r="D1044" s="3" t="inlineStr">
        <is>
          <t>MCB/ RCCB</t>
        </is>
      </c>
      <c r="E1044" s="3" t="inlineStr">
        <is>
          <t>Havells</t>
        </is>
      </c>
      <c r="F1044" s="3" t="inlineStr">
        <is>
          <t>MCB</t>
        </is>
      </c>
      <c r="H1044" s="3" t="inlineStr">
        <is>
          <t>Series</t>
        </is>
      </c>
      <c r="I1044" s="3" t="inlineStr">
        <is>
          <t>DC</t>
        </is>
      </c>
      <c r="J1044" s="3" t="inlineStr">
        <is>
          <t>Amperage</t>
        </is>
      </c>
      <c r="K1044" s="3" t="inlineStr">
        <is>
          <t>25 A</t>
        </is>
      </c>
      <c r="L1044" s="3" t="inlineStr">
        <is>
          <t>Poles</t>
        </is>
      </c>
      <c r="M1044" s="3" t="inlineStr">
        <is>
          <t>DP</t>
        </is>
      </c>
      <c r="Q1044" s="3" t="inlineStr">
        <is>
          <t>Manufacturer's Warranty</t>
        </is>
      </c>
      <c r="R1044" s="3" t="inlineStr">
        <is>
          <t>DHMZEDPF025</t>
        </is>
      </c>
      <c r="Y1044" s="3" t="inlineStr">
        <is>
          <t>MCB_HVL_DPDC</t>
        </is>
      </c>
      <c r="Z1044" s="3" t="n">
        <v>8536</v>
      </c>
      <c r="AE1044" s="3" t="n">
        <v>1125</v>
      </c>
      <c r="AF1044" s="4" t="n">
        <v>0.5</v>
      </c>
      <c r="AG1044" s="3">
        <f>ROUND(AE1044-(AE1044*AF1044),2)</f>
        <v/>
      </c>
      <c r="AH1044" s="4" t="n">
        <v>0.18</v>
      </c>
      <c r="AI1044" s="3">
        <f>ROUND(AG1044+(AG1044*AH1044),2)</f>
        <v/>
      </c>
      <c r="AJ1044" s="4" t="n">
        <v>0.2</v>
      </c>
      <c r="AK1044" s="3">
        <f>ROUND(AI1044*AJ1044,2)</f>
        <v/>
      </c>
      <c r="AL1044" s="3">
        <f>AI1044+AK1044</f>
        <v/>
      </c>
      <c r="AM1044" s="3">
        <f>AE1044-AL1044</f>
        <v/>
      </c>
      <c r="AN1044" s="4">
        <f>AM1044/AE1044</f>
        <v/>
      </c>
      <c r="AO1044" s="3" t="inlineStr">
        <is>
          <t>60 mins</t>
        </is>
      </c>
      <c r="AQ1044" s="3" t="inlineStr">
        <is>
          <t>Weight</t>
        </is>
      </c>
      <c r="AT1044" s="3" t="inlineStr">
        <is>
          <t>On Demand</t>
        </is>
      </c>
    </row>
    <row r="1045" ht="15.75" customHeight="1">
      <c r="A1045" s="3" t="inlineStr">
        <is>
          <t>PROD_0232</t>
        </is>
      </c>
      <c r="B1045" s="3" t="inlineStr">
        <is>
          <t>VAR_43</t>
        </is>
      </c>
      <c r="C1045" s="3" t="inlineStr">
        <is>
          <t>Electrical Material</t>
        </is>
      </c>
      <c r="D1045" s="3" t="inlineStr">
        <is>
          <t>MCB/ RCCB</t>
        </is>
      </c>
      <c r="E1045" s="3" t="inlineStr">
        <is>
          <t>Havells</t>
        </is>
      </c>
      <c r="F1045" s="3" t="inlineStr">
        <is>
          <t>MCB</t>
        </is>
      </c>
      <c r="H1045" s="3" t="inlineStr">
        <is>
          <t>Series</t>
        </is>
      </c>
      <c r="I1045" s="3" t="inlineStr">
        <is>
          <t>DC</t>
        </is>
      </c>
      <c r="J1045" s="3" t="inlineStr">
        <is>
          <t>Amperage</t>
        </is>
      </c>
      <c r="K1045" s="3" t="inlineStr">
        <is>
          <t>32 A</t>
        </is>
      </c>
      <c r="L1045" s="3" t="inlineStr">
        <is>
          <t>Poles</t>
        </is>
      </c>
      <c r="M1045" s="3" t="inlineStr">
        <is>
          <t>DP</t>
        </is>
      </c>
      <c r="Q1045" s="3" t="inlineStr">
        <is>
          <t>Manufacturer's Warranty</t>
        </is>
      </c>
      <c r="R1045" s="3" t="inlineStr">
        <is>
          <t>DHMZEDPF032</t>
        </is>
      </c>
      <c r="Y1045" s="3" t="inlineStr">
        <is>
          <t>MCB_HVL_DPDC</t>
        </is>
      </c>
      <c r="Z1045" s="3" t="n">
        <v>8536</v>
      </c>
      <c r="AE1045" s="3" t="n">
        <v>1125</v>
      </c>
      <c r="AF1045" s="4" t="n">
        <v>0.5</v>
      </c>
      <c r="AG1045" s="3">
        <f>ROUND(AE1045-(AE1045*AF1045),2)</f>
        <v/>
      </c>
      <c r="AH1045" s="4" t="n">
        <v>0.18</v>
      </c>
      <c r="AI1045" s="3">
        <f>ROUND(AG1045+(AG1045*AH1045),2)</f>
        <v/>
      </c>
      <c r="AJ1045" s="4" t="n">
        <v>0.2</v>
      </c>
      <c r="AK1045" s="3">
        <f>ROUND(AI1045*AJ1045,2)</f>
        <v/>
      </c>
      <c r="AL1045" s="3">
        <f>AI1045+AK1045</f>
        <v/>
      </c>
      <c r="AM1045" s="3">
        <f>AE1045-AL1045</f>
        <v/>
      </c>
      <c r="AN1045" s="4">
        <f>AM1045/AE1045</f>
        <v/>
      </c>
      <c r="AO1045" s="3" t="inlineStr">
        <is>
          <t>60 mins</t>
        </is>
      </c>
      <c r="AQ1045" s="3" t="inlineStr">
        <is>
          <t>Weight</t>
        </is>
      </c>
      <c r="AT1045" s="3" t="inlineStr">
        <is>
          <t>On Demand</t>
        </is>
      </c>
    </row>
    <row r="1046" ht="15.75" customHeight="1">
      <c r="A1046" s="3" t="inlineStr">
        <is>
          <t>PROD_0233</t>
        </is>
      </c>
      <c r="B1046" s="3" t="inlineStr">
        <is>
          <t>VAR_1</t>
        </is>
      </c>
      <c r="C1046" s="3" t="inlineStr">
        <is>
          <t>Electrical Material</t>
        </is>
      </c>
      <c r="D1046" s="3" t="inlineStr">
        <is>
          <t>MCB/ RCCB</t>
        </is>
      </c>
      <c r="E1046" s="3" t="inlineStr">
        <is>
          <t>Havells</t>
        </is>
      </c>
      <c r="F1046" s="3" t="inlineStr">
        <is>
          <t>RCCB</t>
        </is>
      </c>
      <c r="H1046" s="3" t="inlineStr">
        <is>
          <t xml:space="preserve">Series </t>
        </is>
      </c>
      <c r="I1046" s="3" t="inlineStr">
        <is>
          <t>AC</t>
        </is>
      </c>
      <c r="J1046" s="3" t="inlineStr">
        <is>
          <t>Amperage</t>
        </is>
      </c>
      <c r="K1046" s="3" t="inlineStr">
        <is>
          <t>16 A</t>
        </is>
      </c>
      <c r="L1046" s="3" t="inlineStr">
        <is>
          <t>Poles</t>
        </is>
      </c>
      <c r="M1046" s="3" t="inlineStr">
        <is>
          <t>DP</t>
        </is>
      </c>
      <c r="Q1046" s="3" t="inlineStr">
        <is>
          <t>Manufacturer's Warranty</t>
        </is>
      </c>
      <c r="R1046" s="3" t="inlineStr">
        <is>
          <t>DHRXCMDF030016</t>
        </is>
      </c>
      <c r="Y1046" s="3" t="inlineStr">
        <is>
          <t>RCCB_HVL_AC_DP</t>
        </is>
      </c>
      <c r="Z1046" s="3" t="n">
        <v>8536</v>
      </c>
      <c r="AE1046" s="3" t="n">
        <v>3937</v>
      </c>
      <c r="AF1046" s="4" t="n">
        <v>0.5</v>
      </c>
      <c r="AG1046" s="3">
        <f>ROUND(AE1046-(AE1046*AF1046),2)</f>
        <v/>
      </c>
      <c r="AH1046" s="4" t="n">
        <v>0.18</v>
      </c>
      <c r="AI1046" s="3">
        <f>ROUND(AG1046+(AG1046*AH1046),2)</f>
        <v/>
      </c>
      <c r="AJ1046" s="4" t="n">
        <v>0.2</v>
      </c>
      <c r="AK1046" s="3">
        <f>ROUND(AI1046*AJ1046,2)</f>
        <v/>
      </c>
      <c r="AL1046" s="3">
        <f>AI1046+AK1046</f>
        <v/>
      </c>
      <c r="AM1046" s="3">
        <f>AE1046-AL1046</f>
        <v/>
      </c>
      <c r="AN1046" s="4">
        <f>AM1046/AE1046</f>
        <v/>
      </c>
      <c r="AO1046" s="3" t="inlineStr">
        <is>
          <t>60 mins</t>
        </is>
      </c>
      <c r="AQ1046" s="3" t="inlineStr">
        <is>
          <t>Weight</t>
        </is>
      </c>
      <c r="AT1046" s="3" t="inlineStr">
        <is>
          <t>On Demand</t>
        </is>
      </c>
    </row>
    <row r="1047" ht="15.75" customHeight="1">
      <c r="A1047" s="3" t="inlineStr">
        <is>
          <t>PROD_0233</t>
        </is>
      </c>
      <c r="B1047" s="3" t="inlineStr">
        <is>
          <t>VAR_2</t>
        </is>
      </c>
      <c r="C1047" s="3" t="inlineStr">
        <is>
          <t>Electrical Material</t>
        </is>
      </c>
      <c r="D1047" s="3" t="inlineStr">
        <is>
          <t>MCB/ RCCB</t>
        </is>
      </c>
      <c r="E1047" s="3" t="inlineStr">
        <is>
          <t>Havells</t>
        </is>
      </c>
      <c r="F1047" s="3" t="inlineStr">
        <is>
          <t>RCCB</t>
        </is>
      </c>
      <c r="H1047" s="3" t="inlineStr">
        <is>
          <t xml:space="preserve">Series </t>
        </is>
      </c>
      <c r="I1047" s="3" t="inlineStr">
        <is>
          <t>AC</t>
        </is>
      </c>
      <c r="J1047" s="3" t="inlineStr">
        <is>
          <t>Amperage</t>
        </is>
      </c>
      <c r="K1047" s="3" t="inlineStr">
        <is>
          <t>25 A</t>
        </is>
      </c>
      <c r="L1047" s="3" t="inlineStr">
        <is>
          <t>Poles</t>
        </is>
      </c>
      <c r="M1047" s="3" t="inlineStr">
        <is>
          <t>DP</t>
        </is>
      </c>
      <c r="Q1047" s="3" t="inlineStr">
        <is>
          <t>Manufacturer's Warranty</t>
        </is>
      </c>
      <c r="R1047" s="3" t="inlineStr">
        <is>
          <t>DHRXCMDF030025</t>
        </is>
      </c>
      <c r="Y1047" s="3" t="inlineStr">
        <is>
          <t>RCCB_HVL_AC_DP</t>
        </is>
      </c>
      <c r="Z1047" s="3" t="n">
        <v>8536</v>
      </c>
      <c r="AE1047" s="3" t="n">
        <v>3937</v>
      </c>
      <c r="AF1047" s="4" t="n">
        <v>0.5</v>
      </c>
      <c r="AG1047" s="3">
        <f>ROUND(AE1047-(AE1047*AF1047),2)</f>
        <v/>
      </c>
      <c r="AH1047" s="4" t="n">
        <v>0.18</v>
      </c>
      <c r="AI1047" s="3">
        <f>ROUND(AG1047+(AG1047*AH1047),2)</f>
        <v/>
      </c>
      <c r="AJ1047" s="4" t="n">
        <v>0.2</v>
      </c>
      <c r="AK1047" s="3">
        <f>ROUND(AI1047*AJ1047,2)</f>
        <v/>
      </c>
      <c r="AL1047" s="3">
        <f>AI1047+AK1047</f>
        <v/>
      </c>
      <c r="AM1047" s="3">
        <f>AE1047-AL1047</f>
        <v/>
      </c>
      <c r="AN1047" s="4">
        <f>AM1047/AE1047</f>
        <v/>
      </c>
      <c r="AO1047" s="3" t="inlineStr">
        <is>
          <t>60 mins</t>
        </is>
      </c>
      <c r="AQ1047" s="3" t="inlineStr">
        <is>
          <t>Weight</t>
        </is>
      </c>
      <c r="AT1047" s="3" t="inlineStr">
        <is>
          <t>On Demand</t>
        </is>
      </c>
    </row>
    <row r="1048" ht="15.75" customHeight="1">
      <c r="A1048" s="3" t="inlineStr">
        <is>
          <t>PROD_0233</t>
        </is>
      </c>
      <c r="B1048" s="3" t="inlineStr">
        <is>
          <t>VAR_3</t>
        </is>
      </c>
      <c r="C1048" s="3" t="inlineStr">
        <is>
          <t>Electrical Material</t>
        </is>
      </c>
      <c r="D1048" s="3" t="inlineStr">
        <is>
          <t>MCB/ RCCB</t>
        </is>
      </c>
      <c r="E1048" s="3" t="inlineStr">
        <is>
          <t>Havells</t>
        </is>
      </c>
      <c r="F1048" s="3" t="inlineStr">
        <is>
          <t>RCCB</t>
        </is>
      </c>
      <c r="H1048" s="3" t="inlineStr">
        <is>
          <t xml:space="preserve">Series </t>
        </is>
      </c>
      <c r="I1048" s="3" t="inlineStr">
        <is>
          <t>AC</t>
        </is>
      </c>
      <c r="J1048" s="3" t="inlineStr">
        <is>
          <t>Amperage</t>
        </is>
      </c>
      <c r="K1048" s="3" t="inlineStr">
        <is>
          <t>32 A</t>
        </is>
      </c>
      <c r="L1048" s="3" t="inlineStr">
        <is>
          <t>Poles</t>
        </is>
      </c>
      <c r="M1048" s="3" t="inlineStr">
        <is>
          <t>DP</t>
        </is>
      </c>
      <c r="Q1048" s="3" t="inlineStr">
        <is>
          <t>Manufacturer's Warranty</t>
        </is>
      </c>
      <c r="R1048" s="3" t="inlineStr">
        <is>
          <t>DHRXCMDF030032</t>
        </is>
      </c>
      <c r="Y1048" s="3" t="inlineStr">
        <is>
          <t>RCCB_HVL_AC_DP</t>
        </is>
      </c>
      <c r="Z1048" s="3" t="n">
        <v>8536</v>
      </c>
      <c r="AE1048" s="3" t="n">
        <v>3966</v>
      </c>
      <c r="AF1048" s="4" t="n">
        <v>0.5</v>
      </c>
      <c r="AG1048" s="3">
        <f>ROUND(AE1048-(AE1048*AF1048),2)</f>
        <v/>
      </c>
      <c r="AH1048" s="4" t="n">
        <v>0.18</v>
      </c>
      <c r="AI1048" s="3">
        <f>ROUND(AG1048+(AG1048*AH1048),2)</f>
        <v/>
      </c>
      <c r="AJ1048" s="4" t="n">
        <v>0.2</v>
      </c>
      <c r="AK1048" s="3">
        <f>ROUND(AI1048*AJ1048,2)</f>
        <v/>
      </c>
      <c r="AL1048" s="3">
        <f>AI1048+AK1048</f>
        <v/>
      </c>
      <c r="AM1048" s="3">
        <f>AE1048-AL1048</f>
        <v/>
      </c>
      <c r="AN1048" s="4">
        <f>AM1048/AE1048</f>
        <v/>
      </c>
      <c r="AO1048" s="3" t="inlineStr">
        <is>
          <t>60 mins</t>
        </is>
      </c>
      <c r="AQ1048" s="3" t="inlineStr">
        <is>
          <t>Weight</t>
        </is>
      </c>
      <c r="AT1048" s="3" t="inlineStr">
        <is>
          <t>On Demand</t>
        </is>
      </c>
    </row>
    <row r="1049" ht="15.75" customHeight="1">
      <c r="A1049" s="3" t="inlineStr">
        <is>
          <t>PROD_0233</t>
        </is>
      </c>
      <c r="B1049" s="3" t="inlineStr">
        <is>
          <t>VAR_4</t>
        </is>
      </c>
      <c r="C1049" s="3" t="inlineStr">
        <is>
          <t>Electrical Material</t>
        </is>
      </c>
      <c r="D1049" s="3" t="inlineStr">
        <is>
          <t>MCB/ RCCB</t>
        </is>
      </c>
      <c r="E1049" s="3" t="inlineStr">
        <is>
          <t>Havells</t>
        </is>
      </c>
      <c r="F1049" s="3" t="inlineStr">
        <is>
          <t>RCCB</t>
        </is>
      </c>
      <c r="H1049" s="3" t="inlineStr">
        <is>
          <t xml:space="preserve">Series </t>
        </is>
      </c>
      <c r="I1049" s="3" t="inlineStr">
        <is>
          <t>AC</t>
        </is>
      </c>
      <c r="J1049" s="3" t="inlineStr">
        <is>
          <t>Amperage</t>
        </is>
      </c>
      <c r="K1049" s="3" t="inlineStr">
        <is>
          <t>40 A</t>
        </is>
      </c>
      <c r="L1049" s="3" t="inlineStr">
        <is>
          <t>Poles</t>
        </is>
      </c>
      <c r="M1049" s="3" t="inlineStr">
        <is>
          <t>DP</t>
        </is>
      </c>
      <c r="Q1049" s="3" t="inlineStr">
        <is>
          <t>Manufacturer's Warranty</t>
        </is>
      </c>
      <c r="R1049" s="3" t="inlineStr">
        <is>
          <t>DHRXCMDF030040</t>
        </is>
      </c>
      <c r="Y1049" s="3" t="inlineStr">
        <is>
          <t>RCCB_HVL_AC_DP</t>
        </is>
      </c>
      <c r="Z1049" s="3" t="n">
        <v>8536</v>
      </c>
      <c r="AE1049" s="3" t="n">
        <v>3966</v>
      </c>
      <c r="AF1049" s="4" t="n">
        <v>0.5</v>
      </c>
      <c r="AG1049" s="3">
        <f>ROUND(AE1049-(AE1049*AF1049),2)</f>
        <v/>
      </c>
      <c r="AH1049" s="4" t="n">
        <v>0.18</v>
      </c>
      <c r="AI1049" s="3">
        <f>ROUND(AG1049+(AG1049*AH1049),2)</f>
        <v/>
      </c>
      <c r="AJ1049" s="4" t="n">
        <v>0.2</v>
      </c>
      <c r="AK1049" s="3">
        <f>ROUND(AI1049*AJ1049,2)</f>
        <v/>
      </c>
      <c r="AL1049" s="3">
        <f>AI1049+AK1049</f>
        <v/>
      </c>
      <c r="AM1049" s="3">
        <f>AE1049-AL1049</f>
        <v/>
      </c>
      <c r="AN1049" s="4">
        <f>AM1049/AE1049</f>
        <v/>
      </c>
      <c r="AO1049" s="3" t="inlineStr">
        <is>
          <t>60 mins</t>
        </is>
      </c>
      <c r="AQ1049" s="3" t="inlineStr">
        <is>
          <t>Weight</t>
        </is>
      </c>
      <c r="AT1049" s="3" t="inlineStr">
        <is>
          <t>On Demand</t>
        </is>
      </c>
    </row>
    <row r="1050" ht="15.75" customHeight="1">
      <c r="A1050" s="3" t="inlineStr">
        <is>
          <t>PROD_0233</t>
        </is>
      </c>
      <c r="B1050" s="3" t="inlineStr">
        <is>
          <t>VAR_5</t>
        </is>
      </c>
      <c r="C1050" s="3" t="inlineStr">
        <is>
          <t>Electrical Material</t>
        </is>
      </c>
      <c r="D1050" s="3" t="inlineStr">
        <is>
          <t>MCB/ RCCB</t>
        </is>
      </c>
      <c r="E1050" s="3" t="inlineStr">
        <is>
          <t>Havells</t>
        </is>
      </c>
      <c r="F1050" s="3" t="inlineStr">
        <is>
          <t>RCCB</t>
        </is>
      </c>
      <c r="H1050" s="3" t="inlineStr">
        <is>
          <t xml:space="preserve">Series </t>
        </is>
      </c>
      <c r="I1050" s="3" t="inlineStr">
        <is>
          <t>AC</t>
        </is>
      </c>
      <c r="J1050" s="3" t="inlineStr">
        <is>
          <t>Amperage</t>
        </is>
      </c>
      <c r="K1050" s="3" t="inlineStr">
        <is>
          <t>63 A</t>
        </is>
      </c>
      <c r="L1050" s="3" t="inlineStr">
        <is>
          <t>Poles</t>
        </is>
      </c>
      <c r="M1050" s="3" t="inlineStr">
        <is>
          <t>DP</t>
        </is>
      </c>
      <c r="Q1050" s="3" t="inlineStr">
        <is>
          <t>Manufacturer's Warranty</t>
        </is>
      </c>
      <c r="R1050" s="3" t="inlineStr">
        <is>
          <t>DHRXCMDF030063</t>
        </is>
      </c>
      <c r="Y1050" s="3" t="inlineStr">
        <is>
          <t>RCCB_HVL_AC_DP</t>
        </is>
      </c>
      <c r="Z1050" s="3" t="n">
        <v>8536</v>
      </c>
      <c r="AE1050" s="3" t="n">
        <v>5195</v>
      </c>
      <c r="AF1050" s="4" t="n">
        <v>0.5</v>
      </c>
      <c r="AG1050" s="3">
        <f>ROUND(AE1050-(AE1050*AF1050),2)</f>
        <v/>
      </c>
      <c r="AH1050" s="4" t="n">
        <v>0.18</v>
      </c>
      <c r="AI1050" s="3">
        <f>ROUND(AG1050+(AG1050*AH1050),2)</f>
        <v/>
      </c>
      <c r="AJ1050" s="4" t="n">
        <v>0.2</v>
      </c>
      <c r="AK1050" s="3">
        <f>ROUND(AI1050*AJ1050,2)</f>
        <v/>
      </c>
      <c r="AL1050" s="3">
        <f>AI1050+AK1050</f>
        <v/>
      </c>
      <c r="AM1050" s="3">
        <f>AE1050-AL1050</f>
        <v/>
      </c>
      <c r="AN1050" s="4">
        <f>AM1050/AE1050</f>
        <v/>
      </c>
      <c r="AO1050" s="3" t="inlineStr">
        <is>
          <t>60 mins</t>
        </is>
      </c>
      <c r="AQ1050" s="3" t="inlineStr">
        <is>
          <t>Weight</t>
        </is>
      </c>
      <c r="AT1050" s="3" t="inlineStr">
        <is>
          <t>On Demand</t>
        </is>
      </c>
    </row>
    <row r="1051" ht="15.75" customHeight="1">
      <c r="A1051" s="3" t="inlineStr">
        <is>
          <t>PROD_0233</t>
        </is>
      </c>
      <c r="B1051" s="3" t="inlineStr">
        <is>
          <t>VAR_6</t>
        </is>
      </c>
      <c r="C1051" s="3" t="inlineStr">
        <is>
          <t>Electrical Material</t>
        </is>
      </c>
      <c r="D1051" s="3" t="inlineStr">
        <is>
          <t>MCB/ RCCB</t>
        </is>
      </c>
      <c r="E1051" s="3" t="inlineStr">
        <is>
          <t>Havells</t>
        </is>
      </c>
      <c r="F1051" s="3" t="inlineStr">
        <is>
          <t>RCCB</t>
        </is>
      </c>
      <c r="H1051" s="3" t="inlineStr">
        <is>
          <t xml:space="preserve">Series </t>
        </is>
      </c>
      <c r="I1051" s="3" t="inlineStr">
        <is>
          <t>AC</t>
        </is>
      </c>
      <c r="J1051" s="3" t="inlineStr">
        <is>
          <t>Amperage</t>
        </is>
      </c>
      <c r="K1051" s="3" t="inlineStr">
        <is>
          <t>100 A</t>
        </is>
      </c>
      <c r="L1051" s="3" t="inlineStr">
        <is>
          <t>Poles</t>
        </is>
      </c>
      <c r="M1051" s="3" t="inlineStr">
        <is>
          <t>DP</t>
        </is>
      </c>
      <c r="Q1051" s="3" t="inlineStr">
        <is>
          <t>Manufacturer's Warranty</t>
        </is>
      </c>
      <c r="R1051" s="3" t="inlineStr">
        <is>
          <t>DHRZCMDF030100</t>
        </is>
      </c>
      <c r="Y1051" s="3" t="inlineStr">
        <is>
          <t>RCCB_HVL_AC_DP</t>
        </is>
      </c>
      <c r="Z1051" s="3" t="n">
        <v>8536</v>
      </c>
      <c r="AE1051" s="3" t="n">
        <v>8467</v>
      </c>
      <c r="AF1051" s="4" t="n">
        <v>0.5</v>
      </c>
      <c r="AG1051" s="3">
        <f>ROUND(AE1051-(AE1051*AF1051),2)</f>
        <v/>
      </c>
      <c r="AH1051" s="4" t="n">
        <v>0.18</v>
      </c>
      <c r="AI1051" s="3">
        <f>ROUND(AG1051+(AG1051*AH1051),2)</f>
        <v/>
      </c>
      <c r="AJ1051" s="4" t="n">
        <v>0.2</v>
      </c>
      <c r="AK1051" s="3">
        <f>ROUND(AI1051*AJ1051,2)</f>
        <v/>
      </c>
      <c r="AL1051" s="3">
        <f>AI1051+AK1051</f>
        <v/>
      </c>
      <c r="AM1051" s="3">
        <f>AE1051-AL1051</f>
        <v/>
      </c>
      <c r="AN1051" s="4">
        <f>AM1051/AE1051</f>
        <v/>
      </c>
      <c r="AO1051" s="3" t="inlineStr">
        <is>
          <t>60 mins</t>
        </is>
      </c>
      <c r="AQ1051" s="3" t="inlineStr">
        <is>
          <t>Weight</t>
        </is>
      </c>
      <c r="AT1051" s="3" t="inlineStr">
        <is>
          <t>On Demand</t>
        </is>
      </c>
    </row>
    <row r="1052" ht="15.75" customHeight="1">
      <c r="A1052" s="3" t="inlineStr">
        <is>
          <t>PROD_0233</t>
        </is>
      </c>
      <c r="B1052" s="3" t="inlineStr">
        <is>
          <t>VAR_7</t>
        </is>
      </c>
      <c r="C1052" s="3" t="inlineStr">
        <is>
          <t>Electrical Material</t>
        </is>
      </c>
      <c r="D1052" s="3" t="inlineStr">
        <is>
          <t>MCB/ RCCB</t>
        </is>
      </c>
      <c r="E1052" s="3" t="inlineStr">
        <is>
          <t>Havells</t>
        </is>
      </c>
      <c r="F1052" s="3" t="inlineStr">
        <is>
          <t>RCCB</t>
        </is>
      </c>
      <c r="H1052" s="3" t="inlineStr">
        <is>
          <t xml:space="preserve">Series </t>
        </is>
      </c>
      <c r="I1052" s="3" t="inlineStr">
        <is>
          <t>AC</t>
        </is>
      </c>
      <c r="J1052" s="3" t="inlineStr">
        <is>
          <t>Amperage</t>
        </is>
      </c>
      <c r="K1052" s="3" t="inlineStr">
        <is>
          <t>16 A</t>
        </is>
      </c>
      <c r="L1052" s="3" t="inlineStr">
        <is>
          <t>Poles</t>
        </is>
      </c>
      <c r="M1052" s="3" t="inlineStr">
        <is>
          <t>FP</t>
        </is>
      </c>
      <c r="Q1052" s="3" t="inlineStr">
        <is>
          <t>Manufacturer's Warranty</t>
        </is>
      </c>
      <c r="R1052" s="3" t="inlineStr">
        <is>
          <t>DHRXCMFF030016</t>
        </is>
      </c>
      <c r="Y1052" s="3" t="inlineStr">
        <is>
          <t>RCCB_HVL_AC_FP</t>
        </is>
      </c>
      <c r="Z1052" s="3" t="n">
        <v>8536</v>
      </c>
      <c r="AE1052" s="3" t="n">
        <v>4909</v>
      </c>
      <c r="AF1052" s="4" t="n">
        <v>0.5</v>
      </c>
      <c r="AG1052" s="3">
        <f>ROUND(AE1052-(AE1052*AF1052),2)</f>
        <v/>
      </c>
      <c r="AH1052" s="4" t="n">
        <v>0.18</v>
      </c>
      <c r="AI1052" s="3">
        <f>ROUND(AG1052+(AG1052*AH1052),2)</f>
        <v/>
      </c>
      <c r="AJ1052" s="4" t="n">
        <v>0.2</v>
      </c>
      <c r="AK1052" s="3">
        <f>ROUND(AI1052*AJ1052,2)</f>
        <v/>
      </c>
      <c r="AL1052" s="3">
        <f>AI1052+AK1052</f>
        <v/>
      </c>
      <c r="AM1052" s="3">
        <f>AE1052-AL1052</f>
        <v/>
      </c>
      <c r="AN1052" s="4">
        <f>AM1052/AE1052</f>
        <v/>
      </c>
      <c r="AO1052" s="3" t="inlineStr">
        <is>
          <t>60 mins</t>
        </is>
      </c>
      <c r="AQ1052" s="3" t="inlineStr">
        <is>
          <t>Weight</t>
        </is>
      </c>
      <c r="AT1052" s="3" t="inlineStr">
        <is>
          <t>On Demand</t>
        </is>
      </c>
    </row>
    <row r="1053" ht="15.75" customHeight="1">
      <c r="A1053" s="3" t="inlineStr">
        <is>
          <t>PROD_0233</t>
        </is>
      </c>
      <c r="B1053" s="3" t="inlineStr">
        <is>
          <t>VAR_8</t>
        </is>
      </c>
      <c r="C1053" s="3" t="inlineStr">
        <is>
          <t>Electrical Material</t>
        </is>
      </c>
      <c r="D1053" s="3" t="inlineStr">
        <is>
          <t>MCB/ RCCB</t>
        </is>
      </c>
      <c r="E1053" s="3" t="inlineStr">
        <is>
          <t>Havells</t>
        </is>
      </c>
      <c r="F1053" s="3" t="inlineStr">
        <is>
          <t>RCCB</t>
        </is>
      </c>
      <c r="H1053" s="3" t="inlineStr">
        <is>
          <t xml:space="preserve">Series </t>
        </is>
      </c>
      <c r="I1053" s="3" t="inlineStr">
        <is>
          <t>AC</t>
        </is>
      </c>
      <c r="J1053" s="3" t="inlineStr">
        <is>
          <t>Amperage</t>
        </is>
      </c>
      <c r="K1053" s="3" t="inlineStr">
        <is>
          <t>25 A</t>
        </is>
      </c>
      <c r="L1053" s="3" t="inlineStr">
        <is>
          <t>Poles</t>
        </is>
      </c>
      <c r="M1053" s="3" t="inlineStr">
        <is>
          <t>FP</t>
        </is>
      </c>
      <c r="Q1053" s="3" t="inlineStr">
        <is>
          <t>Manufacturer's Warranty</t>
        </is>
      </c>
      <c r="R1053" s="3" t="inlineStr">
        <is>
          <t>DHRXCMFF030025</t>
        </is>
      </c>
      <c r="Y1053" s="3" t="inlineStr">
        <is>
          <t>RCCB_HVL_AC_FP</t>
        </is>
      </c>
      <c r="Z1053" s="3" t="n">
        <v>8536</v>
      </c>
      <c r="AE1053" s="3" t="n">
        <v>4909</v>
      </c>
      <c r="AF1053" s="4" t="n">
        <v>0.5</v>
      </c>
      <c r="AG1053" s="3">
        <f>ROUND(AE1053-(AE1053*AF1053),2)</f>
        <v/>
      </c>
      <c r="AH1053" s="4" t="n">
        <v>0.18</v>
      </c>
      <c r="AI1053" s="3">
        <f>ROUND(AG1053+(AG1053*AH1053),2)</f>
        <v/>
      </c>
      <c r="AJ1053" s="4" t="n">
        <v>0.2</v>
      </c>
      <c r="AK1053" s="3">
        <f>ROUND(AI1053*AJ1053,2)</f>
        <v/>
      </c>
      <c r="AL1053" s="3">
        <f>AI1053+AK1053</f>
        <v/>
      </c>
      <c r="AM1053" s="3">
        <f>AE1053-AL1053</f>
        <v/>
      </c>
      <c r="AN1053" s="4">
        <f>AM1053/AE1053</f>
        <v/>
      </c>
      <c r="AO1053" s="3" t="inlineStr">
        <is>
          <t>60 mins</t>
        </is>
      </c>
      <c r="AQ1053" s="3" t="inlineStr">
        <is>
          <t>Weight</t>
        </is>
      </c>
      <c r="AT1053" s="3" t="inlineStr">
        <is>
          <t>On Demand</t>
        </is>
      </c>
    </row>
    <row r="1054" ht="15.75" customHeight="1">
      <c r="A1054" s="3" t="inlineStr">
        <is>
          <t>PROD_0233</t>
        </is>
      </c>
      <c r="B1054" s="3" t="inlineStr">
        <is>
          <t>VAR_9</t>
        </is>
      </c>
      <c r="C1054" s="3" t="inlineStr">
        <is>
          <t>Electrical Material</t>
        </is>
      </c>
      <c r="D1054" s="3" t="inlineStr">
        <is>
          <t>MCB/ RCCB</t>
        </is>
      </c>
      <c r="E1054" s="3" t="inlineStr">
        <is>
          <t>Havells</t>
        </is>
      </c>
      <c r="F1054" s="3" t="inlineStr">
        <is>
          <t>RCCB</t>
        </is>
      </c>
      <c r="H1054" s="3" t="inlineStr">
        <is>
          <t xml:space="preserve">Series </t>
        </is>
      </c>
      <c r="I1054" s="3" t="inlineStr">
        <is>
          <t>AC</t>
        </is>
      </c>
      <c r="J1054" s="3" t="inlineStr">
        <is>
          <t>Amperage</t>
        </is>
      </c>
      <c r="K1054" s="3" t="inlineStr">
        <is>
          <t>32 A</t>
        </is>
      </c>
      <c r="L1054" s="3" t="inlineStr">
        <is>
          <t>Poles</t>
        </is>
      </c>
      <c r="M1054" s="3" t="inlineStr">
        <is>
          <t>FP</t>
        </is>
      </c>
      <c r="Q1054" s="3" t="inlineStr">
        <is>
          <t>Manufacturer's Warranty</t>
        </is>
      </c>
      <c r="R1054" s="3" t="inlineStr">
        <is>
          <t>DHRXCMFF030032</t>
        </is>
      </c>
      <c r="Y1054" s="3" t="inlineStr">
        <is>
          <t>RCCB_HVL_AC_FP</t>
        </is>
      </c>
      <c r="Z1054" s="3" t="n">
        <v>8536</v>
      </c>
      <c r="AE1054" s="3" t="n">
        <v>4945</v>
      </c>
      <c r="AF1054" s="4" t="n">
        <v>0.5</v>
      </c>
      <c r="AG1054" s="3">
        <f>ROUND(AE1054-(AE1054*AF1054),2)</f>
        <v/>
      </c>
      <c r="AH1054" s="4" t="n">
        <v>0.18</v>
      </c>
      <c r="AI1054" s="3">
        <f>ROUND(AG1054+(AG1054*AH1054),2)</f>
        <v/>
      </c>
      <c r="AJ1054" s="4" t="n">
        <v>0.2</v>
      </c>
      <c r="AK1054" s="3">
        <f>ROUND(AI1054*AJ1054,2)</f>
        <v/>
      </c>
      <c r="AL1054" s="3">
        <f>AI1054+AK1054</f>
        <v/>
      </c>
      <c r="AM1054" s="3">
        <f>AE1054-AL1054</f>
        <v/>
      </c>
      <c r="AN1054" s="4">
        <f>AM1054/AE1054</f>
        <v/>
      </c>
      <c r="AO1054" s="3" t="inlineStr">
        <is>
          <t>60 mins</t>
        </is>
      </c>
      <c r="AQ1054" s="3" t="inlineStr">
        <is>
          <t>Weight</t>
        </is>
      </c>
      <c r="AT1054" s="3" t="inlineStr">
        <is>
          <t>On Demand</t>
        </is>
      </c>
    </row>
    <row r="1055" ht="15.75" customHeight="1">
      <c r="A1055" s="3" t="inlineStr">
        <is>
          <t>PROD_0233</t>
        </is>
      </c>
      <c r="B1055" s="3" t="inlineStr">
        <is>
          <t>VAR_10</t>
        </is>
      </c>
      <c r="C1055" s="3" t="inlineStr">
        <is>
          <t>Electrical Material</t>
        </is>
      </c>
      <c r="D1055" s="3" t="inlineStr">
        <is>
          <t>MCB/ RCCB</t>
        </is>
      </c>
      <c r="E1055" s="3" t="inlineStr">
        <is>
          <t>Havells</t>
        </is>
      </c>
      <c r="F1055" s="3" t="inlineStr">
        <is>
          <t>RCCB</t>
        </is>
      </c>
      <c r="H1055" s="3" t="inlineStr">
        <is>
          <t xml:space="preserve">Series </t>
        </is>
      </c>
      <c r="I1055" s="3" t="inlineStr">
        <is>
          <t>AC</t>
        </is>
      </c>
      <c r="J1055" s="3" t="inlineStr">
        <is>
          <t>Amperage</t>
        </is>
      </c>
      <c r="K1055" s="3" t="inlineStr">
        <is>
          <t>40 A</t>
        </is>
      </c>
      <c r="L1055" s="3" t="inlineStr">
        <is>
          <t>Poles</t>
        </is>
      </c>
      <c r="M1055" s="3" t="inlineStr">
        <is>
          <t>FP</t>
        </is>
      </c>
      <c r="Q1055" s="3" t="inlineStr">
        <is>
          <t>Manufacturer's Warranty</t>
        </is>
      </c>
      <c r="R1055" s="3" t="inlineStr">
        <is>
          <t>DHRXCMFF030040</t>
        </is>
      </c>
      <c r="Y1055" s="3" t="inlineStr">
        <is>
          <t>RCCB_HVL_AC_FP</t>
        </is>
      </c>
      <c r="Z1055" s="3" t="n">
        <v>8536</v>
      </c>
      <c r="AE1055" s="3" t="n">
        <v>4945</v>
      </c>
      <c r="AF1055" s="4" t="n">
        <v>0.5</v>
      </c>
      <c r="AG1055" s="3">
        <f>ROUND(AE1055-(AE1055*AF1055),2)</f>
        <v/>
      </c>
      <c r="AH1055" s="4" t="n">
        <v>0.18</v>
      </c>
      <c r="AI1055" s="3">
        <f>ROUND(AG1055+(AG1055*AH1055),2)</f>
        <v/>
      </c>
      <c r="AJ1055" s="4" t="n">
        <v>0.2</v>
      </c>
      <c r="AK1055" s="3">
        <f>ROUND(AI1055*AJ1055,2)</f>
        <v/>
      </c>
      <c r="AL1055" s="3">
        <f>AI1055+AK1055</f>
        <v/>
      </c>
      <c r="AM1055" s="3">
        <f>AE1055-AL1055</f>
        <v/>
      </c>
      <c r="AN1055" s="4">
        <f>AM1055/AE1055</f>
        <v/>
      </c>
      <c r="AO1055" s="3" t="inlineStr">
        <is>
          <t>60 mins</t>
        </is>
      </c>
      <c r="AQ1055" s="3" t="inlineStr">
        <is>
          <t>Weight</t>
        </is>
      </c>
      <c r="AT1055" s="3" t="inlineStr">
        <is>
          <t>On Demand</t>
        </is>
      </c>
    </row>
    <row r="1056" ht="15.75" customHeight="1">
      <c r="A1056" s="3" t="inlineStr">
        <is>
          <t>PROD_0233</t>
        </is>
      </c>
      <c r="B1056" s="3" t="inlineStr">
        <is>
          <t>VAR_11</t>
        </is>
      </c>
      <c r="C1056" s="3" t="inlineStr">
        <is>
          <t>Electrical Material</t>
        </is>
      </c>
      <c r="D1056" s="3" t="inlineStr">
        <is>
          <t>MCB/ RCCB</t>
        </is>
      </c>
      <c r="E1056" s="3" t="inlineStr">
        <is>
          <t>Havells</t>
        </is>
      </c>
      <c r="F1056" s="3" t="inlineStr">
        <is>
          <t>RCCB</t>
        </is>
      </c>
      <c r="H1056" s="3" t="inlineStr">
        <is>
          <t xml:space="preserve">Series </t>
        </is>
      </c>
      <c r="I1056" s="3" t="inlineStr">
        <is>
          <t>AC</t>
        </is>
      </c>
      <c r="J1056" s="3" t="inlineStr">
        <is>
          <t>Amperage</t>
        </is>
      </c>
      <c r="K1056" s="3" t="inlineStr">
        <is>
          <t>63 A</t>
        </is>
      </c>
      <c r="L1056" s="3" t="inlineStr">
        <is>
          <t>Poles</t>
        </is>
      </c>
      <c r="M1056" s="3" t="inlineStr">
        <is>
          <t>FP</t>
        </is>
      </c>
      <c r="Q1056" s="3" t="inlineStr">
        <is>
          <t>Manufacturer's Warranty</t>
        </is>
      </c>
      <c r="R1056" s="3" t="inlineStr">
        <is>
          <t>DHRXCMFF030063</t>
        </is>
      </c>
      <c r="Y1056" s="3" t="inlineStr">
        <is>
          <t>RCCB_HVL_AC_FP</t>
        </is>
      </c>
      <c r="Z1056" s="3" t="n">
        <v>8536</v>
      </c>
      <c r="AE1056" s="3" t="n">
        <v>5208</v>
      </c>
      <c r="AF1056" s="4" t="n">
        <v>0.5</v>
      </c>
      <c r="AG1056" s="3">
        <f>ROUND(AE1056-(AE1056*AF1056),2)</f>
        <v/>
      </c>
      <c r="AH1056" s="4" t="n">
        <v>0.18</v>
      </c>
      <c r="AI1056" s="3">
        <f>ROUND(AG1056+(AG1056*AH1056),2)</f>
        <v/>
      </c>
      <c r="AJ1056" s="4" t="n">
        <v>0.2</v>
      </c>
      <c r="AK1056" s="3">
        <f>ROUND(AI1056*AJ1056,2)</f>
        <v/>
      </c>
      <c r="AL1056" s="3">
        <f>AI1056+AK1056</f>
        <v/>
      </c>
      <c r="AM1056" s="3">
        <f>AE1056-AL1056</f>
        <v/>
      </c>
      <c r="AN1056" s="4">
        <f>AM1056/AE1056</f>
        <v/>
      </c>
      <c r="AO1056" s="3" t="inlineStr">
        <is>
          <t>60 mins</t>
        </is>
      </c>
      <c r="AQ1056" s="3" t="inlineStr">
        <is>
          <t>Weight</t>
        </is>
      </c>
      <c r="AT1056" s="3" t="inlineStr">
        <is>
          <t>On Demand</t>
        </is>
      </c>
    </row>
    <row r="1057" ht="15.75" customHeight="1">
      <c r="A1057" s="3" t="inlineStr">
        <is>
          <t>PROD_0233</t>
        </is>
      </c>
      <c r="B1057" s="3" t="inlineStr">
        <is>
          <t>VAR_12</t>
        </is>
      </c>
      <c r="C1057" s="3" t="inlineStr">
        <is>
          <t>Electrical Material</t>
        </is>
      </c>
      <c r="D1057" s="3" t="inlineStr">
        <is>
          <t>MCB/ RCCB</t>
        </is>
      </c>
      <c r="E1057" s="3" t="inlineStr">
        <is>
          <t>Havells</t>
        </is>
      </c>
      <c r="F1057" s="3" t="inlineStr">
        <is>
          <t>RCCB</t>
        </is>
      </c>
      <c r="H1057" s="3" t="inlineStr">
        <is>
          <t xml:space="preserve">Series </t>
        </is>
      </c>
      <c r="I1057" s="3" t="inlineStr">
        <is>
          <t>AC</t>
        </is>
      </c>
      <c r="J1057" s="3" t="inlineStr">
        <is>
          <t>Amperage</t>
        </is>
      </c>
      <c r="K1057" s="3" t="inlineStr">
        <is>
          <t>100 A</t>
        </is>
      </c>
      <c r="L1057" s="3" t="inlineStr">
        <is>
          <t>Poles</t>
        </is>
      </c>
      <c r="M1057" s="3" t="inlineStr">
        <is>
          <t>FP</t>
        </is>
      </c>
      <c r="Q1057" s="3" t="inlineStr">
        <is>
          <t>Manufacturer's Warranty</t>
        </is>
      </c>
      <c r="R1057" s="3" t="inlineStr">
        <is>
          <t>DHRZCMFF030100</t>
        </is>
      </c>
      <c r="Y1057" s="3" t="inlineStr">
        <is>
          <t>RCCB_HVL_AC_FP</t>
        </is>
      </c>
      <c r="Z1057" s="3" t="n">
        <v>8536</v>
      </c>
      <c r="AE1057" s="3" t="n">
        <v>8983</v>
      </c>
      <c r="AF1057" s="4" t="n">
        <v>0.5</v>
      </c>
      <c r="AG1057" s="3">
        <f>ROUND(AE1057-(AE1057*AF1057),2)</f>
        <v/>
      </c>
      <c r="AH1057" s="4" t="n">
        <v>0.18</v>
      </c>
      <c r="AI1057" s="3">
        <f>ROUND(AG1057+(AG1057*AH1057),2)</f>
        <v/>
      </c>
      <c r="AJ1057" s="4" t="n">
        <v>0.2</v>
      </c>
      <c r="AK1057" s="3">
        <f>ROUND(AI1057*AJ1057,2)</f>
        <v/>
      </c>
      <c r="AL1057" s="3">
        <f>AI1057+AK1057</f>
        <v/>
      </c>
      <c r="AM1057" s="3">
        <f>AE1057-AL1057</f>
        <v/>
      </c>
      <c r="AN1057" s="4">
        <f>AM1057/AE1057</f>
        <v/>
      </c>
      <c r="AO1057" s="3" t="inlineStr">
        <is>
          <t>60 mins</t>
        </is>
      </c>
      <c r="AQ1057" s="3" t="inlineStr">
        <is>
          <t>Weight</t>
        </is>
      </c>
      <c r="AT1057" s="3" t="inlineStr">
        <is>
          <t>On Demand</t>
        </is>
      </c>
    </row>
    <row r="1058" ht="15.75" customHeight="1">
      <c r="A1058" s="3" t="inlineStr">
        <is>
          <t>PROD_0233</t>
        </is>
      </c>
      <c r="B1058" s="3" t="inlineStr">
        <is>
          <t>VAR_13</t>
        </is>
      </c>
      <c r="C1058" s="3" t="inlineStr">
        <is>
          <t>Electrical Material</t>
        </is>
      </c>
      <c r="D1058" s="3" t="inlineStr">
        <is>
          <t>MCB/ RCCB</t>
        </is>
      </c>
      <c r="E1058" s="3" t="inlineStr">
        <is>
          <t>Havells</t>
        </is>
      </c>
      <c r="F1058" s="3" t="inlineStr">
        <is>
          <t>RCCB</t>
        </is>
      </c>
      <c r="H1058" s="3" t="inlineStr">
        <is>
          <t>Series</t>
        </is>
      </c>
      <c r="I1058" s="3" t="inlineStr">
        <is>
          <t>H Li</t>
        </is>
      </c>
      <c r="J1058" s="3" t="inlineStr">
        <is>
          <t>Amperage</t>
        </is>
      </c>
      <c r="K1058" s="3" t="inlineStr">
        <is>
          <t>40 A</t>
        </is>
      </c>
      <c r="L1058" s="3" t="inlineStr">
        <is>
          <t>Poles</t>
        </is>
      </c>
      <c r="M1058" s="3" t="inlineStr">
        <is>
          <t>DP</t>
        </is>
      </c>
      <c r="Q1058" s="3" t="inlineStr">
        <is>
          <t>Manufacturer's Warranty</t>
        </is>
      </c>
      <c r="R1058" s="3" t="inlineStr">
        <is>
          <t>DHRZDTDF030040</t>
        </is>
      </c>
      <c r="Y1058" s="3" t="inlineStr">
        <is>
          <t>RCCB_HVL_HLi_DP</t>
        </is>
      </c>
      <c r="Z1058" s="3" t="n">
        <v>8536</v>
      </c>
      <c r="AE1058" s="3" t="n">
        <v>5500</v>
      </c>
      <c r="AF1058" s="4" t="n">
        <v>0.5</v>
      </c>
      <c r="AG1058" s="3">
        <f>ROUND(AE1058-(AE1058*AF1058),2)</f>
        <v/>
      </c>
      <c r="AH1058" s="4" t="n">
        <v>0.18</v>
      </c>
      <c r="AI1058" s="3">
        <f>ROUND(AG1058+(AG1058*AH1058),2)</f>
        <v/>
      </c>
      <c r="AJ1058" s="4" t="n">
        <v>0.2</v>
      </c>
      <c r="AK1058" s="3">
        <f>ROUND(AI1058*AJ1058,2)</f>
        <v/>
      </c>
      <c r="AL1058" s="3">
        <f>AI1058+AK1058</f>
        <v/>
      </c>
      <c r="AM1058" s="3">
        <f>AE1058-AL1058</f>
        <v/>
      </c>
      <c r="AN1058" s="4">
        <f>AM1058/AE1058</f>
        <v/>
      </c>
      <c r="AO1058" s="3" t="inlineStr">
        <is>
          <t>60 mins</t>
        </is>
      </c>
      <c r="AQ1058" s="3" t="inlineStr">
        <is>
          <t>Weight</t>
        </is>
      </c>
      <c r="AT1058" s="3" t="inlineStr">
        <is>
          <t>On Demand</t>
        </is>
      </c>
    </row>
    <row r="1059" ht="15.75" customHeight="1">
      <c r="A1059" s="3" t="inlineStr">
        <is>
          <t>PROD_0233</t>
        </is>
      </c>
      <c r="B1059" s="3" t="inlineStr">
        <is>
          <t>VAR_14</t>
        </is>
      </c>
      <c r="C1059" s="3" t="inlineStr">
        <is>
          <t>Electrical Material</t>
        </is>
      </c>
      <c r="D1059" s="3" t="inlineStr">
        <is>
          <t>MCB/ RCCB</t>
        </is>
      </c>
      <c r="E1059" s="3" t="inlineStr">
        <is>
          <t>Havells</t>
        </is>
      </c>
      <c r="F1059" s="3" t="inlineStr">
        <is>
          <t>RCCB</t>
        </is>
      </c>
      <c r="H1059" s="3" t="inlineStr">
        <is>
          <t>Series</t>
        </is>
      </c>
      <c r="I1059" s="3" t="inlineStr">
        <is>
          <t>H Li</t>
        </is>
      </c>
      <c r="J1059" s="3" t="inlineStr">
        <is>
          <t>Amperage</t>
        </is>
      </c>
      <c r="K1059" s="3" t="inlineStr">
        <is>
          <t>63 A</t>
        </is>
      </c>
      <c r="L1059" s="3" t="inlineStr">
        <is>
          <t>Poles</t>
        </is>
      </c>
      <c r="M1059" s="3" t="inlineStr">
        <is>
          <t>DP</t>
        </is>
      </c>
      <c r="Q1059" s="3" t="inlineStr">
        <is>
          <t>Manufacturer's Warranty</t>
        </is>
      </c>
      <c r="R1059" s="3" t="inlineStr">
        <is>
          <t>DHRZDTDF030063</t>
        </is>
      </c>
      <c r="Y1059" s="3" t="inlineStr">
        <is>
          <t>RCCB_HVL_HLi_DP</t>
        </is>
      </c>
      <c r="Z1059" s="3" t="n">
        <v>8536</v>
      </c>
      <c r="AE1059" s="3" t="n">
        <v>6600</v>
      </c>
      <c r="AF1059" s="4" t="n">
        <v>0.5</v>
      </c>
      <c r="AG1059" s="3">
        <f>ROUND(AE1059-(AE1059*AF1059),2)</f>
        <v/>
      </c>
      <c r="AH1059" s="4" t="n">
        <v>0.18</v>
      </c>
      <c r="AI1059" s="3">
        <f>ROUND(AG1059+(AG1059*AH1059),2)</f>
        <v/>
      </c>
      <c r="AJ1059" s="4" t="n">
        <v>0.2</v>
      </c>
      <c r="AK1059" s="3">
        <f>ROUND(AI1059*AJ1059,2)</f>
        <v/>
      </c>
      <c r="AL1059" s="3">
        <f>AI1059+AK1059</f>
        <v/>
      </c>
      <c r="AM1059" s="3">
        <f>AE1059-AL1059</f>
        <v/>
      </c>
      <c r="AN1059" s="4">
        <f>AM1059/AE1059</f>
        <v/>
      </c>
      <c r="AO1059" s="3" t="inlineStr">
        <is>
          <t>60 mins</t>
        </is>
      </c>
      <c r="AQ1059" s="3" t="inlineStr">
        <is>
          <t>Weight</t>
        </is>
      </c>
      <c r="AT1059" s="3" t="inlineStr">
        <is>
          <t>On Demand</t>
        </is>
      </c>
    </row>
    <row r="1060" ht="15.75" customHeight="1">
      <c r="A1060" s="3" t="inlineStr">
        <is>
          <t>PROD_0233</t>
        </is>
      </c>
      <c r="B1060" s="3" t="inlineStr">
        <is>
          <t>VAR_15</t>
        </is>
      </c>
      <c r="C1060" s="3" t="inlineStr">
        <is>
          <t>Electrical Material</t>
        </is>
      </c>
      <c r="D1060" s="3" t="inlineStr">
        <is>
          <t>MCB/ RCCB</t>
        </is>
      </c>
      <c r="E1060" s="3" t="inlineStr">
        <is>
          <t>Havells</t>
        </is>
      </c>
      <c r="F1060" s="3" t="inlineStr">
        <is>
          <t>RCCB</t>
        </is>
      </c>
      <c r="H1060" s="3" t="inlineStr">
        <is>
          <t>Series</t>
        </is>
      </c>
      <c r="I1060" s="3" t="inlineStr">
        <is>
          <t>H Li</t>
        </is>
      </c>
      <c r="J1060" s="3" t="inlineStr">
        <is>
          <t>Amperage</t>
        </is>
      </c>
      <c r="K1060" s="3" t="inlineStr">
        <is>
          <t>40 A</t>
        </is>
      </c>
      <c r="L1060" s="3" t="inlineStr">
        <is>
          <t>Poles</t>
        </is>
      </c>
      <c r="M1060" s="3" t="inlineStr">
        <is>
          <t>FP</t>
        </is>
      </c>
      <c r="Q1060" s="3" t="inlineStr">
        <is>
          <t>Manufacturer's Warranty</t>
        </is>
      </c>
      <c r="R1060" s="3" t="inlineStr">
        <is>
          <t>DHRZDTFF030040</t>
        </is>
      </c>
      <c r="Y1060" s="3" t="inlineStr">
        <is>
          <t>RCCB_HVL_HLi_FP</t>
        </is>
      </c>
      <c r="Z1060" s="3" t="n">
        <v>8536</v>
      </c>
      <c r="AE1060" s="3" t="n">
        <v>6500</v>
      </c>
      <c r="AF1060" s="4" t="n">
        <v>0.5</v>
      </c>
      <c r="AG1060" s="3">
        <f>ROUND(AE1060-(AE1060*AF1060),2)</f>
        <v/>
      </c>
      <c r="AH1060" s="4" t="n">
        <v>0.18</v>
      </c>
      <c r="AI1060" s="3">
        <f>ROUND(AG1060+(AG1060*AH1060),2)</f>
        <v/>
      </c>
      <c r="AJ1060" s="4" t="n">
        <v>0.2</v>
      </c>
      <c r="AK1060" s="3">
        <f>ROUND(AI1060*AJ1060,2)</f>
        <v/>
      </c>
      <c r="AL1060" s="3">
        <f>AI1060+AK1060</f>
        <v/>
      </c>
      <c r="AM1060" s="3">
        <f>AE1060-AL1060</f>
        <v/>
      </c>
      <c r="AN1060" s="4">
        <f>AM1060/AE1060</f>
        <v/>
      </c>
      <c r="AO1060" s="3" t="inlineStr">
        <is>
          <t>60 mins</t>
        </is>
      </c>
      <c r="AQ1060" s="3" t="inlineStr">
        <is>
          <t>Weight</t>
        </is>
      </c>
      <c r="AT1060" s="3" t="inlineStr">
        <is>
          <t>On Demand</t>
        </is>
      </c>
    </row>
    <row r="1061" ht="15.75" customHeight="1">
      <c r="A1061" s="3" t="inlineStr">
        <is>
          <t>PROD_0233</t>
        </is>
      </c>
      <c r="B1061" s="3" t="inlineStr">
        <is>
          <t>VAR_16</t>
        </is>
      </c>
      <c r="C1061" s="3" t="inlineStr">
        <is>
          <t>Electrical Material</t>
        </is>
      </c>
      <c r="D1061" s="3" t="inlineStr">
        <is>
          <t>MCB/ RCCB</t>
        </is>
      </c>
      <c r="E1061" s="3" t="inlineStr">
        <is>
          <t>Havells</t>
        </is>
      </c>
      <c r="F1061" s="3" t="inlineStr">
        <is>
          <t>RCCB</t>
        </is>
      </c>
      <c r="H1061" s="3" t="inlineStr">
        <is>
          <t>Series</t>
        </is>
      </c>
      <c r="I1061" s="3" t="inlineStr">
        <is>
          <t>H Li</t>
        </is>
      </c>
      <c r="J1061" s="3" t="inlineStr">
        <is>
          <t>Amperage</t>
        </is>
      </c>
      <c r="K1061" s="3" t="inlineStr">
        <is>
          <t>63 A</t>
        </is>
      </c>
      <c r="L1061" s="3" t="inlineStr">
        <is>
          <t>Poles</t>
        </is>
      </c>
      <c r="M1061" s="3" t="inlineStr">
        <is>
          <t>FP</t>
        </is>
      </c>
      <c r="Q1061" s="3" t="inlineStr">
        <is>
          <t>Manufacturer's Warranty</t>
        </is>
      </c>
      <c r="R1061" s="3" t="inlineStr">
        <is>
          <t>DHRZDTFF030063</t>
        </is>
      </c>
      <c r="Y1061" s="3" t="inlineStr">
        <is>
          <t>RCCB_HVL_HLi_FP, RCCB_HVL_HLi_FP_2</t>
        </is>
      </c>
      <c r="Z1061" s="3" t="n">
        <v>8536</v>
      </c>
      <c r="AE1061" s="3" t="n">
        <v>7050</v>
      </c>
      <c r="AF1061" s="4" t="n">
        <v>0.5</v>
      </c>
      <c r="AG1061" s="3">
        <f>ROUND(AE1061-(AE1061*AF1061),2)</f>
        <v/>
      </c>
      <c r="AH1061" s="4" t="n">
        <v>0.18</v>
      </c>
      <c r="AI1061" s="3">
        <f>ROUND(AG1061+(AG1061*AH1061),2)</f>
        <v/>
      </c>
      <c r="AJ1061" s="4" t="n">
        <v>0.2</v>
      </c>
      <c r="AK1061" s="3">
        <f>ROUND(AI1061*AJ1061,2)</f>
        <v/>
      </c>
      <c r="AL1061" s="3">
        <f>AI1061+AK1061</f>
        <v/>
      </c>
      <c r="AM1061" s="3">
        <f>AE1061-AL1061</f>
        <v/>
      </c>
      <c r="AN1061" s="4">
        <f>AM1061/AE1061</f>
        <v/>
      </c>
      <c r="AO1061" s="3" t="inlineStr">
        <is>
          <t>60 mins</t>
        </is>
      </c>
      <c r="AQ1061" s="3" t="inlineStr">
        <is>
          <t>Weight</t>
        </is>
      </c>
      <c r="AT1061" s="3" t="inlineStr">
        <is>
          <t>On Demand</t>
        </is>
      </c>
    </row>
    <row r="1062" ht="15.75" customHeight="1">
      <c r="A1062" s="3" t="inlineStr">
        <is>
          <t>PROD_0234</t>
        </is>
      </c>
      <c r="B1062" s="3" t="inlineStr">
        <is>
          <t>VAR_1</t>
        </is>
      </c>
      <c r="C1062" s="3" t="inlineStr">
        <is>
          <t>Electrical Material</t>
        </is>
      </c>
      <c r="D1062" s="3" t="inlineStr">
        <is>
          <t>MCB/ RCCB</t>
        </is>
      </c>
      <c r="E1062" s="3" t="inlineStr">
        <is>
          <t>Legrand</t>
        </is>
      </c>
      <c r="F1062" s="3" t="inlineStr">
        <is>
          <t>MCB</t>
        </is>
      </c>
      <c r="H1062" s="3" t="inlineStr">
        <is>
          <t>Series</t>
        </is>
      </c>
      <c r="I1062" s="3" t="inlineStr">
        <is>
          <t>C</t>
        </is>
      </c>
      <c r="J1062" s="3" t="inlineStr">
        <is>
          <t>Amperage</t>
        </is>
      </c>
      <c r="K1062" s="3" t="inlineStr">
        <is>
          <t>0.5 A</t>
        </is>
      </c>
      <c r="L1062" s="3" t="inlineStr">
        <is>
          <t>Poles</t>
        </is>
      </c>
      <c r="M1062" s="3" t="inlineStr">
        <is>
          <t>SP</t>
        </is>
      </c>
      <c r="Q1062" s="3" t="inlineStr">
        <is>
          <t>Manufacturer's Warranty</t>
        </is>
      </c>
      <c r="R1062" s="3" t="inlineStr">
        <is>
          <t>4085 80</t>
        </is>
      </c>
      <c r="Y1062" s="3" t="inlineStr">
        <is>
          <t>MCB_LGR_C_SP_0.5A</t>
        </is>
      </c>
      <c r="Z1062" s="3" t="n">
        <v>8536</v>
      </c>
      <c r="AE1062" s="3" t="n">
        <v>640</v>
      </c>
      <c r="AF1062" s="4" t="n">
        <v>0.5</v>
      </c>
      <c r="AG1062" s="3">
        <f>ROUND(AE1062-(AE1062*AF1062),2)</f>
        <v/>
      </c>
      <c r="AH1062" s="4" t="n">
        <v>0.18</v>
      </c>
      <c r="AI1062" s="3">
        <f>ROUND(AG1062+(AG1062*AH1062),2)</f>
        <v/>
      </c>
      <c r="AJ1062" s="4" t="n">
        <v>0.2</v>
      </c>
      <c r="AK1062" s="3">
        <f>ROUND(AI1062*AJ1062,2)</f>
        <v/>
      </c>
      <c r="AL1062" s="3">
        <f>AI1062+AK1062</f>
        <v/>
      </c>
      <c r="AM1062" s="3">
        <f>AE1062-AL1062</f>
        <v/>
      </c>
      <c r="AN1062" s="4">
        <f>AM1062/AE1062</f>
        <v/>
      </c>
      <c r="AO1062" s="3" t="inlineStr">
        <is>
          <t>60 mins</t>
        </is>
      </c>
      <c r="AQ1062" s="3" t="inlineStr">
        <is>
          <t>Weight</t>
        </is>
      </c>
      <c r="AT1062" s="3" t="inlineStr">
        <is>
          <t>On Demand</t>
        </is>
      </c>
    </row>
    <row r="1063" ht="15.75" customHeight="1">
      <c r="A1063" s="3" t="inlineStr">
        <is>
          <t>PROD_0234</t>
        </is>
      </c>
      <c r="B1063" s="3" t="inlineStr">
        <is>
          <t>VAR_2</t>
        </is>
      </c>
      <c r="C1063" s="3" t="inlineStr">
        <is>
          <t>Electrical Material</t>
        </is>
      </c>
      <c r="D1063" s="3" t="inlineStr">
        <is>
          <t>MCB/ RCCB</t>
        </is>
      </c>
      <c r="E1063" s="3" t="inlineStr">
        <is>
          <t>Legrand</t>
        </is>
      </c>
      <c r="F1063" s="3" t="inlineStr">
        <is>
          <t>MCB</t>
        </is>
      </c>
      <c r="H1063" s="3" t="inlineStr">
        <is>
          <t>Series</t>
        </is>
      </c>
      <c r="I1063" s="3" t="inlineStr">
        <is>
          <t>C</t>
        </is>
      </c>
      <c r="J1063" s="3" t="inlineStr">
        <is>
          <t>Amperage</t>
        </is>
      </c>
      <c r="K1063" s="3" t="inlineStr">
        <is>
          <t>1 A</t>
        </is>
      </c>
      <c r="L1063" s="3" t="inlineStr">
        <is>
          <t>Poles</t>
        </is>
      </c>
      <c r="M1063" s="3" t="inlineStr">
        <is>
          <t>SP</t>
        </is>
      </c>
      <c r="Q1063" s="3" t="inlineStr">
        <is>
          <t>Manufacturer's Warranty</t>
        </is>
      </c>
      <c r="R1063" s="3" t="inlineStr">
        <is>
          <t>4085 81</t>
        </is>
      </c>
      <c r="Y1063" s="3" t="inlineStr">
        <is>
          <t>MCB_LGR_C_SP</t>
        </is>
      </c>
      <c r="Z1063" s="3" t="n">
        <v>8536</v>
      </c>
      <c r="AE1063" s="3" t="n">
        <v>640</v>
      </c>
      <c r="AF1063" s="4" t="n">
        <v>0.5</v>
      </c>
      <c r="AG1063" s="3">
        <f>ROUND(AE1063-(AE1063*AF1063),2)</f>
        <v/>
      </c>
      <c r="AH1063" s="4" t="n">
        <v>0.18</v>
      </c>
      <c r="AI1063" s="3">
        <f>ROUND(AG1063+(AG1063*AH1063),2)</f>
        <v/>
      </c>
      <c r="AJ1063" s="4" t="n">
        <v>0.2</v>
      </c>
      <c r="AK1063" s="3">
        <f>ROUND(AI1063*AJ1063,2)</f>
        <v/>
      </c>
      <c r="AL1063" s="3">
        <f>AI1063+AK1063</f>
        <v/>
      </c>
      <c r="AM1063" s="3">
        <f>AE1063-AL1063</f>
        <v/>
      </c>
      <c r="AN1063" s="4">
        <f>AM1063/AE1063</f>
        <v/>
      </c>
      <c r="AO1063" s="3" t="inlineStr">
        <is>
          <t>60 mins</t>
        </is>
      </c>
      <c r="AQ1063" s="3" t="inlineStr">
        <is>
          <t>Weight</t>
        </is>
      </c>
      <c r="AT1063" s="3" t="inlineStr">
        <is>
          <t>On Demand</t>
        </is>
      </c>
    </row>
    <row r="1064" ht="15.75" customHeight="1">
      <c r="A1064" s="3" t="inlineStr">
        <is>
          <t>PROD_0234</t>
        </is>
      </c>
      <c r="B1064" s="3" t="inlineStr">
        <is>
          <t>VAR_3</t>
        </is>
      </c>
      <c r="C1064" s="3" t="inlineStr">
        <is>
          <t>Electrical Material</t>
        </is>
      </c>
      <c r="D1064" s="3" t="inlineStr">
        <is>
          <t>MCB/ RCCB</t>
        </is>
      </c>
      <c r="E1064" s="3" t="inlineStr">
        <is>
          <t>Legrand</t>
        </is>
      </c>
      <c r="F1064" s="3" t="inlineStr">
        <is>
          <t>MCB</t>
        </is>
      </c>
      <c r="H1064" s="3" t="inlineStr">
        <is>
          <t>Series</t>
        </is>
      </c>
      <c r="I1064" s="3" t="inlineStr">
        <is>
          <t>C</t>
        </is>
      </c>
      <c r="J1064" s="3" t="inlineStr">
        <is>
          <t>Amperage</t>
        </is>
      </c>
      <c r="K1064" s="3" t="inlineStr">
        <is>
          <t>2 A</t>
        </is>
      </c>
      <c r="L1064" s="3" t="inlineStr">
        <is>
          <t>Poles</t>
        </is>
      </c>
      <c r="M1064" s="3" t="inlineStr">
        <is>
          <t>SP</t>
        </is>
      </c>
      <c r="Q1064" s="3" t="inlineStr">
        <is>
          <t>Manufacturer's Warranty</t>
        </is>
      </c>
      <c r="R1064" s="3" t="inlineStr">
        <is>
          <t>4085 83</t>
        </is>
      </c>
      <c r="Y1064" s="3" t="inlineStr">
        <is>
          <t>MCB_LGR_C_SP</t>
        </is>
      </c>
      <c r="Z1064" s="3" t="n">
        <v>8536</v>
      </c>
      <c r="AE1064" s="3" t="n">
        <v>634</v>
      </c>
      <c r="AF1064" s="4" t="n">
        <v>0.5</v>
      </c>
      <c r="AG1064" s="3">
        <f>ROUND(AE1064-(AE1064*AF1064),2)</f>
        <v/>
      </c>
      <c r="AH1064" s="4" t="n">
        <v>0.18</v>
      </c>
      <c r="AI1064" s="3">
        <f>ROUND(AG1064+(AG1064*AH1064),2)</f>
        <v/>
      </c>
      <c r="AJ1064" s="4" t="n">
        <v>0.2</v>
      </c>
      <c r="AK1064" s="3">
        <f>ROUND(AI1064*AJ1064,2)</f>
        <v/>
      </c>
      <c r="AL1064" s="3">
        <f>AI1064+AK1064</f>
        <v/>
      </c>
      <c r="AM1064" s="3">
        <f>AE1064-AL1064</f>
        <v/>
      </c>
      <c r="AN1064" s="4">
        <f>AM1064/AE1064</f>
        <v/>
      </c>
      <c r="AO1064" s="3" t="inlineStr">
        <is>
          <t>60 mins</t>
        </is>
      </c>
      <c r="AQ1064" s="3" t="inlineStr">
        <is>
          <t>Weight</t>
        </is>
      </c>
      <c r="AT1064" s="3" t="inlineStr">
        <is>
          <t>On Demand</t>
        </is>
      </c>
    </row>
    <row r="1065" ht="15.75" customHeight="1">
      <c r="A1065" s="3" t="inlineStr">
        <is>
          <t>PROD_0234</t>
        </is>
      </c>
      <c r="B1065" s="3" t="inlineStr">
        <is>
          <t>VAR_4</t>
        </is>
      </c>
      <c r="C1065" s="3" t="inlineStr">
        <is>
          <t>Electrical Material</t>
        </is>
      </c>
      <c r="D1065" s="3" t="inlineStr">
        <is>
          <t>MCB/ RCCB</t>
        </is>
      </c>
      <c r="E1065" s="3" t="inlineStr">
        <is>
          <t>Legrand</t>
        </is>
      </c>
      <c r="F1065" s="3" t="inlineStr">
        <is>
          <t>MCB</t>
        </is>
      </c>
      <c r="H1065" s="3" t="inlineStr">
        <is>
          <t>Series</t>
        </is>
      </c>
      <c r="I1065" s="3" t="inlineStr">
        <is>
          <t>C</t>
        </is>
      </c>
      <c r="J1065" s="3" t="inlineStr">
        <is>
          <t>Amperage</t>
        </is>
      </c>
      <c r="K1065" s="3" t="inlineStr">
        <is>
          <t>3 A</t>
        </is>
      </c>
      <c r="L1065" s="3" t="inlineStr">
        <is>
          <t>Poles</t>
        </is>
      </c>
      <c r="M1065" s="3" t="inlineStr">
        <is>
          <t>SP</t>
        </is>
      </c>
      <c r="Q1065" s="3" t="inlineStr">
        <is>
          <t>Manufacturer's Warranty</t>
        </is>
      </c>
      <c r="R1065" s="3" t="inlineStr">
        <is>
          <t>4085 84</t>
        </is>
      </c>
      <c r="Y1065" s="3" t="inlineStr">
        <is>
          <t>MCB_LGR_C_SP</t>
        </is>
      </c>
      <c r="Z1065" s="3" t="n">
        <v>8536</v>
      </c>
      <c r="AE1065" s="3" t="n">
        <v>634</v>
      </c>
      <c r="AF1065" s="4" t="n">
        <v>0.5</v>
      </c>
      <c r="AG1065" s="3">
        <f>ROUND(AE1065-(AE1065*AF1065),2)</f>
        <v/>
      </c>
      <c r="AH1065" s="4" t="n">
        <v>0.18</v>
      </c>
      <c r="AI1065" s="3">
        <f>ROUND(AG1065+(AG1065*AH1065),2)</f>
        <v/>
      </c>
      <c r="AJ1065" s="4" t="n">
        <v>0.2</v>
      </c>
      <c r="AK1065" s="3">
        <f>ROUND(AI1065*AJ1065,2)</f>
        <v/>
      </c>
      <c r="AL1065" s="3">
        <f>AI1065+AK1065</f>
        <v/>
      </c>
      <c r="AM1065" s="3">
        <f>AE1065-AL1065</f>
        <v/>
      </c>
      <c r="AN1065" s="4">
        <f>AM1065/AE1065</f>
        <v/>
      </c>
      <c r="AO1065" s="3" t="inlineStr">
        <is>
          <t>60 mins</t>
        </is>
      </c>
      <c r="AQ1065" s="3" t="inlineStr">
        <is>
          <t>Weight</t>
        </is>
      </c>
      <c r="AT1065" s="3" t="inlineStr">
        <is>
          <t>On Demand</t>
        </is>
      </c>
    </row>
    <row r="1066" ht="15.75" customHeight="1">
      <c r="A1066" s="3" t="inlineStr">
        <is>
          <t>PROD_0234</t>
        </is>
      </c>
      <c r="B1066" s="3" t="inlineStr">
        <is>
          <t>VAR_5</t>
        </is>
      </c>
      <c r="C1066" s="3" t="inlineStr">
        <is>
          <t>Electrical Material</t>
        </is>
      </c>
      <c r="D1066" s="3" t="inlineStr">
        <is>
          <t>MCB/ RCCB</t>
        </is>
      </c>
      <c r="E1066" s="3" t="inlineStr">
        <is>
          <t>Legrand</t>
        </is>
      </c>
      <c r="F1066" s="3" t="inlineStr">
        <is>
          <t>MCB</t>
        </is>
      </c>
      <c r="H1066" s="3" t="inlineStr">
        <is>
          <t>Series</t>
        </is>
      </c>
      <c r="I1066" s="3" t="inlineStr">
        <is>
          <t>C</t>
        </is>
      </c>
      <c r="J1066" s="3" t="inlineStr">
        <is>
          <t>Amperage</t>
        </is>
      </c>
      <c r="K1066" s="3" t="inlineStr">
        <is>
          <t>4 A</t>
        </is>
      </c>
      <c r="L1066" s="3" t="inlineStr">
        <is>
          <t>Poles</t>
        </is>
      </c>
      <c r="M1066" s="3" t="inlineStr">
        <is>
          <t>SP</t>
        </is>
      </c>
      <c r="Q1066" s="3" t="inlineStr">
        <is>
          <t>Manufacturer's Warranty</t>
        </is>
      </c>
      <c r="R1066" s="3" t="inlineStr">
        <is>
          <t>4085 85</t>
        </is>
      </c>
      <c r="Y1066" s="3" t="inlineStr">
        <is>
          <t>MCB_LGR_C_SP</t>
        </is>
      </c>
      <c r="Z1066" s="3" t="n">
        <v>8536</v>
      </c>
      <c r="AE1066" s="3" t="n">
        <v>634</v>
      </c>
      <c r="AF1066" s="4" t="n">
        <v>0.5</v>
      </c>
      <c r="AG1066" s="3">
        <f>ROUND(AE1066-(AE1066*AF1066),2)</f>
        <v/>
      </c>
      <c r="AH1066" s="4" t="n">
        <v>0.18</v>
      </c>
      <c r="AI1066" s="3">
        <f>ROUND(AG1066+(AG1066*AH1066),2)</f>
        <v/>
      </c>
      <c r="AJ1066" s="4" t="n">
        <v>0.2</v>
      </c>
      <c r="AK1066" s="3">
        <f>ROUND(AI1066*AJ1066,2)</f>
        <v/>
      </c>
      <c r="AL1066" s="3">
        <f>AI1066+AK1066</f>
        <v/>
      </c>
      <c r="AM1066" s="3">
        <f>AE1066-AL1066</f>
        <v/>
      </c>
      <c r="AN1066" s="4">
        <f>AM1066/AE1066</f>
        <v/>
      </c>
      <c r="AO1066" s="3" t="inlineStr">
        <is>
          <t>60 mins</t>
        </is>
      </c>
      <c r="AQ1066" s="3" t="inlineStr">
        <is>
          <t>Weight</t>
        </is>
      </c>
      <c r="AT1066" s="3" t="inlineStr">
        <is>
          <t>On Demand</t>
        </is>
      </c>
    </row>
    <row r="1067" ht="15.75" customHeight="1">
      <c r="A1067" s="3" t="inlineStr">
        <is>
          <t>PROD_0234</t>
        </is>
      </c>
      <c r="B1067" s="3" t="inlineStr">
        <is>
          <t>VAR_6</t>
        </is>
      </c>
      <c r="C1067" s="3" t="inlineStr">
        <is>
          <t>Electrical Material</t>
        </is>
      </c>
      <c r="D1067" s="3" t="inlineStr">
        <is>
          <t>MCB/ RCCB</t>
        </is>
      </c>
      <c r="E1067" s="3" t="inlineStr">
        <is>
          <t>Legrand</t>
        </is>
      </c>
      <c r="F1067" s="3" t="inlineStr">
        <is>
          <t>MCB</t>
        </is>
      </c>
      <c r="H1067" s="3" t="inlineStr">
        <is>
          <t>Series</t>
        </is>
      </c>
      <c r="I1067" s="3" t="inlineStr">
        <is>
          <t>C</t>
        </is>
      </c>
      <c r="J1067" s="3" t="inlineStr">
        <is>
          <t>Amperage</t>
        </is>
      </c>
      <c r="K1067" s="3" t="inlineStr">
        <is>
          <t>6 A</t>
        </is>
      </c>
      <c r="L1067" s="3" t="inlineStr">
        <is>
          <t>Poles</t>
        </is>
      </c>
      <c r="M1067" s="3" t="inlineStr">
        <is>
          <t>SP</t>
        </is>
      </c>
      <c r="Q1067" s="3" t="inlineStr">
        <is>
          <t>Manufacturer's Warranty</t>
        </is>
      </c>
      <c r="R1067" s="3" t="inlineStr">
        <is>
          <t>4085 87</t>
        </is>
      </c>
      <c r="Y1067" s="3" t="inlineStr">
        <is>
          <t>MCB_LGR_C_SP</t>
        </is>
      </c>
      <c r="Z1067" s="3" t="n">
        <v>8536</v>
      </c>
      <c r="AE1067" s="3" t="n">
        <v>390</v>
      </c>
      <c r="AF1067" s="4" t="n">
        <v>0.5</v>
      </c>
      <c r="AG1067" s="3">
        <f>ROUND(AE1067-(AE1067*AF1067),2)</f>
        <v/>
      </c>
      <c r="AH1067" s="4" t="n">
        <v>0.18</v>
      </c>
      <c r="AI1067" s="3">
        <f>ROUND(AG1067+(AG1067*AH1067),2)</f>
        <v/>
      </c>
      <c r="AJ1067" s="4" t="n">
        <v>0.2</v>
      </c>
      <c r="AK1067" s="3">
        <f>ROUND(AI1067*AJ1067,2)</f>
        <v/>
      </c>
      <c r="AL1067" s="3">
        <f>AI1067+AK1067</f>
        <v/>
      </c>
      <c r="AM1067" s="3">
        <f>AE1067-AL1067</f>
        <v/>
      </c>
      <c r="AN1067" s="4">
        <f>AM1067/AE1067</f>
        <v/>
      </c>
      <c r="AO1067" s="3" t="inlineStr">
        <is>
          <t>60 mins</t>
        </is>
      </c>
      <c r="AQ1067" s="3" t="inlineStr">
        <is>
          <t>Weight</t>
        </is>
      </c>
      <c r="AT1067" s="3" t="inlineStr">
        <is>
          <t>On Demand</t>
        </is>
      </c>
    </row>
    <row r="1068" ht="15.75" customHeight="1">
      <c r="A1068" s="3" t="inlineStr">
        <is>
          <t>PROD_0234</t>
        </is>
      </c>
      <c r="B1068" s="3" t="inlineStr">
        <is>
          <t>VAR_7</t>
        </is>
      </c>
      <c r="C1068" s="3" t="inlineStr">
        <is>
          <t>Electrical Material</t>
        </is>
      </c>
      <c r="D1068" s="3" t="inlineStr">
        <is>
          <t>MCB/ RCCB</t>
        </is>
      </c>
      <c r="E1068" s="3" t="inlineStr">
        <is>
          <t>Legrand</t>
        </is>
      </c>
      <c r="F1068" s="3" t="inlineStr">
        <is>
          <t>MCB</t>
        </is>
      </c>
      <c r="H1068" s="3" t="inlineStr">
        <is>
          <t>Series</t>
        </is>
      </c>
      <c r="I1068" s="3" t="inlineStr">
        <is>
          <t>C</t>
        </is>
      </c>
      <c r="J1068" s="3" t="inlineStr">
        <is>
          <t>Amperage</t>
        </is>
      </c>
      <c r="K1068" s="3" t="inlineStr">
        <is>
          <t>10 A</t>
        </is>
      </c>
      <c r="L1068" s="3" t="inlineStr">
        <is>
          <t>Poles</t>
        </is>
      </c>
      <c r="M1068" s="3" t="inlineStr">
        <is>
          <t>SP</t>
        </is>
      </c>
      <c r="Q1068" s="3" t="inlineStr">
        <is>
          <t>Manufacturer's Warranty</t>
        </is>
      </c>
      <c r="R1068" s="3" t="inlineStr">
        <is>
          <t>4085 90</t>
        </is>
      </c>
      <c r="Y1068" s="3" t="inlineStr">
        <is>
          <t>MCB_LGR_C_SP</t>
        </is>
      </c>
      <c r="Z1068" s="3" t="n">
        <v>8536</v>
      </c>
      <c r="AE1068" s="3" t="n">
        <v>390</v>
      </c>
      <c r="AF1068" s="4" t="n">
        <v>0.5</v>
      </c>
      <c r="AG1068" s="3">
        <f>ROUND(AE1068-(AE1068*AF1068),2)</f>
        <v/>
      </c>
      <c r="AH1068" s="4" t="n">
        <v>0.18</v>
      </c>
      <c r="AI1068" s="3">
        <f>ROUND(AG1068+(AG1068*AH1068),2)</f>
        <v/>
      </c>
      <c r="AJ1068" s="4" t="n">
        <v>0.2</v>
      </c>
      <c r="AK1068" s="3">
        <f>ROUND(AI1068*AJ1068,2)</f>
        <v/>
      </c>
      <c r="AL1068" s="3">
        <f>AI1068+AK1068</f>
        <v/>
      </c>
      <c r="AM1068" s="3">
        <f>AE1068-AL1068</f>
        <v/>
      </c>
      <c r="AN1068" s="4">
        <f>AM1068/AE1068</f>
        <v/>
      </c>
      <c r="AO1068" s="3" t="inlineStr">
        <is>
          <t>60 mins</t>
        </is>
      </c>
      <c r="AQ1068" s="3" t="inlineStr">
        <is>
          <t>Weight</t>
        </is>
      </c>
      <c r="AT1068" s="3" t="inlineStr">
        <is>
          <t>On Demand</t>
        </is>
      </c>
    </row>
    <row r="1069" ht="15.75" customHeight="1">
      <c r="A1069" s="3" t="inlineStr">
        <is>
          <t>PROD_0234</t>
        </is>
      </c>
      <c r="B1069" s="3" t="inlineStr">
        <is>
          <t>VAR_8</t>
        </is>
      </c>
      <c r="C1069" s="3" t="inlineStr">
        <is>
          <t>Electrical Material</t>
        </is>
      </c>
      <c r="D1069" s="3" t="inlineStr">
        <is>
          <t>MCB/ RCCB</t>
        </is>
      </c>
      <c r="E1069" s="3" t="inlineStr">
        <is>
          <t>Legrand</t>
        </is>
      </c>
      <c r="F1069" s="3" t="inlineStr">
        <is>
          <t>MCB</t>
        </is>
      </c>
      <c r="H1069" s="3" t="inlineStr">
        <is>
          <t>Series</t>
        </is>
      </c>
      <c r="I1069" s="3" t="inlineStr">
        <is>
          <t>C</t>
        </is>
      </c>
      <c r="J1069" s="3" t="inlineStr">
        <is>
          <t>Amperage</t>
        </is>
      </c>
      <c r="K1069" s="3" t="inlineStr">
        <is>
          <t>16 A</t>
        </is>
      </c>
      <c r="L1069" s="3" t="inlineStr">
        <is>
          <t>Poles</t>
        </is>
      </c>
      <c r="M1069" s="3" t="inlineStr">
        <is>
          <t>SP</t>
        </is>
      </c>
      <c r="Q1069" s="3" t="inlineStr">
        <is>
          <t>Manufacturer's Warranty</t>
        </is>
      </c>
      <c r="R1069" s="3" t="inlineStr">
        <is>
          <t>4085 92</t>
        </is>
      </c>
      <c r="Y1069" s="3" t="inlineStr">
        <is>
          <t>MCB_LGR_C_SP</t>
        </is>
      </c>
      <c r="Z1069" s="3" t="n">
        <v>8536</v>
      </c>
      <c r="AE1069" s="3" t="n">
        <v>390</v>
      </c>
      <c r="AF1069" s="4" t="n">
        <v>0.5</v>
      </c>
      <c r="AG1069" s="3">
        <f>ROUND(AE1069-(AE1069*AF1069),2)</f>
        <v/>
      </c>
      <c r="AH1069" s="4" t="n">
        <v>0.18</v>
      </c>
      <c r="AI1069" s="3">
        <f>ROUND(AG1069+(AG1069*AH1069),2)</f>
        <v/>
      </c>
      <c r="AJ1069" s="4" t="n">
        <v>0.2</v>
      </c>
      <c r="AK1069" s="3">
        <f>ROUND(AI1069*AJ1069,2)</f>
        <v/>
      </c>
      <c r="AL1069" s="3">
        <f>AI1069+AK1069</f>
        <v/>
      </c>
      <c r="AM1069" s="3">
        <f>AE1069-AL1069</f>
        <v/>
      </c>
      <c r="AN1069" s="4">
        <f>AM1069/AE1069</f>
        <v/>
      </c>
      <c r="AO1069" s="3" t="inlineStr">
        <is>
          <t>60 mins</t>
        </is>
      </c>
      <c r="AQ1069" s="3" t="inlineStr">
        <is>
          <t>Weight</t>
        </is>
      </c>
      <c r="AT1069" s="3" t="inlineStr">
        <is>
          <t>On Demand</t>
        </is>
      </c>
    </row>
    <row r="1070" ht="15.75" customHeight="1">
      <c r="A1070" s="3" t="inlineStr">
        <is>
          <t>PROD_0234</t>
        </is>
      </c>
      <c r="B1070" s="3" t="inlineStr">
        <is>
          <t>VAR_9</t>
        </is>
      </c>
      <c r="C1070" s="3" t="inlineStr">
        <is>
          <t>Electrical Material</t>
        </is>
      </c>
      <c r="D1070" s="3" t="inlineStr">
        <is>
          <t>MCB/ RCCB</t>
        </is>
      </c>
      <c r="E1070" s="3" t="inlineStr">
        <is>
          <t>Legrand</t>
        </is>
      </c>
      <c r="F1070" s="3" t="inlineStr">
        <is>
          <t>MCB</t>
        </is>
      </c>
      <c r="H1070" s="3" t="inlineStr">
        <is>
          <t>Series</t>
        </is>
      </c>
      <c r="I1070" s="3" t="inlineStr">
        <is>
          <t>C</t>
        </is>
      </c>
      <c r="J1070" s="3" t="inlineStr">
        <is>
          <t>Amperage</t>
        </is>
      </c>
      <c r="K1070" s="3" t="inlineStr">
        <is>
          <t>20 A</t>
        </is>
      </c>
      <c r="L1070" s="3" t="inlineStr">
        <is>
          <t>Poles</t>
        </is>
      </c>
      <c r="M1070" s="3" t="inlineStr">
        <is>
          <t>SP</t>
        </is>
      </c>
      <c r="Q1070" s="3" t="inlineStr">
        <is>
          <t>Manufacturer's Warranty</t>
        </is>
      </c>
      <c r="R1070" s="3" t="inlineStr">
        <is>
          <t>4085 93</t>
        </is>
      </c>
      <c r="Y1070" s="3" t="inlineStr">
        <is>
          <t>MCB_LGR_C_SP</t>
        </is>
      </c>
      <c r="Z1070" s="3" t="n">
        <v>8536</v>
      </c>
      <c r="AE1070" s="3" t="n">
        <v>390</v>
      </c>
      <c r="AF1070" s="4" t="n">
        <v>0.5</v>
      </c>
      <c r="AG1070" s="3">
        <f>ROUND(AE1070-(AE1070*AF1070),2)</f>
        <v/>
      </c>
      <c r="AH1070" s="4" t="n">
        <v>0.18</v>
      </c>
      <c r="AI1070" s="3">
        <f>ROUND(AG1070+(AG1070*AH1070),2)</f>
        <v/>
      </c>
      <c r="AJ1070" s="4" t="n">
        <v>0.2</v>
      </c>
      <c r="AK1070" s="3">
        <f>ROUND(AI1070*AJ1070,2)</f>
        <v/>
      </c>
      <c r="AL1070" s="3">
        <f>AI1070+AK1070</f>
        <v/>
      </c>
      <c r="AM1070" s="3">
        <f>AE1070-AL1070</f>
        <v/>
      </c>
      <c r="AN1070" s="4">
        <f>AM1070/AE1070</f>
        <v/>
      </c>
      <c r="AO1070" s="3" t="inlineStr">
        <is>
          <t>60 mins</t>
        </is>
      </c>
      <c r="AQ1070" s="3" t="inlineStr">
        <is>
          <t>Weight</t>
        </is>
      </c>
      <c r="AT1070" s="3" t="inlineStr">
        <is>
          <t>On Demand</t>
        </is>
      </c>
    </row>
    <row r="1071" ht="15.75" customHeight="1">
      <c r="A1071" s="3" t="inlineStr">
        <is>
          <t>PROD_0234</t>
        </is>
      </c>
      <c r="B1071" s="3" t="inlineStr">
        <is>
          <t>VAR_10</t>
        </is>
      </c>
      <c r="C1071" s="3" t="inlineStr">
        <is>
          <t>Electrical Material</t>
        </is>
      </c>
      <c r="D1071" s="3" t="inlineStr">
        <is>
          <t>MCB/ RCCB</t>
        </is>
      </c>
      <c r="E1071" s="3" t="inlineStr">
        <is>
          <t>Legrand</t>
        </is>
      </c>
      <c r="F1071" s="3" t="inlineStr">
        <is>
          <t>MCB</t>
        </is>
      </c>
      <c r="H1071" s="3" t="inlineStr">
        <is>
          <t>Series</t>
        </is>
      </c>
      <c r="I1071" s="3" t="inlineStr">
        <is>
          <t>C</t>
        </is>
      </c>
      <c r="J1071" s="3" t="inlineStr">
        <is>
          <t>Amperage</t>
        </is>
      </c>
      <c r="K1071" s="3" t="inlineStr">
        <is>
          <t>25 A</t>
        </is>
      </c>
      <c r="L1071" s="3" t="inlineStr">
        <is>
          <t>Poles</t>
        </is>
      </c>
      <c r="M1071" s="3" t="inlineStr">
        <is>
          <t>SP</t>
        </is>
      </c>
      <c r="Q1071" s="3" t="inlineStr">
        <is>
          <t>Manufacturer's Warranty</t>
        </is>
      </c>
      <c r="R1071" s="3" t="inlineStr">
        <is>
          <t>4085 94</t>
        </is>
      </c>
      <c r="Y1071" s="3" t="inlineStr">
        <is>
          <t>MCB_LGR_C_SP</t>
        </is>
      </c>
      <c r="Z1071" s="3" t="n">
        <v>8536</v>
      </c>
      <c r="AE1071" s="3" t="n">
        <v>390</v>
      </c>
      <c r="AF1071" s="4" t="n">
        <v>0.5</v>
      </c>
      <c r="AG1071" s="3">
        <f>ROUND(AE1071-(AE1071*AF1071),2)</f>
        <v/>
      </c>
      <c r="AH1071" s="4" t="n">
        <v>0.18</v>
      </c>
      <c r="AI1071" s="3">
        <f>ROUND(AG1071+(AG1071*AH1071),2)</f>
        <v/>
      </c>
      <c r="AJ1071" s="4" t="n">
        <v>0.2</v>
      </c>
      <c r="AK1071" s="3">
        <f>ROUND(AI1071*AJ1071,2)</f>
        <v/>
      </c>
      <c r="AL1071" s="3">
        <f>AI1071+AK1071</f>
        <v/>
      </c>
      <c r="AM1071" s="3">
        <f>AE1071-AL1071</f>
        <v/>
      </c>
      <c r="AN1071" s="4">
        <f>AM1071/AE1071</f>
        <v/>
      </c>
      <c r="AO1071" s="3" t="inlineStr">
        <is>
          <t>60 mins</t>
        </is>
      </c>
      <c r="AQ1071" s="3" t="inlineStr">
        <is>
          <t>Weight</t>
        </is>
      </c>
      <c r="AT1071" s="3" t="inlineStr">
        <is>
          <t>On Demand</t>
        </is>
      </c>
    </row>
    <row r="1072" ht="15.75" customHeight="1">
      <c r="A1072" s="3" t="inlineStr">
        <is>
          <t>PROD_0234</t>
        </is>
      </c>
      <c r="B1072" s="3" t="inlineStr">
        <is>
          <t>VAR_11</t>
        </is>
      </c>
      <c r="C1072" s="3" t="inlineStr">
        <is>
          <t>Electrical Material</t>
        </is>
      </c>
      <c r="D1072" s="3" t="inlineStr">
        <is>
          <t>MCB/ RCCB</t>
        </is>
      </c>
      <c r="E1072" s="3" t="inlineStr">
        <is>
          <t>Legrand</t>
        </is>
      </c>
      <c r="F1072" s="3" t="inlineStr">
        <is>
          <t>MCB</t>
        </is>
      </c>
      <c r="H1072" s="3" t="inlineStr">
        <is>
          <t>Series</t>
        </is>
      </c>
      <c r="I1072" s="3" t="inlineStr">
        <is>
          <t>C</t>
        </is>
      </c>
      <c r="J1072" s="3" t="inlineStr">
        <is>
          <t>Amperage</t>
        </is>
      </c>
      <c r="K1072" s="3" t="inlineStr">
        <is>
          <t>32 A</t>
        </is>
      </c>
      <c r="L1072" s="3" t="inlineStr">
        <is>
          <t>Poles</t>
        </is>
      </c>
      <c r="M1072" s="3" t="inlineStr">
        <is>
          <t>SP</t>
        </is>
      </c>
      <c r="Q1072" s="3" t="inlineStr">
        <is>
          <t>Manufacturer's Warranty</t>
        </is>
      </c>
      <c r="R1072" s="3" t="inlineStr">
        <is>
          <t>4085 95</t>
        </is>
      </c>
      <c r="Y1072" s="3" t="inlineStr">
        <is>
          <t>MCB_LGR_C_SP</t>
        </is>
      </c>
      <c r="Z1072" s="3" t="n">
        <v>8536</v>
      </c>
      <c r="AE1072" s="3" t="n">
        <v>390</v>
      </c>
      <c r="AF1072" s="4" t="n">
        <v>0.5</v>
      </c>
      <c r="AG1072" s="3">
        <f>ROUND(AE1072-(AE1072*AF1072),2)</f>
        <v/>
      </c>
      <c r="AH1072" s="4" t="n">
        <v>0.18</v>
      </c>
      <c r="AI1072" s="3">
        <f>ROUND(AG1072+(AG1072*AH1072),2)</f>
        <v/>
      </c>
      <c r="AJ1072" s="4" t="n">
        <v>0.2</v>
      </c>
      <c r="AK1072" s="3">
        <f>ROUND(AI1072*AJ1072,2)</f>
        <v/>
      </c>
      <c r="AL1072" s="3">
        <f>AI1072+AK1072</f>
        <v/>
      </c>
      <c r="AM1072" s="3">
        <f>AE1072-AL1072</f>
        <v/>
      </c>
      <c r="AN1072" s="4">
        <f>AM1072/AE1072</f>
        <v/>
      </c>
      <c r="AO1072" s="3" t="inlineStr">
        <is>
          <t>60 mins</t>
        </is>
      </c>
      <c r="AQ1072" s="3" t="inlineStr">
        <is>
          <t>Weight</t>
        </is>
      </c>
      <c r="AT1072" s="3" t="inlineStr">
        <is>
          <t>On Demand</t>
        </is>
      </c>
    </row>
    <row r="1073" ht="15.75" customHeight="1">
      <c r="A1073" s="3" t="inlineStr">
        <is>
          <t>PROD_0234</t>
        </is>
      </c>
      <c r="B1073" s="3" t="inlineStr">
        <is>
          <t>VAR_12</t>
        </is>
      </c>
      <c r="C1073" s="3" t="inlineStr">
        <is>
          <t>Electrical Material</t>
        </is>
      </c>
      <c r="D1073" s="3" t="inlineStr">
        <is>
          <t>MCB/ RCCB</t>
        </is>
      </c>
      <c r="E1073" s="3" t="inlineStr">
        <is>
          <t>Legrand</t>
        </is>
      </c>
      <c r="F1073" s="3" t="inlineStr">
        <is>
          <t>MCB</t>
        </is>
      </c>
      <c r="H1073" s="3" t="inlineStr">
        <is>
          <t>Series</t>
        </is>
      </c>
      <c r="I1073" s="3" t="inlineStr">
        <is>
          <t>C</t>
        </is>
      </c>
      <c r="J1073" s="3" t="inlineStr">
        <is>
          <t>Amperage</t>
        </is>
      </c>
      <c r="K1073" s="3" t="inlineStr">
        <is>
          <t>40 A</t>
        </is>
      </c>
      <c r="L1073" s="3" t="inlineStr">
        <is>
          <t>Poles</t>
        </is>
      </c>
      <c r="M1073" s="3" t="inlineStr">
        <is>
          <t>SP</t>
        </is>
      </c>
      <c r="Q1073" s="3" t="inlineStr">
        <is>
          <t>Manufacturer's Warranty</t>
        </is>
      </c>
      <c r="R1073" s="3" t="inlineStr">
        <is>
          <t>4085 96</t>
        </is>
      </c>
      <c r="Y1073" s="3" t="inlineStr">
        <is>
          <t>MCB_LGR_C_SP</t>
        </is>
      </c>
      <c r="Z1073" s="3" t="n">
        <v>8536</v>
      </c>
      <c r="AE1073" s="3" t="n">
        <v>892</v>
      </c>
      <c r="AF1073" s="4" t="n">
        <v>0.5</v>
      </c>
      <c r="AG1073" s="3">
        <f>ROUND(AE1073-(AE1073*AF1073),2)</f>
        <v/>
      </c>
      <c r="AH1073" s="4" t="n">
        <v>0.18</v>
      </c>
      <c r="AI1073" s="3">
        <f>ROUND(AG1073+(AG1073*AH1073),2)</f>
        <v/>
      </c>
      <c r="AJ1073" s="4" t="n">
        <v>0.2</v>
      </c>
      <c r="AK1073" s="3">
        <f>ROUND(AI1073*AJ1073,2)</f>
        <v/>
      </c>
      <c r="AL1073" s="3">
        <f>AI1073+AK1073</f>
        <v/>
      </c>
      <c r="AM1073" s="3">
        <f>AE1073-AL1073</f>
        <v/>
      </c>
      <c r="AN1073" s="4">
        <f>AM1073/AE1073</f>
        <v/>
      </c>
      <c r="AO1073" s="3" t="inlineStr">
        <is>
          <t>60 mins</t>
        </is>
      </c>
      <c r="AQ1073" s="3" t="inlineStr">
        <is>
          <t>Weight</t>
        </is>
      </c>
      <c r="AT1073" s="3" t="inlineStr">
        <is>
          <t>On Demand</t>
        </is>
      </c>
    </row>
    <row r="1074" ht="15.75" customHeight="1">
      <c r="A1074" s="3" t="inlineStr">
        <is>
          <t>PROD_0234</t>
        </is>
      </c>
      <c r="B1074" s="3" t="inlineStr">
        <is>
          <t>VAR_13</t>
        </is>
      </c>
      <c r="C1074" s="3" t="inlineStr">
        <is>
          <t>Electrical Material</t>
        </is>
      </c>
      <c r="D1074" s="3" t="inlineStr">
        <is>
          <t>MCB/ RCCB</t>
        </is>
      </c>
      <c r="E1074" s="3" t="inlineStr">
        <is>
          <t>Legrand</t>
        </is>
      </c>
      <c r="F1074" s="3" t="inlineStr">
        <is>
          <t>MCB</t>
        </is>
      </c>
      <c r="H1074" s="3" t="inlineStr">
        <is>
          <t>Series</t>
        </is>
      </c>
      <c r="I1074" s="3" t="inlineStr">
        <is>
          <t>C</t>
        </is>
      </c>
      <c r="J1074" s="3" t="inlineStr">
        <is>
          <t>Amperage</t>
        </is>
      </c>
      <c r="K1074" s="3" t="inlineStr">
        <is>
          <t>50 A</t>
        </is>
      </c>
      <c r="L1074" s="3" t="inlineStr">
        <is>
          <t>Poles</t>
        </is>
      </c>
      <c r="M1074" s="3" t="inlineStr">
        <is>
          <t>SP</t>
        </is>
      </c>
      <c r="Q1074" s="3" t="inlineStr">
        <is>
          <t>Manufacturer's Warranty</t>
        </is>
      </c>
      <c r="R1074" s="3" t="inlineStr">
        <is>
          <t>4085 97</t>
        </is>
      </c>
      <c r="Y1074" s="3" t="inlineStr">
        <is>
          <t>MCB_LGR_C_SP</t>
        </is>
      </c>
      <c r="Z1074" s="3" t="n">
        <v>8536</v>
      </c>
      <c r="AE1074" s="3" t="n">
        <v>892</v>
      </c>
      <c r="AF1074" s="4" t="n">
        <v>0.5</v>
      </c>
      <c r="AG1074" s="3">
        <f>ROUND(AE1074-(AE1074*AF1074),2)</f>
        <v/>
      </c>
      <c r="AH1074" s="4" t="n">
        <v>0.18</v>
      </c>
      <c r="AI1074" s="3">
        <f>ROUND(AG1074+(AG1074*AH1074),2)</f>
        <v/>
      </c>
      <c r="AJ1074" s="4" t="n">
        <v>0.2</v>
      </c>
      <c r="AK1074" s="3">
        <f>ROUND(AI1074*AJ1074,2)</f>
        <v/>
      </c>
      <c r="AL1074" s="3">
        <f>AI1074+AK1074</f>
        <v/>
      </c>
      <c r="AM1074" s="3">
        <f>AE1074-AL1074</f>
        <v/>
      </c>
      <c r="AN1074" s="4">
        <f>AM1074/AE1074</f>
        <v/>
      </c>
      <c r="AO1074" s="3" t="inlineStr">
        <is>
          <t>60 mins</t>
        </is>
      </c>
      <c r="AQ1074" s="3" t="inlineStr">
        <is>
          <t>Weight</t>
        </is>
      </c>
      <c r="AT1074" s="3" t="inlineStr">
        <is>
          <t>On Demand</t>
        </is>
      </c>
    </row>
    <row r="1075" ht="15.75" customHeight="1">
      <c r="A1075" s="3" t="inlineStr">
        <is>
          <t>PROD_0234</t>
        </is>
      </c>
      <c r="B1075" s="3" t="inlineStr">
        <is>
          <t>VAR_14</t>
        </is>
      </c>
      <c r="C1075" s="3" t="inlineStr">
        <is>
          <t>Electrical Material</t>
        </is>
      </c>
      <c r="D1075" s="3" t="inlineStr">
        <is>
          <t>MCB/ RCCB</t>
        </is>
      </c>
      <c r="E1075" s="3" t="inlineStr">
        <is>
          <t>Legrand</t>
        </is>
      </c>
      <c r="F1075" s="3" t="inlineStr">
        <is>
          <t>MCB</t>
        </is>
      </c>
      <c r="H1075" s="3" t="inlineStr">
        <is>
          <t>Series</t>
        </is>
      </c>
      <c r="I1075" s="3" t="inlineStr">
        <is>
          <t>C</t>
        </is>
      </c>
      <c r="J1075" s="3" t="inlineStr">
        <is>
          <t>Amperage</t>
        </is>
      </c>
      <c r="K1075" s="3" t="inlineStr">
        <is>
          <t>63 A</t>
        </is>
      </c>
      <c r="L1075" s="3" t="inlineStr">
        <is>
          <t>Poles</t>
        </is>
      </c>
      <c r="M1075" s="3" t="inlineStr">
        <is>
          <t>SP</t>
        </is>
      </c>
      <c r="Q1075" s="3" t="inlineStr">
        <is>
          <t>Manufacturer's Warranty</t>
        </is>
      </c>
      <c r="R1075" s="3" t="inlineStr">
        <is>
          <t>4085 98</t>
        </is>
      </c>
      <c r="Y1075" s="3" t="inlineStr">
        <is>
          <t>MCB_LGR_C_SP</t>
        </is>
      </c>
      <c r="Z1075" s="3" t="n">
        <v>8536</v>
      </c>
      <c r="AE1075" s="3" t="n">
        <v>892</v>
      </c>
      <c r="AF1075" s="4" t="n">
        <v>0.5</v>
      </c>
      <c r="AG1075" s="3">
        <f>ROUND(AE1075-(AE1075*AF1075),2)</f>
        <v/>
      </c>
      <c r="AH1075" s="4" t="n">
        <v>0.18</v>
      </c>
      <c r="AI1075" s="3">
        <f>ROUND(AG1075+(AG1075*AH1075),2)</f>
        <v/>
      </c>
      <c r="AJ1075" s="4" t="n">
        <v>0.2</v>
      </c>
      <c r="AK1075" s="3">
        <f>ROUND(AI1075*AJ1075,2)</f>
        <v/>
      </c>
      <c r="AL1075" s="3">
        <f>AI1075+AK1075</f>
        <v/>
      </c>
      <c r="AM1075" s="3">
        <f>AE1075-AL1075</f>
        <v/>
      </c>
      <c r="AN1075" s="4">
        <f>AM1075/AE1075</f>
        <v/>
      </c>
      <c r="AO1075" s="3" t="inlineStr">
        <is>
          <t>60 mins</t>
        </is>
      </c>
      <c r="AQ1075" s="3" t="inlineStr">
        <is>
          <t>Weight</t>
        </is>
      </c>
      <c r="AT1075" s="3" t="inlineStr">
        <is>
          <t>On Demand</t>
        </is>
      </c>
    </row>
    <row r="1076" ht="15.75" customHeight="1">
      <c r="A1076" s="3" t="inlineStr">
        <is>
          <t>PROD_0234</t>
        </is>
      </c>
      <c r="B1076" s="3" t="inlineStr">
        <is>
          <t>VAR_15</t>
        </is>
      </c>
      <c r="C1076" s="3" t="inlineStr">
        <is>
          <t>Electrical Material</t>
        </is>
      </c>
      <c r="D1076" s="3" t="inlineStr">
        <is>
          <t>MCB/ RCCB</t>
        </is>
      </c>
      <c r="E1076" s="3" t="inlineStr">
        <is>
          <t>Legrand</t>
        </is>
      </c>
      <c r="F1076" s="3" t="inlineStr">
        <is>
          <t>MCB</t>
        </is>
      </c>
      <c r="H1076" s="3" t="inlineStr">
        <is>
          <t>Series</t>
        </is>
      </c>
      <c r="I1076" s="3" t="inlineStr">
        <is>
          <t>C</t>
        </is>
      </c>
      <c r="J1076" s="3" t="inlineStr">
        <is>
          <t>Amperage</t>
        </is>
      </c>
      <c r="K1076" s="3" t="inlineStr">
        <is>
          <t>0.5 A</t>
        </is>
      </c>
      <c r="L1076" s="3" t="inlineStr">
        <is>
          <t>Poles</t>
        </is>
      </c>
      <c r="M1076" s="3" t="inlineStr">
        <is>
          <t>SPN</t>
        </is>
      </c>
      <c r="Q1076" s="3" t="inlineStr">
        <is>
          <t>Manufacturer's Warranty</t>
        </is>
      </c>
      <c r="R1076" s="17" t="n">
        <v>798454</v>
      </c>
      <c r="Y1076" s="3" t="inlineStr">
        <is>
          <t>MCB_LGR_C_SPN</t>
        </is>
      </c>
      <c r="Z1076" s="3" t="n">
        <v>8536</v>
      </c>
      <c r="AE1076" s="3" t="n">
        <v>1674</v>
      </c>
      <c r="AF1076" s="4" t="n">
        <v>0.5</v>
      </c>
      <c r="AG1076" s="3">
        <f>ROUND(AE1076-(AE1076*AF1076),2)</f>
        <v/>
      </c>
      <c r="AH1076" s="4" t="n">
        <v>0.18</v>
      </c>
      <c r="AI1076" s="3">
        <f>ROUND(AG1076+(AG1076*AH1076),2)</f>
        <v/>
      </c>
      <c r="AJ1076" s="4" t="n">
        <v>0.2</v>
      </c>
      <c r="AK1076" s="3">
        <f>ROUND(AI1076*AJ1076,2)</f>
        <v/>
      </c>
      <c r="AL1076" s="3">
        <f>AI1076+AK1076</f>
        <v/>
      </c>
      <c r="AM1076" s="3">
        <f>AE1076-AL1076</f>
        <v/>
      </c>
      <c r="AN1076" s="4">
        <f>AM1076/AE1076</f>
        <v/>
      </c>
      <c r="AO1076" s="3" t="inlineStr">
        <is>
          <t>60 mins</t>
        </is>
      </c>
      <c r="AQ1076" s="3" t="inlineStr">
        <is>
          <t>Weight</t>
        </is>
      </c>
      <c r="AT1076" s="3" t="inlineStr">
        <is>
          <t>On Demand</t>
        </is>
      </c>
    </row>
    <row r="1077" ht="15.75" customHeight="1">
      <c r="A1077" s="3" t="inlineStr">
        <is>
          <t>PROD_0234</t>
        </is>
      </c>
      <c r="B1077" s="3" t="inlineStr">
        <is>
          <t>VAR_16</t>
        </is>
      </c>
      <c r="C1077" s="3" t="inlineStr">
        <is>
          <t>Electrical Material</t>
        </is>
      </c>
      <c r="D1077" s="3" t="inlineStr">
        <is>
          <t>MCB/ RCCB</t>
        </is>
      </c>
      <c r="E1077" s="3" t="inlineStr">
        <is>
          <t>Legrand</t>
        </is>
      </c>
      <c r="F1077" s="3" t="inlineStr">
        <is>
          <t>MCB</t>
        </is>
      </c>
      <c r="H1077" s="3" t="inlineStr">
        <is>
          <t>Series</t>
        </is>
      </c>
      <c r="I1077" s="3" t="inlineStr">
        <is>
          <t>C</t>
        </is>
      </c>
      <c r="J1077" s="3" t="inlineStr">
        <is>
          <t>Amperage</t>
        </is>
      </c>
      <c r="K1077" s="3" t="inlineStr">
        <is>
          <t>1 A</t>
        </is>
      </c>
      <c r="L1077" s="3" t="inlineStr">
        <is>
          <t>Poles</t>
        </is>
      </c>
      <c r="M1077" s="3" t="inlineStr">
        <is>
          <t>SPN</t>
        </is>
      </c>
      <c r="Q1077" s="3" t="inlineStr">
        <is>
          <t>Manufacturer's Warranty</t>
        </is>
      </c>
      <c r="R1077" s="17" t="n">
        <v>798482</v>
      </c>
      <c r="Y1077" s="3" t="inlineStr">
        <is>
          <t>MCB_LGR_C_SPN</t>
        </is>
      </c>
      <c r="Z1077" s="3" t="n">
        <v>8536</v>
      </c>
      <c r="AE1077" s="3" t="n">
        <v>1674</v>
      </c>
      <c r="AF1077" s="4" t="n">
        <v>0.5</v>
      </c>
      <c r="AG1077" s="3">
        <f>ROUND(AE1077-(AE1077*AF1077),2)</f>
        <v/>
      </c>
      <c r="AH1077" s="4" t="n">
        <v>0.18</v>
      </c>
      <c r="AI1077" s="3">
        <f>ROUND(AG1077+(AG1077*AH1077),2)</f>
        <v/>
      </c>
      <c r="AJ1077" s="4" t="n">
        <v>0.2</v>
      </c>
      <c r="AK1077" s="3">
        <f>ROUND(AI1077*AJ1077,2)</f>
        <v/>
      </c>
      <c r="AL1077" s="3">
        <f>AI1077+AK1077</f>
        <v/>
      </c>
      <c r="AM1077" s="3">
        <f>AE1077-AL1077</f>
        <v/>
      </c>
      <c r="AN1077" s="4">
        <f>AM1077/AE1077</f>
        <v/>
      </c>
      <c r="AO1077" s="3" t="inlineStr">
        <is>
          <t>60 mins</t>
        </is>
      </c>
      <c r="AQ1077" s="3" t="inlineStr">
        <is>
          <t>Weight</t>
        </is>
      </c>
      <c r="AT1077" s="3" t="inlineStr">
        <is>
          <t>On Demand</t>
        </is>
      </c>
    </row>
    <row r="1078" ht="15.75" customHeight="1">
      <c r="A1078" s="3" t="inlineStr">
        <is>
          <t>PROD_0234</t>
        </is>
      </c>
      <c r="B1078" s="3" t="inlineStr">
        <is>
          <t>VAR_17</t>
        </is>
      </c>
      <c r="C1078" s="3" t="inlineStr">
        <is>
          <t>Electrical Material</t>
        </is>
      </c>
      <c r="D1078" s="3" t="inlineStr">
        <is>
          <t>MCB/ RCCB</t>
        </is>
      </c>
      <c r="E1078" s="3" t="inlineStr">
        <is>
          <t>Legrand</t>
        </is>
      </c>
      <c r="F1078" s="3" t="inlineStr">
        <is>
          <t>MCB</t>
        </is>
      </c>
      <c r="H1078" s="3" t="inlineStr">
        <is>
          <t>Series</t>
        </is>
      </c>
      <c r="I1078" s="3" t="inlineStr">
        <is>
          <t>C</t>
        </is>
      </c>
      <c r="J1078" s="3" t="inlineStr">
        <is>
          <t>Amperage</t>
        </is>
      </c>
      <c r="K1078" s="3" t="inlineStr">
        <is>
          <t>2 A</t>
        </is>
      </c>
      <c r="L1078" s="3" t="inlineStr">
        <is>
          <t>Poles</t>
        </is>
      </c>
      <c r="M1078" s="3" t="inlineStr">
        <is>
          <t>SPN</t>
        </is>
      </c>
      <c r="Q1078" s="3" t="inlineStr">
        <is>
          <t>Manufacturer's Warranty</t>
        </is>
      </c>
      <c r="R1078" s="17" t="n">
        <v>798543</v>
      </c>
      <c r="Y1078" s="3" t="inlineStr">
        <is>
          <t>MCB_LGR_C_SPN</t>
        </is>
      </c>
      <c r="Z1078" s="3" t="n">
        <v>8536</v>
      </c>
      <c r="AE1078" s="3" t="n">
        <v>1674</v>
      </c>
      <c r="AF1078" s="4" t="n">
        <v>0.5</v>
      </c>
      <c r="AG1078" s="3">
        <f>ROUND(AE1078-(AE1078*AF1078),2)</f>
        <v/>
      </c>
      <c r="AH1078" s="4" t="n">
        <v>0.18</v>
      </c>
      <c r="AI1078" s="3">
        <f>ROUND(AG1078+(AG1078*AH1078),2)</f>
        <v/>
      </c>
      <c r="AJ1078" s="4" t="n">
        <v>0.2</v>
      </c>
      <c r="AK1078" s="3">
        <f>ROUND(AI1078*AJ1078,2)</f>
        <v/>
      </c>
      <c r="AL1078" s="3">
        <f>AI1078+AK1078</f>
        <v/>
      </c>
      <c r="AM1078" s="3">
        <f>AE1078-AL1078</f>
        <v/>
      </c>
      <c r="AN1078" s="4">
        <f>AM1078/AE1078</f>
        <v/>
      </c>
      <c r="AO1078" s="3" t="inlineStr">
        <is>
          <t>60 mins</t>
        </is>
      </c>
      <c r="AQ1078" s="3" t="inlineStr">
        <is>
          <t>Weight</t>
        </is>
      </c>
      <c r="AT1078" s="3" t="inlineStr">
        <is>
          <t>On Demand</t>
        </is>
      </c>
    </row>
    <row r="1079" ht="15.75" customHeight="1">
      <c r="A1079" s="3" t="inlineStr">
        <is>
          <t>PROD_0234</t>
        </is>
      </c>
      <c r="B1079" s="3" t="inlineStr">
        <is>
          <t>VAR_18</t>
        </is>
      </c>
      <c r="C1079" s="3" t="inlineStr">
        <is>
          <t>Electrical Material</t>
        </is>
      </c>
      <c r="D1079" s="3" t="inlineStr">
        <is>
          <t>MCB/ RCCB</t>
        </is>
      </c>
      <c r="E1079" s="3" t="inlineStr">
        <is>
          <t>Legrand</t>
        </is>
      </c>
      <c r="F1079" s="3" t="inlineStr">
        <is>
          <t>MCB</t>
        </is>
      </c>
      <c r="H1079" s="3" t="inlineStr">
        <is>
          <t>Series</t>
        </is>
      </c>
      <c r="I1079" s="3" t="inlineStr">
        <is>
          <t>C</t>
        </is>
      </c>
      <c r="J1079" s="3" t="inlineStr">
        <is>
          <t>Amperage</t>
        </is>
      </c>
      <c r="K1079" s="3" t="inlineStr">
        <is>
          <t>3 A</t>
        </is>
      </c>
      <c r="L1079" s="3" t="inlineStr">
        <is>
          <t>Poles</t>
        </is>
      </c>
      <c r="M1079" s="3" t="inlineStr">
        <is>
          <t>SPN</t>
        </is>
      </c>
      <c r="Q1079" s="3" t="inlineStr">
        <is>
          <t>Manufacturer's Warranty</t>
        </is>
      </c>
      <c r="R1079" s="17" t="n">
        <v>798574</v>
      </c>
      <c r="Y1079" s="3" t="inlineStr">
        <is>
          <t>MCB_LGR_C_SPN</t>
        </is>
      </c>
      <c r="Z1079" s="3" t="n">
        <v>8536</v>
      </c>
      <c r="AE1079" s="3" t="n">
        <v>1674</v>
      </c>
      <c r="AF1079" s="4" t="n">
        <v>0.5</v>
      </c>
      <c r="AG1079" s="3">
        <f>ROUND(AE1079-(AE1079*AF1079),2)</f>
        <v/>
      </c>
      <c r="AH1079" s="4" t="n">
        <v>0.18</v>
      </c>
      <c r="AI1079" s="3">
        <f>ROUND(AG1079+(AG1079*AH1079),2)</f>
        <v/>
      </c>
      <c r="AJ1079" s="4" t="n">
        <v>0.2</v>
      </c>
      <c r="AK1079" s="3">
        <f>ROUND(AI1079*AJ1079,2)</f>
        <v/>
      </c>
      <c r="AL1079" s="3">
        <f>AI1079+AK1079</f>
        <v/>
      </c>
      <c r="AM1079" s="3">
        <f>AE1079-AL1079</f>
        <v/>
      </c>
      <c r="AN1079" s="4">
        <f>AM1079/AE1079</f>
        <v/>
      </c>
      <c r="AO1079" s="3" t="inlineStr">
        <is>
          <t>60 mins</t>
        </is>
      </c>
      <c r="AQ1079" s="3" t="inlineStr">
        <is>
          <t>Weight</t>
        </is>
      </c>
      <c r="AT1079" s="3" t="inlineStr">
        <is>
          <t>On Demand</t>
        </is>
      </c>
    </row>
    <row r="1080" ht="15.75" customHeight="1">
      <c r="A1080" s="3" t="inlineStr">
        <is>
          <t>PROD_0234</t>
        </is>
      </c>
      <c r="B1080" s="3" t="inlineStr">
        <is>
          <t>VAR_19</t>
        </is>
      </c>
      <c r="C1080" s="3" t="inlineStr">
        <is>
          <t>Electrical Material</t>
        </is>
      </c>
      <c r="D1080" s="3" t="inlineStr">
        <is>
          <t>MCB/ RCCB</t>
        </is>
      </c>
      <c r="E1080" s="3" t="inlineStr">
        <is>
          <t>Legrand</t>
        </is>
      </c>
      <c r="F1080" s="3" t="inlineStr">
        <is>
          <t>MCB</t>
        </is>
      </c>
      <c r="H1080" s="3" t="inlineStr">
        <is>
          <t>Series</t>
        </is>
      </c>
      <c r="I1080" s="3" t="inlineStr">
        <is>
          <t>C</t>
        </is>
      </c>
      <c r="J1080" s="3" t="inlineStr">
        <is>
          <t>Amperage</t>
        </is>
      </c>
      <c r="K1080" s="3" t="inlineStr">
        <is>
          <t>4 A</t>
        </is>
      </c>
      <c r="L1080" s="3" t="inlineStr">
        <is>
          <t>Poles</t>
        </is>
      </c>
      <c r="M1080" s="3" t="inlineStr">
        <is>
          <t>SPN</t>
        </is>
      </c>
      <c r="Q1080" s="3" t="inlineStr">
        <is>
          <t>Manufacturer's Warranty</t>
        </is>
      </c>
      <c r="R1080" s="17" t="n">
        <v>798604</v>
      </c>
      <c r="Y1080" s="3" t="inlineStr">
        <is>
          <t>MCB_LGR_C_SPN</t>
        </is>
      </c>
      <c r="Z1080" s="3" t="n">
        <v>8536</v>
      </c>
      <c r="AE1080" s="3" t="n">
        <v>1674</v>
      </c>
      <c r="AF1080" s="4" t="n">
        <v>0.5</v>
      </c>
      <c r="AG1080" s="3">
        <f>ROUND(AE1080-(AE1080*AF1080),2)</f>
        <v/>
      </c>
      <c r="AH1080" s="4" t="n">
        <v>0.18</v>
      </c>
      <c r="AI1080" s="3">
        <f>ROUND(AG1080+(AG1080*AH1080),2)</f>
        <v/>
      </c>
      <c r="AJ1080" s="4" t="n">
        <v>0.2</v>
      </c>
      <c r="AK1080" s="3">
        <f>ROUND(AI1080*AJ1080,2)</f>
        <v/>
      </c>
      <c r="AL1080" s="3">
        <f>AI1080+AK1080</f>
        <v/>
      </c>
      <c r="AM1080" s="3">
        <f>AE1080-AL1080</f>
        <v/>
      </c>
      <c r="AN1080" s="4">
        <f>AM1080/AE1080</f>
        <v/>
      </c>
      <c r="AO1080" s="3" t="inlineStr">
        <is>
          <t>60 mins</t>
        </is>
      </c>
      <c r="AQ1080" s="3" t="inlineStr">
        <is>
          <t>Weight</t>
        </is>
      </c>
      <c r="AT1080" s="3" t="inlineStr">
        <is>
          <t>On Demand</t>
        </is>
      </c>
    </row>
    <row r="1081" ht="15.75" customHeight="1">
      <c r="A1081" s="3" t="inlineStr">
        <is>
          <t>PROD_0234</t>
        </is>
      </c>
      <c r="B1081" s="3" t="inlineStr">
        <is>
          <t>VAR_20</t>
        </is>
      </c>
      <c r="C1081" s="3" t="inlineStr">
        <is>
          <t>Electrical Material</t>
        </is>
      </c>
      <c r="D1081" s="3" t="inlineStr">
        <is>
          <t>MCB/ RCCB</t>
        </is>
      </c>
      <c r="E1081" s="3" t="inlineStr">
        <is>
          <t>Legrand</t>
        </is>
      </c>
      <c r="F1081" s="3" t="inlineStr">
        <is>
          <t>MCB</t>
        </is>
      </c>
      <c r="H1081" s="3" t="inlineStr">
        <is>
          <t>Series</t>
        </is>
      </c>
      <c r="I1081" s="3" t="inlineStr">
        <is>
          <t>C</t>
        </is>
      </c>
      <c r="J1081" s="3" t="inlineStr">
        <is>
          <t>Amperage</t>
        </is>
      </c>
      <c r="K1081" s="3" t="inlineStr">
        <is>
          <t>6 A</t>
        </is>
      </c>
      <c r="L1081" s="3" t="inlineStr">
        <is>
          <t>Poles</t>
        </is>
      </c>
      <c r="M1081" s="3" t="inlineStr">
        <is>
          <t>SPN</t>
        </is>
      </c>
      <c r="Q1081" s="3" t="inlineStr">
        <is>
          <t>Manufacturer's Warranty</t>
        </is>
      </c>
      <c r="R1081" s="17" t="n">
        <v>798666</v>
      </c>
      <c r="Y1081" s="3" t="inlineStr">
        <is>
          <t>MCB_LGR_C_SPN</t>
        </is>
      </c>
      <c r="Z1081" s="3" t="n">
        <v>8536</v>
      </c>
      <c r="AE1081" s="3" t="n">
        <v>1184</v>
      </c>
      <c r="AF1081" s="4" t="n">
        <v>0.5</v>
      </c>
      <c r="AG1081" s="3">
        <f>ROUND(AE1081-(AE1081*AF1081),2)</f>
        <v/>
      </c>
      <c r="AH1081" s="4" t="n">
        <v>0.18</v>
      </c>
      <c r="AI1081" s="3">
        <f>ROUND(AG1081+(AG1081*AH1081),2)</f>
        <v/>
      </c>
      <c r="AJ1081" s="4" t="n">
        <v>0.2</v>
      </c>
      <c r="AK1081" s="3">
        <f>ROUND(AI1081*AJ1081,2)</f>
        <v/>
      </c>
      <c r="AL1081" s="3">
        <f>AI1081+AK1081</f>
        <v/>
      </c>
      <c r="AM1081" s="3">
        <f>AE1081-AL1081</f>
        <v/>
      </c>
      <c r="AN1081" s="4">
        <f>AM1081/AE1081</f>
        <v/>
      </c>
      <c r="AO1081" s="3" t="inlineStr">
        <is>
          <t>60 mins</t>
        </is>
      </c>
      <c r="AQ1081" s="3" t="inlineStr">
        <is>
          <t>Weight</t>
        </is>
      </c>
      <c r="AT1081" s="3" t="inlineStr">
        <is>
          <t>On Demand</t>
        </is>
      </c>
    </row>
    <row r="1082" ht="15.75" customHeight="1">
      <c r="A1082" s="3" t="inlineStr">
        <is>
          <t>PROD_0234</t>
        </is>
      </c>
      <c r="B1082" s="3" t="inlineStr">
        <is>
          <t>VAR_21</t>
        </is>
      </c>
      <c r="C1082" s="3" t="inlineStr">
        <is>
          <t>Electrical Material</t>
        </is>
      </c>
      <c r="D1082" s="3" t="inlineStr">
        <is>
          <t>MCB/ RCCB</t>
        </is>
      </c>
      <c r="E1082" s="3" t="inlineStr">
        <is>
          <t>Legrand</t>
        </is>
      </c>
      <c r="F1082" s="3" t="inlineStr">
        <is>
          <t>MCB</t>
        </is>
      </c>
      <c r="H1082" s="3" t="inlineStr">
        <is>
          <t>Series</t>
        </is>
      </c>
      <c r="I1082" s="3" t="inlineStr">
        <is>
          <t>C</t>
        </is>
      </c>
      <c r="J1082" s="3" t="inlineStr">
        <is>
          <t>Amperage</t>
        </is>
      </c>
      <c r="K1082" s="3" t="inlineStr">
        <is>
          <t>10 A</t>
        </is>
      </c>
      <c r="L1082" s="3" t="inlineStr">
        <is>
          <t>Poles</t>
        </is>
      </c>
      <c r="M1082" s="3" t="inlineStr">
        <is>
          <t>SPN</t>
        </is>
      </c>
      <c r="Q1082" s="3" t="inlineStr">
        <is>
          <t>Manufacturer's Warranty</t>
        </is>
      </c>
      <c r="R1082" s="17" t="n">
        <v>798757</v>
      </c>
      <c r="Y1082" s="3" t="inlineStr">
        <is>
          <t>MCB_LGR_C_SPN</t>
        </is>
      </c>
      <c r="Z1082" s="3" t="n">
        <v>8536</v>
      </c>
      <c r="AE1082" s="3" t="n">
        <v>1184</v>
      </c>
      <c r="AF1082" s="4" t="n">
        <v>0.5</v>
      </c>
      <c r="AG1082" s="3">
        <f>ROUND(AE1082-(AE1082*AF1082),2)</f>
        <v/>
      </c>
      <c r="AH1082" s="4" t="n">
        <v>0.18</v>
      </c>
      <c r="AI1082" s="3">
        <f>ROUND(AG1082+(AG1082*AH1082),2)</f>
        <v/>
      </c>
      <c r="AJ1082" s="4" t="n">
        <v>0.2</v>
      </c>
      <c r="AK1082" s="3">
        <f>ROUND(AI1082*AJ1082,2)</f>
        <v/>
      </c>
      <c r="AL1082" s="3">
        <f>AI1082+AK1082</f>
        <v/>
      </c>
      <c r="AM1082" s="3">
        <f>AE1082-AL1082</f>
        <v/>
      </c>
      <c r="AN1082" s="4">
        <f>AM1082/AE1082</f>
        <v/>
      </c>
      <c r="AO1082" s="3" t="inlineStr">
        <is>
          <t>60 mins</t>
        </is>
      </c>
      <c r="AQ1082" s="3" t="inlineStr">
        <is>
          <t>Weight</t>
        </is>
      </c>
      <c r="AT1082" s="3" t="inlineStr">
        <is>
          <t>On Demand</t>
        </is>
      </c>
    </row>
    <row r="1083" ht="15.75" customHeight="1">
      <c r="A1083" s="3" t="inlineStr">
        <is>
          <t>PROD_0234</t>
        </is>
      </c>
      <c r="B1083" s="3" t="inlineStr">
        <is>
          <t>VAR_22</t>
        </is>
      </c>
      <c r="C1083" s="3" t="inlineStr">
        <is>
          <t>Electrical Material</t>
        </is>
      </c>
      <c r="D1083" s="3" t="inlineStr">
        <is>
          <t>MCB/ RCCB</t>
        </is>
      </c>
      <c r="E1083" s="3" t="inlineStr">
        <is>
          <t>Legrand</t>
        </is>
      </c>
      <c r="F1083" s="3" t="inlineStr">
        <is>
          <t>MCB</t>
        </is>
      </c>
      <c r="H1083" s="3" t="inlineStr">
        <is>
          <t>Series</t>
        </is>
      </c>
      <c r="I1083" s="3" t="inlineStr">
        <is>
          <t>C</t>
        </is>
      </c>
      <c r="J1083" s="3" t="inlineStr">
        <is>
          <t>Amperage</t>
        </is>
      </c>
      <c r="K1083" s="3" t="inlineStr">
        <is>
          <t>16 A</t>
        </is>
      </c>
      <c r="L1083" s="3" t="inlineStr">
        <is>
          <t>Poles</t>
        </is>
      </c>
      <c r="M1083" s="3" t="inlineStr">
        <is>
          <t>SPN</t>
        </is>
      </c>
      <c r="Q1083" s="3" t="inlineStr">
        <is>
          <t>Manufacturer's Warranty</t>
        </is>
      </c>
      <c r="R1083" s="3" t="inlineStr">
        <is>
          <t>4086 14</t>
        </is>
      </c>
      <c r="Y1083" s="3" t="inlineStr">
        <is>
          <t>MCB_LGR_C_SPN</t>
        </is>
      </c>
      <c r="Z1083" s="3" t="n">
        <v>8536</v>
      </c>
      <c r="AE1083" s="3" t="n">
        <v>1184</v>
      </c>
      <c r="AF1083" s="4" t="n">
        <v>0.5</v>
      </c>
      <c r="AG1083" s="3">
        <f>ROUND(AE1083-(AE1083*AF1083),2)</f>
        <v/>
      </c>
      <c r="AH1083" s="4" t="n">
        <v>0.18</v>
      </c>
      <c r="AI1083" s="3">
        <f>ROUND(AG1083+(AG1083*AH1083),2)</f>
        <v/>
      </c>
      <c r="AJ1083" s="4" t="n">
        <v>0.2</v>
      </c>
      <c r="AK1083" s="3">
        <f>ROUND(AI1083*AJ1083,2)</f>
        <v/>
      </c>
      <c r="AL1083" s="3">
        <f>AI1083+AK1083</f>
        <v/>
      </c>
      <c r="AM1083" s="3">
        <f>AE1083-AL1083</f>
        <v/>
      </c>
      <c r="AN1083" s="4">
        <f>AM1083/AE1083</f>
        <v/>
      </c>
      <c r="AO1083" s="3" t="inlineStr">
        <is>
          <t>60 mins</t>
        </is>
      </c>
      <c r="AQ1083" s="3" t="inlineStr">
        <is>
          <t>Weight</t>
        </is>
      </c>
      <c r="AT1083" s="3" t="inlineStr">
        <is>
          <t>On Demand</t>
        </is>
      </c>
    </row>
    <row r="1084" ht="15.75" customHeight="1">
      <c r="A1084" s="3" t="inlineStr">
        <is>
          <t>PROD_0234</t>
        </is>
      </c>
      <c r="B1084" s="3" t="inlineStr">
        <is>
          <t>VAR_23</t>
        </is>
      </c>
      <c r="C1084" s="3" t="inlineStr">
        <is>
          <t>Electrical Material</t>
        </is>
      </c>
      <c r="D1084" s="3" t="inlineStr">
        <is>
          <t>MCB/ RCCB</t>
        </is>
      </c>
      <c r="E1084" s="3" t="inlineStr">
        <is>
          <t>Legrand</t>
        </is>
      </c>
      <c r="F1084" s="3" t="inlineStr">
        <is>
          <t>MCB</t>
        </is>
      </c>
      <c r="H1084" s="3" t="inlineStr">
        <is>
          <t>Series</t>
        </is>
      </c>
      <c r="I1084" s="3" t="inlineStr">
        <is>
          <t>C</t>
        </is>
      </c>
      <c r="J1084" s="3" t="inlineStr">
        <is>
          <t>Amperage</t>
        </is>
      </c>
      <c r="K1084" s="3" t="inlineStr">
        <is>
          <t>20 A</t>
        </is>
      </c>
      <c r="L1084" s="3" t="inlineStr">
        <is>
          <t>Poles</t>
        </is>
      </c>
      <c r="M1084" s="3" t="inlineStr">
        <is>
          <t>SPN</t>
        </is>
      </c>
      <c r="Q1084" s="3" t="inlineStr">
        <is>
          <t>Manufacturer's Warranty</t>
        </is>
      </c>
      <c r="R1084" s="3" t="inlineStr">
        <is>
          <t>4086 15</t>
        </is>
      </c>
      <c r="Y1084" s="3" t="inlineStr">
        <is>
          <t>MCB_LGR_C_SPN</t>
        </is>
      </c>
      <c r="Z1084" s="3" t="n">
        <v>8536</v>
      </c>
      <c r="AE1084" s="3" t="n">
        <v>1184</v>
      </c>
      <c r="AF1084" s="4" t="n">
        <v>0.5</v>
      </c>
      <c r="AG1084" s="3">
        <f>ROUND(AE1084-(AE1084*AF1084),2)</f>
        <v/>
      </c>
      <c r="AH1084" s="4" t="n">
        <v>0.18</v>
      </c>
      <c r="AI1084" s="3">
        <f>ROUND(AG1084+(AG1084*AH1084),2)</f>
        <v/>
      </c>
      <c r="AJ1084" s="4" t="n">
        <v>0.2</v>
      </c>
      <c r="AK1084" s="3">
        <f>ROUND(AI1084*AJ1084,2)</f>
        <v/>
      </c>
      <c r="AL1084" s="3">
        <f>AI1084+AK1084</f>
        <v/>
      </c>
      <c r="AM1084" s="3">
        <f>AE1084-AL1084</f>
        <v/>
      </c>
      <c r="AN1084" s="4">
        <f>AM1084/AE1084</f>
        <v/>
      </c>
      <c r="AO1084" s="3" t="inlineStr">
        <is>
          <t>60 mins</t>
        </is>
      </c>
      <c r="AQ1084" s="3" t="inlineStr">
        <is>
          <t>Weight</t>
        </is>
      </c>
      <c r="AT1084" s="3" t="inlineStr">
        <is>
          <t>On Demand</t>
        </is>
      </c>
    </row>
    <row r="1085" ht="15.75" customHeight="1">
      <c r="A1085" s="3" t="inlineStr">
        <is>
          <t>PROD_0234</t>
        </is>
      </c>
      <c r="B1085" s="3" t="inlineStr">
        <is>
          <t>VAR_24</t>
        </is>
      </c>
      <c r="C1085" s="3" t="inlineStr">
        <is>
          <t>Electrical Material</t>
        </is>
      </c>
      <c r="D1085" s="3" t="inlineStr">
        <is>
          <t>MCB/ RCCB</t>
        </is>
      </c>
      <c r="E1085" s="3" t="inlineStr">
        <is>
          <t>Legrand</t>
        </is>
      </c>
      <c r="F1085" s="3" t="inlineStr">
        <is>
          <t>MCB</t>
        </is>
      </c>
      <c r="H1085" s="3" t="inlineStr">
        <is>
          <t>Series</t>
        </is>
      </c>
      <c r="I1085" s="3" t="inlineStr">
        <is>
          <t>C</t>
        </is>
      </c>
      <c r="J1085" s="3" t="inlineStr">
        <is>
          <t>Amperage</t>
        </is>
      </c>
      <c r="K1085" s="3" t="inlineStr">
        <is>
          <t>25 A</t>
        </is>
      </c>
      <c r="L1085" s="3" t="inlineStr">
        <is>
          <t>Poles</t>
        </is>
      </c>
      <c r="M1085" s="3" t="inlineStr">
        <is>
          <t>SPN</t>
        </is>
      </c>
      <c r="Q1085" s="3" t="inlineStr">
        <is>
          <t>Manufacturer's Warranty</t>
        </is>
      </c>
      <c r="R1085" s="3" t="inlineStr">
        <is>
          <t>4086 16</t>
        </is>
      </c>
      <c r="Y1085" s="3" t="inlineStr">
        <is>
          <t>MCB_LGR_C_SPN</t>
        </is>
      </c>
      <c r="Z1085" s="3" t="n">
        <v>8536</v>
      </c>
      <c r="AE1085" s="3" t="n">
        <v>1184</v>
      </c>
      <c r="AF1085" s="4" t="n">
        <v>0.5</v>
      </c>
      <c r="AG1085" s="3">
        <f>ROUND(AE1085-(AE1085*AF1085),2)</f>
        <v/>
      </c>
      <c r="AH1085" s="4" t="n">
        <v>0.18</v>
      </c>
      <c r="AI1085" s="3">
        <f>ROUND(AG1085+(AG1085*AH1085),2)</f>
        <v/>
      </c>
      <c r="AJ1085" s="4" t="n">
        <v>0.2</v>
      </c>
      <c r="AK1085" s="3">
        <f>ROUND(AI1085*AJ1085,2)</f>
        <v/>
      </c>
      <c r="AL1085" s="3">
        <f>AI1085+AK1085</f>
        <v/>
      </c>
      <c r="AM1085" s="3">
        <f>AE1085-AL1085</f>
        <v/>
      </c>
      <c r="AN1085" s="4">
        <f>AM1085/AE1085</f>
        <v/>
      </c>
      <c r="AO1085" s="3" t="inlineStr">
        <is>
          <t>60 mins</t>
        </is>
      </c>
      <c r="AQ1085" s="3" t="inlineStr">
        <is>
          <t>Weight</t>
        </is>
      </c>
      <c r="AT1085" s="3" t="inlineStr">
        <is>
          <t>On Demand</t>
        </is>
      </c>
    </row>
    <row r="1086" ht="15.75" customHeight="1">
      <c r="A1086" s="3" t="inlineStr">
        <is>
          <t>PROD_0234</t>
        </is>
      </c>
      <c r="B1086" s="3" t="inlineStr">
        <is>
          <t>VAR_25</t>
        </is>
      </c>
      <c r="C1086" s="3" t="inlineStr">
        <is>
          <t>Electrical Material</t>
        </is>
      </c>
      <c r="D1086" s="3" t="inlineStr">
        <is>
          <t>MCB/ RCCB</t>
        </is>
      </c>
      <c r="E1086" s="3" t="inlineStr">
        <is>
          <t>Legrand</t>
        </is>
      </c>
      <c r="F1086" s="3" t="inlineStr">
        <is>
          <t>MCB</t>
        </is>
      </c>
      <c r="H1086" s="3" t="inlineStr">
        <is>
          <t>Series</t>
        </is>
      </c>
      <c r="I1086" s="3" t="inlineStr">
        <is>
          <t>C</t>
        </is>
      </c>
      <c r="J1086" s="3" t="inlineStr">
        <is>
          <t>Amperage</t>
        </is>
      </c>
      <c r="K1086" s="3" t="inlineStr">
        <is>
          <t>32 A</t>
        </is>
      </c>
      <c r="L1086" s="3" t="inlineStr">
        <is>
          <t>Poles</t>
        </is>
      </c>
      <c r="M1086" s="3" t="inlineStr">
        <is>
          <t>SPN</t>
        </is>
      </c>
      <c r="Q1086" s="3" t="inlineStr">
        <is>
          <t>Manufacturer's Warranty</t>
        </is>
      </c>
      <c r="R1086" s="3" t="inlineStr">
        <is>
          <t>4086 17</t>
        </is>
      </c>
      <c r="Y1086" s="3" t="inlineStr">
        <is>
          <t>MCB_LGR_C_SPN</t>
        </is>
      </c>
      <c r="Z1086" s="3" t="n">
        <v>8536</v>
      </c>
      <c r="AE1086" s="3" t="n">
        <v>1184</v>
      </c>
      <c r="AF1086" s="4" t="n">
        <v>0.5</v>
      </c>
      <c r="AG1086" s="3">
        <f>ROUND(AE1086-(AE1086*AF1086),2)</f>
        <v/>
      </c>
      <c r="AH1086" s="4" t="n">
        <v>0.18</v>
      </c>
      <c r="AI1086" s="3">
        <f>ROUND(AG1086+(AG1086*AH1086),2)</f>
        <v/>
      </c>
      <c r="AJ1086" s="4" t="n">
        <v>0.2</v>
      </c>
      <c r="AK1086" s="3">
        <f>ROUND(AI1086*AJ1086,2)</f>
        <v/>
      </c>
      <c r="AL1086" s="3">
        <f>AI1086+AK1086</f>
        <v/>
      </c>
      <c r="AM1086" s="3">
        <f>AE1086-AL1086</f>
        <v/>
      </c>
      <c r="AN1086" s="4">
        <f>AM1086/AE1086</f>
        <v/>
      </c>
      <c r="AO1086" s="3" t="inlineStr">
        <is>
          <t>60 mins</t>
        </is>
      </c>
      <c r="AQ1086" s="3" t="inlineStr">
        <is>
          <t>Weight</t>
        </is>
      </c>
      <c r="AT1086" s="3" t="inlineStr">
        <is>
          <t>On Demand</t>
        </is>
      </c>
    </row>
    <row r="1087" ht="15.75" customHeight="1">
      <c r="A1087" s="3" t="inlineStr">
        <is>
          <t>PROD_0234</t>
        </is>
      </c>
      <c r="B1087" s="3" t="inlineStr">
        <is>
          <t>VAR_26</t>
        </is>
      </c>
      <c r="C1087" s="3" t="inlineStr">
        <is>
          <t>Electrical Material</t>
        </is>
      </c>
      <c r="D1087" s="3" t="inlineStr">
        <is>
          <t>MCB/ RCCB</t>
        </is>
      </c>
      <c r="E1087" s="3" t="inlineStr">
        <is>
          <t>Legrand</t>
        </is>
      </c>
      <c r="F1087" s="3" t="inlineStr">
        <is>
          <t>MCB</t>
        </is>
      </c>
      <c r="H1087" s="3" t="inlineStr">
        <is>
          <t>Series</t>
        </is>
      </c>
      <c r="I1087" s="3" t="inlineStr">
        <is>
          <t>C</t>
        </is>
      </c>
      <c r="J1087" s="3" t="inlineStr">
        <is>
          <t>Amperage</t>
        </is>
      </c>
      <c r="K1087" s="3" t="inlineStr">
        <is>
          <t>40 A</t>
        </is>
      </c>
      <c r="L1087" s="3" t="inlineStr">
        <is>
          <t>Poles</t>
        </is>
      </c>
      <c r="M1087" s="3" t="inlineStr">
        <is>
          <t>SPN</t>
        </is>
      </c>
      <c r="Q1087" s="3" t="inlineStr">
        <is>
          <t>Manufacturer's Warranty</t>
        </is>
      </c>
      <c r="R1087" s="3" t="inlineStr">
        <is>
          <t>4086 18</t>
        </is>
      </c>
      <c r="Y1087" s="3" t="inlineStr">
        <is>
          <t>MCB_LGR_C_SPN</t>
        </is>
      </c>
      <c r="Z1087" s="3" t="n">
        <v>8536</v>
      </c>
      <c r="AE1087" s="3" t="n">
        <v>1916</v>
      </c>
      <c r="AF1087" s="4" t="n">
        <v>0.5</v>
      </c>
      <c r="AG1087" s="3">
        <f>ROUND(AE1087-(AE1087*AF1087),2)</f>
        <v/>
      </c>
      <c r="AH1087" s="4" t="n">
        <v>0.18</v>
      </c>
      <c r="AI1087" s="3">
        <f>ROUND(AG1087+(AG1087*AH1087),2)</f>
        <v/>
      </c>
      <c r="AJ1087" s="4" t="n">
        <v>0.2</v>
      </c>
      <c r="AK1087" s="3">
        <f>ROUND(AI1087*AJ1087,2)</f>
        <v/>
      </c>
      <c r="AL1087" s="3">
        <f>AI1087+AK1087</f>
        <v/>
      </c>
      <c r="AM1087" s="3">
        <f>AE1087-AL1087</f>
        <v/>
      </c>
      <c r="AN1087" s="4">
        <f>AM1087/AE1087</f>
        <v/>
      </c>
      <c r="AO1087" s="3" t="inlineStr">
        <is>
          <t>60 mins</t>
        </is>
      </c>
      <c r="AQ1087" s="3" t="inlineStr">
        <is>
          <t>Weight</t>
        </is>
      </c>
      <c r="AT1087" s="3" t="inlineStr">
        <is>
          <t>On Demand</t>
        </is>
      </c>
    </row>
    <row r="1088" ht="15.75" customHeight="1">
      <c r="A1088" s="3" t="inlineStr">
        <is>
          <t>PROD_0234</t>
        </is>
      </c>
      <c r="B1088" s="3" t="inlineStr">
        <is>
          <t>VAR_27</t>
        </is>
      </c>
      <c r="C1088" s="3" t="inlineStr">
        <is>
          <t>Electrical Material</t>
        </is>
      </c>
      <c r="D1088" s="3" t="inlineStr">
        <is>
          <t>MCB/ RCCB</t>
        </is>
      </c>
      <c r="E1088" s="3" t="inlineStr">
        <is>
          <t>Legrand</t>
        </is>
      </c>
      <c r="F1088" s="3" t="inlineStr">
        <is>
          <t>MCB</t>
        </is>
      </c>
      <c r="H1088" s="3" t="inlineStr">
        <is>
          <t>Series</t>
        </is>
      </c>
      <c r="I1088" s="3" t="inlineStr">
        <is>
          <t>C</t>
        </is>
      </c>
      <c r="J1088" s="3" t="inlineStr">
        <is>
          <t>Amperage</t>
        </is>
      </c>
      <c r="K1088" s="3" t="inlineStr">
        <is>
          <t>50 A</t>
        </is>
      </c>
      <c r="L1088" s="3" t="inlineStr">
        <is>
          <t>Poles</t>
        </is>
      </c>
      <c r="M1088" s="3" t="inlineStr">
        <is>
          <t>SPN</t>
        </is>
      </c>
      <c r="Q1088" s="3" t="inlineStr">
        <is>
          <t>Manufacturer's Warranty</t>
        </is>
      </c>
      <c r="R1088" s="3" t="inlineStr">
        <is>
          <t>4086 19</t>
        </is>
      </c>
      <c r="Y1088" s="3" t="inlineStr">
        <is>
          <t>MCB_LGR_C_SPN</t>
        </is>
      </c>
      <c r="Z1088" s="3" t="n">
        <v>8536</v>
      </c>
      <c r="AE1088" s="3" t="n">
        <v>1916</v>
      </c>
      <c r="AF1088" s="4" t="n">
        <v>0.5</v>
      </c>
      <c r="AG1088" s="3">
        <f>ROUND(AE1088-(AE1088*AF1088),2)</f>
        <v/>
      </c>
      <c r="AH1088" s="4" t="n">
        <v>0.18</v>
      </c>
      <c r="AI1088" s="3">
        <f>ROUND(AG1088+(AG1088*AH1088),2)</f>
        <v/>
      </c>
      <c r="AJ1088" s="4" t="n">
        <v>0.2</v>
      </c>
      <c r="AK1088" s="3">
        <f>ROUND(AI1088*AJ1088,2)</f>
        <v/>
      </c>
      <c r="AL1088" s="3">
        <f>AI1088+AK1088</f>
        <v/>
      </c>
      <c r="AM1088" s="3">
        <f>AE1088-AL1088</f>
        <v/>
      </c>
      <c r="AN1088" s="4">
        <f>AM1088/AE1088</f>
        <v/>
      </c>
      <c r="AO1088" s="3" t="inlineStr">
        <is>
          <t>60 mins</t>
        </is>
      </c>
      <c r="AQ1088" s="3" t="inlineStr">
        <is>
          <t>Weight</t>
        </is>
      </c>
      <c r="AT1088" s="3" t="inlineStr">
        <is>
          <t>On Demand</t>
        </is>
      </c>
    </row>
    <row r="1089" ht="15.75" customHeight="1">
      <c r="A1089" s="3" t="inlineStr">
        <is>
          <t>PROD_0234</t>
        </is>
      </c>
      <c r="B1089" s="3" t="inlineStr">
        <is>
          <t>VAR_28</t>
        </is>
      </c>
      <c r="C1089" s="3" t="inlineStr">
        <is>
          <t>Electrical Material</t>
        </is>
      </c>
      <c r="D1089" s="3" t="inlineStr">
        <is>
          <t>MCB/ RCCB</t>
        </is>
      </c>
      <c r="E1089" s="3" t="inlineStr">
        <is>
          <t>Legrand</t>
        </is>
      </c>
      <c r="F1089" s="3" t="inlineStr">
        <is>
          <t>MCB</t>
        </is>
      </c>
      <c r="H1089" s="3" t="inlineStr">
        <is>
          <t>Series</t>
        </is>
      </c>
      <c r="I1089" s="3" t="inlineStr">
        <is>
          <t>C</t>
        </is>
      </c>
      <c r="J1089" s="3" t="inlineStr">
        <is>
          <t>Amperage</t>
        </is>
      </c>
      <c r="K1089" s="3" t="inlineStr">
        <is>
          <t>63 A</t>
        </is>
      </c>
      <c r="L1089" s="3" t="inlineStr">
        <is>
          <t>Poles</t>
        </is>
      </c>
      <c r="M1089" s="3" t="inlineStr">
        <is>
          <t>SPN</t>
        </is>
      </c>
      <c r="Q1089" s="3" t="inlineStr">
        <is>
          <t>Manufacturer's Warranty</t>
        </is>
      </c>
      <c r="R1089" s="3" t="inlineStr">
        <is>
          <t>4086 20</t>
        </is>
      </c>
      <c r="Y1089" s="3" t="inlineStr">
        <is>
          <t>MCB_LGR_C_SPN</t>
        </is>
      </c>
      <c r="Z1089" s="3" t="n">
        <v>8536</v>
      </c>
      <c r="AE1089" s="3" t="n">
        <v>1916</v>
      </c>
      <c r="AF1089" s="4" t="n">
        <v>0.5</v>
      </c>
      <c r="AG1089" s="3">
        <f>ROUND(AE1089-(AE1089*AF1089),2)</f>
        <v/>
      </c>
      <c r="AH1089" s="4" t="n">
        <v>0.18</v>
      </c>
      <c r="AI1089" s="3">
        <f>ROUND(AG1089+(AG1089*AH1089),2)</f>
        <v/>
      </c>
      <c r="AJ1089" s="4" t="n">
        <v>0.2</v>
      </c>
      <c r="AK1089" s="3">
        <f>ROUND(AI1089*AJ1089,2)</f>
        <v/>
      </c>
      <c r="AL1089" s="3">
        <f>AI1089+AK1089</f>
        <v/>
      </c>
      <c r="AM1089" s="3">
        <f>AE1089-AL1089</f>
        <v/>
      </c>
      <c r="AN1089" s="4">
        <f>AM1089/AE1089</f>
        <v/>
      </c>
      <c r="AO1089" s="3" t="inlineStr">
        <is>
          <t>60 mins</t>
        </is>
      </c>
      <c r="AQ1089" s="3" t="inlineStr">
        <is>
          <t>Weight</t>
        </is>
      </c>
      <c r="AT1089" s="3" t="inlineStr">
        <is>
          <t>On Demand</t>
        </is>
      </c>
    </row>
    <row r="1090" ht="15.75" customHeight="1">
      <c r="A1090" s="3" t="inlineStr">
        <is>
          <t>PROD_0234</t>
        </is>
      </c>
      <c r="B1090" s="3" t="inlineStr">
        <is>
          <t>VAR_29</t>
        </is>
      </c>
      <c r="C1090" s="3" t="inlineStr">
        <is>
          <t>Electrical Material</t>
        </is>
      </c>
      <c r="D1090" s="3" t="inlineStr">
        <is>
          <t>MCB/ RCCB</t>
        </is>
      </c>
      <c r="E1090" s="3" t="inlineStr">
        <is>
          <t>Legrand</t>
        </is>
      </c>
      <c r="F1090" s="3" t="inlineStr">
        <is>
          <t>MCB</t>
        </is>
      </c>
      <c r="H1090" s="3" t="inlineStr">
        <is>
          <t>Series</t>
        </is>
      </c>
      <c r="I1090" s="3" t="inlineStr">
        <is>
          <t>C</t>
        </is>
      </c>
      <c r="J1090" s="3" t="inlineStr">
        <is>
          <t>Amperage</t>
        </is>
      </c>
      <c r="K1090" s="3" t="inlineStr">
        <is>
          <t>0.5 A</t>
        </is>
      </c>
      <c r="L1090" s="3" t="inlineStr">
        <is>
          <t>Poles</t>
        </is>
      </c>
      <c r="M1090" s="3" t="inlineStr">
        <is>
          <t>DP</t>
        </is>
      </c>
      <c r="Q1090" s="3" t="inlineStr">
        <is>
          <t>Manufacturer's Warranty</t>
        </is>
      </c>
      <c r="R1090" s="3" t="inlineStr">
        <is>
          <t>4086 21</t>
        </is>
      </c>
      <c r="Y1090" s="3" t="inlineStr">
        <is>
          <t>MCB_LGR_C_DP</t>
        </is>
      </c>
      <c r="Z1090" s="3" t="n">
        <v>8536</v>
      </c>
      <c r="AE1090" s="3" t="n">
        <v>1738</v>
      </c>
      <c r="AF1090" s="4" t="n">
        <v>0.5</v>
      </c>
      <c r="AG1090" s="3">
        <f>ROUND(AE1090-(AE1090*AF1090),2)</f>
        <v/>
      </c>
      <c r="AH1090" s="4" t="n">
        <v>0.18</v>
      </c>
      <c r="AI1090" s="3">
        <f>ROUND(AG1090+(AG1090*AH1090),2)</f>
        <v/>
      </c>
      <c r="AJ1090" s="4" t="n">
        <v>0.2</v>
      </c>
      <c r="AK1090" s="3">
        <f>ROUND(AI1090*AJ1090,2)</f>
        <v/>
      </c>
      <c r="AL1090" s="3">
        <f>AI1090+AK1090</f>
        <v/>
      </c>
      <c r="AM1090" s="3">
        <f>AE1090-AL1090</f>
        <v/>
      </c>
      <c r="AN1090" s="4">
        <f>AM1090/AE1090</f>
        <v/>
      </c>
      <c r="AO1090" s="3" t="inlineStr">
        <is>
          <t>60 mins</t>
        </is>
      </c>
      <c r="AQ1090" s="3" t="inlineStr">
        <is>
          <t>Weight</t>
        </is>
      </c>
      <c r="AT1090" s="3" t="inlineStr">
        <is>
          <t>On Demand</t>
        </is>
      </c>
    </row>
    <row r="1091" ht="15.75" customHeight="1">
      <c r="A1091" s="3" t="inlineStr">
        <is>
          <t>PROD_0234</t>
        </is>
      </c>
      <c r="B1091" s="3" t="inlineStr">
        <is>
          <t>VAR_30</t>
        </is>
      </c>
      <c r="C1091" s="3" t="inlineStr">
        <is>
          <t>Electrical Material</t>
        </is>
      </c>
      <c r="D1091" s="3" t="inlineStr">
        <is>
          <t>MCB/ RCCB</t>
        </is>
      </c>
      <c r="E1091" s="3" t="inlineStr">
        <is>
          <t>Legrand</t>
        </is>
      </c>
      <c r="F1091" s="3" t="inlineStr">
        <is>
          <t>MCB</t>
        </is>
      </c>
      <c r="H1091" s="3" t="inlineStr">
        <is>
          <t>Series</t>
        </is>
      </c>
      <c r="I1091" s="3" t="inlineStr">
        <is>
          <t>C</t>
        </is>
      </c>
      <c r="J1091" s="3" t="inlineStr">
        <is>
          <t>Amperage</t>
        </is>
      </c>
      <c r="K1091" s="3" t="inlineStr">
        <is>
          <t>1 A</t>
        </is>
      </c>
      <c r="L1091" s="3" t="inlineStr">
        <is>
          <t>Poles</t>
        </is>
      </c>
      <c r="M1091" s="3" t="inlineStr">
        <is>
          <t>DP</t>
        </is>
      </c>
      <c r="Q1091" s="3" t="inlineStr">
        <is>
          <t>Manufacturer's Warranty</t>
        </is>
      </c>
      <c r="R1091" s="3" t="inlineStr">
        <is>
          <t>4086 22</t>
        </is>
      </c>
      <c r="Y1091" s="3" t="inlineStr">
        <is>
          <t>MCB_LGR_C_DP</t>
        </is>
      </c>
      <c r="Z1091" s="3" t="n">
        <v>8536</v>
      </c>
      <c r="AE1091" s="3" t="n">
        <v>1738</v>
      </c>
      <c r="AF1091" s="4" t="n">
        <v>0.5</v>
      </c>
      <c r="AG1091" s="3">
        <f>ROUND(AE1091-(AE1091*AF1091),2)</f>
        <v/>
      </c>
      <c r="AH1091" s="4" t="n">
        <v>0.18</v>
      </c>
      <c r="AI1091" s="3">
        <f>ROUND(AG1091+(AG1091*AH1091),2)</f>
        <v/>
      </c>
      <c r="AJ1091" s="4" t="n">
        <v>0.2</v>
      </c>
      <c r="AK1091" s="3">
        <f>ROUND(AI1091*AJ1091,2)</f>
        <v/>
      </c>
      <c r="AL1091" s="3">
        <f>AI1091+AK1091</f>
        <v/>
      </c>
      <c r="AM1091" s="3">
        <f>AE1091-AL1091</f>
        <v/>
      </c>
      <c r="AN1091" s="4">
        <f>AM1091/AE1091</f>
        <v/>
      </c>
      <c r="AO1091" s="3" t="inlineStr">
        <is>
          <t>60 mins</t>
        </is>
      </c>
      <c r="AQ1091" s="3" t="inlineStr">
        <is>
          <t>Weight</t>
        </is>
      </c>
      <c r="AT1091" s="3" t="inlineStr">
        <is>
          <t>On Demand</t>
        </is>
      </c>
    </row>
    <row r="1092" ht="15.75" customHeight="1">
      <c r="A1092" s="3" t="inlineStr">
        <is>
          <t>PROD_0234</t>
        </is>
      </c>
      <c r="B1092" s="3" t="inlineStr">
        <is>
          <t>VAR_31</t>
        </is>
      </c>
      <c r="C1092" s="3" t="inlineStr">
        <is>
          <t>Electrical Material</t>
        </is>
      </c>
      <c r="D1092" s="3" t="inlineStr">
        <is>
          <t>MCB/ RCCB</t>
        </is>
      </c>
      <c r="E1092" s="3" t="inlineStr">
        <is>
          <t>Legrand</t>
        </is>
      </c>
      <c r="F1092" s="3" t="inlineStr">
        <is>
          <t>MCB</t>
        </is>
      </c>
      <c r="H1092" s="3" t="inlineStr">
        <is>
          <t>Series</t>
        </is>
      </c>
      <c r="I1092" s="3" t="inlineStr">
        <is>
          <t>C</t>
        </is>
      </c>
      <c r="J1092" s="3" t="inlineStr">
        <is>
          <t>Amperage</t>
        </is>
      </c>
      <c r="K1092" s="3" t="inlineStr">
        <is>
          <t>2 A</t>
        </is>
      </c>
      <c r="L1092" s="3" t="inlineStr">
        <is>
          <t>Poles</t>
        </is>
      </c>
      <c r="M1092" s="3" t="inlineStr">
        <is>
          <t>DP</t>
        </is>
      </c>
      <c r="Q1092" s="3" t="inlineStr">
        <is>
          <t>Manufacturer's Warranty</t>
        </is>
      </c>
      <c r="R1092" s="3" t="inlineStr">
        <is>
          <t>4086 24</t>
        </is>
      </c>
      <c r="Y1092" s="3" t="inlineStr">
        <is>
          <t>MCB_LGR_C_DP</t>
        </is>
      </c>
      <c r="Z1092" s="3" t="n">
        <v>8536</v>
      </c>
      <c r="AE1092" s="3" t="n">
        <v>1738</v>
      </c>
      <c r="AF1092" s="4" t="n">
        <v>0.5</v>
      </c>
      <c r="AG1092" s="3">
        <f>ROUND(AE1092-(AE1092*AF1092),2)</f>
        <v/>
      </c>
      <c r="AH1092" s="4" t="n">
        <v>0.18</v>
      </c>
      <c r="AI1092" s="3">
        <f>ROUND(AG1092+(AG1092*AH1092),2)</f>
        <v/>
      </c>
      <c r="AJ1092" s="4" t="n">
        <v>0.2</v>
      </c>
      <c r="AK1092" s="3">
        <f>ROUND(AI1092*AJ1092,2)</f>
        <v/>
      </c>
      <c r="AL1092" s="3">
        <f>AI1092+AK1092</f>
        <v/>
      </c>
      <c r="AM1092" s="3">
        <f>AE1092-AL1092</f>
        <v/>
      </c>
      <c r="AN1092" s="4">
        <f>AM1092/AE1092</f>
        <v/>
      </c>
      <c r="AO1092" s="3" t="inlineStr">
        <is>
          <t>60 mins</t>
        </is>
      </c>
      <c r="AQ1092" s="3" t="inlineStr">
        <is>
          <t>Weight</t>
        </is>
      </c>
      <c r="AT1092" s="3" t="inlineStr">
        <is>
          <t>On Demand</t>
        </is>
      </c>
    </row>
    <row r="1093" ht="15.75" customHeight="1">
      <c r="A1093" s="3" t="inlineStr">
        <is>
          <t>PROD_0234</t>
        </is>
      </c>
      <c r="B1093" s="3" t="inlineStr">
        <is>
          <t>VAR_32</t>
        </is>
      </c>
      <c r="C1093" s="3" t="inlineStr">
        <is>
          <t>Electrical Material</t>
        </is>
      </c>
      <c r="D1093" s="3" t="inlineStr">
        <is>
          <t>MCB/ RCCB</t>
        </is>
      </c>
      <c r="E1093" s="3" t="inlineStr">
        <is>
          <t>Legrand</t>
        </is>
      </c>
      <c r="F1093" s="3" t="inlineStr">
        <is>
          <t>MCB</t>
        </is>
      </c>
      <c r="H1093" s="3" t="inlineStr">
        <is>
          <t>Series</t>
        </is>
      </c>
      <c r="I1093" s="3" t="inlineStr">
        <is>
          <t>C</t>
        </is>
      </c>
      <c r="J1093" s="3" t="inlineStr">
        <is>
          <t>Amperage</t>
        </is>
      </c>
      <c r="K1093" s="3" t="inlineStr">
        <is>
          <t>3 A</t>
        </is>
      </c>
      <c r="L1093" s="3" t="inlineStr">
        <is>
          <t>Poles</t>
        </is>
      </c>
      <c r="M1093" s="3" t="inlineStr">
        <is>
          <t>DP</t>
        </is>
      </c>
      <c r="Q1093" s="3" t="inlineStr">
        <is>
          <t>Manufacturer's Warranty</t>
        </is>
      </c>
      <c r="R1093" s="3" t="inlineStr">
        <is>
          <t>4086 25</t>
        </is>
      </c>
      <c r="Y1093" s="3" t="inlineStr">
        <is>
          <t>MCB_LGR_C_DP</t>
        </is>
      </c>
      <c r="Z1093" s="3" t="n">
        <v>8536</v>
      </c>
      <c r="AE1093" s="3" t="n">
        <v>1738</v>
      </c>
      <c r="AF1093" s="4" t="n">
        <v>0.5</v>
      </c>
      <c r="AG1093" s="3">
        <f>ROUND(AE1093-(AE1093*AF1093),2)</f>
        <v/>
      </c>
      <c r="AH1093" s="4" t="n">
        <v>0.18</v>
      </c>
      <c r="AI1093" s="3">
        <f>ROUND(AG1093+(AG1093*AH1093),2)</f>
        <v/>
      </c>
      <c r="AJ1093" s="4" t="n">
        <v>0.2</v>
      </c>
      <c r="AK1093" s="3">
        <f>ROUND(AI1093*AJ1093,2)</f>
        <v/>
      </c>
      <c r="AL1093" s="3">
        <f>AI1093+AK1093</f>
        <v/>
      </c>
      <c r="AM1093" s="3">
        <f>AE1093-AL1093</f>
        <v/>
      </c>
      <c r="AN1093" s="4">
        <f>AM1093/AE1093</f>
        <v/>
      </c>
      <c r="AO1093" s="3" t="inlineStr">
        <is>
          <t>60 mins</t>
        </is>
      </c>
      <c r="AQ1093" s="3" t="inlineStr">
        <is>
          <t>Weight</t>
        </is>
      </c>
      <c r="AT1093" s="3" t="inlineStr">
        <is>
          <t>On Demand</t>
        </is>
      </c>
    </row>
    <row r="1094" ht="15.75" customHeight="1">
      <c r="A1094" s="3" t="inlineStr">
        <is>
          <t>PROD_0234</t>
        </is>
      </c>
      <c r="B1094" s="3" t="inlineStr">
        <is>
          <t>VAR_33</t>
        </is>
      </c>
      <c r="C1094" s="3" t="inlineStr">
        <is>
          <t>Electrical Material</t>
        </is>
      </c>
      <c r="D1094" s="3" t="inlineStr">
        <is>
          <t>MCB/ RCCB</t>
        </is>
      </c>
      <c r="E1094" s="3" t="inlineStr">
        <is>
          <t>Legrand</t>
        </is>
      </c>
      <c r="F1094" s="3" t="inlineStr">
        <is>
          <t>MCB</t>
        </is>
      </c>
      <c r="H1094" s="3" t="inlineStr">
        <is>
          <t>Series</t>
        </is>
      </c>
      <c r="I1094" s="3" t="inlineStr">
        <is>
          <t>C</t>
        </is>
      </c>
      <c r="J1094" s="3" t="inlineStr">
        <is>
          <t>Amperage</t>
        </is>
      </c>
      <c r="K1094" s="3" t="inlineStr">
        <is>
          <t>4 A</t>
        </is>
      </c>
      <c r="L1094" s="3" t="inlineStr">
        <is>
          <t>Poles</t>
        </is>
      </c>
      <c r="M1094" s="3" t="inlineStr">
        <is>
          <t>DP</t>
        </is>
      </c>
      <c r="Q1094" s="3" t="inlineStr">
        <is>
          <t>Manufacturer's Warranty</t>
        </is>
      </c>
      <c r="R1094" s="3" t="inlineStr">
        <is>
          <t>4086 26</t>
        </is>
      </c>
      <c r="Y1094" s="3" t="inlineStr">
        <is>
          <t>MCB_LGR_C_DP</t>
        </is>
      </c>
      <c r="Z1094" s="3" t="n">
        <v>8536</v>
      </c>
      <c r="AE1094" s="3" t="n">
        <v>1738</v>
      </c>
      <c r="AF1094" s="4" t="n">
        <v>0.5</v>
      </c>
      <c r="AG1094" s="3">
        <f>ROUND(AE1094-(AE1094*AF1094),2)</f>
        <v/>
      </c>
      <c r="AH1094" s="4" t="n">
        <v>0.18</v>
      </c>
      <c r="AI1094" s="3">
        <f>ROUND(AG1094+(AG1094*AH1094),2)</f>
        <v/>
      </c>
      <c r="AJ1094" s="4" t="n">
        <v>0.2</v>
      </c>
      <c r="AK1094" s="3">
        <f>ROUND(AI1094*AJ1094,2)</f>
        <v/>
      </c>
      <c r="AL1094" s="3">
        <f>AI1094+AK1094</f>
        <v/>
      </c>
      <c r="AM1094" s="3">
        <f>AE1094-AL1094</f>
        <v/>
      </c>
      <c r="AN1094" s="4">
        <f>AM1094/AE1094</f>
        <v/>
      </c>
      <c r="AO1094" s="3" t="inlineStr">
        <is>
          <t>60 mins</t>
        </is>
      </c>
      <c r="AQ1094" s="3" t="inlineStr">
        <is>
          <t>Weight</t>
        </is>
      </c>
      <c r="AT1094" s="3" t="inlineStr">
        <is>
          <t>On Demand</t>
        </is>
      </c>
    </row>
    <row r="1095" ht="15.75" customHeight="1">
      <c r="A1095" s="3" t="inlineStr">
        <is>
          <t>PROD_0234</t>
        </is>
      </c>
      <c r="B1095" s="3" t="inlineStr">
        <is>
          <t>VAR_34</t>
        </is>
      </c>
      <c r="C1095" s="3" t="inlineStr">
        <is>
          <t>Electrical Material</t>
        </is>
      </c>
      <c r="D1095" s="3" t="inlineStr">
        <is>
          <t>MCB/ RCCB</t>
        </is>
      </c>
      <c r="E1095" s="3" t="inlineStr">
        <is>
          <t>Legrand</t>
        </is>
      </c>
      <c r="F1095" s="3" t="inlineStr">
        <is>
          <t>MCB</t>
        </is>
      </c>
      <c r="H1095" s="3" t="inlineStr">
        <is>
          <t>Series</t>
        </is>
      </c>
      <c r="I1095" s="3" t="inlineStr">
        <is>
          <t>C</t>
        </is>
      </c>
      <c r="J1095" s="3" t="inlineStr">
        <is>
          <t>Amperage</t>
        </is>
      </c>
      <c r="K1095" s="3" t="inlineStr">
        <is>
          <t>6 A</t>
        </is>
      </c>
      <c r="L1095" s="3" t="inlineStr">
        <is>
          <t>Poles</t>
        </is>
      </c>
      <c r="M1095" s="3" t="inlineStr">
        <is>
          <t>DP</t>
        </is>
      </c>
      <c r="Q1095" s="3" t="inlineStr">
        <is>
          <t>Manufacturer's Warranty</t>
        </is>
      </c>
      <c r="R1095" s="3" t="n">
        <v>408628</v>
      </c>
      <c r="Y1095" s="3" t="inlineStr">
        <is>
          <t>MCB_LGR_C_DP</t>
        </is>
      </c>
      <c r="Z1095" s="3" t="n">
        <v>8536</v>
      </c>
      <c r="AE1095" s="3" t="n">
        <v>1280</v>
      </c>
      <c r="AF1095" s="4" t="n">
        <v>0.5</v>
      </c>
      <c r="AG1095" s="3">
        <f>ROUND(AE1095-(AE1095*AF1095),2)</f>
        <v/>
      </c>
      <c r="AH1095" s="4" t="n">
        <v>0.18</v>
      </c>
      <c r="AI1095" s="3">
        <f>ROUND(AG1095+(AG1095*AH1095),2)</f>
        <v/>
      </c>
      <c r="AJ1095" s="4" t="n">
        <v>0.2</v>
      </c>
      <c r="AK1095" s="3">
        <f>ROUND(AI1095*AJ1095,2)</f>
        <v/>
      </c>
      <c r="AL1095" s="3">
        <f>AI1095+AK1095</f>
        <v/>
      </c>
      <c r="AM1095" s="3">
        <f>AE1095-AL1095</f>
        <v/>
      </c>
      <c r="AN1095" s="4">
        <f>AM1095/AE1095</f>
        <v/>
      </c>
      <c r="AO1095" s="3" t="inlineStr">
        <is>
          <t>60 mins</t>
        </is>
      </c>
      <c r="AQ1095" s="3" t="inlineStr">
        <is>
          <t>Weight</t>
        </is>
      </c>
      <c r="AT1095" s="3" t="inlineStr">
        <is>
          <t>On Demand</t>
        </is>
      </c>
    </row>
    <row r="1096" ht="15.75" customHeight="1">
      <c r="A1096" s="3" t="inlineStr">
        <is>
          <t>PROD_0234</t>
        </is>
      </c>
      <c r="B1096" s="3" t="inlineStr">
        <is>
          <t>VAR_35</t>
        </is>
      </c>
      <c r="C1096" s="3" t="inlineStr">
        <is>
          <t>Electrical Material</t>
        </is>
      </c>
      <c r="D1096" s="3" t="inlineStr">
        <is>
          <t>MCB/ RCCB</t>
        </is>
      </c>
      <c r="E1096" s="3" t="inlineStr">
        <is>
          <t>Legrand</t>
        </is>
      </c>
      <c r="F1096" s="3" t="inlineStr">
        <is>
          <t>MCB</t>
        </is>
      </c>
      <c r="H1096" s="3" t="inlineStr">
        <is>
          <t>Series</t>
        </is>
      </c>
      <c r="I1096" s="3" t="inlineStr">
        <is>
          <t>C</t>
        </is>
      </c>
      <c r="J1096" s="3" t="inlineStr">
        <is>
          <t>Amperage</t>
        </is>
      </c>
      <c r="K1096" s="3" t="inlineStr">
        <is>
          <t>10 A</t>
        </is>
      </c>
      <c r="L1096" s="3" t="inlineStr">
        <is>
          <t>Poles</t>
        </is>
      </c>
      <c r="M1096" s="3" t="inlineStr">
        <is>
          <t>DP</t>
        </is>
      </c>
      <c r="Q1096" s="3" t="inlineStr">
        <is>
          <t>Manufacturer's Warranty</t>
        </is>
      </c>
      <c r="R1096" s="3" t="inlineStr">
        <is>
          <t>4086 31</t>
        </is>
      </c>
      <c r="Y1096" s="3" t="inlineStr">
        <is>
          <t>MCB_LGR_C_DP</t>
        </is>
      </c>
      <c r="Z1096" s="3" t="n">
        <v>8536</v>
      </c>
      <c r="AE1096" s="3" t="n">
        <v>1280</v>
      </c>
      <c r="AF1096" s="4" t="n">
        <v>0.5</v>
      </c>
      <c r="AG1096" s="3">
        <f>ROUND(AE1096-(AE1096*AF1096),2)</f>
        <v/>
      </c>
      <c r="AH1096" s="4" t="n">
        <v>0.18</v>
      </c>
      <c r="AI1096" s="3">
        <f>ROUND(AG1096+(AG1096*AH1096),2)</f>
        <v/>
      </c>
      <c r="AJ1096" s="4" t="n">
        <v>0.2</v>
      </c>
      <c r="AK1096" s="3">
        <f>ROUND(AI1096*AJ1096,2)</f>
        <v/>
      </c>
      <c r="AL1096" s="3">
        <f>AI1096+AK1096</f>
        <v/>
      </c>
      <c r="AM1096" s="3">
        <f>AE1096-AL1096</f>
        <v/>
      </c>
      <c r="AN1096" s="4">
        <f>AM1096/AE1096</f>
        <v/>
      </c>
      <c r="AO1096" s="3" t="inlineStr">
        <is>
          <t>60 mins</t>
        </is>
      </c>
      <c r="AQ1096" s="3" t="inlineStr">
        <is>
          <t>Weight</t>
        </is>
      </c>
      <c r="AT1096" s="3" t="inlineStr">
        <is>
          <t>On Demand</t>
        </is>
      </c>
    </row>
    <row r="1097" ht="15.75" customHeight="1">
      <c r="A1097" s="3" t="inlineStr">
        <is>
          <t>PROD_0234</t>
        </is>
      </c>
      <c r="B1097" s="3" t="inlineStr">
        <is>
          <t>VAR_36</t>
        </is>
      </c>
      <c r="C1097" s="3" t="inlineStr">
        <is>
          <t>Electrical Material</t>
        </is>
      </c>
      <c r="D1097" s="3" t="inlineStr">
        <is>
          <t>MCB/ RCCB</t>
        </is>
      </c>
      <c r="E1097" s="3" t="inlineStr">
        <is>
          <t>Legrand</t>
        </is>
      </c>
      <c r="F1097" s="3" t="inlineStr">
        <is>
          <t>MCB</t>
        </is>
      </c>
      <c r="H1097" s="3" t="inlineStr">
        <is>
          <t>Series</t>
        </is>
      </c>
      <c r="I1097" s="3" t="inlineStr">
        <is>
          <t>C</t>
        </is>
      </c>
      <c r="J1097" s="3" t="inlineStr">
        <is>
          <t>Amperage</t>
        </is>
      </c>
      <c r="K1097" s="3" t="inlineStr">
        <is>
          <t>16 A</t>
        </is>
      </c>
      <c r="L1097" s="3" t="inlineStr">
        <is>
          <t>Poles</t>
        </is>
      </c>
      <c r="M1097" s="3" t="inlineStr">
        <is>
          <t>DP</t>
        </is>
      </c>
      <c r="Q1097" s="3" t="inlineStr">
        <is>
          <t>Manufacturer's Warranty</t>
        </is>
      </c>
      <c r="R1097" s="3" t="inlineStr">
        <is>
          <t>4086 33</t>
        </is>
      </c>
      <c r="Y1097" s="3" t="inlineStr">
        <is>
          <t>MCB_LGR_C_DP</t>
        </is>
      </c>
      <c r="Z1097" s="3" t="n">
        <v>8536</v>
      </c>
      <c r="AE1097" s="3" t="n">
        <v>1280</v>
      </c>
      <c r="AF1097" s="4" t="n">
        <v>0.5</v>
      </c>
      <c r="AG1097" s="3">
        <f>ROUND(AE1097-(AE1097*AF1097),2)</f>
        <v/>
      </c>
      <c r="AH1097" s="4" t="n">
        <v>0.18</v>
      </c>
      <c r="AI1097" s="3">
        <f>ROUND(AG1097+(AG1097*AH1097),2)</f>
        <v/>
      </c>
      <c r="AJ1097" s="4" t="n">
        <v>0.2</v>
      </c>
      <c r="AK1097" s="3">
        <f>ROUND(AI1097*AJ1097,2)</f>
        <v/>
      </c>
      <c r="AL1097" s="3">
        <f>AI1097+AK1097</f>
        <v/>
      </c>
      <c r="AM1097" s="3">
        <f>AE1097-AL1097</f>
        <v/>
      </c>
      <c r="AN1097" s="4">
        <f>AM1097/AE1097</f>
        <v/>
      </c>
      <c r="AO1097" s="3" t="inlineStr">
        <is>
          <t>60 mins</t>
        </is>
      </c>
      <c r="AQ1097" s="3" t="inlineStr">
        <is>
          <t>Weight</t>
        </is>
      </c>
      <c r="AT1097" s="3" t="inlineStr">
        <is>
          <t>On Demand</t>
        </is>
      </c>
    </row>
    <row r="1098" ht="15.75" customHeight="1">
      <c r="A1098" s="3" t="inlineStr">
        <is>
          <t>PROD_0234</t>
        </is>
      </c>
      <c r="B1098" s="3" t="inlineStr">
        <is>
          <t>VAR_37</t>
        </is>
      </c>
      <c r="C1098" s="3" t="inlineStr">
        <is>
          <t>Electrical Material</t>
        </is>
      </c>
      <c r="D1098" s="3" t="inlineStr">
        <is>
          <t>MCB/ RCCB</t>
        </is>
      </c>
      <c r="E1098" s="3" t="inlineStr">
        <is>
          <t>Legrand</t>
        </is>
      </c>
      <c r="F1098" s="3" t="inlineStr">
        <is>
          <t>MCB</t>
        </is>
      </c>
      <c r="H1098" s="3" t="inlineStr">
        <is>
          <t>Series</t>
        </is>
      </c>
      <c r="I1098" s="3" t="inlineStr">
        <is>
          <t>C</t>
        </is>
      </c>
      <c r="J1098" s="3" t="inlineStr">
        <is>
          <t>Amperage</t>
        </is>
      </c>
      <c r="K1098" s="3" t="inlineStr">
        <is>
          <t>20 A</t>
        </is>
      </c>
      <c r="L1098" s="3" t="inlineStr">
        <is>
          <t>Poles</t>
        </is>
      </c>
      <c r="M1098" s="3" t="inlineStr">
        <is>
          <t>DP</t>
        </is>
      </c>
      <c r="Q1098" s="3" t="inlineStr">
        <is>
          <t>Manufacturer's Warranty</t>
        </is>
      </c>
      <c r="R1098" s="3" t="inlineStr">
        <is>
          <t>4086 34</t>
        </is>
      </c>
      <c r="Y1098" s="3" t="inlineStr">
        <is>
          <t>MCB_LGR_C_DP</t>
        </is>
      </c>
      <c r="Z1098" s="3" t="n">
        <v>8536</v>
      </c>
      <c r="AE1098" s="3" t="n">
        <v>1280</v>
      </c>
      <c r="AF1098" s="4" t="n">
        <v>0.5</v>
      </c>
      <c r="AG1098" s="3">
        <f>ROUND(AE1098-(AE1098*AF1098),2)</f>
        <v/>
      </c>
      <c r="AH1098" s="4" t="n">
        <v>0.18</v>
      </c>
      <c r="AI1098" s="3">
        <f>ROUND(AG1098+(AG1098*AH1098),2)</f>
        <v/>
      </c>
      <c r="AJ1098" s="4" t="n">
        <v>0.2</v>
      </c>
      <c r="AK1098" s="3">
        <f>ROUND(AI1098*AJ1098,2)</f>
        <v/>
      </c>
      <c r="AL1098" s="3">
        <f>AI1098+AK1098</f>
        <v/>
      </c>
      <c r="AM1098" s="3">
        <f>AE1098-AL1098</f>
        <v/>
      </c>
      <c r="AN1098" s="4">
        <f>AM1098/AE1098</f>
        <v/>
      </c>
      <c r="AO1098" s="3" t="inlineStr">
        <is>
          <t>60 mins</t>
        </is>
      </c>
      <c r="AQ1098" s="3" t="inlineStr">
        <is>
          <t>Weight</t>
        </is>
      </c>
      <c r="AT1098" s="3" t="inlineStr">
        <is>
          <t>On Demand</t>
        </is>
      </c>
    </row>
    <row r="1099" ht="15.75" customHeight="1">
      <c r="A1099" s="3" t="inlineStr">
        <is>
          <t>PROD_0234</t>
        </is>
      </c>
      <c r="B1099" s="3" t="inlineStr">
        <is>
          <t>VAR_38</t>
        </is>
      </c>
      <c r="C1099" s="3" t="inlineStr">
        <is>
          <t>Electrical Material</t>
        </is>
      </c>
      <c r="D1099" s="3" t="inlineStr">
        <is>
          <t>MCB/ RCCB</t>
        </is>
      </c>
      <c r="E1099" s="3" t="inlineStr">
        <is>
          <t>Legrand</t>
        </is>
      </c>
      <c r="F1099" s="3" t="inlineStr">
        <is>
          <t>MCB</t>
        </is>
      </c>
      <c r="H1099" s="3" t="inlineStr">
        <is>
          <t>Series</t>
        </is>
      </c>
      <c r="I1099" s="3" t="inlineStr">
        <is>
          <t>C</t>
        </is>
      </c>
      <c r="J1099" s="3" t="inlineStr">
        <is>
          <t>Amperage</t>
        </is>
      </c>
      <c r="K1099" s="3" t="inlineStr">
        <is>
          <t>25 A</t>
        </is>
      </c>
      <c r="L1099" s="3" t="inlineStr">
        <is>
          <t>Poles</t>
        </is>
      </c>
      <c r="M1099" s="3" t="inlineStr">
        <is>
          <t>DP</t>
        </is>
      </c>
      <c r="Q1099" s="3" t="inlineStr">
        <is>
          <t>Manufacturer's Warranty</t>
        </is>
      </c>
      <c r="R1099" s="3" t="inlineStr">
        <is>
          <t>4086 35</t>
        </is>
      </c>
      <c r="Y1099" s="3" t="inlineStr">
        <is>
          <t>MCB_LGR_C_DP</t>
        </is>
      </c>
      <c r="Z1099" s="3" t="n">
        <v>8536</v>
      </c>
      <c r="AE1099" s="3" t="n">
        <v>1280</v>
      </c>
      <c r="AF1099" s="4" t="n">
        <v>0.5</v>
      </c>
      <c r="AG1099" s="3">
        <f>ROUND(AE1099-(AE1099*AF1099),2)</f>
        <v/>
      </c>
      <c r="AH1099" s="4" t="n">
        <v>0.18</v>
      </c>
      <c r="AI1099" s="3">
        <f>ROUND(AG1099+(AG1099*AH1099),2)</f>
        <v/>
      </c>
      <c r="AJ1099" s="4" t="n">
        <v>0.2</v>
      </c>
      <c r="AK1099" s="3">
        <f>ROUND(AI1099*AJ1099,2)</f>
        <v/>
      </c>
      <c r="AL1099" s="3">
        <f>AI1099+AK1099</f>
        <v/>
      </c>
      <c r="AM1099" s="3">
        <f>AE1099-AL1099</f>
        <v/>
      </c>
      <c r="AN1099" s="4">
        <f>AM1099/AE1099</f>
        <v/>
      </c>
      <c r="AO1099" s="3" t="inlineStr">
        <is>
          <t>60 mins</t>
        </is>
      </c>
      <c r="AQ1099" s="3" t="inlineStr">
        <is>
          <t>Weight</t>
        </is>
      </c>
      <c r="AT1099" s="3" t="inlineStr">
        <is>
          <t>On Demand</t>
        </is>
      </c>
    </row>
    <row r="1100" ht="15.75" customHeight="1">
      <c r="A1100" s="3" t="inlineStr">
        <is>
          <t>PROD_0234</t>
        </is>
      </c>
      <c r="B1100" s="3" t="inlineStr">
        <is>
          <t>VAR_39</t>
        </is>
      </c>
      <c r="C1100" s="3" t="inlineStr">
        <is>
          <t>Electrical Material</t>
        </is>
      </c>
      <c r="D1100" s="3" t="inlineStr">
        <is>
          <t>MCB/ RCCB</t>
        </is>
      </c>
      <c r="E1100" s="3" t="inlineStr">
        <is>
          <t>Legrand</t>
        </is>
      </c>
      <c r="F1100" s="3" t="inlineStr">
        <is>
          <t>MCB</t>
        </is>
      </c>
      <c r="H1100" s="3" t="inlineStr">
        <is>
          <t>Series</t>
        </is>
      </c>
      <c r="I1100" s="3" t="inlineStr">
        <is>
          <t>C</t>
        </is>
      </c>
      <c r="J1100" s="3" t="inlineStr">
        <is>
          <t>Amperage</t>
        </is>
      </c>
      <c r="K1100" s="3" t="inlineStr">
        <is>
          <t>32 A</t>
        </is>
      </c>
      <c r="L1100" s="3" t="inlineStr">
        <is>
          <t>Poles</t>
        </is>
      </c>
      <c r="M1100" s="3" t="inlineStr">
        <is>
          <t>DP</t>
        </is>
      </c>
      <c r="Q1100" s="3" t="inlineStr">
        <is>
          <t>Manufacturer's Warranty</t>
        </is>
      </c>
      <c r="R1100" s="3" t="inlineStr">
        <is>
          <t>4086 36</t>
        </is>
      </c>
      <c r="Y1100" s="3" t="inlineStr">
        <is>
          <t>MCB_LGR_C_DP</t>
        </is>
      </c>
      <c r="Z1100" s="3" t="n">
        <v>8536</v>
      </c>
      <c r="AE1100" s="3" t="n">
        <v>1280</v>
      </c>
      <c r="AF1100" s="4" t="n">
        <v>0.5</v>
      </c>
      <c r="AG1100" s="3">
        <f>ROUND(AE1100-(AE1100*AF1100),2)</f>
        <v/>
      </c>
      <c r="AH1100" s="4" t="n">
        <v>0.18</v>
      </c>
      <c r="AI1100" s="3">
        <f>ROUND(AG1100+(AG1100*AH1100),2)</f>
        <v/>
      </c>
      <c r="AJ1100" s="4" t="n">
        <v>0.2</v>
      </c>
      <c r="AK1100" s="3">
        <f>ROUND(AI1100*AJ1100,2)</f>
        <v/>
      </c>
      <c r="AL1100" s="3">
        <f>AI1100+AK1100</f>
        <v/>
      </c>
      <c r="AM1100" s="3">
        <f>AE1100-AL1100</f>
        <v/>
      </c>
      <c r="AN1100" s="4">
        <f>AM1100/AE1100</f>
        <v/>
      </c>
      <c r="AO1100" s="3" t="inlineStr">
        <is>
          <t>60 mins</t>
        </is>
      </c>
      <c r="AQ1100" s="3" t="inlineStr">
        <is>
          <t>Weight</t>
        </is>
      </c>
      <c r="AT1100" s="3" t="inlineStr">
        <is>
          <t>On Demand</t>
        </is>
      </c>
    </row>
    <row r="1101" ht="15.75" customHeight="1">
      <c r="A1101" s="3" t="inlineStr">
        <is>
          <t>PROD_0234</t>
        </is>
      </c>
      <c r="B1101" s="3" t="inlineStr">
        <is>
          <t>VAR_40</t>
        </is>
      </c>
      <c r="C1101" s="3" t="inlineStr">
        <is>
          <t>Electrical Material</t>
        </is>
      </c>
      <c r="D1101" s="3" t="inlineStr">
        <is>
          <t>MCB/ RCCB</t>
        </is>
      </c>
      <c r="E1101" s="3" t="inlineStr">
        <is>
          <t>Legrand</t>
        </is>
      </c>
      <c r="F1101" s="3" t="inlineStr">
        <is>
          <t>MCB</t>
        </is>
      </c>
      <c r="H1101" s="3" t="inlineStr">
        <is>
          <t>Series</t>
        </is>
      </c>
      <c r="I1101" s="3" t="inlineStr">
        <is>
          <t>C</t>
        </is>
      </c>
      <c r="J1101" s="3" t="inlineStr">
        <is>
          <t>Amperage</t>
        </is>
      </c>
      <c r="K1101" s="3" t="inlineStr">
        <is>
          <t>40 A</t>
        </is>
      </c>
      <c r="L1101" s="3" t="inlineStr">
        <is>
          <t>Poles</t>
        </is>
      </c>
      <c r="M1101" s="3" t="inlineStr">
        <is>
          <t>DP</t>
        </is>
      </c>
      <c r="Q1101" s="3" t="inlineStr">
        <is>
          <t>Manufacturer's Warranty</t>
        </is>
      </c>
      <c r="R1101" s="3" t="inlineStr">
        <is>
          <t>4086 37</t>
        </is>
      </c>
      <c r="Y1101" s="3" t="inlineStr">
        <is>
          <t>MCB_LGR_C_DP</t>
        </is>
      </c>
      <c r="Z1101" s="3" t="n">
        <v>8536</v>
      </c>
      <c r="AE1101" s="3" t="n">
        <v>2014</v>
      </c>
      <c r="AF1101" s="4" t="n">
        <v>0.5</v>
      </c>
      <c r="AG1101" s="3">
        <f>ROUND(AE1101-(AE1101*AF1101),2)</f>
        <v/>
      </c>
      <c r="AH1101" s="4" t="n">
        <v>0.18</v>
      </c>
      <c r="AI1101" s="3">
        <f>ROUND(AG1101+(AG1101*AH1101),2)</f>
        <v/>
      </c>
      <c r="AJ1101" s="4" t="n">
        <v>0.2</v>
      </c>
      <c r="AK1101" s="3">
        <f>ROUND(AI1101*AJ1101,2)</f>
        <v/>
      </c>
      <c r="AL1101" s="3">
        <f>AI1101+AK1101</f>
        <v/>
      </c>
      <c r="AM1101" s="3">
        <f>AE1101-AL1101</f>
        <v/>
      </c>
      <c r="AN1101" s="4">
        <f>AM1101/AE1101</f>
        <v/>
      </c>
      <c r="AO1101" s="3" t="inlineStr">
        <is>
          <t>60 mins</t>
        </is>
      </c>
      <c r="AQ1101" s="3" t="inlineStr">
        <is>
          <t>Weight</t>
        </is>
      </c>
      <c r="AT1101" s="3" t="inlineStr">
        <is>
          <t>On Demand</t>
        </is>
      </c>
    </row>
    <row r="1102" ht="15.75" customHeight="1">
      <c r="A1102" s="3" t="inlineStr">
        <is>
          <t>PROD_0234</t>
        </is>
      </c>
      <c r="B1102" s="3" t="inlineStr">
        <is>
          <t>VAR_41</t>
        </is>
      </c>
      <c r="C1102" s="3" t="inlineStr">
        <is>
          <t>Electrical Material</t>
        </is>
      </c>
      <c r="D1102" s="3" t="inlineStr">
        <is>
          <t>MCB/ RCCB</t>
        </is>
      </c>
      <c r="E1102" s="3" t="inlineStr">
        <is>
          <t>Legrand</t>
        </is>
      </c>
      <c r="F1102" s="3" t="inlineStr">
        <is>
          <t>MCB</t>
        </is>
      </c>
      <c r="H1102" s="3" t="inlineStr">
        <is>
          <t>Series</t>
        </is>
      </c>
      <c r="I1102" s="3" t="inlineStr">
        <is>
          <t>C</t>
        </is>
      </c>
      <c r="J1102" s="3" t="inlineStr">
        <is>
          <t>Amperage</t>
        </is>
      </c>
      <c r="K1102" s="3" t="inlineStr">
        <is>
          <t>50 A</t>
        </is>
      </c>
      <c r="L1102" s="3" t="inlineStr">
        <is>
          <t>Poles</t>
        </is>
      </c>
      <c r="M1102" s="3" t="inlineStr">
        <is>
          <t>DP</t>
        </is>
      </c>
      <c r="Q1102" s="3" t="inlineStr">
        <is>
          <t>Manufacturer's Warranty</t>
        </is>
      </c>
      <c r="R1102" s="3" t="inlineStr">
        <is>
          <t>4086 38</t>
        </is>
      </c>
      <c r="Y1102" s="3" t="inlineStr">
        <is>
          <t>MCB_LGR_C_DP</t>
        </is>
      </c>
      <c r="Z1102" s="3" t="n">
        <v>8536</v>
      </c>
      <c r="AE1102" s="3" t="n">
        <v>2014</v>
      </c>
      <c r="AF1102" s="4" t="n">
        <v>0.5</v>
      </c>
      <c r="AG1102" s="3">
        <f>ROUND(AE1102-(AE1102*AF1102),2)</f>
        <v/>
      </c>
      <c r="AH1102" s="4" t="n">
        <v>0.18</v>
      </c>
      <c r="AI1102" s="3">
        <f>ROUND(AG1102+(AG1102*AH1102),2)</f>
        <v/>
      </c>
      <c r="AJ1102" s="4" t="n">
        <v>0.2</v>
      </c>
      <c r="AK1102" s="3">
        <f>ROUND(AI1102*AJ1102,2)</f>
        <v/>
      </c>
      <c r="AL1102" s="3">
        <f>AI1102+AK1102</f>
        <v/>
      </c>
      <c r="AM1102" s="3">
        <f>AE1102-AL1102</f>
        <v/>
      </c>
      <c r="AN1102" s="4">
        <f>AM1102/AE1102</f>
        <v/>
      </c>
      <c r="AO1102" s="3" t="inlineStr">
        <is>
          <t>60 mins</t>
        </is>
      </c>
      <c r="AQ1102" s="3" t="inlineStr">
        <is>
          <t>Weight</t>
        </is>
      </c>
      <c r="AT1102" s="3" t="inlineStr">
        <is>
          <t>On Demand</t>
        </is>
      </c>
    </row>
    <row r="1103" ht="15.75" customHeight="1">
      <c r="A1103" s="3" t="inlineStr">
        <is>
          <t>PROD_0234</t>
        </is>
      </c>
      <c r="B1103" s="3" t="inlineStr">
        <is>
          <t>VAR_42</t>
        </is>
      </c>
      <c r="C1103" s="3" t="inlineStr">
        <is>
          <t>Electrical Material</t>
        </is>
      </c>
      <c r="D1103" s="3" t="inlineStr">
        <is>
          <t>MCB/ RCCB</t>
        </is>
      </c>
      <c r="E1103" s="3" t="inlineStr">
        <is>
          <t>Legrand</t>
        </is>
      </c>
      <c r="F1103" s="3" t="inlineStr">
        <is>
          <t>MCB</t>
        </is>
      </c>
      <c r="H1103" s="3" t="inlineStr">
        <is>
          <t>Series</t>
        </is>
      </c>
      <c r="I1103" s="3" t="inlineStr">
        <is>
          <t>C</t>
        </is>
      </c>
      <c r="J1103" s="3" t="inlineStr">
        <is>
          <t>Amperage</t>
        </is>
      </c>
      <c r="K1103" s="3" t="inlineStr">
        <is>
          <t>63 A</t>
        </is>
      </c>
      <c r="L1103" s="3" t="inlineStr">
        <is>
          <t>Poles</t>
        </is>
      </c>
      <c r="M1103" s="3" t="inlineStr">
        <is>
          <t>DP</t>
        </is>
      </c>
      <c r="Q1103" s="3" t="inlineStr">
        <is>
          <t>Manufacturer's Warranty</t>
        </is>
      </c>
      <c r="R1103" s="3" t="inlineStr">
        <is>
          <t>4086 39</t>
        </is>
      </c>
      <c r="Y1103" s="3" t="inlineStr">
        <is>
          <t>MCB_LGR_C_DP</t>
        </is>
      </c>
      <c r="Z1103" s="3" t="n">
        <v>8536</v>
      </c>
      <c r="AE1103" s="3" t="n">
        <v>2014</v>
      </c>
      <c r="AF1103" s="4" t="n">
        <v>0.5</v>
      </c>
      <c r="AG1103" s="3">
        <f>ROUND(AE1103-(AE1103*AF1103),2)</f>
        <v/>
      </c>
      <c r="AH1103" s="4" t="n">
        <v>0.18</v>
      </c>
      <c r="AI1103" s="3">
        <f>ROUND(AG1103+(AG1103*AH1103),2)</f>
        <v/>
      </c>
      <c r="AJ1103" s="4" t="n">
        <v>0.2</v>
      </c>
      <c r="AK1103" s="3">
        <f>ROUND(AI1103*AJ1103,2)</f>
        <v/>
      </c>
      <c r="AL1103" s="3">
        <f>AI1103+AK1103</f>
        <v/>
      </c>
      <c r="AM1103" s="3">
        <f>AE1103-AL1103</f>
        <v/>
      </c>
      <c r="AN1103" s="4">
        <f>AM1103/AE1103</f>
        <v/>
      </c>
      <c r="AO1103" s="3" t="inlineStr">
        <is>
          <t>60 mins</t>
        </is>
      </c>
      <c r="AQ1103" s="3" t="inlineStr">
        <is>
          <t>Weight</t>
        </is>
      </c>
      <c r="AT1103" s="3" t="inlineStr">
        <is>
          <t>On Demand</t>
        </is>
      </c>
    </row>
    <row r="1104" ht="15.75" customHeight="1">
      <c r="A1104" s="3" t="inlineStr">
        <is>
          <t>PROD_0234</t>
        </is>
      </c>
      <c r="B1104" s="3" t="inlineStr">
        <is>
          <t>VAR_43</t>
        </is>
      </c>
      <c r="C1104" s="3" t="inlineStr">
        <is>
          <t>Electrical Material</t>
        </is>
      </c>
      <c r="D1104" s="3" t="inlineStr">
        <is>
          <t>MCB/ RCCB</t>
        </is>
      </c>
      <c r="E1104" s="3" t="inlineStr">
        <is>
          <t>Legrand</t>
        </is>
      </c>
      <c r="F1104" s="3" t="inlineStr">
        <is>
          <t>MCB</t>
        </is>
      </c>
      <c r="H1104" s="3" t="inlineStr">
        <is>
          <t>Series</t>
        </is>
      </c>
      <c r="I1104" s="3" t="inlineStr">
        <is>
          <t>C</t>
        </is>
      </c>
      <c r="J1104" s="3" t="inlineStr">
        <is>
          <t>Amperage</t>
        </is>
      </c>
      <c r="K1104" s="3" t="inlineStr">
        <is>
          <t>0.5 A</t>
        </is>
      </c>
      <c r="L1104" s="3" t="inlineStr">
        <is>
          <t>Poles</t>
        </is>
      </c>
      <c r="M1104" s="3" t="inlineStr">
        <is>
          <t>TP</t>
        </is>
      </c>
      <c r="Q1104" s="3" t="inlineStr">
        <is>
          <t>Manufacturer's Warranty</t>
        </is>
      </c>
      <c r="R1104" s="3" t="inlineStr">
        <is>
          <t>4086 43</t>
        </is>
      </c>
      <c r="Y1104" s="3" t="inlineStr">
        <is>
          <t>MCB_LGR_C_TP</t>
        </is>
      </c>
      <c r="Z1104" s="3" t="n">
        <v>8536</v>
      </c>
      <c r="AE1104" s="3" t="n">
        <v>2560</v>
      </c>
      <c r="AF1104" s="4" t="n">
        <v>0.5</v>
      </c>
      <c r="AG1104" s="3">
        <f>ROUND(AE1104-(AE1104*AF1104),2)</f>
        <v/>
      </c>
      <c r="AH1104" s="4" t="n">
        <v>0.18</v>
      </c>
      <c r="AI1104" s="3">
        <f>ROUND(AG1104+(AG1104*AH1104),2)</f>
        <v/>
      </c>
      <c r="AJ1104" s="4" t="n">
        <v>0.2</v>
      </c>
      <c r="AK1104" s="3">
        <f>ROUND(AI1104*AJ1104,2)</f>
        <v/>
      </c>
      <c r="AL1104" s="3">
        <f>AI1104+AK1104</f>
        <v/>
      </c>
      <c r="AM1104" s="3">
        <f>AE1104-AL1104</f>
        <v/>
      </c>
      <c r="AN1104" s="4">
        <f>AM1104/AE1104</f>
        <v/>
      </c>
      <c r="AO1104" s="3" t="inlineStr">
        <is>
          <t>60 mins</t>
        </is>
      </c>
      <c r="AQ1104" s="3" t="inlineStr">
        <is>
          <t>Weight</t>
        </is>
      </c>
      <c r="AT1104" s="3" t="inlineStr">
        <is>
          <t>On Demand</t>
        </is>
      </c>
    </row>
    <row r="1105" ht="15.75" customHeight="1">
      <c r="A1105" s="3" t="inlineStr">
        <is>
          <t>PROD_0234</t>
        </is>
      </c>
      <c r="B1105" s="3" t="inlineStr">
        <is>
          <t>VAR_44</t>
        </is>
      </c>
      <c r="C1105" s="3" t="inlineStr">
        <is>
          <t>Electrical Material</t>
        </is>
      </c>
      <c r="D1105" s="3" t="inlineStr">
        <is>
          <t>MCB/ RCCB</t>
        </is>
      </c>
      <c r="E1105" s="3" t="inlineStr">
        <is>
          <t>Legrand</t>
        </is>
      </c>
      <c r="F1105" s="3" t="inlineStr">
        <is>
          <t>MCB</t>
        </is>
      </c>
      <c r="H1105" s="3" t="inlineStr">
        <is>
          <t>Series</t>
        </is>
      </c>
      <c r="I1105" s="3" t="inlineStr">
        <is>
          <t>C</t>
        </is>
      </c>
      <c r="J1105" s="3" t="inlineStr">
        <is>
          <t>Amperage</t>
        </is>
      </c>
      <c r="K1105" s="3" t="inlineStr">
        <is>
          <t>1 A</t>
        </is>
      </c>
      <c r="L1105" s="3" t="inlineStr">
        <is>
          <t>Poles</t>
        </is>
      </c>
      <c r="M1105" s="3" t="inlineStr">
        <is>
          <t>TP</t>
        </is>
      </c>
      <c r="Q1105" s="3" t="inlineStr">
        <is>
          <t>Manufacturer's Warranty</t>
        </is>
      </c>
      <c r="R1105" s="3" t="inlineStr">
        <is>
          <t>4086 44</t>
        </is>
      </c>
      <c r="Y1105" s="3" t="inlineStr">
        <is>
          <t>MCB_LGR_C_TP</t>
        </is>
      </c>
      <c r="Z1105" s="3" t="n">
        <v>8536</v>
      </c>
      <c r="AE1105" s="3" t="n">
        <v>2560</v>
      </c>
      <c r="AF1105" s="4" t="n">
        <v>0.5</v>
      </c>
      <c r="AG1105" s="3">
        <f>ROUND(AE1105-(AE1105*AF1105),2)</f>
        <v/>
      </c>
      <c r="AH1105" s="4" t="n">
        <v>0.18</v>
      </c>
      <c r="AI1105" s="3">
        <f>ROUND(AG1105+(AG1105*AH1105),2)</f>
        <v/>
      </c>
      <c r="AJ1105" s="4" t="n">
        <v>0.2</v>
      </c>
      <c r="AK1105" s="3">
        <f>ROUND(AI1105*AJ1105,2)</f>
        <v/>
      </c>
      <c r="AL1105" s="3">
        <f>AI1105+AK1105</f>
        <v/>
      </c>
      <c r="AM1105" s="3">
        <f>AE1105-AL1105</f>
        <v/>
      </c>
      <c r="AN1105" s="4">
        <f>AM1105/AE1105</f>
        <v/>
      </c>
      <c r="AO1105" s="3" t="inlineStr">
        <is>
          <t>60 mins</t>
        </is>
      </c>
      <c r="AQ1105" s="3" t="inlineStr">
        <is>
          <t>Weight</t>
        </is>
      </c>
      <c r="AT1105" s="3" t="inlineStr">
        <is>
          <t>On Demand</t>
        </is>
      </c>
    </row>
    <row r="1106" ht="15.75" customHeight="1">
      <c r="A1106" s="3" t="inlineStr">
        <is>
          <t>PROD_0234</t>
        </is>
      </c>
      <c r="B1106" s="3" t="inlineStr">
        <is>
          <t>VAR_45</t>
        </is>
      </c>
      <c r="C1106" s="3" t="inlineStr">
        <is>
          <t>Electrical Material</t>
        </is>
      </c>
      <c r="D1106" s="3" t="inlineStr">
        <is>
          <t>MCB/ RCCB</t>
        </is>
      </c>
      <c r="E1106" s="3" t="inlineStr">
        <is>
          <t>Legrand</t>
        </is>
      </c>
      <c r="F1106" s="3" t="inlineStr">
        <is>
          <t>MCB</t>
        </is>
      </c>
      <c r="H1106" s="3" t="inlineStr">
        <is>
          <t>Series</t>
        </is>
      </c>
      <c r="I1106" s="3" t="inlineStr">
        <is>
          <t>C</t>
        </is>
      </c>
      <c r="J1106" s="3" t="inlineStr">
        <is>
          <t>Amperage</t>
        </is>
      </c>
      <c r="K1106" s="3" t="inlineStr">
        <is>
          <t>2 A</t>
        </is>
      </c>
      <c r="L1106" s="3" t="inlineStr">
        <is>
          <t>Poles</t>
        </is>
      </c>
      <c r="M1106" s="3" t="inlineStr">
        <is>
          <t>TP</t>
        </is>
      </c>
      <c r="Q1106" s="3" t="inlineStr">
        <is>
          <t>Manufacturer's Warranty</t>
        </is>
      </c>
      <c r="R1106" s="3" t="inlineStr">
        <is>
          <t>4086 46</t>
        </is>
      </c>
      <c r="Y1106" s="3" t="inlineStr">
        <is>
          <t>MCB_LGR_C_TP</t>
        </is>
      </c>
      <c r="Z1106" s="3" t="n">
        <v>8536</v>
      </c>
      <c r="AE1106" s="3" t="n">
        <v>2560</v>
      </c>
      <c r="AF1106" s="4" t="n">
        <v>0.5</v>
      </c>
      <c r="AG1106" s="3">
        <f>ROUND(AE1106-(AE1106*AF1106),2)</f>
        <v/>
      </c>
      <c r="AH1106" s="4" t="n">
        <v>0.18</v>
      </c>
      <c r="AI1106" s="3">
        <f>ROUND(AG1106+(AG1106*AH1106),2)</f>
        <v/>
      </c>
      <c r="AJ1106" s="4" t="n">
        <v>0.2</v>
      </c>
      <c r="AK1106" s="3">
        <f>ROUND(AI1106*AJ1106,2)</f>
        <v/>
      </c>
      <c r="AL1106" s="3">
        <f>AI1106+AK1106</f>
        <v/>
      </c>
      <c r="AM1106" s="3">
        <f>AE1106-AL1106</f>
        <v/>
      </c>
      <c r="AN1106" s="4">
        <f>AM1106/AE1106</f>
        <v/>
      </c>
      <c r="AO1106" s="3" t="inlineStr">
        <is>
          <t>60 mins</t>
        </is>
      </c>
      <c r="AQ1106" s="3" t="inlineStr">
        <is>
          <t>Weight</t>
        </is>
      </c>
      <c r="AT1106" s="3" t="inlineStr">
        <is>
          <t>On Demand</t>
        </is>
      </c>
    </row>
    <row r="1107" ht="15.75" customHeight="1">
      <c r="A1107" s="3" t="inlineStr">
        <is>
          <t>PROD_0234</t>
        </is>
      </c>
      <c r="B1107" s="3" t="inlineStr">
        <is>
          <t>VAR_46</t>
        </is>
      </c>
      <c r="C1107" s="3" t="inlineStr">
        <is>
          <t>Electrical Material</t>
        </is>
      </c>
      <c r="D1107" s="3" t="inlineStr">
        <is>
          <t>MCB/ RCCB</t>
        </is>
      </c>
      <c r="E1107" s="3" t="inlineStr">
        <is>
          <t>Legrand</t>
        </is>
      </c>
      <c r="F1107" s="3" t="inlineStr">
        <is>
          <t>MCB</t>
        </is>
      </c>
      <c r="H1107" s="3" t="inlineStr">
        <is>
          <t>Series</t>
        </is>
      </c>
      <c r="I1107" s="3" t="inlineStr">
        <is>
          <t>C</t>
        </is>
      </c>
      <c r="J1107" s="3" t="inlineStr">
        <is>
          <t>Amperage</t>
        </is>
      </c>
      <c r="K1107" s="3" t="inlineStr">
        <is>
          <t>3 A</t>
        </is>
      </c>
      <c r="L1107" s="3" t="inlineStr">
        <is>
          <t>Poles</t>
        </is>
      </c>
      <c r="M1107" s="3" t="inlineStr">
        <is>
          <t>TP</t>
        </is>
      </c>
      <c r="Q1107" s="3" t="inlineStr">
        <is>
          <t>Manufacturer's Warranty</t>
        </is>
      </c>
      <c r="R1107" s="3" t="inlineStr">
        <is>
          <t>4086 47</t>
        </is>
      </c>
      <c r="Y1107" s="3" t="inlineStr">
        <is>
          <t>MCB_LGR_C_TP</t>
        </is>
      </c>
      <c r="Z1107" s="3" t="n">
        <v>8536</v>
      </c>
      <c r="AE1107" s="3" t="n">
        <v>2560</v>
      </c>
      <c r="AF1107" s="4" t="n">
        <v>0.5</v>
      </c>
      <c r="AG1107" s="3">
        <f>ROUND(AE1107-(AE1107*AF1107),2)</f>
        <v/>
      </c>
      <c r="AH1107" s="4" t="n">
        <v>0.18</v>
      </c>
      <c r="AI1107" s="3">
        <f>ROUND(AG1107+(AG1107*AH1107),2)</f>
        <v/>
      </c>
      <c r="AJ1107" s="4" t="n">
        <v>0.2</v>
      </c>
      <c r="AK1107" s="3">
        <f>ROUND(AI1107*AJ1107,2)</f>
        <v/>
      </c>
      <c r="AL1107" s="3">
        <f>AI1107+AK1107</f>
        <v/>
      </c>
      <c r="AM1107" s="3">
        <f>AE1107-AL1107</f>
        <v/>
      </c>
      <c r="AN1107" s="4">
        <f>AM1107/AE1107</f>
        <v/>
      </c>
      <c r="AO1107" s="3" t="inlineStr">
        <is>
          <t>60 mins</t>
        </is>
      </c>
      <c r="AQ1107" s="3" t="inlineStr">
        <is>
          <t>Weight</t>
        </is>
      </c>
      <c r="AT1107" s="3" t="inlineStr">
        <is>
          <t>On Demand</t>
        </is>
      </c>
    </row>
    <row r="1108" ht="15.75" customHeight="1">
      <c r="A1108" s="3" t="inlineStr">
        <is>
          <t>PROD_0234</t>
        </is>
      </c>
      <c r="B1108" s="3" t="inlineStr">
        <is>
          <t>VAR_47</t>
        </is>
      </c>
      <c r="C1108" s="3" t="inlineStr">
        <is>
          <t>Electrical Material</t>
        </is>
      </c>
      <c r="D1108" s="3" t="inlineStr">
        <is>
          <t>MCB/ RCCB</t>
        </is>
      </c>
      <c r="E1108" s="3" t="inlineStr">
        <is>
          <t>Legrand</t>
        </is>
      </c>
      <c r="F1108" s="3" t="inlineStr">
        <is>
          <t>MCB</t>
        </is>
      </c>
      <c r="H1108" s="3" t="inlineStr">
        <is>
          <t>Series</t>
        </is>
      </c>
      <c r="I1108" s="3" t="inlineStr">
        <is>
          <t>C</t>
        </is>
      </c>
      <c r="J1108" s="3" t="inlineStr">
        <is>
          <t>Amperage</t>
        </is>
      </c>
      <c r="K1108" s="3" t="inlineStr">
        <is>
          <t>4 A</t>
        </is>
      </c>
      <c r="L1108" s="3" t="inlineStr">
        <is>
          <t>Poles</t>
        </is>
      </c>
      <c r="M1108" s="3" t="inlineStr">
        <is>
          <t>TP</t>
        </is>
      </c>
      <c r="Q1108" s="3" t="inlineStr">
        <is>
          <t>Manufacturer's Warranty</t>
        </is>
      </c>
      <c r="R1108" s="3" t="inlineStr">
        <is>
          <t>4086 48</t>
        </is>
      </c>
      <c r="Y1108" s="3" t="inlineStr">
        <is>
          <t>MCB_LGR_C_TP</t>
        </is>
      </c>
      <c r="Z1108" s="3" t="n">
        <v>8536</v>
      </c>
      <c r="AE1108" s="3" t="n">
        <v>2560</v>
      </c>
      <c r="AF1108" s="4" t="n">
        <v>0.5</v>
      </c>
      <c r="AG1108" s="3">
        <f>ROUND(AE1108-(AE1108*AF1108),2)</f>
        <v/>
      </c>
      <c r="AH1108" s="4" t="n">
        <v>0.18</v>
      </c>
      <c r="AI1108" s="3">
        <f>ROUND(AG1108+(AG1108*AH1108),2)</f>
        <v/>
      </c>
      <c r="AJ1108" s="4" t="n">
        <v>0.2</v>
      </c>
      <c r="AK1108" s="3">
        <f>ROUND(AI1108*AJ1108,2)</f>
        <v/>
      </c>
      <c r="AL1108" s="3">
        <f>AI1108+AK1108</f>
        <v/>
      </c>
      <c r="AM1108" s="3">
        <f>AE1108-AL1108</f>
        <v/>
      </c>
      <c r="AN1108" s="4">
        <f>AM1108/AE1108</f>
        <v/>
      </c>
      <c r="AO1108" s="3" t="inlineStr">
        <is>
          <t>60 mins</t>
        </is>
      </c>
      <c r="AQ1108" s="3" t="inlineStr">
        <is>
          <t>Weight</t>
        </is>
      </c>
      <c r="AT1108" s="3" t="inlineStr">
        <is>
          <t>On Demand</t>
        </is>
      </c>
    </row>
    <row r="1109" ht="15.75" customHeight="1">
      <c r="A1109" s="3" t="inlineStr">
        <is>
          <t>PROD_0234</t>
        </is>
      </c>
      <c r="B1109" s="3" t="inlineStr">
        <is>
          <t>VAR_48</t>
        </is>
      </c>
      <c r="C1109" s="3" t="inlineStr">
        <is>
          <t>Electrical Material</t>
        </is>
      </c>
      <c r="D1109" s="3" t="inlineStr">
        <is>
          <t>MCB/ RCCB</t>
        </is>
      </c>
      <c r="E1109" s="3" t="inlineStr">
        <is>
          <t>Legrand</t>
        </is>
      </c>
      <c r="F1109" s="3" t="inlineStr">
        <is>
          <t>MCB</t>
        </is>
      </c>
      <c r="H1109" s="3" t="inlineStr">
        <is>
          <t>Series</t>
        </is>
      </c>
      <c r="I1109" s="3" t="inlineStr">
        <is>
          <t>C</t>
        </is>
      </c>
      <c r="J1109" s="3" t="inlineStr">
        <is>
          <t>Amperage</t>
        </is>
      </c>
      <c r="K1109" s="3" t="inlineStr">
        <is>
          <t>6 A</t>
        </is>
      </c>
      <c r="L1109" s="3" t="inlineStr">
        <is>
          <t>Poles</t>
        </is>
      </c>
      <c r="M1109" s="3" t="inlineStr">
        <is>
          <t>TP</t>
        </is>
      </c>
      <c r="Q1109" s="3" t="inlineStr">
        <is>
          <t>Manufacturer's Warranty</t>
        </is>
      </c>
      <c r="R1109" s="3" t="inlineStr">
        <is>
          <t>4086 50</t>
        </is>
      </c>
      <c r="Y1109" s="3" t="inlineStr">
        <is>
          <t>MCB_LGR_C_TP</t>
        </is>
      </c>
      <c r="Z1109" s="3" t="n">
        <v>8536</v>
      </c>
      <c r="AE1109" s="3" t="n">
        <v>2076</v>
      </c>
      <c r="AF1109" s="4" t="n">
        <v>0.5</v>
      </c>
      <c r="AG1109" s="3">
        <f>ROUND(AE1109-(AE1109*AF1109),2)</f>
        <v/>
      </c>
      <c r="AH1109" s="4" t="n">
        <v>0.18</v>
      </c>
      <c r="AI1109" s="3">
        <f>ROUND(AG1109+(AG1109*AH1109),2)</f>
        <v/>
      </c>
      <c r="AJ1109" s="4" t="n">
        <v>0.2</v>
      </c>
      <c r="AK1109" s="3">
        <f>ROUND(AI1109*AJ1109,2)</f>
        <v/>
      </c>
      <c r="AL1109" s="3">
        <f>AI1109+AK1109</f>
        <v/>
      </c>
      <c r="AM1109" s="3">
        <f>AE1109-AL1109</f>
        <v/>
      </c>
      <c r="AN1109" s="4">
        <f>AM1109/AE1109</f>
        <v/>
      </c>
      <c r="AO1109" s="3" t="inlineStr">
        <is>
          <t>60 mins</t>
        </is>
      </c>
      <c r="AQ1109" s="3" t="inlineStr">
        <is>
          <t>Weight</t>
        </is>
      </c>
      <c r="AT1109" s="3" t="inlineStr">
        <is>
          <t>On Demand</t>
        </is>
      </c>
    </row>
    <row r="1110" ht="15.75" customHeight="1">
      <c r="A1110" s="3" t="inlineStr">
        <is>
          <t>PROD_0234</t>
        </is>
      </c>
      <c r="B1110" s="3" t="inlineStr">
        <is>
          <t>VAR_49</t>
        </is>
      </c>
      <c r="C1110" s="3" t="inlineStr">
        <is>
          <t>Electrical Material</t>
        </is>
      </c>
      <c r="D1110" s="3" t="inlineStr">
        <is>
          <t>MCB/ RCCB</t>
        </is>
      </c>
      <c r="E1110" s="3" t="inlineStr">
        <is>
          <t>Legrand</t>
        </is>
      </c>
      <c r="F1110" s="3" t="inlineStr">
        <is>
          <t>MCB</t>
        </is>
      </c>
      <c r="H1110" s="3" t="inlineStr">
        <is>
          <t>Series</t>
        </is>
      </c>
      <c r="I1110" s="3" t="inlineStr">
        <is>
          <t>C</t>
        </is>
      </c>
      <c r="J1110" s="3" t="inlineStr">
        <is>
          <t>Amperage</t>
        </is>
      </c>
      <c r="K1110" s="3" t="inlineStr">
        <is>
          <t>10 A</t>
        </is>
      </c>
      <c r="L1110" s="3" t="inlineStr">
        <is>
          <t>Poles</t>
        </is>
      </c>
      <c r="M1110" s="3" t="inlineStr">
        <is>
          <t>TP</t>
        </is>
      </c>
      <c r="Q1110" s="3" t="inlineStr">
        <is>
          <t>Manufacturer's Warranty</t>
        </is>
      </c>
      <c r="R1110" s="3" t="inlineStr">
        <is>
          <t>4086 53</t>
        </is>
      </c>
      <c r="Y1110" s="3" t="inlineStr">
        <is>
          <t>MCB_LGR_C_TP</t>
        </is>
      </c>
      <c r="Z1110" s="3" t="n">
        <v>8536</v>
      </c>
      <c r="AE1110" s="3" t="n">
        <v>2076</v>
      </c>
      <c r="AF1110" s="4" t="n">
        <v>0.5</v>
      </c>
      <c r="AG1110" s="3">
        <f>ROUND(AE1110-(AE1110*AF1110),2)</f>
        <v/>
      </c>
      <c r="AH1110" s="4" t="n">
        <v>0.18</v>
      </c>
      <c r="AI1110" s="3">
        <f>ROUND(AG1110+(AG1110*AH1110),2)</f>
        <v/>
      </c>
      <c r="AJ1110" s="4" t="n">
        <v>0.2</v>
      </c>
      <c r="AK1110" s="3">
        <f>ROUND(AI1110*AJ1110,2)</f>
        <v/>
      </c>
      <c r="AL1110" s="3">
        <f>AI1110+AK1110</f>
        <v/>
      </c>
      <c r="AM1110" s="3">
        <f>AE1110-AL1110</f>
        <v/>
      </c>
      <c r="AN1110" s="4">
        <f>AM1110/AE1110</f>
        <v/>
      </c>
      <c r="AO1110" s="3" t="inlineStr">
        <is>
          <t>60 mins</t>
        </is>
      </c>
      <c r="AQ1110" s="3" t="inlineStr">
        <is>
          <t>Weight</t>
        </is>
      </c>
      <c r="AT1110" s="3" t="inlineStr">
        <is>
          <t>On Demand</t>
        </is>
      </c>
    </row>
    <row r="1111" ht="15.75" customHeight="1">
      <c r="A1111" s="3" t="inlineStr">
        <is>
          <t>PROD_0234</t>
        </is>
      </c>
      <c r="B1111" s="3" t="inlineStr">
        <is>
          <t>VAR_50</t>
        </is>
      </c>
      <c r="C1111" s="3" t="inlineStr">
        <is>
          <t>Electrical Material</t>
        </is>
      </c>
      <c r="D1111" s="3" t="inlineStr">
        <is>
          <t>MCB/ RCCB</t>
        </is>
      </c>
      <c r="E1111" s="3" t="inlineStr">
        <is>
          <t>Legrand</t>
        </is>
      </c>
      <c r="F1111" s="3" t="inlineStr">
        <is>
          <t>MCB</t>
        </is>
      </c>
      <c r="H1111" s="3" t="inlineStr">
        <is>
          <t>Series</t>
        </is>
      </c>
      <c r="I1111" s="3" t="inlineStr">
        <is>
          <t>C</t>
        </is>
      </c>
      <c r="J1111" s="3" t="inlineStr">
        <is>
          <t>Amperage</t>
        </is>
      </c>
      <c r="K1111" s="3" t="inlineStr">
        <is>
          <t>16 A</t>
        </is>
      </c>
      <c r="L1111" s="3" t="inlineStr">
        <is>
          <t>Poles</t>
        </is>
      </c>
      <c r="M1111" s="3" t="inlineStr">
        <is>
          <t>TP</t>
        </is>
      </c>
      <c r="Q1111" s="3" t="inlineStr">
        <is>
          <t>Manufacturer's Warranty</t>
        </is>
      </c>
      <c r="R1111" s="3" t="inlineStr">
        <is>
          <t>4086 55</t>
        </is>
      </c>
      <c r="Y1111" s="3" t="inlineStr">
        <is>
          <t>MCB_LGR_C_TP</t>
        </is>
      </c>
      <c r="Z1111" s="3" t="n">
        <v>8536</v>
      </c>
      <c r="AE1111" s="3" t="n">
        <v>2076</v>
      </c>
      <c r="AF1111" s="4" t="n">
        <v>0.5</v>
      </c>
      <c r="AG1111" s="3">
        <f>ROUND(AE1111-(AE1111*AF1111),2)</f>
        <v/>
      </c>
      <c r="AH1111" s="4" t="n">
        <v>0.18</v>
      </c>
      <c r="AI1111" s="3">
        <f>ROUND(AG1111+(AG1111*AH1111),2)</f>
        <v/>
      </c>
      <c r="AJ1111" s="4" t="n">
        <v>0.2</v>
      </c>
      <c r="AK1111" s="3">
        <f>ROUND(AI1111*AJ1111,2)</f>
        <v/>
      </c>
      <c r="AL1111" s="3">
        <f>AI1111+AK1111</f>
        <v/>
      </c>
      <c r="AM1111" s="3">
        <f>AE1111-AL1111</f>
        <v/>
      </c>
      <c r="AN1111" s="4">
        <f>AM1111/AE1111</f>
        <v/>
      </c>
      <c r="AO1111" s="3" t="inlineStr">
        <is>
          <t>60 mins</t>
        </is>
      </c>
      <c r="AQ1111" s="3" t="inlineStr">
        <is>
          <t>Weight</t>
        </is>
      </c>
      <c r="AT1111" s="3" t="inlineStr">
        <is>
          <t>On Demand</t>
        </is>
      </c>
    </row>
    <row r="1112" ht="15.75" customHeight="1">
      <c r="A1112" s="3" t="inlineStr">
        <is>
          <t>PROD_0234</t>
        </is>
      </c>
      <c r="B1112" s="3" t="inlineStr">
        <is>
          <t>VAR_51</t>
        </is>
      </c>
      <c r="C1112" s="3" t="inlineStr">
        <is>
          <t>Electrical Material</t>
        </is>
      </c>
      <c r="D1112" s="3" t="inlineStr">
        <is>
          <t>MCB/ RCCB</t>
        </is>
      </c>
      <c r="E1112" s="3" t="inlineStr">
        <is>
          <t>Legrand</t>
        </is>
      </c>
      <c r="F1112" s="3" t="inlineStr">
        <is>
          <t>MCB</t>
        </is>
      </c>
      <c r="H1112" s="3" t="inlineStr">
        <is>
          <t>Series</t>
        </is>
      </c>
      <c r="I1112" s="3" t="inlineStr">
        <is>
          <t>C</t>
        </is>
      </c>
      <c r="J1112" s="3" t="inlineStr">
        <is>
          <t>Amperage</t>
        </is>
      </c>
      <c r="K1112" s="3" t="inlineStr">
        <is>
          <t>20 A</t>
        </is>
      </c>
      <c r="L1112" s="3" t="inlineStr">
        <is>
          <t>Poles</t>
        </is>
      </c>
      <c r="M1112" s="3" t="inlineStr">
        <is>
          <t>TP</t>
        </is>
      </c>
      <c r="Q1112" s="3" t="inlineStr">
        <is>
          <t>Manufacturer's Warranty</t>
        </is>
      </c>
      <c r="R1112" s="3" t="inlineStr">
        <is>
          <t xml:space="preserve">4086 56 </t>
        </is>
      </c>
      <c r="Y1112" s="3" t="inlineStr">
        <is>
          <t>MCB_LGR_C_TP</t>
        </is>
      </c>
      <c r="Z1112" s="3" t="n">
        <v>8536</v>
      </c>
      <c r="AE1112" s="3" t="n">
        <v>2076</v>
      </c>
      <c r="AF1112" s="4" t="n">
        <v>0.5</v>
      </c>
      <c r="AG1112" s="3">
        <f>ROUND(AE1112-(AE1112*AF1112),2)</f>
        <v/>
      </c>
      <c r="AH1112" s="4" t="n">
        <v>0.18</v>
      </c>
      <c r="AI1112" s="3">
        <f>ROUND(AG1112+(AG1112*AH1112),2)</f>
        <v/>
      </c>
      <c r="AJ1112" s="4" t="n">
        <v>0.2</v>
      </c>
      <c r="AK1112" s="3">
        <f>ROUND(AI1112*AJ1112,2)</f>
        <v/>
      </c>
      <c r="AL1112" s="3">
        <f>AI1112+AK1112</f>
        <v/>
      </c>
      <c r="AM1112" s="3">
        <f>AE1112-AL1112</f>
        <v/>
      </c>
      <c r="AN1112" s="4">
        <f>AM1112/AE1112</f>
        <v/>
      </c>
      <c r="AO1112" s="3" t="inlineStr">
        <is>
          <t>60 mins</t>
        </is>
      </c>
      <c r="AQ1112" s="3" t="inlineStr">
        <is>
          <t>Weight</t>
        </is>
      </c>
      <c r="AT1112" s="3" t="inlineStr">
        <is>
          <t>On Demand</t>
        </is>
      </c>
    </row>
    <row r="1113" ht="15.75" customHeight="1">
      <c r="A1113" s="3" t="inlineStr">
        <is>
          <t>PROD_0234</t>
        </is>
      </c>
      <c r="B1113" s="3" t="inlineStr">
        <is>
          <t>VAR_52</t>
        </is>
      </c>
      <c r="C1113" s="3" t="inlineStr">
        <is>
          <t>Electrical Material</t>
        </is>
      </c>
      <c r="D1113" s="3" t="inlineStr">
        <is>
          <t>MCB/ RCCB</t>
        </is>
      </c>
      <c r="E1113" s="3" t="inlineStr">
        <is>
          <t>Legrand</t>
        </is>
      </c>
      <c r="F1113" s="3" t="inlineStr">
        <is>
          <t>MCB</t>
        </is>
      </c>
      <c r="H1113" s="3" t="inlineStr">
        <is>
          <t>Series</t>
        </is>
      </c>
      <c r="I1113" s="3" t="inlineStr">
        <is>
          <t>C</t>
        </is>
      </c>
      <c r="J1113" s="3" t="inlineStr">
        <is>
          <t>Amperage</t>
        </is>
      </c>
      <c r="K1113" s="3" t="inlineStr">
        <is>
          <t>25 A</t>
        </is>
      </c>
      <c r="L1113" s="3" t="inlineStr">
        <is>
          <t>Poles</t>
        </is>
      </c>
      <c r="M1113" s="3" t="inlineStr">
        <is>
          <t>TP</t>
        </is>
      </c>
      <c r="Q1113" s="3" t="inlineStr">
        <is>
          <t>Manufacturer's Warranty</t>
        </is>
      </c>
      <c r="R1113" s="3" t="inlineStr">
        <is>
          <t>4086 57</t>
        </is>
      </c>
      <c r="Y1113" s="3" t="inlineStr">
        <is>
          <t>MCB_LGR_C_TP</t>
        </is>
      </c>
      <c r="Z1113" s="3" t="n">
        <v>8536</v>
      </c>
      <c r="AE1113" s="3" t="n">
        <v>2076</v>
      </c>
      <c r="AF1113" s="4" t="n">
        <v>0.5</v>
      </c>
      <c r="AG1113" s="3">
        <f>ROUND(AE1113-(AE1113*AF1113),2)</f>
        <v/>
      </c>
      <c r="AH1113" s="4" t="n">
        <v>0.18</v>
      </c>
      <c r="AI1113" s="3">
        <f>ROUND(AG1113+(AG1113*AH1113),2)</f>
        <v/>
      </c>
      <c r="AJ1113" s="4" t="n">
        <v>0.2</v>
      </c>
      <c r="AK1113" s="3">
        <f>ROUND(AI1113*AJ1113,2)</f>
        <v/>
      </c>
      <c r="AL1113" s="3">
        <f>AI1113+AK1113</f>
        <v/>
      </c>
      <c r="AM1113" s="3">
        <f>AE1113-AL1113</f>
        <v/>
      </c>
      <c r="AN1113" s="4">
        <f>AM1113/AE1113</f>
        <v/>
      </c>
      <c r="AO1113" s="3" t="inlineStr">
        <is>
          <t>60 mins</t>
        </is>
      </c>
      <c r="AQ1113" s="3" t="inlineStr">
        <is>
          <t>Weight</t>
        </is>
      </c>
      <c r="AT1113" s="3" t="inlineStr">
        <is>
          <t>On Demand</t>
        </is>
      </c>
    </row>
    <row r="1114" ht="15.75" customHeight="1">
      <c r="A1114" s="3" t="inlineStr">
        <is>
          <t>PROD_0234</t>
        </is>
      </c>
      <c r="B1114" s="3" t="inlineStr">
        <is>
          <t>VAR_53</t>
        </is>
      </c>
      <c r="C1114" s="3" t="inlineStr">
        <is>
          <t>Electrical Material</t>
        </is>
      </c>
      <c r="D1114" s="3" t="inlineStr">
        <is>
          <t>MCB/ RCCB</t>
        </is>
      </c>
      <c r="E1114" s="3" t="inlineStr">
        <is>
          <t>Legrand</t>
        </is>
      </c>
      <c r="F1114" s="3" t="inlineStr">
        <is>
          <t>MCB</t>
        </is>
      </c>
      <c r="H1114" s="3" t="inlineStr">
        <is>
          <t>Series</t>
        </is>
      </c>
      <c r="I1114" s="3" t="inlineStr">
        <is>
          <t>C</t>
        </is>
      </c>
      <c r="J1114" s="3" t="inlineStr">
        <is>
          <t>Amperage</t>
        </is>
      </c>
      <c r="K1114" s="3" t="inlineStr">
        <is>
          <t>32 A</t>
        </is>
      </c>
      <c r="L1114" s="3" t="inlineStr">
        <is>
          <t>Poles</t>
        </is>
      </c>
      <c r="M1114" s="3" t="inlineStr">
        <is>
          <t>TP</t>
        </is>
      </c>
      <c r="Q1114" s="3" t="inlineStr">
        <is>
          <t>Manufacturer's Warranty</t>
        </is>
      </c>
      <c r="R1114" s="3" t="inlineStr">
        <is>
          <t>4086 58</t>
        </is>
      </c>
      <c r="Y1114" s="3" t="inlineStr">
        <is>
          <t>MCB_LGR_C_TP</t>
        </is>
      </c>
      <c r="Z1114" s="3" t="n">
        <v>8536</v>
      </c>
      <c r="AE1114" s="3" t="n">
        <v>2076</v>
      </c>
      <c r="AF1114" s="4" t="n">
        <v>0.5</v>
      </c>
      <c r="AG1114" s="3">
        <f>ROUND(AE1114-(AE1114*AF1114),2)</f>
        <v/>
      </c>
      <c r="AH1114" s="4" t="n">
        <v>0.18</v>
      </c>
      <c r="AI1114" s="3">
        <f>ROUND(AG1114+(AG1114*AH1114),2)</f>
        <v/>
      </c>
      <c r="AJ1114" s="4" t="n">
        <v>0.2</v>
      </c>
      <c r="AK1114" s="3">
        <f>ROUND(AI1114*AJ1114,2)</f>
        <v/>
      </c>
      <c r="AL1114" s="3">
        <f>AI1114+AK1114</f>
        <v/>
      </c>
      <c r="AM1114" s="3">
        <f>AE1114-AL1114</f>
        <v/>
      </c>
      <c r="AN1114" s="4">
        <f>AM1114/AE1114</f>
        <v/>
      </c>
      <c r="AO1114" s="3" t="inlineStr">
        <is>
          <t>60 mins</t>
        </is>
      </c>
      <c r="AQ1114" s="3" t="inlineStr">
        <is>
          <t>Weight</t>
        </is>
      </c>
      <c r="AT1114" s="3" t="inlineStr">
        <is>
          <t>On Demand</t>
        </is>
      </c>
    </row>
    <row r="1115" ht="15.75" customHeight="1">
      <c r="A1115" s="3" t="inlineStr">
        <is>
          <t>PROD_0234</t>
        </is>
      </c>
      <c r="B1115" s="3" t="inlineStr">
        <is>
          <t>VAR_54</t>
        </is>
      </c>
      <c r="C1115" s="3" t="inlineStr">
        <is>
          <t>Electrical Material</t>
        </is>
      </c>
      <c r="D1115" s="3" t="inlineStr">
        <is>
          <t>MCB/ RCCB</t>
        </is>
      </c>
      <c r="E1115" s="3" t="inlineStr">
        <is>
          <t>Legrand</t>
        </is>
      </c>
      <c r="F1115" s="3" t="inlineStr">
        <is>
          <t>MCB</t>
        </is>
      </c>
      <c r="H1115" s="3" t="inlineStr">
        <is>
          <t>Series</t>
        </is>
      </c>
      <c r="I1115" s="3" t="inlineStr">
        <is>
          <t>C</t>
        </is>
      </c>
      <c r="J1115" s="3" t="inlineStr">
        <is>
          <t>Amperage</t>
        </is>
      </c>
      <c r="K1115" s="3" t="inlineStr">
        <is>
          <t>40 A</t>
        </is>
      </c>
      <c r="L1115" s="3" t="inlineStr">
        <is>
          <t>Poles</t>
        </is>
      </c>
      <c r="M1115" s="3" t="inlineStr">
        <is>
          <t>TP</t>
        </is>
      </c>
      <c r="Q1115" s="3" t="inlineStr">
        <is>
          <t>Manufacturer's Warranty</t>
        </is>
      </c>
      <c r="R1115" s="3" t="inlineStr">
        <is>
          <t>4086 59</t>
        </is>
      </c>
      <c r="Y1115" s="3" t="inlineStr">
        <is>
          <t>MCB_LGR_C_TP</t>
        </is>
      </c>
      <c r="Z1115" s="3" t="n">
        <v>8536</v>
      </c>
      <c r="AE1115" s="3" t="n">
        <v>3150</v>
      </c>
      <c r="AF1115" s="4" t="n">
        <v>0.5</v>
      </c>
      <c r="AG1115" s="3">
        <f>ROUND(AE1115-(AE1115*AF1115),2)</f>
        <v/>
      </c>
      <c r="AH1115" s="4" t="n">
        <v>0.18</v>
      </c>
      <c r="AI1115" s="3">
        <f>ROUND(AG1115+(AG1115*AH1115),2)</f>
        <v/>
      </c>
      <c r="AJ1115" s="4" t="n">
        <v>0.2</v>
      </c>
      <c r="AK1115" s="3">
        <f>ROUND(AI1115*AJ1115,2)</f>
        <v/>
      </c>
      <c r="AL1115" s="3">
        <f>AI1115+AK1115</f>
        <v/>
      </c>
      <c r="AM1115" s="3">
        <f>AE1115-AL1115</f>
        <v/>
      </c>
      <c r="AN1115" s="4">
        <f>AM1115/AE1115</f>
        <v/>
      </c>
      <c r="AO1115" s="3" t="inlineStr">
        <is>
          <t>60 mins</t>
        </is>
      </c>
      <c r="AQ1115" s="3" t="inlineStr">
        <is>
          <t>Weight</t>
        </is>
      </c>
      <c r="AT1115" s="3" t="inlineStr">
        <is>
          <t>On Demand</t>
        </is>
      </c>
    </row>
    <row r="1116" ht="15.75" customHeight="1">
      <c r="A1116" s="3" t="inlineStr">
        <is>
          <t>PROD_0234</t>
        </is>
      </c>
      <c r="B1116" s="3" t="inlineStr">
        <is>
          <t>VAR_55</t>
        </is>
      </c>
      <c r="C1116" s="3" t="inlineStr">
        <is>
          <t>Electrical Material</t>
        </is>
      </c>
      <c r="D1116" s="3" t="inlineStr">
        <is>
          <t>MCB/ RCCB</t>
        </is>
      </c>
      <c r="E1116" s="3" t="inlineStr">
        <is>
          <t>Legrand</t>
        </is>
      </c>
      <c r="F1116" s="3" t="inlineStr">
        <is>
          <t>MCB</t>
        </is>
      </c>
      <c r="H1116" s="3" t="inlineStr">
        <is>
          <t>Series</t>
        </is>
      </c>
      <c r="I1116" s="3" t="inlineStr">
        <is>
          <t>C</t>
        </is>
      </c>
      <c r="J1116" s="3" t="inlineStr">
        <is>
          <t>Amperage</t>
        </is>
      </c>
      <c r="K1116" s="3" t="inlineStr">
        <is>
          <t>50 A</t>
        </is>
      </c>
      <c r="L1116" s="3" t="inlineStr">
        <is>
          <t>Poles</t>
        </is>
      </c>
      <c r="M1116" s="3" t="inlineStr">
        <is>
          <t>TP</t>
        </is>
      </c>
      <c r="Q1116" s="3" t="inlineStr">
        <is>
          <t>Manufacturer's Warranty</t>
        </is>
      </c>
      <c r="R1116" s="3" t="inlineStr">
        <is>
          <t xml:space="preserve">4086 60 </t>
        </is>
      </c>
      <c r="Y1116" s="3" t="inlineStr">
        <is>
          <t>MCB_LGR_C_TP</t>
        </is>
      </c>
      <c r="Z1116" s="3" t="n">
        <v>8536</v>
      </c>
      <c r="AE1116" s="3" t="n">
        <v>3150</v>
      </c>
      <c r="AF1116" s="4" t="n">
        <v>0.5</v>
      </c>
      <c r="AG1116" s="3">
        <f>ROUND(AE1116-(AE1116*AF1116),2)</f>
        <v/>
      </c>
      <c r="AH1116" s="4" t="n">
        <v>0.18</v>
      </c>
      <c r="AI1116" s="3">
        <f>ROUND(AG1116+(AG1116*AH1116),2)</f>
        <v/>
      </c>
      <c r="AJ1116" s="4" t="n">
        <v>0.2</v>
      </c>
      <c r="AK1116" s="3">
        <f>ROUND(AI1116*AJ1116,2)</f>
        <v/>
      </c>
      <c r="AL1116" s="3">
        <f>AI1116+AK1116</f>
        <v/>
      </c>
      <c r="AM1116" s="3">
        <f>AE1116-AL1116</f>
        <v/>
      </c>
      <c r="AN1116" s="4">
        <f>AM1116/AE1116</f>
        <v/>
      </c>
      <c r="AO1116" s="3" t="inlineStr">
        <is>
          <t>60 mins</t>
        </is>
      </c>
      <c r="AQ1116" s="3" t="inlineStr">
        <is>
          <t>Weight</t>
        </is>
      </c>
      <c r="AT1116" s="3" t="inlineStr">
        <is>
          <t>On Demand</t>
        </is>
      </c>
    </row>
    <row r="1117" ht="15.75" customHeight="1">
      <c r="A1117" s="3" t="inlineStr">
        <is>
          <t>PROD_0234</t>
        </is>
      </c>
      <c r="B1117" s="3" t="inlineStr">
        <is>
          <t>VAR_56</t>
        </is>
      </c>
      <c r="C1117" s="3" t="inlineStr">
        <is>
          <t>Electrical Material</t>
        </is>
      </c>
      <c r="D1117" s="3" t="inlineStr">
        <is>
          <t>MCB/ RCCB</t>
        </is>
      </c>
      <c r="E1117" s="3" t="inlineStr">
        <is>
          <t>Legrand</t>
        </is>
      </c>
      <c r="F1117" s="3" t="inlineStr">
        <is>
          <t>MCB</t>
        </is>
      </c>
      <c r="H1117" s="3" t="inlineStr">
        <is>
          <t>Series</t>
        </is>
      </c>
      <c r="I1117" s="3" t="inlineStr">
        <is>
          <t>C</t>
        </is>
      </c>
      <c r="J1117" s="3" t="inlineStr">
        <is>
          <t>Amperage</t>
        </is>
      </c>
      <c r="K1117" s="3" t="inlineStr">
        <is>
          <t>63 A</t>
        </is>
      </c>
      <c r="L1117" s="3" t="inlineStr">
        <is>
          <t>Poles</t>
        </is>
      </c>
      <c r="M1117" s="3" t="inlineStr">
        <is>
          <t>TP</t>
        </is>
      </c>
      <c r="Q1117" s="3" t="inlineStr">
        <is>
          <t>Manufacturer's Warranty</t>
        </is>
      </c>
      <c r="R1117" s="3" t="inlineStr">
        <is>
          <t>4086 61</t>
        </is>
      </c>
      <c r="Y1117" s="3" t="inlineStr">
        <is>
          <t>MCB_LGR_C_TP</t>
        </is>
      </c>
      <c r="Z1117" s="3" t="n">
        <v>8536</v>
      </c>
      <c r="AE1117" s="3" t="n">
        <v>3150</v>
      </c>
      <c r="AF1117" s="4" t="n">
        <v>0.5</v>
      </c>
      <c r="AG1117" s="3">
        <f>ROUND(AE1117-(AE1117*AF1117),2)</f>
        <v/>
      </c>
      <c r="AH1117" s="4" t="n">
        <v>0.18</v>
      </c>
      <c r="AI1117" s="3">
        <f>ROUND(AG1117+(AG1117*AH1117),2)</f>
        <v/>
      </c>
      <c r="AJ1117" s="4" t="n">
        <v>0.2</v>
      </c>
      <c r="AK1117" s="3">
        <f>ROUND(AI1117*AJ1117,2)</f>
        <v/>
      </c>
      <c r="AL1117" s="3">
        <f>AI1117+AK1117</f>
        <v/>
      </c>
      <c r="AM1117" s="3">
        <f>AE1117-AL1117</f>
        <v/>
      </c>
      <c r="AN1117" s="4">
        <f>AM1117/AE1117</f>
        <v/>
      </c>
      <c r="AO1117" s="3" t="inlineStr">
        <is>
          <t>60 mins</t>
        </is>
      </c>
      <c r="AQ1117" s="3" t="inlineStr">
        <is>
          <t>Weight</t>
        </is>
      </c>
      <c r="AT1117" s="3" t="inlineStr">
        <is>
          <t>On Demand</t>
        </is>
      </c>
    </row>
    <row r="1118" ht="15.75" customHeight="1">
      <c r="A1118" s="3" t="inlineStr">
        <is>
          <t>PROD_0234</t>
        </is>
      </c>
      <c r="B1118" s="3" t="inlineStr">
        <is>
          <t>VAR_57</t>
        </is>
      </c>
      <c r="C1118" s="3" t="inlineStr">
        <is>
          <t>Electrical Material</t>
        </is>
      </c>
      <c r="D1118" s="3" t="inlineStr">
        <is>
          <t>MCB/ RCCB</t>
        </is>
      </c>
      <c r="E1118" s="3" t="inlineStr">
        <is>
          <t>Legrand</t>
        </is>
      </c>
      <c r="F1118" s="3" t="inlineStr">
        <is>
          <t>MCB</t>
        </is>
      </c>
      <c r="H1118" s="3" t="inlineStr">
        <is>
          <t>Series</t>
        </is>
      </c>
      <c r="I1118" s="3" t="inlineStr">
        <is>
          <t>C</t>
        </is>
      </c>
      <c r="J1118" s="3" t="inlineStr">
        <is>
          <t>Amperage</t>
        </is>
      </c>
      <c r="K1118" s="3" t="inlineStr">
        <is>
          <t>0.5 A</t>
        </is>
      </c>
      <c r="L1118" s="3" t="inlineStr">
        <is>
          <t>Poles</t>
        </is>
      </c>
      <c r="M1118" s="3" t="inlineStr">
        <is>
          <t>TPN</t>
        </is>
      </c>
      <c r="Q1118" s="3" t="inlineStr">
        <is>
          <t>Manufacturer's Warranty</t>
        </is>
      </c>
      <c r="R1118" s="3" t="inlineStr">
        <is>
          <t>4086 65</t>
        </is>
      </c>
      <c r="Y1118" s="3" t="inlineStr">
        <is>
          <t>MCB_LGR_C_TPN</t>
        </is>
      </c>
      <c r="Z1118" s="3" t="n">
        <v>8536</v>
      </c>
      <c r="AE1118" s="3" t="n">
        <v>3248</v>
      </c>
      <c r="AF1118" s="4" t="n">
        <v>0.5</v>
      </c>
      <c r="AG1118" s="3">
        <f>ROUND(AE1118-(AE1118*AF1118),2)</f>
        <v/>
      </c>
      <c r="AH1118" s="4" t="n">
        <v>0.18</v>
      </c>
      <c r="AI1118" s="3">
        <f>ROUND(AG1118+(AG1118*AH1118),2)</f>
        <v/>
      </c>
      <c r="AJ1118" s="4" t="n">
        <v>0.2</v>
      </c>
      <c r="AK1118" s="3">
        <f>ROUND(AI1118*AJ1118,2)</f>
        <v/>
      </c>
      <c r="AL1118" s="3">
        <f>AI1118+AK1118</f>
        <v/>
      </c>
      <c r="AM1118" s="3">
        <f>AE1118-AL1118</f>
        <v/>
      </c>
      <c r="AN1118" s="4">
        <f>AM1118/AE1118</f>
        <v/>
      </c>
      <c r="AO1118" s="3" t="inlineStr">
        <is>
          <t>60 mins</t>
        </is>
      </c>
      <c r="AQ1118" s="3" t="inlineStr">
        <is>
          <t>Weight</t>
        </is>
      </c>
      <c r="AT1118" s="3" t="inlineStr">
        <is>
          <t>On Demand</t>
        </is>
      </c>
    </row>
    <row r="1119" ht="15.75" customHeight="1">
      <c r="A1119" s="3" t="inlineStr">
        <is>
          <t>PROD_0234</t>
        </is>
      </c>
      <c r="B1119" s="3" t="inlineStr">
        <is>
          <t>VAR_58</t>
        </is>
      </c>
      <c r="C1119" s="3" t="inlineStr">
        <is>
          <t>Electrical Material</t>
        </is>
      </c>
      <c r="D1119" s="3" t="inlineStr">
        <is>
          <t>MCB/ RCCB</t>
        </is>
      </c>
      <c r="E1119" s="3" t="inlineStr">
        <is>
          <t>Legrand</t>
        </is>
      </c>
      <c r="F1119" s="3" t="inlineStr">
        <is>
          <t>MCB</t>
        </is>
      </c>
      <c r="H1119" s="3" t="inlineStr">
        <is>
          <t>Series</t>
        </is>
      </c>
      <c r="I1119" s="3" t="inlineStr">
        <is>
          <t>C</t>
        </is>
      </c>
      <c r="J1119" s="3" t="inlineStr">
        <is>
          <t>Amperage</t>
        </is>
      </c>
      <c r="K1119" s="3" t="inlineStr">
        <is>
          <t>1 A</t>
        </is>
      </c>
      <c r="L1119" s="3" t="inlineStr">
        <is>
          <t>Poles</t>
        </is>
      </c>
      <c r="M1119" s="3" t="inlineStr">
        <is>
          <t>TPN</t>
        </is>
      </c>
      <c r="Q1119" s="3" t="inlineStr">
        <is>
          <t>Manufacturer's Warranty</t>
        </is>
      </c>
      <c r="R1119" s="3" t="inlineStr">
        <is>
          <t>4086 66</t>
        </is>
      </c>
      <c r="Y1119" s="3" t="inlineStr">
        <is>
          <t>MCB_LGR_C_TPN</t>
        </is>
      </c>
      <c r="Z1119" s="3" t="n">
        <v>8536</v>
      </c>
      <c r="AE1119" s="3" t="n">
        <v>3248</v>
      </c>
      <c r="AF1119" s="4" t="n">
        <v>0.5</v>
      </c>
      <c r="AG1119" s="3">
        <f>ROUND(AE1119-(AE1119*AF1119),2)</f>
        <v/>
      </c>
      <c r="AH1119" s="4" t="n">
        <v>0.18</v>
      </c>
      <c r="AI1119" s="3">
        <f>ROUND(AG1119+(AG1119*AH1119),2)</f>
        <v/>
      </c>
      <c r="AJ1119" s="4" t="n">
        <v>0.2</v>
      </c>
      <c r="AK1119" s="3">
        <f>ROUND(AI1119*AJ1119,2)</f>
        <v/>
      </c>
      <c r="AL1119" s="3">
        <f>AI1119+AK1119</f>
        <v/>
      </c>
      <c r="AM1119" s="3">
        <f>AE1119-AL1119</f>
        <v/>
      </c>
      <c r="AN1119" s="4">
        <f>AM1119/AE1119</f>
        <v/>
      </c>
      <c r="AO1119" s="3" t="inlineStr">
        <is>
          <t>60 mins</t>
        </is>
      </c>
      <c r="AQ1119" s="3" t="inlineStr">
        <is>
          <t>Weight</t>
        </is>
      </c>
      <c r="AT1119" s="3" t="inlineStr">
        <is>
          <t>On Demand</t>
        </is>
      </c>
    </row>
    <row r="1120" ht="15.75" customHeight="1">
      <c r="A1120" s="3" t="inlineStr">
        <is>
          <t>PROD_0234</t>
        </is>
      </c>
      <c r="B1120" s="3" t="inlineStr">
        <is>
          <t>VAR_59</t>
        </is>
      </c>
      <c r="C1120" s="3" t="inlineStr">
        <is>
          <t>Electrical Material</t>
        </is>
      </c>
      <c r="D1120" s="3" t="inlineStr">
        <is>
          <t>MCB/ RCCB</t>
        </is>
      </c>
      <c r="E1120" s="3" t="inlineStr">
        <is>
          <t>Legrand</t>
        </is>
      </c>
      <c r="F1120" s="3" t="inlineStr">
        <is>
          <t>MCB</t>
        </is>
      </c>
      <c r="H1120" s="3" t="inlineStr">
        <is>
          <t>Series</t>
        </is>
      </c>
      <c r="I1120" s="3" t="inlineStr">
        <is>
          <t>C</t>
        </is>
      </c>
      <c r="J1120" s="3" t="inlineStr">
        <is>
          <t>Amperage</t>
        </is>
      </c>
      <c r="K1120" s="3" t="inlineStr">
        <is>
          <t>2 A</t>
        </is>
      </c>
      <c r="L1120" s="3" t="inlineStr">
        <is>
          <t>Poles</t>
        </is>
      </c>
      <c r="M1120" s="3" t="inlineStr">
        <is>
          <t>TPN</t>
        </is>
      </c>
      <c r="Q1120" s="3" t="inlineStr">
        <is>
          <t>Manufacturer's Warranty</t>
        </is>
      </c>
      <c r="R1120" s="3" t="inlineStr">
        <is>
          <t>4086 68</t>
        </is>
      </c>
      <c r="Y1120" s="3" t="inlineStr">
        <is>
          <t>MCB_LGR_C_TPN</t>
        </is>
      </c>
      <c r="Z1120" s="3" t="n">
        <v>8536</v>
      </c>
      <c r="AE1120" s="3" t="n">
        <v>3248</v>
      </c>
      <c r="AF1120" s="4" t="n">
        <v>0.5</v>
      </c>
      <c r="AG1120" s="3">
        <f>ROUND(AE1120-(AE1120*AF1120),2)</f>
        <v/>
      </c>
      <c r="AH1120" s="4" t="n">
        <v>0.18</v>
      </c>
      <c r="AI1120" s="3">
        <f>ROUND(AG1120+(AG1120*AH1120),2)</f>
        <v/>
      </c>
      <c r="AJ1120" s="4" t="n">
        <v>0.2</v>
      </c>
      <c r="AK1120" s="3">
        <f>ROUND(AI1120*AJ1120,2)</f>
        <v/>
      </c>
      <c r="AL1120" s="3">
        <f>AI1120+AK1120</f>
        <v/>
      </c>
      <c r="AM1120" s="3">
        <f>AE1120-AL1120</f>
        <v/>
      </c>
      <c r="AN1120" s="4">
        <f>AM1120/AE1120</f>
        <v/>
      </c>
      <c r="AO1120" s="3" t="inlineStr">
        <is>
          <t>60 mins</t>
        </is>
      </c>
      <c r="AQ1120" s="3" t="inlineStr">
        <is>
          <t>Weight</t>
        </is>
      </c>
      <c r="AT1120" s="3" t="inlineStr">
        <is>
          <t>On Demand</t>
        </is>
      </c>
    </row>
    <row r="1121" ht="15.75" customHeight="1">
      <c r="A1121" s="3" t="inlineStr">
        <is>
          <t>PROD_0234</t>
        </is>
      </c>
      <c r="B1121" s="3" t="inlineStr">
        <is>
          <t>VAR_60</t>
        </is>
      </c>
      <c r="C1121" s="3" t="inlineStr">
        <is>
          <t>Electrical Material</t>
        </is>
      </c>
      <c r="D1121" s="3" t="inlineStr">
        <is>
          <t>MCB/ RCCB</t>
        </is>
      </c>
      <c r="E1121" s="3" t="inlineStr">
        <is>
          <t>Legrand</t>
        </is>
      </c>
      <c r="F1121" s="3" t="inlineStr">
        <is>
          <t>MCB</t>
        </is>
      </c>
      <c r="H1121" s="3" t="inlineStr">
        <is>
          <t>Series</t>
        </is>
      </c>
      <c r="I1121" s="3" t="inlineStr">
        <is>
          <t>C</t>
        </is>
      </c>
      <c r="J1121" s="3" t="inlineStr">
        <is>
          <t>Amperage</t>
        </is>
      </c>
      <c r="K1121" s="3" t="inlineStr">
        <is>
          <t>3 A</t>
        </is>
      </c>
      <c r="L1121" s="3" t="inlineStr">
        <is>
          <t>Poles</t>
        </is>
      </c>
      <c r="M1121" s="3" t="inlineStr">
        <is>
          <t>TPN</t>
        </is>
      </c>
      <c r="Q1121" s="3" t="inlineStr">
        <is>
          <t>Manufacturer's Warranty</t>
        </is>
      </c>
      <c r="R1121" s="3" t="inlineStr">
        <is>
          <t>4086 69</t>
        </is>
      </c>
      <c r="Y1121" s="3" t="inlineStr">
        <is>
          <t>MCB_LGR_C_TPN</t>
        </is>
      </c>
      <c r="Z1121" s="3" t="n">
        <v>8536</v>
      </c>
      <c r="AE1121" s="3" t="n">
        <v>3248</v>
      </c>
      <c r="AF1121" s="4" t="n">
        <v>0.5</v>
      </c>
      <c r="AG1121" s="3">
        <f>ROUND(AE1121-(AE1121*AF1121),2)</f>
        <v/>
      </c>
      <c r="AH1121" s="4" t="n">
        <v>0.18</v>
      </c>
      <c r="AI1121" s="3">
        <f>ROUND(AG1121+(AG1121*AH1121),2)</f>
        <v/>
      </c>
      <c r="AJ1121" s="4" t="n">
        <v>0.2</v>
      </c>
      <c r="AK1121" s="3">
        <f>ROUND(AI1121*AJ1121,2)</f>
        <v/>
      </c>
      <c r="AL1121" s="3">
        <f>AI1121+AK1121</f>
        <v/>
      </c>
      <c r="AM1121" s="3">
        <f>AE1121-AL1121</f>
        <v/>
      </c>
      <c r="AN1121" s="4">
        <f>AM1121/AE1121</f>
        <v/>
      </c>
      <c r="AO1121" s="3" t="inlineStr">
        <is>
          <t>60 mins</t>
        </is>
      </c>
      <c r="AQ1121" s="3" t="inlineStr">
        <is>
          <t>Weight</t>
        </is>
      </c>
      <c r="AT1121" s="3" t="inlineStr">
        <is>
          <t>On Demand</t>
        </is>
      </c>
    </row>
    <row r="1122" ht="15.75" customHeight="1">
      <c r="A1122" s="3" t="inlineStr">
        <is>
          <t>PROD_0234</t>
        </is>
      </c>
      <c r="B1122" s="3" t="inlineStr">
        <is>
          <t>VAR_61</t>
        </is>
      </c>
      <c r="C1122" s="3" t="inlineStr">
        <is>
          <t>Electrical Material</t>
        </is>
      </c>
      <c r="D1122" s="3" t="inlineStr">
        <is>
          <t>MCB/ RCCB</t>
        </is>
      </c>
      <c r="E1122" s="3" t="inlineStr">
        <is>
          <t>Legrand</t>
        </is>
      </c>
      <c r="F1122" s="3" t="inlineStr">
        <is>
          <t>MCB</t>
        </is>
      </c>
      <c r="H1122" s="3" t="inlineStr">
        <is>
          <t>Series</t>
        </is>
      </c>
      <c r="I1122" s="3" t="inlineStr">
        <is>
          <t>C</t>
        </is>
      </c>
      <c r="J1122" s="3" t="inlineStr">
        <is>
          <t>Amperage</t>
        </is>
      </c>
      <c r="K1122" s="3" t="inlineStr">
        <is>
          <t>4 A</t>
        </is>
      </c>
      <c r="L1122" s="3" t="inlineStr">
        <is>
          <t>Poles</t>
        </is>
      </c>
      <c r="M1122" s="3" t="inlineStr">
        <is>
          <t>TPN</t>
        </is>
      </c>
      <c r="Q1122" s="3" t="inlineStr">
        <is>
          <t>Manufacturer's Warranty</t>
        </is>
      </c>
      <c r="R1122" s="3" t="inlineStr">
        <is>
          <t>4086 70</t>
        </is>
      </c>
      <c r="Y1122" s="3" t="inlineStr">
        <is>
          <t>MCB_LGR_C_TPN</t>
        </is>
      </c>
      <c r="Z1122" s="3" t="n">
        <v>8536</v>
      </c>
      <c r="AE1122" s="3" t="n">
        <v>3248</v>
      </c>
      <c r="AF1122" s="4" t="n">
        <v>0.5</v>
      </c>
      <c r="AG1122" s="3">
        <f>ROUND(AE1122-(AE1122*AF1122),2)</f>
        <v/>
      </c>
      <c r="AH1122" s="4" t="n">
        <v>0.18</v>
      </c>
      <c r="AI1122" s="3">
        <f>ROUND(AG1122+(AG1122*AH1122),2)</f>
        <v/>
      </c>
      <c r="AJ1122" s="4" t="n">
        <v>0.2</v>
      </c>
      <c r="AK1122" s="3">
        <f>ROUND(AI1122*AJ1122,2)</f>
        <v/>
      </c>
      <c r="AL1122" s="3">
        <f>AI1122+AK1122</f>
        <v/>
      </c>
      <c r="AM1122" s="3">
        <f>AE1122-AL1122</f>
        <v/>
      </c>
      <c r="AN1122" s="4">
        <f>AM1122/AE1122</f>
        <v/>
      </c>
      <c r="AO1122" s="3" t="inlineStr">
        <is>
          <t>60 mins</t>
        </is>
      </c>
      <c r="AQ1122" s="3" t="inlineStr">
        <is>
          <t>Weight</t>
        </is>
      </c>
      <c r="AT1122" s="3" t="inlineStr">
        <is>
          <t>On Demand</t>
        </is>
      </c>
    </row>
    <row r="1123" ht="15.75" customHeight="1">
      <c r="A1123" s="3" t="inlineStr">
        <is>
          <t>PROD_0234</t>
        </is>
      </c>
      <c r="B1123" s="3" t="inlineStr">
        <is>
          <t>VAR_62</t>
        </is>
      </c>
      <c r="C1123" s="3" t="inlineStr">
        <is>
          <t>Electrical Material</t>
        </is>
      </c>
      <c r="D1123" s="3" t="inlineStr">
        <is>
          <t>MCB/ RCCB</t>
        </is>
      </c>
      <c r="E1123" s="3" t="inlineStr">
        <is>
          <t>Legrand</t>
        </is>
      </c>
      <c r="F1123" s="3" t="inlineStr">
        <is>
          <t>MCB</t>
        </is>
      </c>
      <c r="H1123" s="3" t="inlineStr">
        <is>
          <t>Series</t>
        </is>
      </c>
      <c r="I1123" s="3" t="inlineStr">
        <is>
          <t>C</t>
        </is>
      </c>
      <c r="J1123" s="3" t="inlineStr">
        <is>
          <t>Amperage</t>
        </is>
      </c>
      <c r="K1123" s="3" t="inlineStr">
        <is>
          <t>6 A</t>
        </is>
      </c>
      <c r="L1123" s="3" t="inlineStr">
        <is>
          <t>Poles</t>
        </is>
      </c>
      <c r="M1123" s="3" t="inlineStr">
        <is>
          <t>TPN</t>
        </is>
      </c>
      <c r="Q1123" s="3" t="inlineStr">
        <is>
          <t>Manufacturer's Warranty</t>
        </is>
      </c>
      <c r="R1123" s="3" t="inlineStr">
        <is>
          <t>4086 72</t>
        </is>
      </c>
      <c r="Y1123" s="3" t="inlineStr">
        <is>
          <t>MCB_LGR_C_TPN</t>
        </is>
      </c>
      <c r="Z1123" s="3" t="n">
        <v>8536</v>
      </c>
      <c r="AE1123" s="3" t="n">
        <v>2706</v>
      </c>
      <c r="AF1123" s="4" t="n">
        <v>0.5</v>
      </c>
      <c r="AG1123" s="3">
        <f>ROUND(AE1123-(AE1123*AF1123),2)</f>
        <v/>
      </c>
      <c r="AH1123" s="4" t="n">
        <v>0.18</v>
      </c>
      <c r="AI1123" s="3">
        <f>ROUND(AG1123+(AG1123*AH1123),2)</f>
        <v/>
      </c>
      <c r="AJ1123" s="4" t="n">
        <v>0.2</v>
      </c>
      <c r="AK1123" s="3">
        <f>ROUND(AI1123*AJ1123,2)</f>
        <v/>
      </c>
      <c r="AL1123" s="3">
        <f>AI1123+AK1123</f>
        <v/>
      </c>
      <c r="AM1123" s="3">
        <f>AE1123-AL1123</f>
        <v/>
      </c>
      <c r="AN1123" s="4">
        <f>AM1123/AE1123</f>
        <v/>
      </c>
      <c r="AO1123" s="3" t="inlineStr">
        <is>
          <t>60 mins</t>
        </is>
      </c>
      <c r="AQ1123" s="3" t="inlineStr">
        <is>
          <t>Weight</t>
        </is>
      </c>
      <c r="AT1123" s="3" t="inlineStr">
        <is>
          <t>On Demand</t>
        </is>
      </c>
    </row>
    <row r="1124" ht="15.75" customHeight="1">
      <c r="A1124" s="3" t="inlineStr">
        <is>
          <t>PROD_0234</t>
        </is>
      </c>
      <c r="B1124" s="3" t="inlineStr">
        <is>
          <t>VAR_63</t>
        </is>
      </c>
      <c r="C1124" s="3" t="inlineStr">
        <is>
          <t>Electrical Material</t>
        </is>
      </c>
      <c r="D1124" s="3" t="inlineStr">
        <is>
          <t>MCB/ RCCB</t>
        </is>
      </c>
      <c r="E1124" s="3" t="inlineStr">
        <is>
          <t>Legrand</t>
        </is>
      </c>
      <c r="F1124" s="3" t="inlineStr">
        <is>
          <t>MCB</t>
        </is>
      </c>
      <c r="H1124" s="3" t="inlineStr">
        <is>
          <t>Series</t>
        </is>
      </c>
      <c r="I1124" s="3" t="inlineStr">
        <is>
          <t>C</t>
        </is>
      </c>
      <c r="J1124" s="3" t="inlineStr">
        <is>
          <t>Amperage</t>
        </is>
      </c>
      <c r="K1124" s="3" t="inlineStr">
        <is>
          <t>10 A</t>
        </is>
      </c>
      <c r="L1124" s="3" t="inlineStr">
        <is>
          <t>Poles</t>
        </is>
      </c>
      <c r="M1124" s="3" t="inlineStr">
        <is>
          <t>TPN</t>
        </is>
      </c>
      <c r="Q1124" s="3" t="inlineStr">
        <is>
          <t>Manufacturer's Warranty</t>
        </is>
      </c>
      <c r="R1124" s="3" t="inlineStr">
        <is>
          <t>4086 75</t>
        </is>
      </c>
      <c r="Y1124" s="3" t="inlineStr">
        <is>
          <t>MCB_LGR_C_TPN</t>
        </is>
      </c>
      <c r="Z1124" s="3" t="n">
        <v>8536</v>
      </c>
      <c r="AE1124" s="3" t="n">
        <v>2706</v>
      </c>
      <c r="AF1124" s="4" t="n">
        <v>0.5</v>
      </c>
      <c r="AG1124" s="3">
        <f>ROUND(AE1124-(AE1124*AF1124),2)</f>
        <v/>
      </c>
      <c r="AH1124" s="4" t="n">
        <v>0.18</v>
      </c>
      <c r="AI1124" s="3">
        <f>ROUND(AG1124+(AG1124*AH1124),2)</f>
        <v/>
      </c>
      <c r="AJ1124" s="4" t="n">
        <v>0.2</v>
      </c>
      <c r="AK1124" s="3">
        <f>ROUND(AI1124*AJ1124,2)</f>
        <v/>
      </c>
      <c r="AL1124" s="3">
        <f>AI1124+AK1124</f>
        <v/>
      </c>
      <c r="AM1124" s="3">
        <f>AE1124-AL1124</f>
        <v/>
      </c>
      <c r="AN1124" s="4">
        <f>AM1124/AE1124</f>
        <v/>
      </c>
      <c r="AO1124" s="3" t="inlineStr">
        <is>
          <t>60 mins</t>
        </is>
      </c>
      <c r="AQ1124" s="3" t="inlineStr">
        <is>
          <t>Weight</t>
        </is>
      </c>
      <c r="AT1124" s="3" t="inlineStr">
        <is>
          <t>On Demand</t>
        </is>
      </c>
    </row>
    <row r="1125" ht="15.75" customHeight="1">
      <c r="A1125" s="3" t="inlineStr">
        <is>
          <t>PROD_0234</t>
        </is>
      </c>
      <c r="B1125" s="3" t="inlineStr">
        <is>
          <t>VAR_64</t>
        </is>
      </c>
      <c r="C1125" s="3" t="inlineStr">
        <is>
          <t>Electrical Material</t>
        </is>
      </c>
      <c r="D1125" s="3" t="inlineStr">
        <is>
          <t>MCB/ RCCB</t>
        </is>
      </c>
      <c r="E1125" s="3" t="inlineStr">
        <is>
          <t>Legrand</t>
        </is>
      </c>
      <c r="F1125" s="3" t="inlineStr">
        <is>
          <t>MCB</t>
        </is>
      </c>
      <c r="H1125" s="3" t="inlineStr">
        <is>
          <t>Series</t>
        </is>
      </c>
      <c r="I1125" s="3" t="inlineStr">
        <is>
          <t>C</t>
        </is>
      </c>
      <c r="J1125" s="3" t="inlineStr">
        <is>
          <t>Amperage</t>
        </is>
      </c>
      <c r="K1125" s="3" t="inlineStr">
        <is>
          <t>16 A</t>
        </is>
      </c>
      <c r="L1125" s="3" t="inlineStr">
        <is>
          <t>Poles</t>
        </is>
      </c>
      <c r="M1125" s="3" t="inlineStr">
        <is>
          <t>TPN</t>
        </is>
      </c>
      <c r="Q1125" s="3" t="inlineStr">
        <is>
          <t>Manufacturer's Warranty</t>
        </is>
      </c>
      <c r="R1125" s="3" t="inlineStr">
        <is>
          <t>4086 77</t>
        </is>
      </c>
      <c r="Y1125" s="3" t="inlineStr">
        <is>
          <t>MCB_LGR_C_TPN</t>
        </is>
      </c>
      <c r="Z1125" s="3" t="n">
        <v>8536</v>
      </c>
      <c r="AE1125" s="3" t="n">
        <v>2706</v>
      </c>
      <c r="AF1125" s="4" t="n">
        <v>0.5</v>
      </c>
      <c r="AG1125" s="3">
        <f>ROUND(AE1125-(AE1125*AF1125),2)</f>
        <v/>
      </c>
      <c r="AH1125" s="4" t="n">
        <v>0.18</v>
      </c>
      <c r="AI1125" s="3">
        <f>ROUND(AG1125+(AG1125*AH1125),2)</f>
        <v/>
      </c>
      <c r="AJ1125" s="4" t="n">
        <v>0.2</v>
      </c>
      <c r="AK1125" s="3">
        <f>ROUND(AI1125*AJ1125,2)</f>
        <v/>
      </c>
      <c r="AL1125" s="3">
        <f>AI1125+AK1125</f>
        <v/>
      </c>
      <c r="AM1125" s="3">
        <f>AE1125-AL1125</f>
        <v/>
      </c>
      <c r="AN1125" s="4">
        <f>AM1125/AE1125</f>
        <v/>
      </c>
      <c r="AO1125" s="3" t="inlineStr">
        <is>
          <t>60 mins</t>
        </is>
      </c>
      <c r="AQ1125" s="3" t="inlineStr">
        <is>
          <t>Weight</t>
        </is>
      </c>
      <c r="AT1125" s="3" t="inlineStr">
        <is>
          <t>On Demand</t>
        </is>
      </c>
    </row>
    <row r="1126" ht="15.75" customHeight="1">
      <c r="A1126" s="3" t="inlineStr">
        <is>
          <t>PROD_0234</t>
        </is>
      </c>
      <c r="B1126" s="3" t="inlineStr">
        <is>
          <t>VAR_65</t>
        </is>
      </c>
      <c r="C1126" s="3" t="inlineStr">
        <is>
          <t>Electrical Material</t>
        </is>
      </c>
      <c r="D1126" s="3" t="inlineStr">
        <is>
          <t>MCB/ RCCB</t>
        </is>
      </c>
      <c r="E1126" s="3" t="inlineStr">
        <is>
          <t>Legrand</t>
        </is>
      </c>
      <c r="F1126" s="3" t="inlineStr">
        <is>
          <t>MCB</t>
        </is>
      </c>
      <c r="H1126" s="3" t="inlineStr">
        <is>
          <t>Series</t>
        </is>
      </c>
      <c r="I1126" s="3" t="inlineStr">
        <is>
          <t>C</t>
        </is>
      </c>
      <c r="J1126" s="3" t="inlineStr">
        <is>
          <t>Amperage</t>
        </is>
      </c>
      <c r="K1126" s="3" t="inlineStr">
        <is>
          <t>20 A</t>
        </is>
      </c>
      <c r="L1126" s="3" t="inlineStr">
        <is>
          <t>Poles</t>
        </is>
      </c>
      <c r="M1126" s="3" t="inlineStr">
        <is>
          <t>TPN</t>
        </is>
      </c>
      <c r="Q1126" s="3" t="inlineStr">
        <is>
          <t>Manufacturer's Warranty</t>
        </is>
      </c>
      <c r="R1126" s="3" t="inlineStr">
        <is>
          <t>4086 78</t>
        </is>
      </c>
      <c r="Y1126" s="3" t="inlineStr">
        <is>
          <t>MCB_LGR_C_TPN</t>
        </is>
      </c>
      <c r="Z1126" s="3" t="n">
        <v>8536</v>
      </c>
      <c r="AE1126" s="3" t="n">
        <v>2706</v>
      </c>
      <c r="AF1126" s="4" t="n">
        <v>0.5</v>
      </c>
      <c r="AG1126" s="3">
        <f>ROUND(AE1126-(AE1126*AF1126),2)</f>
        <v/>
      </c>
      <c r="AH1126" s="4" t="n">
        <v>0.18</v>
      </c>
      <c r="AI1126" s="3">
        <f>ROUND(AG1126+(AG1126*AH1126),2)</f>
        <v/>
      </c>
      <c r="AJ1126" s="4" t="n">
        <v>0.2</v>
      </c>
      <c r="AK1126" s="3">
        <f>ROUND(AI1126*AJ1126,2)</f>
        <v/>
      </c>
      <c r="AL1126" s="3">
        <f>AI1126+AK1126</f>
        <v/>
      </c>
      <c r="AM1126" s="3">
        <f>AE1126-AL1126</f>
        <v/>
      </c>
      <c r="AN1126" s="4">
        <f>AM1126/AE1126</f>
        <v/>
      </c>
      <c r="AO1126" s="3" t="inlineStr">
        <is>
          <t>60 mins</t>
        </is>
      </c>
      <c r="AQ1126" s="3" t="inlineStr">
        <is>
          <t>Weight</t>
        </is>
      </c>
      <c r="AT1126" s="3" t="inlineStr">
        <is>
          <t>On Demand</t>
        </is>
      </c>
    </row>
    <row r="1127" ht="15.75" customHeight="1">
      <c r="A1127" s="3" t="inlineStr">
        <is>
          <t>PROD_0234</t>
        </is>
      </c>
      <c r="B1127" s="3" t="inlineStr">
        <is>
          <t>VAR_66</t>
        </is>
      </c>
      <c r="C1127" s="3" t="inlineStr">
        <is>
          <t>Electrical Material</t>
        </is>
      </c>
      <c r="D1127" s="3" t="inlineStr">
        <is>
          <t>MCB/ RCCB</t>
        </is>
      </c>
      <c r="E1127" s="3" t="inlineStr">
        <is>
          <t>Legrand</t>
        </is>
      </c>
      <c r="F1127" s="3" t="inlineStr">
        <is>
          <t>MCB</t>
        </is>
      </c>
      <c r="H1127" s="3" t="inlineStr">
        <is>
          <t>Series</t>
        </is>
      </c>
      <c r="I1127" s="3" t="inlineStr">
        <is>
          <t>C</t>
        </is>
      </c>
      <c r="J1127" s="3" t="inlineStr">
        <is>
          <t>Amperage</t>
        </is>
      </c>
      <c r="K1127" s="3" t="inlineStr">
        <is>
          <t>25 A</t>
        </is>
      </c>
      <c r="L1127" s="3" t="inlineStr">
        <is>
          <t>Poles</t>
        </is>
      </c>
      <c r="M1127" s="3" t="inlineStr">
        <is>
          <t>TPN</t>
        </is>
      </c>
      <c r="Q1127" s="3" t="inlineStr">
        <is>
          <t>Manufacturer's Warranty</t>
        </is>
      </c>
      <c r="R1127" s="3" t="inlineStr">
        <is>
          <t>4086 79</t>
        </is>
      </c>
      <c r="Y1127" s="3" t="inlineStr">
        <is>
          <t>MCB_LGR_C_TPN</t>
        </is>
      </c>
      <c r="Z1127" s="3" t="n">
        <v>8536</v>
      </c>
      <c r="AE1127" s="3" t="n">
        <v>2706</v>
      </c>
      <c r="AF1127" s="4" t="n">
        <v>0.5</v>
      </c>
      <c r="AG1127" s="3">
        <f>ROUND(AE1127-(AE1127*AF1127),2)</f>
        <v/>
      </c>
      <c r="AH1127" s="4" t="n">
        <v>0.18</v>
      </c>
      <c r="AI1127" s="3">
        <f>ROUND(AG1127+(AG1127*AH1127),2)</f>
        <v/>
      </c>
      <c r="AJ1127" s="4" t="n">
        <v>0.2</v>
      </c>
      <c r="AK1127" s="3">
        <f>ROUND(AI1127*AJ1127,2)</f>
        <v/>
      </c>
      <c r="AL1127" s="3">
        <f>AI1127+AK1127</f>
        <v/>
      </c>
      <c r="AM1127" s="3">
        <f>AE1127-AL1127</f>
        <v/>
      </c>
      <c r="AN1127" s="4">
        <f>AM1127/AE1127</f>
        <v/>
      </c>
      <c r="AO1127" s="3" t="inlineStr">
        <is>
          <t>60 mins</t>
        </is>
      </c>
      <c r="AQ1127" s="3" t="inlineStr">
        <is>
          <t>Weight</t>
        </is>
      </c>
      <c r="AT1127" s="3" t="inlineStr">
        <is>
          <t>On Demand</t>
        </is>
      </c>
    </row>
    <row r="1128" ht="15.75" customHeight="1">
      <c r="A1128" s="3" t="inlineStr">
        <is>
          <t>PROD_0234</t>
        </is>
      </c>
      <c r="B1128" s="3" t="inlineStr">
        <is>
          <t>VAR_67</t>
        </is>
      </c>
      <c r="C1128" s="3" t="inlineStr">
        <is>
          <t>Electrical Material</t>
        </is>
      </c>
      <c r="D1128" s="3" t="inlineStr">
        <is>
          <t>MCB/ RCCB</t>
        </is>
      </c>
      <c r="E1128" s="3" t="inlineStr">
        <is>
          <t>Legrand</t>
        </is>
      </c>
      <c r="F1128" s="3" t="inlineStr">
        <is>
          <t>MCB</t>
        </is>
      </c>
      <c r="H1128" s="3" t="inlineStr">
        <is>
          <t>Series</t>
        </is>
      </c>
      <c r="I1128" s="3" t="inlineStr">
        <is>
          <t>C</t>
        </is>
      </c>
      <c r="J1128" s="3" t="inlineStr">
        <is>
          <t>Amperage</t>
        </is>
      </c>
      <c r="K1128" s="3" t="inlineStr">
        <is>
          <t>32 A</t>
        </is>
      </c>
      <c r="L1128" s="3" t="inlineStr">
        <is>
          <t>Poles</t>
        </is>
      </c>
      <c r="M1128" s="3" t="inlineStr">
        <is>
          <t>TPN</t>
        </is>
      </c>
      <c r="Q1128" s="3" t="inlineStr">
        <is>
          <t>Manufacturer's Warranty</t>
        </is>
      </c>
      <c r="R1128" s="3" t="inlineStr">
        <is>
          <t>4086 80</t>
        </is>
      </c>
      <c r="Y1128" s="3" t="inlineStr">
        <is>
          <t>MCB_LGR_C_TPN</t>
        </is>
      </c>
      <c r="Z1128" s="3" t="n">
        <v>8536</v>
      </c>
      <c r="AE1128" s="3" t="n">
        <v>2706</v>
      </c>
      <c r="AF1128" s="4" t="n">
        <v>0.5</v>
      </c>
      <c r="AG1128" s="3">
        <f>ROUND(AE1128-(AE1128*AF1128),2)</f>
        <v/>
      </c>
      <c r="AH1128" s="4" t="n">
        <v>0.18</v>
      </c>
      <c r="AI1128" s="3">
        <f>ROUND(AG1128+(AG1128*AH1128),2)</f>
        <v/>
      </c>
      <c r="AJ1128" s="4" t="n">
        <v>0.2</v>
      </c>
      <c r="AK1128" s="3">
        <f>ROUND(AI1128*AJ1128,2)</f>
        <v/>
      </c>
      <c r="AL1128" s="3">
        <f>AI1128+AK1128</f>
        <v/>
      </c>
      <c r="AM1128" s="3">
        <f>AE1128-AL1128</f>
        <v/>
      </c>
      <c r="AN1128" s="4">
        <f>AM1128/AE1128</f>
        <v/>
      </c>
      <c r="AO1128" s="3" t="inlineStr">
        <is>
          <t>60 mins</t>
        </is>
      </c>
      <c r="AQ1128" s="3" t="inlineStr">
        <is>
          <t>Weight</t>
        </is>
      </c>
      <c r="AT1128" s="3" t="inlineStr">
        <is>
          <t>On Demand</t>
        </is>
      </c>
    </row>
    <row r="1129" ht="15.75" customHeight="1">
      <c r="A1129" s="3" t="inlineStr">
        <is>
          <t>PROD_0234</t>
        </is>
      </c>
      <c r="B1129" s="3" t="inlineStr">
        <is>
          <t>VAR_68</t>
        </is>
      </c>
      <c r="C1129" s="3" t="inlineStr">
        <is>
          <t>Electrical Material</t>
        </is>
      </c>
      <c r="D1129" s="3" t="inlineStr">
        <is>
          <t>MCB/ RCCB</t>
        </is>
      </c>
      <c r="E1129" s="3" t="inlineStr">
        <is>
          <t>Legrand</t>
        </is>
      </c>
      <c r="F1129" s="3" t="inlineStr">
        <is>
          <t>MCB</t>
        </is>
      </c>
      <c r="H1129" s="3" t="inlineStr">
        <is>
          <t>Series</t>
        </is>
      </c>
      <c r="I1129" s="3" t="inlineStr">
        <is>
          <t>C</t>
        </is>
      </c>
      <c r="J1129" s="3" t="inlineStr">
        <is>
          <t>Amperage</t>
        </is>
      </c>
      <c r="K1129" s="3" t="inlineStr">
        <is>
          <t>40 A</t>
        </is>
      </c>
      <c r="L1129" s="3" t="inlineStr">
        <is>
          <t>Poles</t>
        </is>
      </c>
      <c r="M1129" s="3" t="inlineStr">
        <is>
          <t>TPN</t>
        </is>
      </c>
      <c r="Q1129" s="3" t="inlineStr">
        <is>
          <t>Manufacturer's Warranty</t>
        </is>
      </c>
      <c r="R1129" s="3" t="inlineStr">
        <is>
          <t>4086 81</t>
        </is>
      </c>
      <c r="Y1129" s="3" t="inlineStr">
        <is>
          <t>MCB_LGR_C_TPN</t>
        </is>
      </c>
      <c r="Z1129" s="3" t="n">
        <v>8536</v>
      </c>
      <c r="AE1129" s="3" t="n">
        <v>3870</v>
      </c>
      <c r="AF1129" s="4" t="n">
        <v>0.5</v>
      </c>
      <c r="AG1129" s="3">
        <f>ROUND(AE1129-(AE1129*AF1129),2)</f>
        <v/>
      </c>
      <c r="AH1129" s="4" t="n">
        <v>0.18</v>
      </c>
      <c r="AI1129" s="3">
        <f>ROUND(AG1129+(AG1129*AH1129),2)</f>
        <v/>
      </c>
      <c r="AJ1129" s="4" t="n">
        <v>0.2</v>
      </c>
      <c r="AK1129" s="3">
        <f>ROUND(AI1129*AJ1129,2)</f>
        <v/>
      </c>
      <c r="AL1129" s="3">
        <f>AI1129+AK1129</f>
        <v/>
      </c>
      <c r="AM1129" s="3">
        <f>AE1129-AL1129</f>
        <v/>
      </c>
      <c r="AN1129" s="4">
        <f>AM1129/AE1129</f>
        <v/>
      </c>
      <c r="AO1129" s="3" t="inlineStr">
        <is>
          <t>60 mins</t>
        </is>
      </c>
      <c r="AQ1129" s="3" t="inlineStr">
        <is>
          <t>Weight</t>
        </is>
      </c>
      <c r="AT1129" s="3" t="inlineStr">
        <is>
          <t>On Demand</t>
        </is>
      </c>
    </row>
    <row r="1130" ht="15.75" customHeight="1">
      <c r="A1130" s="3" t="inlineStr">
        <is>
          <t>PROD_0234</t>
        </is>
      </c>
      <c r="B1130" s="3" t="inlineStr">
        <is>
          <t>VAR_69</t>
        </is>
      </c>
      <c r="C1130" s="3" t="inlineStr">
        <is>
          <t>Electrical Material</t>
        </is>
      </c>
      <c r="D1130" s="3" t="inlineStr">
        <is>
          <t>MCB/ RCCB</t>
        </is>
      </c>
      <c r="E1130" s="3" t="inlineStr">
        <is>
          <t>Legrand</t>
        </is>
      </c>
      <c r="F1130" s="3" t="inlineStr">
        <is>
          <t>MCB</t>
        </is>
      </c>
      <c r="H1130" s="3" t="inlineStr">
        <is>
          <t>Series</t>
        </is>
      </c>
      <c r="I1130" s="3" t="inlineStr">
        <is>
          <t>C</t>
        </is>
      </c>
      <c r="J1130" s="3" t="inlineStr">
        <is>
          <t>Amperage</t>
        </is>
      </c>
      <c r="K1130" s="3" t="inlineStr">
        <is>
          <t>50 A</t>
        </is>
      </c>
      <c r="L1130" s="3" t="inlineStr">
        <is>
          <t>Poles</t>
        </is>
      </c>
      <c r="M1130" s="3" t="inlineStr">
        <is>
          <t>TPN</t>
        </is>
      </c>
      <c r="Q1130" s="3" t="inlineStr">
        <is>
          <t>Manufacturer's Warranty</t>
        </is>
      </c>
      <c r="R1130" s="3" t="inlineStr">
        <is>
          <t>4086 82</t>
        </is>
      </c>
      <c r="Y1130" s="3" t="inlineStr">
        <is>
          <t>MCB_LGR_C_TPN</t>
        </is>
      </c>
      <c r="Z1130" s="3" t="n">
        <v>8536</v>
      </c>
      <c r="AE1130" s="3" t="n">
        <v>3870</v>
      </c>
      <c r="AF1130" s="4" t="n">
        <v>0.5</v>
      </c>
      <c r="AG1130" s="3">
        <f>ROUND(AE1130-(AE1130*AF1130),2)</f>
        <v/>
      </c>
      <c r="AH1130" s="4" t="n">
        <v>0.18</v>
      </c>
      <c r="AI1130" s="3">
        <f>ROUND(AG1130+(AG1130*AH1130),2)</f>
        <v/>
      </c>
      <c r="AJ1130" s="4" t="n">
        <v>0.2</v>
      </c>
      <c r="AK1130" s="3">
        <f>ROUND(AI1130*AJ1130,2)</f>
        <v/>
      </c>
      <c r="AL1130" s="3">
        <f>AI1130+AK1130</f>
        <v/>
      </c>
      <c r="AM1130" s="3">
        <f>AE1130-AL1130</f>
        <v/>
      </c>
      <c r="AN1130" s="4">
        <f>AM1130/AE1130</f>
        <v/>
      </c>
      <c r="AO1130" s="3" t="inlineStr">
        <is>
          <t>60 mins</t>
        </is>
      </c>
      <c r="AQ1130" s="3" t="inlineStr">
        <is>
          <t>Weight</t>
        </is>
      </c>
      <c r="AT1130" s="3" t="inlineStr">
        <is>
          <t>On Demand</t>
        </is>
      </c>
    </row>
    <row r="1131" ht="15.75" customHeight="1">
      <c r="A1131" s="3" t="inlineStr">
        <is>
          <t>PROD_0234</t>
        </is>
      </c>
      <c r="B1131" s="3" t="inlineStr">
        <is>
          <t>VAR_70</t>
        </is>
      </c>
      <c r="C1131" s="3" t="inlineStr">
        <is>
          <t>Electrical Material</t>
        </is>
      </c>
      <c r="D1131" s="3" t="inlineStr">
        <is>
          <t>MCB/ RCCB</t>
        </is>
      </c>
      <c r="E1131" s="3" t="inlineStr">
        <is>
          <t>Legrand</t>
        </is>
      </c>
      <c r="F1131" s="3" t="inlineStr">
        <is>
          <t>MCB</t>
        </is>
      </c>
      <c r="H1131" s="3" t="inlineStr">
        <is>
          <t>Series</t>
        </is>
      </c>
      <c r="I1131" s="3" t="inlineStr">
        <is>
          <t>C</t>
        </is>
      </c>
      <c r="J1131" s="3" t="inlineStr">
        <is>
          <t>Amperage</t>
        </is>
      </c>
      <c r="K1131" s="3" t="inlineStr">
        <is>
          <t>63 A</t>
        </is>
      </c>
      <c r="L1131" s="3" t="inlineStr">
        <is>
          <t>Poles</t>
        </is>
      </c>
      <c r="M1131" s="3" t="inlineStr">
        <is>
          <t>TPN</t>
        </is>
      </c>
      <c r="Q1131" s="3" t="inlineStr">
        <is>
          <t>Manufacturer's Warranty</t>
        </is>
      </c>
      <c r="R1131" s="3" t="inlineStr">
        <is>
          <t>4086 83</t>
        </is>
      </c>
      <c r="Y1131" s="3" t="inlineStr">
        <is>
          <t>MCB_LGR_C_TPN</t>
        </is>
      </c>
      <c r="Z1131" s="3" t="n">
        <v>8536</v>
      </c>
      <c r="AE1131" s="3" t="n">
        <v>3870</v>
      </c>
      <c r="AF1131" s="4" t="n">
        <v>0.5</v>
      </c>
      <c r="AG1131" s="3">
        <f>ROUND(AE1131-(AE1131*AF1131),2)</f>
        <v/>
      </c>
      <c r="AH1131" s="4" t="n">
        <v>0.18</v>
      </c>
      <c r="AI1131" s="3">
        <f>ROUND(AG1131+(AG1131*AH1131),2)</f>
        <v/>
      </c>
      <c r="AJ1131" s="4" t="n">
        <v>0.2</v>
      </c>
      <c r="AK1131" s="3">
        <f>ROUND(AI1131*AJ1131,2)</f>
        <v/>
      </c>
      <c r="AL1131" s="3">
        <f>AI1131+AK1131</f>
        <v/>
      </c>
      <c r="AM1131" s="3">
        <f>AE1131-AL1131</f>
        <v/>
      </c>
      <c r="AN1131" s="4">
        <f>AM1131/AE1131</f>
        <v/>
      </c>
      <c r="AO1131" s="3" t="inlineStr">
        <is>
          <t>60 mins</t>
        </is>
      </c>
      <c r="AQ1131" s="3" t="inlineStr">
        <is>
          <t>Weight</t>
        </is>
      </c>
      <c r="AT1131" s="3" t="inlineStr">
        <is>
          <t>On Demand</t>
        </is>
      </c>
    </row>
    <row r="1132" ht="15.75" customHeight="1">
      <c r="A1132" s="3" t="inlineStr">
        <is>
          <t>PROD_0234</t>
        </is>
      </c>
      <c r="B1132" s="3" t="inlineStr">
        <is>
          <t>VAR_71</t>
        </is>
      </c>
      <c r="C1132" s="3" t="inlineStr">
        <is>
          <t>Electrical Material</t>
        </is>
      </c>
      <c r="D1132" s="3" t="inlineStr">
        <is>
          <t>MCB/ RCCB</t>
        </is>
      </c>
      <c r="E1132" s="3" t="inlineStr">
        <is>
          <t>Legrand</t>
        </is>
      </c>
      <c r="F1132" s="3" t="inlineStr">
        <is>
          <t>MCB</t>
        </is>
      </c>
      <c r="H1132" s="3" t="inlineStr">
        <is>
          <t>Series</t>
        </is>
      </c>
      <c r="I1132" s="3" t="inlineStr">
        <is>
          <t>C</t>
        </is>
      </c>
      <c r="J1132" s="3" t="inlineStr">
        <is>
          <t>Amperage</t>
        </is>
      </c>
      <c r="K1132" s="3" t="inlineStr">
        <is>
          <t>0.5 A</t>
        </is>
      </c>
      <c r="L1132" s="3" t="inlineStr">
        <is>
          <t>Poles</t>
        </is>
      </c>
      <c r="M1132" s="3" t="inlineStr">
        <is>
          <t>FP</t>
        </is>
      </c>
      <c r="Q1132" s="3" t="inlineStr">
        <is>
          <t>Manufacturer's Warranty</t>
        </is>
      </c>
      <c r="R1132" s="3" t="inlineStr">
        <is>
          <t>4086 84</t>
        </is>
      </c>
      <c r="Y1132" s="3" t="inlineStr">
        <is>
          <t>MCB_LGR_C_FP</t>
        </is>
      </c>
      <c r="Z1132" s="3" t="n">
        <v>8536</v>
      </c>
      <c r="AE1132" s="3" t="n">
        <v>3206</v>
      </c>
      <c r="AF1132" s="4" t="n">
        <v>0.5</v>
      </c>
      <c r="AG1132" s="3">
        <f>ROUND(AE1132-(AE1132*AF1132),2)</f>
        <v/>
      </c>
      <c r="AH1132" s="4" t="n">
        <v>0.18</v>
      </c>
      <c r="AI1132" s="3">
        <f>ROUND(AG1132+(AG1132*AH1132),2)</f>
        <v/>
      </c>
      <c r="AJ1132" s="4" t="n">
        <v>0.2</v>
      </c>
      <c r="AK1132" s="3">
        <f>ROUND(AI1132*AJ1132,2)</f>
        <v/>
      </c>
      <c r="AL1132" s="3">
        <f>AI1132+AK1132</f>
        <v/>
      </c>
      <c r="AM1132" s="3">
        <f>AE1132-AL1132</f>
        <v/>
      </c>
      <c r="AN1132" s="4">
        <f>AM1132/AE1132</f>
        <v/>
      </c>
      <c r="AO1132" s="3" t="inlineStr">
        <is>
          <t>60 mins</t>
        </is>
      </c>
      <c r="AQ1132" s="3" t="inlineStr">
        <is>
          <t>Weight</t>
        </is>
      </c>
      <c r="AT1132" s="3" t="inlineStr">
        <is>
          <t>On Demand</t>
        </is>
      </c>
    </row>
    <row r="1133" ht="15.75" customHeight="1">
      <c r="A1133" s="3" t="inlineStr">
        <is>
          <t>PROD_0234</t>
        </is>
      </c>
      <c r="B1133" s="3" t="inlineStr">
        <is>
          <t>VAR_72</t>
        </is>
      </c>
      <c r="C1133" s="3" t="inlineStr">
        <is>
          <t>Electrical Material</t>
        </is>
      </c>
      <c r="D1133" s="3" t="inlineStr">
        <is>
          <t>MCB/ RCCB</t>
        </is>
      </c>
      <c r="E1133" s="3" t="inlineStr">
        <is>
          <t>Legrand</t>
        </is>
      </c>
      <c r="F1133" s="3" t="inlineStr">
        <is>
          <t>MCB</t>
        </is>
      </c>
      <c r="H1133" s="3" t="inlineStr">
        <is>
          <t>Series</t>
        </is>
      </c>
      <c r="I1133" s="3" t="inlineStr">
        <is>
          <t>C</t>
        </is>
      </c>
      <c r="J1133" s="3" t="inlineStr">
        <is>
          <t>Amperage</t>
        </is>
      </c>
      <c r="K1133" s="3" t="inlineStr">
        <is>
          <t>1 A</t>
        </is>
      </c>
      <c r="L1133" s="3" t="inlineStr">
        <is>
          <t>Poles</t>
        </is>
      </c>
      <c r="M1133" s="3" t="inlineStr">
        <is>
          <t>FP</t>
        </is>
      </c>
      <c r="Q1133" s="3" t="inlineStr">
        <is>
          <t>Manufacturer's Warranty</t>
        </is>
      </c>
      <c r="R1133" s="3" t="inlineStr">
        <is>
          <t>4086 85</t>
        </is>
      </c>
      <c r="Y1133" s="3" t="inlineStr">
        <is>
          <t>MCB_LGR_C_FP</t>
        </is>
      </c>
      <c r="Z1133" s="3" t="n">
        <v>8536</v>
      </c>
      <c r="AE1133" s="3" t="n">
        <v>3206</v>
      </c>
      <c r="AF1133" s="4" t="n">
        <v>0.5</v>
      </c>
      <c r="AG1133" s="3">
        <f>ROUND(AE1133-(AE1133*AF1133),2)</f>
        <v/>
      </c>
      <c r="AH1133" s="4" t="n">
        <v>0.18</v>
      </c>
      <c r="AI1133" s="3">
        <f>ROUND(AG1133+(AG1133*AH1133),2)</f>
        <v/>
      </c>
      <c r="AJ1133" s="4" t="n">
        <v>0.2</v>
      </c>
      <c r="AK1133" s="3">
        <f>ROUND(AI1133*AJ1133,2)</f>
        <v/>
      </c>
      <c r="AL1133" s="3">
        <f>AI1133+AK1133</f>
        <v/>
      </c>
      <c r="AM1133" s="3">
        <f>AE1133-AL1133</f>
        <v/>
      </c>
      <c r="AN1133" s="4">
        <f>AM1133/AE1133</f>
        <v/>
      </c>
      <c r="AO1133" s="3" t="inlineStr">
        <is>
          <t>60 mins</t>
        </is>
      </c>
      <c r="AQ1133" s="3" t="inlineStr">
        <is>
          <t>Weight</t>
        </is>
      </c>
      <c r="AT1133" s="3" t="inlineStr">
        <is>
          <t>On Demand</t>
        </is>
      </c>
    </row>
    <row r="1134" ht="15.75" customHeight="1">
      <c r="A1134" s="3" t="inlineStr">
        <is>
          <t>PROD_0234</t>
        </is>
      </c>
      <c r="B1134" s="3" t="inlineStr">
        <is>
          <t>VAR_73</t>
        </is>
      </c>
      <c r="C1134" s="3" t="inlineStr">
        <is>
          <t>Electrical Material</t>
        </is>
      </c>
      <c r="D1134" s="3" t="inlineStr">
        <is>
          <t>MCB/ RCCB</t>
        </is>
      </c>
      <c r="E1134" s="3" t="inlineStr">
        <is>
          <t>Legrand</t>
        </is>
      </c>
      <c r="F1134" s="3" t="inlineStr">
        <is>
          <t>MCB</t>
        </is>
      </c>
      <c r="H1134" s="3" t="inlineStr">
        <is>
          <t>Series</t>
        </is>
      </c>
      <c r="I1134" s="3" t="inlineStr">
        <is>
          <t>C</t>
        </is>
      </c>
      <c r="J1134" s="3" t="inlineStr">
        <is>
          <t>Amperage</t>
        </is>
      </c>
      <c r="K1134" s="3" t="inlineStr">
        <is>
          <t>2 A</t>
        </is>
      </c>
      <c r="L1134" s="3" t="inlineStr">
        <is>
          <t>Poles</t>
        </is>
      </c>
      <c r="M1134" s="3" t="inlineStr">
        <is>
          <t>FP</t>
        </is>
      </c>
      <c r="Q1134" s="3" t="inlineStr">
        <is>
          <t>Manufacturer's Warranty</t>
        </is>
      </c>
      <c r="R1134" s="3" t="inlineStr">
        <is>
          <t>4086 87</t>
        </is>
      </c>
      <c r="Y1134" s="3" t="inlineStr">
        <is>
          <t>MCB_LGR_C_FP</t>
        </is>
      </c>
      <c r="Z1134" s="3" t="n">
        <v>8536</v>
      </c>
      <c r="AE1134" s="3" t="n">
        <v>3206</v>
      </c>
      <c r="AF1134" s="4" t="n">
        <v>0.5</v>
      </c>
      <c r="AG1134" s="3">
        <f>ROUND(AE1134-(AE1134*AF1134),2)</f>
        <v/>
      </c>
      <c r="AH1134" s="4" t="n">
        <v>0.18</v>
      </c>
      <c r="AI1134" s="3">
        <f>ROUND(AG1134+(AG1134*AH1134),2)</f>
        <v/>
      </c>
      <c r="AJ1134" s="4" t="n">
        <v>0.2</v>
      </c>
      <c r="AK1134" s="3">
        <f>ROUND(AI1134*AJ1134,2)</f>
        <v/>
      </c>
      <c r="AL1134" s="3">
        <f>AI1134+AK1134</f>
        <v/>
      </c>
      <c r="AM1134" s="3">
        <f>AE1134-AL1134</f>
        <v/>
      </c>
      <c r="AN1134" s="4">
        <f>AM1134/AE1134</f>
        <v/>
      </c>
      <c r="AO1134" s="3" t="inlineStr">
        <is>
          <t>60 mins</t>
        </is>
      </c>
      <c r="AQ1134" s="3" t="inlineStr">
        <is>
          <t>Weight</t>
        </is>
      </c>
      <c r="AT1134" s="3" t="inlineStr">
        <is>
          <t>On Demand</t>
        </is>
      </c>
    </row>
    <row r="1135" ht="15.75" customHeight="1">
      <c r="A1135" s="3" t="inlineStr">
        <is>
          <t>PROD_0234</t>
        </is>
      </c>
      <c r="B1135" s="3" t="inlineStr">
        <is>
          <t>VAR_74</t>
        </is>
      </c>
      <c r="C1135" s="3" t="inlineStr">
        <is>
          <t>Electrical Material</t>
        </is>
      </c>
      <c r="D1135" s="3" t="inlineStr">
        <is>
          <t>MCB/ RCCB</t>
        </is>
      </c>
      <c r="E1135" s="3" t="inlineStr">
        <is>
          <t>Legrand</t>
        </is>
      </c>
      <c r="F1135" s="3" t="inlineStr">
        <is>
          <t>MCB</t>
        </is>
      </c>
      <c r="H1135" s="3" t="inlineStr">
        <is>
          <t>Series</t>
        </is>
      </c>
      <c r="I1135" s="3" t="inlineStr">
        <is>
          <t>C</t>
        </is>
      </c>
      <c r="J1135" s="3" t="inlineStr">
        <is>
          <t>Amperage</t>
        </is>
      </c>
      <c r="K1135" s="3" t="inlineStr">
        <is>
          <t>3 A</t>
        </is>
      </c>
      <c r="L1135" s="3" t="inlineStr">
        <is>
          <t>Poles</t>
        </is>
      </c>
      <c r="M1135" s="3" t="inlineStr">
        <is>
          <t>FP</t>
        </is>
      </c>
      <c r="Q1135" s="3" t="inlineStr">
        <is>
          <t>Manufacturer's Warranty</t>
        </is>
      </c>
      <c r="R1135" s="3" t="inlineStr">
        <is>
          <t>4086 88</t>
        </is>
      </c>
      <c r="Y1135" s="3" t="inlineStr">
        <is>
          <t>MCB_LGR_C_FP</t>
        </is>
      </c>
      <c r="Z1135" s="3" t="n">
        <v>8536</v>
      </c>
      <c r="AE1135" s="3" t="n">
        <v>3206</v>
      </c>
      <c r="AF1135" s="4" t="n">
        <v>0.5</v>
      </c>
      <c r="AG1135" s="3">
        <f>ROUND(AE1135-(AE1135*AF1135),2)</f>
        <v/>
      </c>
      <c r="AH1135" s="4" t="n">
        <v>0.18</v>
      </c>
      <c r="AI1135" s="3">
        <f>ROUND(AG1135+(AG1135*AH1135),2)</f>
        <v/>
      </c>
      <c r="AJ1135" s="4" t="n">
        <v>0.2</v>
      </c>
      <c r="AK1135" s="3">
        <f>ROUND(AI1135*AJ1135,2)</f>
        <v/>
      </c>
      <c r="AL1135" s="3">
        <f>AI1135+AK1135</f>
        <v/>
      </c>
      <c r="AM1135" s="3">
        <f>AE1135-AL1135</f>
        <v/>
      </c>
      <c r="AN1135" s="4">
        <f>AM1135/AE1135</f>
        <v/>
      </c>
      <c r="AO1135" s="3" t="inlineStr">
        <is>
          <t>60 mins</t>
        </is>
      </c>
      <c r="AQ1135" s="3" t="inlineStr">
        <is>
          <t>Weight</t>
        </is>
      </c>
      <c r="AT1135" s="3" t="inlineStr">
        <is>
          <t>On Demand</t>
        </is>
      </c>
    </row>
    <row r="1136" ht="15.75" customHeight="1">
      <c r="A1136" s="3" t="inlineStr">
        <is>
          <t>PROD_0234</t>
        </is>
      </c>
      <c r="B1136" s="3" t="inlineStr">
        <is>
          <t>VAR_75</t>
        </is>
      </c>
      <c r="C1136" s="3" t="inlineStr">
        <is>
          <t>Electrical Material</t>
        </is>
      </c>
      <c r="D1136" s="3" t="inlineStr">
        <is>
          <t>MCB/ RCCB</t>
        </is>
      </c>
      <c r="E1136" s="3" t="inlineStr">
        <is>
          <t>Legrand</t>
        </is>
      </c>
      <c r="F1136" s="3" t="inlineStr">
        <is>
          <t>MCB</t>
        </is>
      </c>
      <c r="H1136" s="3" t="inlineStr">
        <is>
          <t>Series</t>
        </is>
      </c>
      <c r="I1136" s="3" t="inlineStr">
        <is>
          <t>C</t>
        </is>
      </c>
      <c r="J1136" s="3" t="inlineStr">
        <is>
          <t>Amperage</t>
        </is>
      </c>
      <c r="K1136" s="3" t="inlineStr">
        <is>
          <t>4 A</t>
        </is>
      </c>
      <c r="L1136" s="3" t="inlineStr">
        <is>
          <t>Poles</t>
        </is>
      </c>
      <c r="M1136" s="3" t="inlineStr">
        <is>
          <t>FP</t>
        </is>
      </c>
      <c r="Q1136" s="3" t="inlineStr">
        <is>
          <t>Manufacturer's Warranty</t>
        </is>
      </c>
      <c r="R1136" s="3" t="inlineStr">
        <is>
          <t>4086 89</t>
        </is>
      </c>
      <c r="Y1136" s="3" t="inlineStr">
        <is>
          <t>MCB_LGR_C_FP</t>
        </is>
      </c>
      <c r="Z1136" s="3" t="n">
        <v>8536</v>
      </c>
      <c r="AE1136" s="3" t="n">
        <v>3206</v>
      </c>
      <c r="AF1136" s="4" t="n">
        <v>0.5</v>
      </c>
      <c r="AG1136" s="3">
        <f>ROUND(AE1136-(AE1136*AF1136),2)</f>
        <v/>
      </c>
      <c r="AH1136" s="4" t="n">
        <v>0.18</v>
      </c>
      <c r="AI1136" s="3">
        <f>ROUND(AG1136+(AG1136*AH1136),2)</f>
        <v/>
      </c>
      <c r="AJ1136" s="4" t="n">
        <v>0.2</v>
      </c>
      <c r="AK1136" s="3">
        <f>ROUND(AI1136*AJ1136,2)</f>
        <v/>
      </c>
      <c r="AL1136" s="3">
        <f>AI1136+AK1136</f>
        <v/>
      </c>
      <c r="AM1136" s="3">
        <f>AE1136-AL1136</f>
        <v/>
      </c>
      <c r="AN1136" s="4">
        <f>AM1136/AE1136</f>
        <v/>
      </c>
      <c r="AO1136" s="3" t="inlineStr">
        <is>
          <t>60 mins</t>
        </is>
      </c>
      <c r="AQ1136" s="3" t="inlineStr">
        <is>
          <t>Weight</t>
        </is>
      </c>
      <c r="AT1136" s="3" t="inlineStr">
        <is>
          <t>On Demand</t>
        </is>
      </c>
    </row>
    <row r="1137" ht="15.75" customHeight="1">
      <c r="A1137" s="3" t="inlineStr">
        <is>
          <t>PROD_0234</t>
        </is>
      </c>
      <c r="B1137" s="3" t="inlineStr">
        <is>
          <t>VAR_76</t>
        </is>
      </c>
      <c r="C1137" s="3" t="inlineStr">
        <is>
          <t>Electrical Material</t>
        </is>
      </c>
      <c r="D1137" s="3" t="inlineStr">
        <is>
          <t>MCB/ RCCB</t>
        </is>
      </c>
      <c r="E1137" s="3" t="inlineStr">
        <is>
          <t>Legrand</t>
        </is>
      </c>
      <c r="F1137" s="3" t="inlineStr">
        <is>
          <t>MCB</t>
        </is>
      </c>
      <c r="H1137" s="3" t="inlineStr">
        <is>
          <t>Series</t>
        </is>
      </c>
      <c r="I1137" s="3" t="inlineStr">
        <is>
          <t>C</t>
        </is>
      </c>
      <c r="J1137" s="3" t="inlineStr">
        <is>
          <t>Amperage</t>
        </is>
      </c>
      <c r="K1137" s="3" t="inlineStr">
        <is>
          <t>6 A</t>
        </is>
      </c>
      <c r="L1137" s="3" t="inlineStr">
        <is>
          <t>Poles</t>
        </is>
      </c>
      <c r="M1137" s="3" t="inlineStr">
        <is>
          <t>FP</t>
        </is>
      </c>
      <c r="Q1137" s="3" t="inlineStr">
        <is>
          <t>Manufacturer's Warranty</t>
        </is>
      </c>
      <c r="R1137" s="3" t="inlineStr">
        <is>
          <t>4086 91</t>
        </is>
      </c>
      <c r="Y1137" s="3" t="inlineStr">
        <is>
          <t>MCB_LGR_C_FP</t>
        </is>
      </c>
      <c r="Z1137" s="3" t="n">
        <v>8536</v>
      </c>
      <c r="AE1137" s="3" t="n">
        <v>2820</v>
      </c>
      <c r="AF1137" s="4" t="n">
        <v>0.5</v>
      </c>
      <c r="AG1137" s="3">
        <f>ROUND(AE1137-(AE1137*AF1137),2)</f>
        <v/>
      </c>
      <c r="AH1137" s="4" t="n">
        <v>0.18</v>
      </c>
      <c r="AI1137" s="3">
        <f>ROUND(AG1137+(AG1137*AH1137),2)</f>
        <v/>
      </c>
      <c r="AJ1137" s="4" t="n">
        <v>0.2</v>
      </c>
      <c r="AK1137" s="3">
        <f>ROUND(AI1137*AJ1137,2)</f>
        <v/>
      </c>
      <c r="AL1137" s="3">
        <f>AI1137+AK1137</f>
        <v/>
      </c>
      <c r="AM1137" s="3">
        <f>AE1137-AL1137</f>
        <v/>
      </c>
      <c r="AN1137" s="4">
        <f>AM1137/AE1137</f>
        <v/>
      </c>
      <c r="AO1137" s="3" t="inlineStr">
        <is>
          <t>60 mins</t>
        </is>
      </c>
      <c r="AQ1137" s="3" t="inlineStr">
        <is>
          <t>Weight</t>
        </is>
      </c>
      <c r="AT1137" s="3" t="inlineStr">
        <is>
          <t>On Demand</t>
        </is>
      </c>
    </row>
    <row r="1138" ht="15.75" customHeight="1">
      <c r="A1138" s="3" t="inlineStr">
        <is>
          <t>PROD_0234</t>
        </is>
      </c>
      <c r="B1138" s="3" t="inlineStr">
        <is>
          <t>VAR_77</t>
        </is>
      </c>
      <c r="C1138" s="3" t="inlineStr">
        <is>
          <t>Electrical Material</t>
        </is>
      </c>
      <c r="D1138" s="3" t="inlineStr">
        <is>
          <t>MCB/ RCCB</t>
        </is>
      </c>
      <c r="E1138" s="3" t="inlineStr">
        <is>
          <t>Legrand</t>
        </is>
      </c>
      <c r="F1138" s="3" t="inlineStr">
        <is>
          <t>MCB</t>
        </is>
      </c>
      <c r="H1138" s="3" t="inlineStr">
        <is>
          <t>Series</t>
        </is>
      </c>
      <c r="I1138" s="3" t="inlineStr">
        <is>
          <t>C</t>
        </is>
      </c>
      <c r="J1138" s="3" t="inlineStr">
        <is>
          <t>Amperage</t>
        </is>
      </c>
      <c r="K1138" s="3" t="inlineStr">
        <is>
          <t>10 A</t>
        </is>
      </c>
      <c r="L1138" s="3" t="inlineStr">
        <is>
          <t>Poles</t>
        </is>
      </c>
      <c r="M1138" s="3" t="inlineStr">
        <is>
          <t>FP</t>
        </is>
      </c>
      <c r="Q1138" s="3" t="inlineStr">
        <is>
          <t>Manufacturer's Warranty</t>
        </is>
      </c>
      <c r="R1138" s="3" t="inlineStr">
        <is>
          <t>4086 94</t>
        </is>
      </c>
      <c r="Y1138" s="3" t="inlineStr">
        <is>
          <t>MCB_LGR_C_FP</t>
        </is>
      </c>
      <c r="Z1138" s="3" t="n">
        <v>8536</v>
      </c>
      <c r="AE1138" s="3" t="n">
        <v>2820</v>
      </c>
      <c r="AF1138" s="4" t="n">
        <v>0.5</v>
      </c>
      <c r="AG1138" s="3">
        <f>ROUND(AE1138-(AE1138*AF1138),2)</f>
        <v/>
      </c>
      <c r="AH1138" s="4" t="n">
        <v>0.18</v>
      </c>
      <c r="AI1138" s="3">
        <f>ROUND(AG1138+(AG1138*AH1138),2)</f>
        <v/>
      </c>
      <c r="AJ1138" s="4" t="n">
        <v>0.2</v>
      </c>
      <c r="AK1138" s="3">
        <f>ROUND(AI1138*AJ1138,2)</f>
        <v/>
      </c>
      <c r="AL1138" s="3">
        <f>AI1138+AK1138</f>
        <v/>
      </c>
      <c r="AM1138" s="3">
        <f>AE1138-AL1138</f>
        <v/>
      </c>
      <c r="AN1138" s="4">
        <f>AM1138/AE1138</f>
        <v/>
      </c>
      <c r="AO1138" s="3" t="inlineStr">
        <is>
          <t>60 mins</t>
        </is>
      </c>
      <c r="AQ1138" s="3" t="inlineStr">
        <is>
          <t>Weight</t>
        </is>
      </c>
      <c r="AT1138" s="3" t="inlineStr">
        <is>
          <t>On Demand</t>
        </is>
      </c>
    </row>
    <row r="1139" ht="15.75" customHeight="1">
      <c r="A1139" s="3" t="inlineStr">
        <is>
          <t>PROD_0234</t>
        </is>
      </c>
      <c r="B1139" s="3" t="inlineStr">
        <is>
          <t>VAR_78</t>
        </is>
      </c>
      <c r="C1139" s="3" t="inlineStr">
        <is>
          <t>Electrical Material</t>
        </is>
      </c>
      <c r="D1139" s="3" t="inlineStr">
        <is>
          <t>MCB/ RCCB</t>
        </is>
      </c>
      <c r="E1139" s="3" t="inlineStr">
        <is>
          <t>Legrand</t>
        </is>
      </c>
      <c r="F1139" s="3" t="inlineStr">
        <is>
          <t>MCB</t>
        </is>
      </c>
      <c r="H1139" s="3" t="inlineStr">
        <is>
          <t>Series</t>
        </is>
      </c>
      <c r="I1139" s="3" t="inlineStr">
        <is>
          <t>C</t>
        </is>
      </c>
      <c r="J1139" s="3" t="inlineStr">
        <is>
          <t>Amperage</t>
        </is>
      </c>
      <c r="K1139" s="3" t="inlineStr">
        <is>
          <t>16 A</t>
        </is>
      </c>
      <c r="L1139" s="3" t="inlineStr">
        <is>
          <t>Poles</t>
        </is>
      </c>
      <c r="M1139" s="3" t="inlineStr">
        <is>
          <t>FP</t>
        </is>
      </c>
      <c r="Q1139" s="3" t="inlineStr">
        <is>
          <t>Manufacturer's Warranty</t>
        </is>
      </c>
      <c r="R1139" s="3" t="inlineStr">
        <is>
          <t>4086 96</t>
        </is>
      </c>
      <c r="Y1139" s="3" t="inlineStr">
        <is>
          <t>MCB_LGR_C_FP</t>
        </is>
      </c>
      <c r="Z1139" s="3" t="n">
        <v>8536</v>
      </c>
      <c r="AE1139" s="3" t="n">
        <v>2820</v>
      </c>
      <c r="AF1139" s="4" t="n">
        <v>0.5</v>
      </c>
      <c r="AG1139" s="3">
        <f>ROUND(AE1139-(AE1139*AF1139),2)</f>
        <v/>
      </c>
      <c r="AH1139" s="4" t="n">
        <v>0.18</v>
      </c>
      <c r="AI1139" s="3">
        <f>ROUND(AG1139+(AG1139*AH1139),2)</f>
        <v/>
      </c>
      <c r="AJ1139" s="4" t="n">
        <v>0.2</v>
      </c>
      <c r="AK1139" s="3">
        <f>ROUND(AI1139*AJ1139,2)</f>
        <v/>
      </c>
      <c r="AL1139" s="3">
        <f>AI1139+AK1139</f>
        <v/>
      </c>
      <c r="AM1139" s="3">
        <f>AE1139-AL1139</f>
        <v/>
      </c>
      <c r="AN1139" s="4">
        <f>AM1139/AE1139</f>
        <v/>
      </c>
      <c r="AO1139" s="3" t="inlineStr">
        <is>
          <t>60 mins</t>
        </is>
      </c>
      <c r="AQ1139" s="3" t="inlineStr">
        <is>
          <t>Weight</t>
        </is>
      </c>
      <c r="AT1139" s="3" t="inlineStr">
        <is>
          <t>On Demand</t>
        </is>
      </c>
    </row>
    <row r="1140" ht="15.75" customHeight="1">
      <c r="A1140" s="3" t="inlineStr">
        <is>
          <t>PROD_0234</t>
        </is>
      </c>
      <c r="B1140" s="3" t="inlineStr">
        <is>
          <t>VAR_79</t>
        </is>
      </c>
      <c r="C1140" s="3" t="inlineStr">
        <is>
          <t>Electrical Material</t>
        </is>
      </c>
      <c r="D1140" s="3" t="inlineStr">
        <is>
          <t>MCB/ RCCB</t>
        </is>
      </c>
      <c r="E1140" s="3" t="inlineStr">
        <is>
          <t>Legrand</t>
        </is>
      </c>
      <c r="F1140" s="3" t="inlineStr">
        <is>
          <t>MCB</t>
        </is>
      </c>
      <c r="H1140" s="3" t="inlineStr">
        <is>
          <t>Series</t>
        </is>
      </c>
      <c r="I1140" s="3" t="inlineStr">
        <is>
          <t>C</t>
        </is>
      </c>
      <c r="J1140" s="3" t="inlineStr">
        <is>
          <t>Amperage</t>
        </is>
      </c>
      <c r="K1140" s="3" t="inlineStr">
        <is>
          <t>20 A</t>
        </is>
      </c>
      <c r="L1140" s="3" t="inlineStr">
        <is>
          <t>Poles</t>
        </is>
      </c>
      <c r="M1140" s="3" t="inlineStr">
        <is>
          <t>FP</t>
        </is>
      </c>
      <c r="Q1140" s="3" t="inlineStr">
        <is>
          <t>Manufacturer's Warranty</t>
        </is>
      </c>
      <c r="R1140" s="3" t="inlineStr">
        <is>
          <t>4086 97</t>
        </is>
      </c>
      <c r="Y1140" s="3" t="inlineStr">
        <is>
          <t>MCB_LGR_C_FP</t>
        </is>
      </c>
      <c r="Z1140" s="3" t="n">
        <v>8536</v>
      </c>
      <c r="AE1140" s="3" t="n">
        <v>2820</v>
      </c>
      <c r="AF1140" s="4" t="n">
        <v>0.5</v>
      </c>
      <c r="AG1140" s="3">
        <f>ROUND(AE1140-(AE1140*AF1140),2)</f>
        <v/>
      </c>
      <c r="AH1140" s="4" t="n">
        <v>0.18</v>
      </c>
      <c r="AI1140" s="3">
        <f>ROUND(AG1140+(AG1140*AH1140),2)</f>
        <v/>
      </c>
      <c r="AJ1140" s="4" t="n">
        <v>0.2</v>
      </c>
      <c r="AK1140" s="3">
        <f>ROUND(AI1140*AJ1140,2)</f>
        <v/>
      </c>
      <c r="AL1140" s="3">
        <f>AI1140+AK1140</f>
        <v/>
      </c>
      <c r="AM1140" s="3">
        <f>AE1140-AL1140</f>
        <v/>
      </c>
      <c r="AN1140" s="4">
        <f>AM1140/AE1140</f>
        <v/>
      </c>
      <c r="AO1140" s="3" t="inlineStr">
        <is>
          <t>60 mins</t>
        </is>
      </c>
      <c r="AQ1140" s="3" t="inlineStr">
        <is>
          <t>Weight</t>
        </is>
      </c>
      <c r="AT1140" s="3" t="inlineStr">
        <is>
          <t>On Demand</t>
        </is>
      </c>
    </row>
    <row r="1141" ht="15.75" customHeight="1">
      <c r="A1141" s="3" t="inlineStr">
        <is>
          <t>PROD_0234</t>
        </is>
      </c>
      <c r="B1141" s="3" t="inlineStr">
        <is>
          <t>VAR_80</t>
        </is>
      </c>
      <c r="C1141" s="3" t="inlineStr">
        <is>
          <t>Electrical Material</t>
        </is>
      </c>
      <c r="D1141" s="3" t="inlineStr">
        <is>
          <t>MCB/ RCCB</t>
        </is>
      </c>
      <c r="E1141" s="3" t="inlineStr">
        <is>
          <t>Legrand</t>
        </is>
      </c>
      <c r="F1141" s="3" t="inlineStr">
        <is>
          <t>MCB</t>
        </is>
      </c>
      <c r="H1141" s="3" t="inlineStr">
        <is>
          <t>Series</t>
        </is>
      </c>
      <c r="I1141" s="3" t="inlineStr">
        <is>
          <t>C</t>
        </is>
      </c>
      <c r="J1141" s="3" t="inlineStr">
        <is>
          <t>Amperage</t>
        </is>
      </c>
      <c r="K1141" s="3" t="inlineStr">
        <is>
          <t>25 A</t>
        </is>
      </c>
      <c r="L1141" s="3" t="inlineStr">
        <is>
          <t>Poles</t>
        </is>
      </c>
      <c r="M1141" s="3" t="inlineStr">
        <is>
          <t>FP</t>
        </is>
      </c>
      <c r="Q1141" s="3" t="inlineStr">
        <is>
          <t>Manufacturer's Warranty</t>
        </is>
      </c>
      <c r="R1141" s="3" t="inlineStr">
        <is>
          <t>4086 98</t>
        </is>
      </c>
      <c r="Y1141" s="3" t="inlineStr">
        <is>
          <t>MCB_LGR_C_FP</t>
        </is>
      </c>
      <c r="Z1141" s="3" t="n">
        <v>8536</v>
      </c>
      <c r="AE1141" s="3" t="n">
        <v>2820</v>
      </c>
      <c r="AF1141" s="4" t="n">
        <v>0.5</v>
      </c>
      <c r="AG1141" s="3">
        <f>ROUND(AE1141-(AE1141*AF1141),2)</f>
        <v/>
      </c>
      <c r="AH1141" s="4" t="n">
        <v>0.18</v>
      </c>
      <c r="AI1141" s="3">
        <f>ROUND(AG1141+(AG1141*AH1141),2)</f>
        <v/>
      </c>
      <c r="AJ1141" s="4" t="n">
        <v>0.2</v>
      </c>
      <c r="AK1141" s="3">
        <f>ROUND(AI1141*AJ1141,2)</f>
        <v/>
      </c>
      <c r="AL1141" s="3">
        <f>AI1141+AK1141</f>
        <v/>
      </c>
      <c r="AM1141" s="3">
        <f>AE1141-AL1141</f>
        <v/>
      </c>
      <c r="AN1141" s="4">
        <f>AM1141/AE1141</f>
        <v/>
      </c>
      <c r="AO1141" s="3" t="inlineStr">
        <is>
          <t>60 mins</t>
        </is>
      </c>
      <c r="AQ1141" s="3" t="inlineStr">
        <is>
          <t>Weight</t>
        </is>
      </c>
      <c r="AT1141" s="3" t="inlineStr">
        <is>
          <t>On Demand</t>
        </is>
      </c>
    </row>
    <row r="1142" ht="15.75" customHeight="1">
      <c r="A1142" s="3" t="inlineStr">
        <is>
          <t>PROD_0234</t>
        </is>
      </c>
      <c r="B1142" s="3" t="inlineStr">
        <is>
          <t>VAR_81</t>
        </is>
      </c>
      <c r="C1142" s="3" t="inlineStr">
        <is>
          <t>Electrical Material</t>
        </is>
      </c>
      <c r="D1142" s="3" t="inlineStr">
        <is>
          <t>MCB/ RCCB</t>
        </is>
      </c>
      <c r="E1142" s="3" t="inlineStr">
        <is>
          <t>Legrand</t>
        </is>
      </c>
      <c r="F1142" s="3" t="inlineStr">
        <is>
          <t>MCB</t>
        </is>
      </c>
      <c r="H1142" s="3" t="inlineStr">
        <is>
          <t>Series</t>
        </is>
      </c>
      <c r="I1142" s="3" t="inlineStr">
        <is>
          <t>C</t>
        </is>
      </c>
      <c r="J1142" s="3" t="inlineStr">
        <is>
          <t>Amperage</t>
        </is>
      </c>
      <c r="K1142" s="3" t="inlineStr">
        <is>
          <t>32 A</t>
        </is>
      </c>
      <c r="L1142" s="3" t="inlineStr">
        <is>
          <t>Poles</t>
        </is>
      </c>
      <c r="M1142" s="3" t="inlineStr">
        <is>
          <t>FP</t>
        </is>
      </c>
      <c r="Q1142" s="3" t="inlineStr">
        <is>
          <t>Manufacturer's Warranty</t>
        </is>
      </c>
      <c r="R1142" s="3" t="inlineStr">
        <is>
          <t>4086 99</t>
        </is>
      </c>
      <c r="Y1142" s="3" t="inlineStr">
        <is>
          <t>MCB_LGR_C_FP</t>
        </is>
      </c>
      <c r="Z1142" s="3" t="n">
        <v>8536</v>
      </c>
      <c r="AE1142" s="3" t="n">
        <v>2820</v>
      </c>
      <c r="AF1142" s="4" t="n">
        <v>0.5</v>
      </c>
      <c r="AG1142" s="3">
        <f>ROUND(AE1142-(AE1142*AF1142),2)</f>
        <v/>
      </c>
      <c r="AH1142" s="4" t="n">
        <v>0.18</v>
      </c>
      <c r="AI1142" s="3">
        <f>ROUND(AG1142+(AG1142*AH1142),2)</f>
        <v/>
      </c>
      <c r="AJ1142" s="4" t="n">
        <v>0.2</v>
      </c>
      <c r="AK1142" s="3">
        <f>ROUND(AI1142*AJ1142,2)</f>
        <v/>
      </c>
      <c r="AL1142" s="3">
        <f>AI1142+AK1142</f>
        <v/>
      </c>
      <c r="AM1142" s="3">
        <f>AE1142-AL1142</f>
        <v/>
      </c>
      <c r="AN1142" s="4">
        <f>AM1142/AE1142</f>
        <v/>
      </c>
      <c r="AO1142" s="3" t="inlineStr">
        <is>
          <t>60 mins</t>
        </is>
      </c>
      <c r="AQ1142" s="3" t="inlineStr">
        <is>
          <t>Weight</t>
        </is>
      </c>
      <c r="AT1142" s="3" t="inlineStr">
        <is>
          <t>On Demand</t>
        </is>
      </c>
    </row>
    <row r="1143" ht="15.75" customHeight="1">
      <c r="A1143" s="3" t="inlineStr">
        <is>
          <t>PROD_0234</t>
        </is>
      </c>
      <c r="B1143" s="3" t="inlineStr">
        <is>
          <t>VAR_82</t>
        </is>
      </c>
      <c r="C1143" s="3" t="inlineStr">
        <is>
          <t>Electrical Material</t>
        </is>
      </c>
      <c r="D1143" s="3" t="inlineStr">
        <is>
          <t>MCB/ RCCB</t>
        </is>
      </c>
      <c r="E1143" s="3" t="inlineStr">
        <is>
          <t>Legrand</t>
        </is>
      </c>
      <c r="F1143" s="3" t="inlineStr">
        <is>
          <t>MCB</t>
        </is>
      </c>
      <c r="H1143" s="3" t="inlineStr">
        <is>
          <t>Series</t>
        </is>
      </c>
      <c r="I1143" s="3" t="inlineStr">
        <is>
          <t>C</t>
        </is>
      </c>
      <c r="J1143" s="3" t="inlineStr">
        <is>
          <t>Amperage</t>
        </is>
      </c>
      <c r="K1143" s="3" t="inlineStr">
        <is>
          <t>40 A</t>
        </is>
      </c>
      <c r="L1143" s="3" t="inlineStr">
        <is>
          <t>Poles</t>
        </is>
      </c>
      <c r="M1143" s="3" t="inlineStr">
        <is>
          <t>FP</t>
        </is>
      </c>
      <c r="Q1143" s="3" t="inlineStr">
        <is>
          <t>Manufacturer's Warranty</t>
        </is>
      </c>
      <c r="R1143" s="3" t="inlineStr">
        <is>
          <t>4087 00</t>
        </is>
      </c>
      <c r="Y1143" s="3" t="inlineStr">
        <is>
          <t>MCB_LGR_C_FP</t>
        </is>
      </c>
      <c r="Z1143" s="3" t="n">
        <v>8536</v>
      </c>
      <c r="AE1143" s="3" t="n">
        <v>4012</v>
      </c>
      <c r="AF1143" s="4" t="n">
        <v>0.5</v>
      </c>
      <c r="AG1143" s="3">
        <f>ROUND(AE1143-(AE1143*AF1143),2)</f>
        <v/>
      </c>
      <c r="AH1143" s="4" t="n">
        <v>0.18</v>
      </c>
      <c r="AI1143" s="3">
        <f>ROUND(AG1143+(AG1143*AH1143),2)</f>
        <v/>
      </c>
      <c r="AJ1143" s="4" t="n">
        <v>0.2</v>
      </c>
      <c r="AK1143" s="3">
        <f>ROUND(AI1143*AJ1143,2)</f>
        <v/>
      </c>
      <c r="AL1143" s="3">
        <f>AI1143+AK1143</f>
        <v/>
      </c>
      <c r="AM1143" s="3">
        <f>AE1143-AL1143</f>
        <v/>
      </c>
      <c r="AN1143" s="4">
        <f>AM1143/AE1143</f>
        <v/>
      </c>
      <c r="AO1143" s="3" t="inlineStr">
        <is>
          <t>60 mins</t>
        </is>
      </c>
      <c r="AQ1143" s="3" t="inlineStr">
        <is>
          <t>Weight</t>
        </is>
      </c>
      <c r="AT1143" s="3" t="inlineStr">
        <is>
          <t>On Demand</t>
        </is>
      </c>
    </row>
    <row r="1144" ht="15.75" customHeight="1">
      <c r="A1144" s="3" t="inlineStr">
        <is>
          <t>PROD_0234</t>
        </is>
      </c>
      <c r="B1144" s="3" t="inlineStr">
        <is>
          <t>VAR_83</t>
        </is>
      </c>
      <c r="C1144" s="3" t="inlineStr">
        <is>
          <t>Electrical Material</t>
        </is>
      </c>
      <c r="D1144" s="3" t="inlineStr">
        <is>
          <t>MCB/ RCCB</t>
        </is>
      </c>
      <c r="E1144" s="3" t="inlineStr">
        <is>
          <t>Legrand</t>
        </is>
      </c>
      <c r="F1144" s="3" t="inlineStr">
        <is>
          <t>MCB</t>
        </is>
      </c>
      <c r="H1144" s="3" t="inlineStr">
        <is>
          <t>Series</t>
        </is>
      </c>
      <c r="I1144" s="3" t="inlineStr">
        <is>
          <t>C</t>
        </is>
      </c>
      <c r="J1144" s="3" t="inlineStr">
        <is>
          <t>Amperage</t>
        </is>
      </c>
      <c r="K1144" s="3" t="inlineStr">
        <is>
          <t>50 A</t>
        </is>
      </c>
      <c r="L1144" s="3" t="inlineStr">
        <is>
          <t>Poles</t>
        </is>
      </c>
      <c r="M1144" s="3" t="inlineStr">
        <is>
          <t>FP</t>
        </is>
      </c>
      <c r="Q1144" s="3" t="inlineStr">
        <is>
          <t>Manufacturer's Warranty</t>
        </is>
      </c>
      <c r="R1144" s="17" t="n">
        <v>798788</v>
      </c>
      <c r="Y1144" s="3" t="inlineStr">
        <is>
          <t>MCB_LGR_C_FP</t>
        </is>
      </c>
      <c r="Z1144" s="3" t="n">
        <v>8536</v>
      </c>
      <c r="AE1144" s="3" t="n">
        <v>4012</v>
      </c>
      <c r="AF1144" s="4" t="n">
        <v>0.5</v>
      </c>
      <c r="AG1144" s="3">
        <f>ROUND(AE1144-(AE1144*AF1144),2)</f>
        <v/>
      </c>
      <c r="AH1144" s="4" t="n">
        <v>0.18</v>
      </c>
      <c r="AI1144" s="3">
        <f>ROUND(AG1144+(AG1144*AH1144),2)</f>
        <v/>
      </c>
      <c r="AJ1144" s="4" t="n">
        <v>0.2</v>
      </c>
      <c r="AK1144" s="3">
        <f>ROUND(AI1144*AJ1144,2)</f>
        <v/>
      </c>
      <c r="AL1144" s="3">
        <f>AI1144+AK1144</f>
        <v/>
      </c>
      <c r="AM1144" s="3">
        <f>AE1144-AL1144</f>
        <v/>
      </c>
      <c r="AN1144" s="4">
        <f>AM1144/AE1144</f>
        <v/>
      </c>
      <c r="AO1144" s="3" t="inlineStr">
        <is>
          <t>60 mins</t>
        </is>
      </c>
      <c r="AQ1144" s="3" t="inlineStr">
        <is>
          <t>Weight</t>
        </is>
      </c>
      <c r="AT1144" s="3" t="inlineStr">
        <is>
          <t>On Demand</t>
        </is>
      </c>
    </row>
    <row r="1145" ht="15.75" customHeight="1">
      <c r="A1145" s="3" t="inlineStr">
        <is>
          <t>PROD_0234</t>
        </is>
      </c>
      <c r="B1145" s="3" t="inlineStr">
        <is>
          <t>VAR_84</t>
        </is>
      </c>
      <c r="C1145" s="3" t="inlineStr">
        <is>
          <t>Electrical Material</t>
        </is>
      </c>
      <c r="D1145" s="3" t="inlineStr">
        <is>
          <t>MCB/ RCCB</t>
        </is>
      </c>
      <c r="E1145" s="3" t="inlineStr">
        <is>
          <t>Legrand</t>
        </is>
      </c>
      <c r="F1145" s="3" t="inlineStr">
        <is>
          <t>MCB</t>
        </is>
      </c>
      <c r="H1145" s="3" t="inlineStr">
        <is>
          <t>Series</t>
        </is>
      </c>
      <c r="I1145" s="3" t="inlineStr">
        <is>
          <t>C</t>
        </is>
      </c>
      <c r="J1145" s="3" t="inlineStr">
        <is>
          <t>Amperage</t>
        </is>
      </c>
      <c r="K1145" s="3" t="inlineStr">
        <is>
          <t>63 A</t>
        </is>
      </c>
      <c r="L1145" s="3" t="inlineStr">
        <is>
          <t>Poles</t>
        </is>
      </c>
      <c r="M1145" s="3" t="inlineStr">
        <is>
          <t>FP</t>
        </is>
      </c>
      <c r="Q1145" s="3" t="inlineStr">
        <is>
          <t>Manufacturer's Warranty</t>
        </is>
      </c>
      <c r="R1145" s="17" t="n">
        <v>798819</v>
      </c>
      <c r="Y1145" s="3" t="inlineStr">
        <is>
          <t>MCB_LGR_C_FP</t>
        </is>
      </c>
      <c r="Z1145" s="3" t="n">
        <v>8536</v>
      </c>
      <c r="AE1145" s="3" t="n">
        <v>4012</v>
      </c>
      <c r="AF1145" s="4" t="n">
        <v>0.5</v>
      </c>
      <c r="AG1145" s="3">
        <f>ROUND(AE1145-(AE1145*AF1145),2)</f>
        <v/>
      </c>
      <c r="AH1145" s="4" t="n">
        <v>0.18</v>
      </c>
      <c r="AI1145" s="3">
        <f>ROUND(AG1145+(AG1145*AH1145),2)</f>
        <v/>
      </c>
      <c r="AJ1145" s="4" t="n">
        <v>0.2</v>
      </c>
      <c r="AK1145" s="3">
        <f>ROUND(AI1145*AJ1145,2)</f>
        <v/>
      </c>
      <c r="AL1145" s="3">
        <f>AI1145+AK1145</f>
        <v/>
      </c>
      <c r="AM1145" s="3">
        <f>AE1145-AL1145</f>
        <v/>
      </c>
      <c r="AN1145" s="4">
        <f>AM1145/AE1145</f>
        <v/>
      </c>
      <c r="AO1145" s="3" t="inlineStr">
        <is>
          <t>60 mins</t>
        </is>
      </c>
      <c r="AQ1145" s="3" t="inlineStr">
        <is>
          <t>Weight</t>
        </is>
      </c>
      <c r="AT1145" s="3" t="inlineStr">
        <is>
          <t>On Demand</t>
        </is>
      </c>
    </row>
    <row r="1146" ht="15.75" customHeight="1">
      <c r="A1146" s="3" t="inlineStr">
        <is>
          <t>PROD_0235</t>
        </is>
      </c>
      <c r="B1146" s="3" t="inlineStr">
        <is>
          <t>VAR_1</t>
        </is>
      </c>
      <c r="C1146" s="3" t="inlineStr">
        <is>
          <t>Electrical Material</t>
        </is>
      </c>
      <c r="D1146" s="3" t="inlineStr">
        <is>
          <t>MCB/ RCCB</t>
        </is>
      </c>
      <c r="E1146" s="3" t="inlineStr">
        <is>
          <t>Legrand</t>
        </is>
      </c>
      <c r="F1146" s="3" t="inlineStr">
        <is>
          <t>RCCB</t>
        </is>
      </c>
      <c r="H1146" s="3" t="inlineStr">
        <is>
          <t>Series</t>
        </is>
      </c>
      <c r="I1146" s="3" t="inlineStr">
        <is>
          <t>C</t>
        </is>
      </c>
      <c r="J1146" s="3" t="inlineStr">
        <is>
          <t>Amperage</t>
        </is>
      </c>
      <c r="K1146" s="3" t="inlineStr">
        <is>
          <t>25 A</t>
        </is>
      </c>
      <c r="L1146" s="3" t="inlineStr">
        <is>
          <t>Poles</t>
        </is>
      </c>
      <c r="M1146" s="3" t="inlineStr">
        <is>
          <t>DP</t>
        </is>
      </c>
      <c r="Q1146" s="3" t="inlineStr">
        <is>
          <t>Manufacturer's Warranty</t>
        </is>
      </c>
      <c r="R1146" s="3" t="inlineStr">
        <is>
          <t>4024 88</t>
        </is>
      </c>
      <c r="Y1146" s="3" t="inlineStr">
        <is>
          <t>RCCB_LGR_DP</t>
        </is>
      </c>
      <c r="Z1146" s="3" t="n">
        <v>8536</v>
      </c>
      <c r="AE1146" s="3" t="n">
        <v>3186</v>
      </c>
      <c r="AF1146" s="4" t="n">
        <v>0.5</v>
      </c>
      <c r="AG1146" s="3">
        <f>ROUND(AE1146-(AE1146*AF1146),2)</f>
        <v/>
      </c>
      <c r="AH1146" s="4" t="n">
        <v>0.18</v>
      </c>
      <c r="AI1146" s="3">
        <f>ROUND(AG1146+(AG1146*AH1146),2)</f>
        <v/>
      </c>
      <c r="AJ1146" s="4" t="n">
        <v>0.2</v>
      </c>
      <c r="AK1146" s="3">
        <f>ROUND(AI1146*AJ1146,2)</f>
        <v/>
      </c>
      <c r="AL1146" s="3">
        <f>AI1146+AK1146</f>
        <v/>
      </c>
      <c r="AM1146" s="3">
        <f>AE1146-AL1146</f>
        <v/>
      </c>
      <c r="AN1146" s="4">
        <f>AM1146/AE1146</f>
        <v/>
      </c>
      <c r="AO1146" s="3" t="inlineStr">
        <is>
          <t>60 mins</t>
        </is>
      </c>
      <c r="AQ1146" s="3" t="inlineStr">
        <is>
          <t>Weight</t>
        </is>
      </c>
      <c r="AT1146" s="3" t="inlineStr">
        <is>
          <t>On Demand</t>
        </is>
      </c>
    </row>
    <row r="1147" ht="15.75" customHeight="1">
      <c r="A1147" s="3" t="inlineStr">
        <is>
          <t>PROD_0235</t>
        </is>
      </c>
      <c r="B1147" s="3" t="inlineStr">
        <is>
          <t>VAR_2</t>
        </is>
      </c>
      <c r="C1147" s="3" t="inlineStr">
        <is>
          <t>Electrical Material</t>
        </is>
      </c>
      <c r="D1147" s="3" t="inlineStr">
        <is>
          <t>MCB/ RCCB</t>
        </is>
      </c>
      <c r="E1147" s="3" t="inlineStr">
        <is>
          <t>Legrand</t>
        </is>
      </c>
      <c r="F1147" s="3" t="inlineStr">
        <is>
          <t>RCCB</t>
        </is>
      </c>
      <c r="H1147" s="3" t="inlineStr">
        <is>
          <t>Series</t>
        </is>
      </c>
      <c r="I1147" s="3" t="inlineStr">
        <is>
          <t>C</t>
        </is>
      </c>
      <c r="J1147" s="3" t="inlineStr">
        <is>
          <t>Amperage</t>
        </is>
      </c>
      <c r="K1147" s="3" t="inlineStr">
        <is>
          <t>40 A</t>
        </is>
      </c>
      <c r="L1147" s="3" t="inlineStr">
        <is>
          <t>Poles</t>
        </is>
      </c>
      <c r="M1147" s="3" t="inlineStr">
        <is>
          <t>DP</t>
        </is>
      </c>
      <c r="Q1147" s="3" t="inlineStr">
        <is>
          <t>Manufacturer's Warranty</t>
        </is>
      </c>
      <c r="R1147" s="3" t="inlineStr">
        <is>
          <t>4024 89</t>
        </is>
      </c>
      <c r="Y1147" s="3" t="inlineStr">
        <is>
          <t>RCCB_LGR_DP</t>
        </is>
      </c>
      <c r="Z1147" s="3" t="n">
        <v>8536</v>
      </c>
      <c r="AE1147" s="3" t="n">
        <v>3758</v>
      </c>
      <c r="AF1147" s="4" t="n">
        <v>0.5</v>
      </c>
      <c r="AG1147" s="3">
        <f>ROUND(AE1147-(AE1147*AF1147),2)</f>
        <v/>
      </c>
      <c r="AH1147" s="4" t="n">
        <v>0.18</v>
      </c>
      <c r="AI1147" s="3">
        <f>ROUND(AG1147+(AG1147*AH1147),2)</f>
        <v/>
      </c>
      <c r="AJ1147" s="4" t="n">
        <v>0.2</v>
      </c>
      <c r="AK1147" s="3">
        <f>ROUND(AI1147*AJ1147,2)</f>
        <v/>
      </c>
      <c r="AL1147" s="3">
        <f>AI1147+AK1147</f>
        <v/>
      </c>
      <c r="AM1147" s="3">
        <f>AE1147-AL1147</f>
        <v/>
      </c>
      <c r="AN1147" s="4">
        <f>AM1147/AE1147</f>
        <v/>
      </c>
      <c r="AO1147" s="3" t="inlineStr">
        <is>
          <t>60 mins</t>
        </is>
      </c>
      <c r="AQ1147" s="3" t="inlineStr">
        <is>
          <t>Weight</t>
        </is>
      </c>
      <c r="AT1147" s="3" t="inlineStr">
        <is>
          <t>On Demand</t>
        </is>
      </c>
    </row>
    <row r="1148" ht="15.75" customHeight="1">
      <c r="A1148" s="3" t="inlineStr">
        <is>
          <t>PROD_0235</t>
        </is>
      </c>
      <c r="B1148" s="3" t="inlineStr">
        <is>
          <t>VAR_3</t>
        </is>
      </c>
      <c r="C1148" s="3" t="inlineStr">
        <is>
          <t>Electrical Material</t>
        </is>
      </c>
      <c r="D1148" s="3" t="inlineStr">
        <is>
          <t>MCB/ RCCB</t>
        </is>
      </c>
      <c r="E1148" s="3" t="inlineStr">
        <is>
          <t>Legrand</t>
        </is>
      </c>
      <c r="F1148" s="3" t="inlineStr">
        <is>
          <t>RCCB</t>
        </is>
      </c>
      <c r="H1148" s="3" t="inlineStr">
        <is>
          <t>Series</t>
        </is>
      </c>
      <c r="I1148" s="3" t="inlineStr">
        <is>
          <t>C</t>
        </is>
      </c>
      <c r="J1148" s="3" t="inlineStr">
        <is>
          <t>Amperage</t>
        </is>
      </c>
      <c r="K1148" s="3" t="inlineStr">
        <is>
          <t>63 A</t>
        </is>
      </c>
      <c r="L1148" s="3" t="inlineStr">
        <is>
          <t>Poles</t>
        </is>
      </c>
      <c r="M1148" s="3" t="inlineStr">
        <is>
          <t>DP</t>
        </is>
      </c>
      <c r="Q1148" s="3" t="inlineStr">
        <is>
          <t>Manufacturer's Warranty</t>
        </is>
      </c>
      <c r="R1148" s="3" t="inlineStr">
        <is>
          <t>4024 90</t>
        </is>
      </c>
      <c r="Y1148" s="3" t="inlineStr">
        <is>
          <t>RCCB_LGR_DP</t>
        </is>
      </c>
      <c r="Z1148" s="3" t="n">
        <v>8536</v>
      </c>
      <c r="AE1148" s="3" t="n">
        <v>4510</v>
      </c>
      <c r="AF1148" s="4" t="n">
        <v>0.5</v>
      </c>
      <c r="AG1148" s="3">
        <f>ROUND(AE1148-(AE1148*AF1148),2)</f>
        <v/>
      </c>
      <c r="AH1148" s="4" t="n">
        <v>0.18</v>
      </c>
      <c r="AI1148" s="3">
        <f>ROUND(AG1148+(AG1148*AH1148),2)</f>
        <v/>
      </c>
      <c r="AJ1148" s="4" t="n">
        <v>0.2</v>
      </c>
      <c r="AK1148" s="3">
        <f>ROUND(AI1148*AJ1148,2)</f>
        <v/>
      </c>
      <c r="AL1148" s="3">
        <f>AI1148+AK1148</f>
        <v/>
      </c>
      <c r="AM1148" s="3">
        <f>AE1148-AL1148</f>
        <v/>
      </c>
      <c r="AN1148" s="4">
        <f>AM1148/AE1148</f>
        <v/>
      </c>
      <c r="AO1148" s="3" t="inlineStr">
        <is>
          <t>60 mins</t>
        </is>
      </c>
      <c r="AQ1148" s="3" t="inlineStr">
        <is>
          <t>Weight</t>
        </is>
      </c>
      <c r="AT1148" s="3" t="inlineStr">
        <is>
          <t>On Demand</t>
        </is>
      </c>
    </row>
    <row r="1149" ht="15.75" customHeight="1">
      <c r="A1149" s="3" t="inlineStr">
        <is>
          <t>PROD_0235</t>
        </is>
      </c>
      <c r="B1149" s="3" t="inlineStr">
        <is>
          <t>VAR_4</t>
        </is>
      </c>
      <c r="C1149" s="3" t="inlineStr">
        <is>
          <t>Electrical Material</t>
        </is>
      </c>
      <c r="D1149" s="3" t="inlineStr">
        <is>
          <t>MCB/ RCCB</t>
        </is>
      </c>
      <c r="E1149" s="3" t="inlineStr">
        <is>
          <t>Legrand</t>
        </is>
      </c>
      <c r="F1149" s="3" t="inlineStr">
        <is>
          <t>RCCB</t>
        </is>
      </c>
      <c r="H1149" s="3" t="inlineStr">
        <is>
          <t>Series</t>
        </is>
      </c>
      <c r="I1149" s="3" t="inlineStr">
        <is>
          <t>C</t>
        </is>
      </c>
      <c r="J1149" s="3" t="inlineStr">
        <is>
          <t>Amperage</t>
        </is>
      </c>
      <c r="K1149" s="3" t="inlineStr">
        <is>
          <t>25 A</t>
        </is>
      </c>
      <c r="L1149" s="3" t="inlineStr">
        <is>
          <t>Poles</t>
        </is>
      </c>
      <c r="M1149" s="3" t="inlineStr">
        <is>
          <t>FP</t>
        </is>
      </c>
      <c r="Q1149" s="3" t="inlineStr">
        <is>
          <t>Manufacturer's Warranty</t>
        </is>
      </c>
      <c r="R1149" s="3" t="inlineStr">
        <is>
          <t>4025 19</t>
        </is>
      </c>
      <c r="Y1149" s="3" t="inlineStr">
        <is>
          <t>RCCB_LGR_FP</t>
        </is>
      </c>
      <c r="Z1149" s="3" t="n">
        <v>8536</v>
      </c>
      <c r="AE1149" s="3" t="n">
        <v>4224</v>
      </c>
      <c r="AF1149" s="4" t="n">
        <v>0.5</v>
      </c>
      <c r="AG1149" s="3">
        <f>ROUND(AE1149-(AE1149*AF1149),2)</f>
        <v/>
      </c>
      <c r="AH1149" s="4" t="n">
        <v>0.18</v>
      </c>
      <c r="AI1149" s="3">
        <f>ROUND(AG1149+(AG1149*AH1149),2)</f>
        <v/>
      </c>
      <c r="AJ1149" s="4" t="n">
        <v>0.2</v>
      </c>
      <c r="AK1149" s="3">
        <f>ROUND(AI1149*AJ1149,2)</f>
        <v/>
      </c>
      <c r="AL1149" s="3">
        <f>AI1149+AK1149</f>
        <v/>
      </c>
      <c r="AM1149" s="3">
        <f>AE1149-AL1149</f>
        <v/>
      </c>
      <c r="AN1149" s="4">
        <f>AM1149/AE1149</f>
        <v/>
      </c>
      <c r="AO1149" s="3" t="inlineStr">
        <is>
          <t>60 mins</t>
        </is>
      </c>
      <c r="AQ1149" s="3" t="inlineStr">
        <is>
          <t>Weight</t>
        </is>
      </c>
      <c r="AT1149" s="3" t="inlineStr">
        <is>
          <t>On Demand</t>
        </is>
      </c>
    </row>
    <row r="1150" ht="15.75" customHeight="1">
      <c r="A1150" s="3" t="inlineStr">
        <is>
          <t>PROD_0235</t>
        </is>
      </c>
      <c r="B1150" s="3" t="inlineStr">
        <is>
          <t>VAR_5</t>
        </is>
      </c>
      <c r="C1150" s="3" t="inlineStr">
        <is>
          <t>Electrical Material</t>
        </is>
      </c>
      <c r="D1150" s="3" t="inlineStr">
        <is>
          <t>MCB/ RCCB</t>
        </is>
      </c>
      <c r="E1150" s="3" t="inlineStr">
        <is>
          <t>Legrand</t>
        </is>
      </c>
      <c r="F1150" s="3" t="inlineStr">
        <is>
          <t>RCCB</t>
        </is>
      </c>
      <c r="H1150" s="3" t="inlineStr">
        <is>
          <t>Series</t>
        </is>
      </c>
      <c r="I1150" s="3" t="inlineStr">
        <is>
          <t>C</t>
        </is>
      </c>
      <c r="J1150" s="3" t="inlineStr">
        <is>
          <t>Amperage</t>
        </is>
      </c>
      <c r="K1150" s="3" t="inlineStr">
        <is>
          <t>40 A</t>
        </is>
      </c>
      <c r="L1150" s="3" t="inlineStr">
        <is>
          <t>Poles</t>
        </is>
      </c>
      <c r="M1150" s="3" t="inlineStr">
        <is>
          <t>FP</t>
        </is>
      </c>
      <c r="Q1150" s="3" t="inlineStr">
        <is>
          <t>Manufacturer's Warranty</t>
        </is>
      </c>
      <c r="R1150" s="3" t="inlineStr">
        <is>
          <t>4025 20</t>
        </is>
      </c>
      <c r="Y1150" s="3" t="inlineStr">
        <is>
          <t>RCCB_LGR_FP</t>
        </is>
      </c>
      <c r="Z1150" s="3" t="n">
        <v>8536</v>
      </c>
      <c r="AE1150" s="3" t="n">
        <v>4364</v>
      </c>
      <c r="AF1150" s="4" t="n">
        <v>0.5</v>
      </c>
      <c r="AG1150" s="3">
        <f>ROUND(AE1150-(AE1150*AF1150),2)</f>
        <v/>
      </c>
      <c r="AH1150" s="4" t="n">
        <v>0.18</v>
      </c>
      <c r="AI1150" s="3">
        <f>ROUND(AG1150+(AG1150*AH1150),2)</f>
        <v/>
      </c>
      <c r="AJ1150" s="4" t="n">
        <v>0.2</v>
      </c>
      <c r="AK1150" s="3">
        <f>ROUND(AI1150*AJ1150,2)</f>
        <v/>
      </c>
      <c r="AL1150" s="3">
        <f>AI1150+AK1150</f>
        <v/>
      </c>
      <c r="AM1150" s="3">
        <f>AE1150-AL1150</f>
        <v/>
      </c>
      <c r="AN1150" s="4">
        <f>AM1150/AE1150</f>
        <v/>
      </c>
      <c r="AO1150" s="3" t="inlineStr">
        <is>
          <t>60 mins</t>
        </is>
      </c>
      <c r="AQ1150" s="3" t="inlineStr">
        <is>
          <t>Weight</t>
        </is>
      </c>
      <c r="AT1150" s="3" t="inlineStr">
        <is>
          <t>On Demand</t>
        </is>
      </c>
    </row>
    <row r="1151" ht="15.75" customHeight="1">
      <c r="A1151" s="3" t="inlineStr">
        <is>
          <t>PROD_0235</t>
        </is>
      </c>
      <c r="B1151" s="3" t="inlineStr">
        <is>
          <t>VAR_6</t>
        </is>
      </c>
      <c r="C1151" s="3" t="inlineStr">
        <is>
          <t>Electrical Material</t>
        </is>
      </c>
      <c r="D1151" s="3" t="inlineStr">
        <is>
          <t>MCB/ RCCB</t>
        </is>
      </c>
      <c r="E1151" s="3" t="inlineStr">
        <is>
          <t>Legrand</t>
        </is>
      </c>
      <c r="F1151" s="3" t="inlineStr">
        <is>
          <t>RCCB</t>
        </is>
      </c>
      <c r="H1151" s="3" t="inlineStr">
        <is>
          <t>Series</t>
        </is>
      </c>
      <c r="I1151" s="3" t="inlineStr">
        <is>
          <t>C</t>
        </is>
      </c>
      <c r="J1151" s="3" t="inlineStr">
        <is>
          <t>Amperage</t>
        </is>
      </c>
      <c r="K1151" s="3" t="inlineStr">
        <is>
          <t>63 A</t>
        </is>
      </c>
      <c r="L1151" s="3" t="inlineStr">
        <is>
          <t>Poles</t>
        </is>
      </c>
      <c r="M1151" s="3" t="inlineStr">
        <is>
          <t>FP</t>
        </is>
      </c>
      <c r="Q1151" s="3" t="inlineStr">
        <is>
          <t>Manufacturer's Warranty</t>
        </is>
      </c>
      <c r="R1151" s="3" t="inlineStr">
        <is>
          <t>4025 21</t>
        </is>
      </c>
      <c r="Y1151" s="3" t="inlineStr">
        <is>
          <t>RCCB_LGR_FP</t>
        </is>
      </c>
      <c r="Z1151" s="3" t="n">
        <v>8536</v>
      </c>
      <c r="AE1151" s="3" t="n">
        <v>5078</v>
      </c>
      <c r="AF1151" s="4" t="n">
        <v>0.5</v>
      </c>
      <c r="AG1151" s="3">
        <f>ROUND(AE1151-(AE1151*AF1151),2)</f>
        <v/>
      </c>
      <c r="AH1151" s="4" t="n">
        <v>0.18</v>
      </c>
      <c r="AI1151" s="3">
        <f>ROUND(AG1151+(AG1151*AH1151),2)</f>
        <v/>
      </c>
      <c r="AJ1151" s="4" t="n">
        <v>0.2</v>
      </c>
      <c r="AK1151" s="3">
        <f>ROUND(AI1151*AJ1151,2)</f>
        <v/>
      </c>
      <c r="AL1151" s="3">
        <f>AI1151+AK1151</f>
        <v/>
      </c>
      <c r="AM1151" s="3">
        <f>AE1151-AL1151</f>
        <v/>
      </c>
      <c r="AN1151" s="4">
        <f>AM1151/AE1151</f>
        <v/>
      </c>
      <c r="AO1151" s="3" t="inlineStr">
        <is>
          <t>60 mins</t>
        </is>
      </c>
      <c r="AQ1151" s="3" t="inlineStr">
        <is>
          <t>Weight</t>
        </is>
      </c>
      <c r="AT1151" s="3" t="inlineStr">
        <is>
          <t>On Demand</t>
        </is>
      </c>
    </row>
    <row r="1152" ht="15.75" customHeight="1">
      <c r="A1152" s="3" t="inlineStr">
        <is>
          <t>PROD_0236</t>
        </is>
      </c>
      <c r="B1152" s="3" t="inlineStr">
        <is>
          <t>VAR_1</t>
        </is>
      </c>
      <c r="C1152" s="3" t="inlineStr">
        <is>
          <t>Electrical Material</t>
        </is>
      </c>
      <c r="D1152" s="3" t="inlineStr">
        <is>
          <t>Cieling Lights</t>
        </is>
      </c>
      <c r="E1152" s="3" t="inlineStr">
        <is>
          <t>Philips</t>
        </is>
      </c>
      <c r="F1152" s="3" t="inlineStr">
        <is>
          <t>Astra Prime</t>
        </is>
      </c>
      <c r="H1152" s="3" t="inlineStr">
        <is>
          <t>Wattage</t>
        </is>
      </c>
      <c r="I1152" s="3" t="inlineStr">
        <is>
          <t>3 W</t>
        </is>
      </c>
      <c r="J1152" s="3" t="inlineStr">
        <is>
          <t>Cutting Size</t>
        </is>
      </c>
      <c r="K1152" s="3" t="inlineStr">
        <is>
          <t>43 mm</t>
        </is>
      </c>
      <c r="L1152" s="3" t="inlineStr">
        <is>
          <t>Color</t>
        </is>
      </c>
      <c r="M1152" s="3" t="inlineStr">
        <is>
          <t>Warm White</t>
        </is>
      </c>
      <c r="N1152" s="3" t="inlineStr">
        <is>
          <t>Shape</t>
        </is>
      </c>
      <c r="O1152" s="3" t="inlineStr">
        <is>
          <t>Round</t>
        </is>
      </c>
      <c r="Q1152" s="3" t="inlineStr">
        <is>
          <t>Manufacturer's Warranty</t>
        </is>
      </c>
      <c r="Y1152" s="3" t="inlineStr">
        <is>
          <t>EM_CLN_PHILLIPS_ASTRAROUND</t>
        </is>
      </c>
      <c r="Z1152" s="3" t="n">
        <v>9405</v>
      </c>
      <c r="AE1152" s="3" t="n">
        <v>380</v>
      </c>
      <c r="AF1152" s="4" t="n">
        <v>0.37</v>
      </c>
      <c r="AG1152" s="3">
        <f>ROUND(AE1152-(AE1152*AF1152),2)</f>
        <v/>
      </c>
      <c r="AH1152" s="4" t="n">
        <v>0.18</v>
      </c>
      <c r="AI1152" s="3">
        <f>ROUND(AG1152+(AG1152*AH1152),2)</f>
        <v/>
      </c>
      <c r="AJ1152" s="4" t="n">
        <v>0.2</v>
      </c>
      <c r="AK1152" s="3">
        <f>ROUND(AI1152*AJ1152,2)</f>
        <v/>
      </c>
      <c r="AL1152" s="3">
        <f>AI1152+AK1152</f>
        <v/>
      </c>
      <c r="AM1152" s="3">
        <f>AE1152-AL1152</f>
        <v/>
      </c>
      <c r="AN1152" s="4">
        <f>AM1152/AE1152</f>
        <v/>
      </c>
      <c r="AO1152" s="3" t="inlineStr">
        <is>
          <t>3 hrs</t>
        </is>
      </c>
      <c r="AQ1152" s="3" t="inlineStr">
        <is>
          <t>Weight</t>
        </is>
      </c>
      <c r="AT1152" s="3" t="inlineStr">
        <is>
          <t>3 hrs</t>
        </is>
      </c>
    </row>
    <row r="1153" ht="15.75" customHeight="1">
      <c r="A1153" s="3" t="inlineStr">
        <is>
          <t>PROD_0236</t>
        </is>
      </c>
      <c r="B1153" s="3" t="inlineStr">
        <is>
          <t>VAR_2</t>
        </is>
      </c>
      <c r="C1153" s="3" t="inlineStr">
        <is>
          <t>Electrical Material</t>
        </is>
      </c>
      <c r="D1153" s="3" t="inlineStr">
        <is>
          <t>Cieling Lights</t>
        </is>
      </c>
      <c r="E1153" s="3" t="inlineStr">
        <is>
          <t>Philips</t>
        </is>
      </c>
      <c r="F1153" s="3" t="inlineStr">
        <is>
          <t>Astra Prime</t>
        </is>
      </c>
      <c r="H1153" s="3" t="inlineStr">
        <is>
          <t>Wattage</t>
        </is>
      </c>
      <c r="I1153" s="3" t="inlineStr">
        <is>
          <t>3 W</t>
        </is>
      </c>
      <c r="J1153" s="3" t="inlineStr">
        <is>
          <t>Cutting Size</t>
        </is>
      </c>
      <c r="K1153" s="3" t="inlineStr">
        <is>
          <t>43 mm</t>
        </is>
      </c>
      <c r="L1153" s="3" t="inlineStr">
        <is>
          <t>Color</t>
        </is>
      </c>
      <c r="M1153" s="3" t="inlineStr">
        <is>
          <t>Natural White</t>
        </is>
      </c>
      <c r="N1153" s="3" t="inlineStr">
        <is>
          <t>Shape</t>
        </is>
      </c>
      <c r="O1153" s="3" t="inlineStr">
        <is>
          <t>Round</t>
        </is>
      </c>
      <c r="Q1153" s="3" t="inlineStr">
        <is>
          <t>Manufacturer's Warranty</t>
        </is>
      </c>
      <c r="Y1153" s="3" t="inlineStr">
        <is>
          <t>EM_CLN_PHILLIPS_ASTRAROUND</t>
        </is>
      </c>
      <c r="Z1153" s="3" t="n">
        <v>9405</v>
      </c>
      <c r="AE1153" s="3" t="n">
        <v>380</v>
      </c>
      <c r="AF1153" s="4" t="n">
        <v>0.37</v>
      </c>
      <c r="AG1153" s="3">
        <f>ROUND(AE1153-(AE1153*AF1153),2)</f>
        <v/>
      </c>
      <c r="AH1153" s="4" t="n">
        <v>0.18</v>
      </c>
      <c r="AI1153" s="3">
        <f>ROUND(AG1153+(AG1153*AH1153),2)</f>
        <v/>
      </c>
      <c r="AJ1153" s="4" t="n">
        <v>0.2</v>
      </c>
      <c r="AK1153" s="3">
        <f>ROUND(AI1153*AJ1153,2)</f>
        <v/>
      </c>
      <c r="AL1153" s="3">
        <f>AI1153+AK1153</f>
        <v/>
      </c>
      <c r="AM1153" s="3">
        <f>AE1153-AL1153</f>
        <v/>
      </c>
      <c r="AN1153" s="4">
        <f>AM1153/AE1153</f>
        <v/>
      </c>
      <c r="AO1153" s="3" t="inlineStr">
        <is>
          <t>3 hrs</t>
        </is>
      </c>
      <c r="AQ1153" s="3" t="inlineStr">
        <is>
          <t>Weight</t>
        </is>
      </c>
      <c r="AT1153" s="3" t="inlineStr">
        <is>
          <t>3 hrs</t>
        </is>
      </c>
    </row>
    <row r="1154" ht="15.75" customHeight="1">
      <c r="A1154" s="3" t="inlineStr">
        <is>
          <t>PROD_0236</t>
        </is>
      </c>
      <c r="B1154" s="3" t="inlineStr">
        <is>
          <t>VAR_3</t>
        </is>
      </c>
      <c r="C1154" s="3" t="inlineStr">
        <is>
          <t>Electrical Material</t>
        </is>
      </c>
      <c r="D1154" s="3" t="inlineStr">
        <is>
          <t>Cieling Lights</t>
        </is>
      </c>
      <c r="E1154" s="3" t="inlineStr">
        <is>
          <t>Philips</t>
        </is>
      </c>
      <c r="F1154" s="3" t="inlineStr">
        <is>
          <t>Astra Prime</t>
        </is>
      </c>
      <c r="H1154" s="3" t="inlineStr">
        <is>
          <t>Wattage</t>
        </is>
      </c>
      <c r="I1154" s="3" t="inlineStr">
        <is>
          <t>3 W</t>
        </is>
      </c>
      <c r="J1154" s="3" t="inlineStr">
        <is>
          <t>Cutting Size</t>
        </is>
      </c>
      <c r="K1154" s="3" t="inlineStr">
        <is>
          <t>43 mm</t>
        </is>
      </c>
      <c r="L1154" s="3" t="inlineStr">
        <is>
          <t>Color</t>
        </is>
      </c>
      <c r="M1154" s="3" t="inlineStr">
        <is>
          <t>Cool White</t>
        </is>
      </c>
      <c r="N1154" s="3" t="inlineStr">
        <is>
          <t>Shape</t>
        </is>
      </c>
      <c r="O1154" s="3" t="inlineStr">
        <is>
          <t>Round</t>
        </is>
      </c>
      <c r="Q1154" s="3" t="inlineStr">
        <is>
          <t>Manufacturer's Warranty</t>
        </is>
      </c>
      <c r="Y1154" s="3" t="inlineStr">
        <is>
          <t>EM_CLN_PHILLIPS_ASTRAROUND</t>
        </is>
      </c>
      <c r="Z1154" s="3" t="n">
        <v>9405</v>
      </c>
      <c r="AE1154" s="3" t="n">
        <v>380</v>
      </c>
      <c r="AF1154" s="4" t="n">
        <v>0.37</v>
      </c>
      <c r="AG1154" s="3">
        <f>ROUND(AE1154-(AE1154*AF1154),2)</f>
        <v/>
      </c>
      <c r="AH1154" s="4" t="n">
        <v>0.18</v>
      </c>
      <c r="AI1154" s="3">
        <f>ROUND(AG1154+(AG1154*AH1154),2)</f>
        <v/>
      </c>
      <c r="AJ1154" s="4" t="n">
        <v>0.2</v>
      </c>
      <c r="AK1154" s="3">
        <f>ROUND(AI1154*AJ1154,2)</f>
        <v/>
      </c>
      <c r="AL1154" s="3">
        <f>AI1154+AK1154</f>
        <v/>
      </c>
      <c r="AM1154" s="3">
        <f>AE1154-AL1154</f>
        <v/>
      </c>
      <c r="AN1154" s="4">
        <f>AM1154/AE1154</f>
        <v/>
      </c>
      <c r="AO1154" s="3" t="inlineStr">
        <is>
          <t>3 hrs</t>
        </is>
      </c>
      <c r="AQ1154" s="3" t="inlineStr">
        <is>
          <t>Weight</t>
        </is>
      </c>
      <c r="AT1154" s="3" t="inlineStr">
        <is>
          <t>3 hrs</t>
        </is>
      </c>
    </row>
    <row r="1155" ht="15.75" customHeight="1">
      <c r="A1155" s="3" t="inlineStr">
        <is>
          <t>PROD_0236</t>
        </is>
      </c>
      <c r="B1155" s="3" t="inlineStr">
        <is>
          <t>VAR_4</t>
        </is>
      </c>
      <c r="C1155" s="3" t="inlineStr">
        <is>
          <t>Electrical Material</t>
        </is>
      </c>
      <c r="D1155" s="3" t="inlineStr">
        <is>
          <t>Cieling Lights</t>
        </is>
      </c>
      <c r="E1155" s="3" t="inlineStr">
        <is>
          <t>Philips</t>
        </is>
      </c>
      <c r="F1155" s="3" t="inlineStr">
        <is>
          <t>Astra Prime</t>
        </is>
      </c>
      <c r="H1155" s="3" t="inlineStr">
        <is>
          <t>Wattage</t>
        </is>
      </c>
      <c r="I1155" s="3" t="inlineStr">
        <is>
          <t>5 W</t>
        </is>
      </c>
      <c r="J1155" s="3" t="inlineStr">
        <is>
          <t>Cutting Size</t>
        </is>
      </c>
      <c r="K1155" s="3" t="inlineStr">
        <is>
          <t>75 mm</t>
        </is>
      </c>
      <c r="L1155" s="3" t="inlineStr">
        <is>
          <t>Color</t>
        </is>
      </c>
      <c r="M1155" s="3" t="inlineStr">
        <is>
          <t>Warm White</t>
        </is>
      </c>
      <c r="N1155" s="3" t="inlineStr">
        <is>
          <t>Shape</t>
        </is>
      </c>
      <c r="O1155" s="3" t="inlineStr">
        <is>
          <t>Round</t>
        </is>
      </c>
      <c r="Q1155" s="3" t="inlineStr">
        <is>
          <t>Manufacturer's Warranty</t>
        </is>
      </c>
      <c r="Y1155" s="3" t="inlineStr">
        <is>
          <t>EM_CLN_PHILLIPS_ASTRAROUND</t>
        </is>
      </c>
      <c r="Z1155" s="3" t="n">
        <v>9405</v>
      </c>
      <c r="AE1155" s="3" t="n">
        <v>640</v>
      </c>
      <c r="AF1155" s="4" t="n">
        <v>0.37</v>
      </c>
      <c r="AG1155" s="3">
        <f>ROUND(AE1155-(AE1155*AF1155),2)</f>
        <v/>
      </c>
      <c r="AH1155" s="4" t="n">
        <v>0.18</v>
      </c>
      <c r="AI1155" s="3">
        <f>ROUND(AG1155+(AG1155*AH1155),2)</f>
        <v/>
      </c>
      <c r="AJ1155" s="4" t="n">
        <v>0.2</v>
      </c>
      <c r="AK1155" s="3">
        <f>ROUND(AI1155*AJ1155,2)</f>
        <v/>
      </c>
      <c r="AL1155" s="3">
        <f>AI1155+AK1155</f>
        <v/>
      </c>
      <c r="AM1155" s="3">
        <f>AE1155-AL1155</f>
        <v/>
      </c>
      <c r="AN1155" s="4">
        <f>AM1155/AE1155</f>
        <v/>
      </c>
      <c r="AO1155" s="3" t="inlineStr">
        <is>
          <t>3 hrs</t>
        </is>
      </c>
      <c r="AQ1155" s="3" t="inlineStr">
        <is>
          <t>Weight</t>
        </is>
      </c>
      <c r="AT1155" s="3" t="inlineStr">
        <is>
          <t>3 hrs</t>
        </is>
      </c>
    </row>
    <row r="1156" ht="15.75" customHeight="1">
      <c r="A1156" s="3" t="inlineStr">
        <is>
          <t>PROD_0236</t>
        </is>
      </c>
      <c r="B1156" s="3" t="inlineStr">
        <is>
          <t>VAR_5</t>
        </is>
      </c>
      <c r="C1156" s="3" t="inlineStr">
        <is>
          <t>Electrical Material</t>
        </is>
      </c>
      <c r="D1156" s="3" t="inlineStr">
        <is>
          <t>Cieling Lights</t>
        </is>
      </c>
      <c r="E1156" s="3" t="inlineStr">
        <is>
          <t>Philips</t>
        </is>
      </c>
      <c r="F1156" s="3" t="inlineStr">
        <is>
          <t>Astra Prime</t>
        </is>
      </c>
      <c r="H1156" s="3" t="inlineStr">
        <is>
          <t>Wattage</t>
        </is>
      </c>
      <c r="I1156" s="3" t="inlineStr">
        <is>
          <t>5 W</t>
        </is>
      </c>
      <c r="J1156" s="3" t="inlineStr">
        <is>
          <t>Cutting Size</t>
        </is>
      </c>
      <c r="K1156" s="3" t="inlineStr">
        <is>
          <t>75 mm</t>
        </is>
      </c>
      <c r="L1156" s="3" t="inlineStr">
        <is>
          <t>Color</t>
        </is>
      </c>
      <c r="M1156" s="3" t="inlineStr">
        <is>
          <t>Natural White</t>
        </is>
      </c>
      <c r="N1156" s="3" t="inlineStr">
        <is>
          <t>Shape</t>
        </is>
      </c>
      <c r="O1156" s="3" t="inlineStr">
        <is>
          <t>Round</t>
        </is>
      </c>
      <c r="Q1156" s="3" t="inlineStr">
        <is>
          <t>Manufacturer's Warranty</t>
        </is>
      </c>
      <c r="Y1156" s="3" t="inlineStr">
        <is>
          <t>EM_CLN_PHILLIPS_ASTRAROUND</t>
        </is>
      </c>
      <c r="Z1156" s="3" t="n">
        <v>9405</v>
      </c>
      <c r="AE1156" s="3" t="n">
        <v>640</v>
      </c>
      <c r="AF1156" s="4" t="n">
        <v>0.37</v>
      </c>
      <c r="AG1156" s="3">
        <f>ROUND(AE1156-(AE1156*AF1156),2)</f>
        <v/>
      </c>
      <c r="AH1156" s="4" t="n">
        <v>0.18</v>
      </c>
      <c r="AI1156" s="3">
        <f>ROUND(AG1156+(AG1156*AH1156),2)</f>
        <v/>
      </c>
      <c r="AJ1156" s="4" t="n">
        <v>0.2</v>
      </c>
      <c r="AK1156" s="3">
        <f>ROUND(AI1156*AJ1156,2)</f>
        <v/>
      </c>
      <c r="AL1156" s="3">
        <f>AI1156+AK1156</f>
        <v/>
      </c>
      <c r="AM1156" s="3">
        <f>AE1156-AL1156</f>
        <v/>
      </c>
      <c r="AN1156" s="4">
        <f>AM1156/AE1156</f>
        <v/>
      </c>
      <c r="AO1156" s="3" t="inlineStr">
        <is>
          <t>3 hrs</t>
        </is>
      </c>
      <c r="AQ1156" s="3" t="inlineStr">
        <is>
          <t>Weight</t>
        </is>
      </c>
      <c r="AT1156" s="3" t="inlineStr">
        <is>
          <t>3 hrs</t>
        </is>
      </c>
    </row>
    <row r="1157" ht="15.75" customHeight="1">
      <c r="A1157" s="3" t="inlineStr">
        <is>
          <t>PROD_0236</t>
        </is>
      </c>
      <c r="B1157" s="3" t="inlineStr">
        <is>
          <t>VAR_6</t>
        </is>
      </c>
      <c r="C1157" s="3" t="inlineStr">
        <is>
          <t>Electrical Material</t>
        </is>
      </c>
      <c r="D1157" s="3" t="inlineStr">
        <is>
          <t>Cieling Lights</t>
        </is>
      </c>
      <c r="E1157" s="3" t="inlineStr">
        <is>
          <t>Philips</t>
        </is>
      </c>
      <c r="F1157" s="3" t="inlineStr">
        <is>
          <t>Astra Prime</t>
        </is>
      </c>
      <c r="H1157" s="3" t="inlineStr">
        <is>
          <t>Wattage</t>
        </is>
      </c>
      <c r="I1157" s="3" t="inlineStr">
        <is>
          <t>5 W</t>
        </is>
      </c>
      <c r="J1157" s="3" t="inlineStr">
        <is>
          <t>Cutting Size</t>
        </is>
      </c>
      <c r="K1157" s="3" t="inlineStr">
        <is>
          <t>75 mm</t>
        </is>
      </c>
      <c r="L1157" s="3" t="inlineStr">
        <is>
          <t>Color</t>
        </is>
      </c>
      <c r="M1157" s="3" t="inlineStr">
        <is>
          <t>Cool White</t>
        </is>
      </c>
      <c r="N1157" s="3" t="inlineStr">
        <is>
          <t>Shape</t>
        </is>
      </c>
      <c r="O1157" s="3" t="inlineStr">
        <is>
          <t>Round</t>
        </is>
      </c>
      <c r="Q1157" s="3" t="inlineStr">
        <is>
          <t>Manufacturer's Warranty</t>
        </is>
      </c>
      <c r="Y1157" s="3" t="inlineStr">
        <is>
          <t>EM_CLN_PHILLIPS_ASTRAROUND</t>
        </is>
      </c>
      <c r="Z1157" s="3" t="n">
        <v>9405</v>
      </c>
      <c r="AE1157" s="3" t="n">
        <v>640</v>
      </c>
      <c r="AF1157" s="4" t="n">
        <v>0.37</v>
      </c>
      <c r="AG1157" s="3">
        <f>ROUND(AE1157-(AE1157*AF1157),2)</f>
        <v/>
      </c>
      <c r="AH1157" s="4" t="n">
        <v>0.18</v>
      </c>
      <c r="AI1157" s="3">
        <f>ROUND(AG1157+(AG1157*AH1157),2)</f>
        <v/>
      </c>
      <c r="AJ1157" s="4" t="n">
        <v>0.2</v>
      </c>
      <c r="AK1157" s="3">
        <f>ROUND(AI1157*AJ1157,2)</f>
        <v/>
      </c>
      <c r="AL1157" s="3">
        <f>AI1157+AK1157</f>
        <v/>
      </c>
      <c r="AM1157" s="3">
        <f>AE1157-AL1157</f>
        <v/>
      </c>
      <c r="AN1157" s="4">
        <f>AM1157/AE1157</f>
        <v/>
      </c>
      <c r="AO1157" s="3" t="inlineStr">
        <is>
          <t>3 hrs</t>
        </is>
      </c>
      <c r="AQ1157" s="3" t="inlineStr">
        <is>
          <t>Weight</t>
        </is>
      </c>
      <c r="AT1157" s="3" t="inlineStr">
        <is>
          <t>3 hrs</t>
        </is>
      </c>
    </row>
    <row r="1158" ht="15.75" customHeight="1">
      <c r="A1158" s="3" t="inlineStr">
        <is>
          <t>PROD_0236</t>
        </is>
      </c>
      <c r="B1158" s="3" t="inlineStr">
        <is>
          <t>VAR_7</t>
        </is>
      </c>
      <c r="C1158" s="3" t="inlineStr">
        <is>
          <t>Electrical Material</t>
        </is>
      </c>
      <c r="D1158" s="3" t="inlineStr">
        <is>
          <t>Cieling Lights</t>
        </is>
      </c>
      <c r="E1158" s="3" t="inlineStr">
        <is>
          <t>Philips</t>
        </is>
      </c>
      <c r="F1158" s="3" t="inlineStr">
        <is>
          <t>Astra Prime</t>
        </is>
      </c>
      <c r="H1158" s="3" t="inlineStr">
        <is>
          <t>Wattage</t>
        </is>
      </c>
      <c r="I1158" s="3" t="inlineStr">
        <is>
          <t>10 W</t>
        </is>
      </c>
      <c r="J1158" s="3" t="inlineStr">
        <is>
          <t>Cutting Size</t>
        </is>
      </c>
      <c r="K1158" s="3" t="inlineStr">
        <is>
          <t>110 mm</t>
        </is>
      </c>
      <c r="L1158" s="3" t="inlineStr">
        <is>
          <t>Color</t>
        </is>
      </c>
      <c r="M1158" s="3" t="inlineStr">
        <is>
          <t>Warm White</t>
        </is>
      </c>
      <c r="N1158" s="3" t="inlineStr">
        <is>
          <t>Shape</t>
        </is>
      </c>
      <c r="O1158" s="3" t="inlineStr">
        <is>
          <t>Round</t>
        </is>
      </c>
      <c r="Q1158" s="3" t="inlineStr">
        <is>
          <t>Manufacturer's Warranty</t>
        </is>
      </c>
      <c r="Y1158" s="3" t="inlineStr">
        <is>
          <t>EM_CLN_PHILLIPS_ASTRAROUND</t>
        </is>
      </c>
      <c r="Z1158" s="3" t="n">
        <v>9405</v>
      </c>
      <c r="AE1158" s="3" t="n">
        <v>805</v>
      </c>
      <c r="AF1158" s="4" t="n">
        <v>0.37</v>
      </c>
      <c r="AG1158" s="3">
        <f>ROUND(AE1158-(AE1158*AF1158),2)</f>
        <v/>
      </c>
      <c r="AH1158" s="4" t="n">
        <v>0.18</v>
      </c>
      <c r="AI1158" s="3">
        <f>ROUND(AG1158+(AG1158*AH1158),2)</f>
        <v/>
      </c>
      <c r="AJ1158" s="4" t="n">
        <v>0.2</v>
      </c>
      <c r="AK1158" s="3">
        <f>ROUND(AI1158*AJ1158,2)</f>
        <v/>
      </c>
      <c r="AL1158" s="3">
        <f>AI1158+AK1158</f>
        <v/>
      </c>
      <c r="AM1158" s="3">
        <f>AE1158-AL1158</f>
        <v/>
      </c>
      <c r="AN1158" s="4">
        <f>AM1158/AE1158</f>
        <v/>
      </c>
      <c r="AO1158" s="3" t="inlineStr">
        <is>
          <t>3 hrs</t>
        </is>
      </c>
      <c r="AQ1158" s="3" t="inlineStr">
        <is>
          <t>Weight</t>
        </is>
      </c>
      <c r="AT1158" s="3" t="inlineStr">
        <is>
          <t>3 hrs</t>
        </is>
      </c>
    </row>
    <row r="1159" ht="15.75" customHeight="1">
      <c r="A1159" s="3" t="inlineStr">
        <is>
          <t>PROD_0236</t>
        </is>
      </c>
      <c r="B1159" s="3" t="inlineStr">
        <is>
          <t>VAR_8</t>
        </is>
      </c>
      <c r="C1159" s="3" t="inlineStr">
        <is>
          <t>Electrical Material</t>
        </is>
      </c>
      <c r="D1159" s="3" t="inlineStr">
        <is>
          <t>Cieling Lights</t>
        </is>
      </c>
      <c r="E1159" s="3" t="inlineStr">
        <is>
          <t>Philips</t>
        </is>
      </c>
      <c r="F1159" s="3" t="inlineStr">
        <is>
          <t>Astra Prime</t>
        </is>
      </c>
      <c r="H1159" s="3" t="inlineStr">
        <is>
          <t>Wattage</t>
        </is>
      </c>
      <c r="I1159" s="3" t="inlineStr">
        <is>
          <t>10 W</t>
        </is>
      </c>
      <c r="J1159" s="3" t="inlineStr">
        <is>
          <t>Cutting Size</t>
        </is>
      </c>
      <c r="K1159" s="3" t="inlineStr">
        <is>
          <t>110 mm</t>
        </is>
      </c>
      <c r="L1159" s="3" t="inlineStr">
        <is>
          <t>Color</t>
        </is>
      </c>
      <c r="M1159" s="3" t="inlineStr">
        <is>
          <t>Natural White</t>
        </is>
      </c>
      <c r="N1159" s="3" t="inlineStr">
        <is>
          <t>Shape</t>
        </is>
      </c>
      <c r="O1159" s="3" t="inlineStr">
        <is>
          <t>Round</t>
        </is>
      </c>
      <c r="Q1159" s="3" t="inlineStr">
        <is>
          <t>Manufacturer's Warranty</t>
        </is>
      </c>
      <c r="Y1159" s="3" t="inlineStr">
        <is>
          <t>EM_CLN_PHILLIPS_ASTRAROUND</t>
        </is>
      </c>
      <c r="Z1159" s="3" t="n">
        <v>9405</v>
      </c>
      <c r="AE1159" s="3" t="n">
        <v>805</v>
      </c>
      <c r="AF1159" s="4" t="n">
        <v>0.37</v>
      </c>
      <c r="AG1159" s="3">
        <f>ROUND(AE1159-(AE1159*AF1159),2)</f>
        <v/>
      </c>
      <c r="AH1159" s="4" t="n">
        <v>0.18</v>
      </c>
      <c r="AI1159" s="3">
        <f>ROUND(AG1159+(AG1159*AH1159),2)</f>
        <v/>
      </c>
      <c r="AJ1159" s="4" t="n">
        <v>0.2</v>
      </c>
      <c r="AK1159" s="3">
        <f>ROUND(AI1159*AJ1159,2)</f>
        <v/>
      </c>
      <c r="AL1159" s="3">
        <f>AI1159+AK1159</f>
        <v/>
      </c>
      <c r="AM1159" s="3">
        <f>AE1159-AL1159</f>
        <v/>
      </c>
      <c r="AN1159" s="4">
        <f>AM1159/AE1159</f>
        <v/>
      </c>
      <c r="AO1159" s="3" t="inlineStr">
        <is>
          <t>3 hrs</t>
        </is>
      </c>
      <c r="AQ1159" s="3" t="inlineStr">
        <is>
          <t>Weight</t>
        </is>
      </c>
      <c r="AT1159" s="3" t="inlineStr">
        <is>
          <t>3 hrs</t>
        </is>
      </c>
    </row>
    <row r="1160" ht="15.75" customHeight="1">
      <c r="A1160" s="3" t="inlineStr">
        <is>
          <t>PROD_0236</t>
        </is>
      </c>
      <c r="B1160" s="3" t="inlineStr">
        <is>
          <t>VAR_9</t>
        </is>
      </c>
      <c r="C1160" s="3" t="inlineStr">
        <is>
          <t>Electrical Material</t>
        </is>
      </c>
      <c r="D1160" s="3" t="inlineStr">
        <is>
          <t>Cieling Lights</t>
        </is>
      </c>
      <c r="E1160" s="3" t="inlineStr">
        <is>
          <t>Philips</t>
        </is>
      </c>
      <c r="F1160" s="3" t="inlineStr">
        <is>
          <t>Astra Prime</t>
        </is>
      </c>
      <c r="H1160" s="3" t="inlineStr">
        <is>
          <t>Wattage</t>
        </is>
      </c>
      <c r="I1160" s="3" t="inlineStr">
        <is>
          <t>10 W</t>
        </is>
      </c>
      <c r="J1160" s="3" t="inlineStr">
        <is>
          <t>Cutting Size</t>
        </is>
      </c>
      <c r="K1160" s="3" t="inlineStr">
        <is>
          <t>110 mm</t>
        </is>
      </c>
      <c r="L1160" s="3" t="inlineStr">
        <is>
          <t>Color</t>
        </is>
      </c>
      <c r="M1160" s="3" t="inlineStr">
        <is>
          <t>Cool White</t>
        </is>
      </c>
      <c r="N1160" s="3" t="inlineStr">
        <is>
          <t>Shape</t>
        </is>
      </c>
      <c r="O1160" s="3" t="inlineStr">
        <is>
          <t>Round</t>
        </is>
      </c>
      <c r="Q1160" s="3" t="inlineStr">
        <is>
          <t>Manufacturer's Warranty</t>
        </is>
      </c>
      <c r="Y1160" s="3" t="inlineStr">
        <is>
          <t>EM_CLN_PHILLIPS_ASTRAROUND</t>
        </is>
      </c>
      <c r="Z1160" s="3" t="n">
        <v>9405</v>
      </c>
      <c r="AE1160" s="3" t="n">
        <v>805</v>
      </c>
      <c r="AF1160" s="4" t="n">
        <v>0.37</v>
      </c>
      <c r="AG1160" s="3">
        <f>ROUND(AE1160-(AE1160*AF1160),2)</f>
        <v/>
      </c>
      <c r="AH1160" s="4" t="n">
        <v>0.18</v>
      </c>
      <c r="AI1160" s="3">
        <f>ROUND(AG1160+(AG1160*AH1160),2)</f>
        <v/>
      </c>
      <c r="AJ1160" s="4" t="n">
        <v>0.2</v>
      </c>
      <c r="AK1160" s="3">
        <f>ROUND(AI1160*AJ1160,2)</f>
        <v/>
      </c>
      <c r="AL1160" s="3">
        <f>AI1160+AK1160</f>
        <v/>
      </c>
      <c r="AM1160" s="3">
        <f>AE1160-AL1160</f>
        <v/>
      </c>
      <c r="AN1160" s="4">
        <f>AM1160/AE1160</f>
        <v/>
      </c>
      <c r="AO1160" s="3" t="inlineStr">
        <is>
          <t>3 hrs</t>
        </is>
      </c>
      <c r="AQ1160" s="3" t="inlineStr">
        <is>
          <t>Weight</t>
        </is>
      </c>
      <c r="AT1160" s="3" t="inlineStr">
        <is>
          <t>3 hrs</t>
        </is>
      </c>
    </row>
    <row r="1161" ht="15.75" customHeight="1">
      <c r="A1161" s="3" t="inlineStr">
        <is>
          <t>PROD_0236</t>
        </is>
      </c>
      <c r="B1161" s="3" t="inlineStr">
        <is>
          <t>VAR_10</t>
        </is>
      </c>
      <c r="C1161" s="3" t="inlineStr">
        <is>
          <t>Electrical Material</t>
        </is>
      </c>
      <c r="D1161" s="3" t="inlineStr">
        <is>
          <t>Cieling Lights</t>
        </is>
      </c>
      <c r="E1161" s="3" t="inlineStr">
        <is>
          <t>Philips</t>
        </is>
      </c>
      <c r="F1161" s="3" t="inlineStr">
        <is>
          <t>Astra Prime</t>
        </is>
      </c>
      <c r="H1161" s="3" t="inlineStr">
        <is>
          <t>Wattage</t>
        </is>
      </c>
      <c r="I1161" s="3" t="inlineStr">
        <is>
          <t>15 W</t>
        </is>
      </c>
      <c r="J1161" s="3" t="inlineStr">
        <is>
          <t>Cutting Size</t>
        </is>
      </c>
      <c r="K1161" s="3" t="inlineStr">
        <is>
          <t>140 mm</t>
        </is>
      </c>
      <c r="L1161" s="3" t="inlineStr">
        <is>
          <t>Color</t>
        </is>
      </c>
      <c r="M1161" s="3" t="inlineStr">
        <is>
          <t>Warm White</t>
        </is>
      </c>
      <c r="N1161" s="3" t="inlineStr">
        <is>
          <t>Shape</t>
        </is>
      </c>
      <c r="O1161" s="3" t="inlineStr">
        <is>
          <t>Round</t>
        </is>
      </c>
      <c r="Q1161" s="3" t="inlineStr">
        <is>
          <t>Manufacturer's Warranty</t>
        </is>
      </c>
      <c r="Y1161" s="3" t="inlineStr">
        <is>
          <t>EM_CLN_PHILLIPS_ASTRAROUND</t>
        </is>
      </c>
      <c r="Z1161" s="3" t="n">
        <v>9405</v>
      </c>
      <c r="AE1161" s="3" t="n">
        <v>975</v>
      </c>
      <c r="AF1161" s="4" t="n">
        <v>0.37</v>
      </c>
      <c r="AG1161" s="3">
        <f>ROUND(AE1161-(AE1161*AF1161),2)</f>
        <v/>
      </c>
      <c r="AH1161" s="4" t="n">
        <v>0.18</v>
      </c>
      <c r="AI1161" s="3">
        <f>ROUND(AG1161+(AG1161*AH1161),2)</f>
        <v/>
      </c>
      <c r="AJ1161" s="4" t="n">
        <v>0.2</v>
      </c>
      <c r="AK1161" s="3">
        <f>ROUND(AI1161*AJ1161,2)</f>
        <v/>
      </c>
      <c r="AL1161" s="3">
        <f>AI1161+AK1161</f>
        <v/>
      </c>
      <c r="AM1161" s="3">
        <f>AE1161-AL1161</f>
        <v/>
      </c>
      <c r="AN1161" s="4">
        <f>AM1161/AE1161</f>
        <v/>
      </c>
      <c r="AO1161" s="3" t="inlineStr">
        <is>
          <t>3 hrs</t>
        </is>
      </c>
      <c r="AQ1161" s="3" t="inlineStr">
        <is>
          <t>Weight</t>
        </is>
      </c>
      <c r="AT1161" s="3" t="inlineStr">
        <is>
          <t>3 hrs</t>
        </is>
      </c>
    </row>
    <row r="1162" ht="15.75" customHeight="1">
      <c r="A1162" s="3" t="inlineStr">
        <is>
          <t>PROD_0236</t>
        </is>
      </c>
      <c r="B1162" s="3" t="inlineStr">
        <is>
          <t>VAR_11</t>
        </is>
      </c>
      <c r="C1162" s="3" t="inlineStr">
        <is>
          <t>Electrical Material</t>
        </is>
      </c>
      <c r="D1162" s="3" t="inlineStr">
        <is>
          <t>Cieling Lights</t>
        </is>
      </c>
      <c r="E1162" s="3" t="inlineStr">
        <is>
          <t>Philips</t>
        </is>
      </c>
      <c r="F1162" s="3" t="inlineStr">
        <is>
          <t>Astra Prime</t>
        </is>
      </c>
      <c r="H1162" s="3" t="inlineStr">
        <is>
          <t>Wattage</t>
        </is>
      </c>
      <c r="I1162" s="3" t="inlineStr">
        <is>
          <t>15 W</t>
        </is>
      </c>
      <c r="J1162" s="3" t="inlineStr">
        <is>
          <t>Cutting Size</t>
        </is>
      </c>
      <c r="K1162" s="3" t="inlineStr">
        <is>
          <t>140 mm</t>
        </is>
      </c>
      <c r="L1162" s="3" t="inlineStr">
        <is>
          <t>Color</t>
        </is>
      </c>
      <c r="M1162" s="3" t="inlineStr">
        <is>
          <t>Natural White</t>
        </is>
      </c>
      <c r="N1162" s="3" t="inlineStr">
        <is>
          <t>Shape</t>
        </is>
      </c>
      <c r="O1162" s="3" t="inlineStr">
        <is>
          <t>Round</t>
        </is>
      </c>
      <c r="Q1162" s="3" t="inlineStr">
        <is>
          <t>Manufacturer's Warranty</t>
        </is>
      </c>
      <c r="Y1162" s="3" t="inlineStr">
        <is>
          <t>EM_CLN_PHILLIPS_ASTRAROUND</t>
        </is>
      </c>
      <c r="Z1162" s="3" t="n">
        <v>9405</v>
      </c>
      <c r="AE1162" s="3" t="n">
        <v>975</v>
      </c>
      <c r="AF1162" s="4" t="n">
        <v>0.37</v>
      </c>
      <c r="AG1162" s="3">
        <f>ROUND(AE1162-(AE1162*AF1162),2)</f>
        <v/>
      </c>
      <c r="AH1162" s="4" t="n">
        <v>0.18</v>
      </c>
      <c r="AI1162" s="3">
        <f>ROUND(AG1162+(AG1162*AH1162),2)</f>
        <v/>
      </c>
      <c r="AJ1162" s="4" t="n">
        <v>0.2</v>
      </c>
      <c r="AK1162" s="3">
        <f>ROUND(AI1162*AJ1162,2)</f>
        <v/>
      </c>
      <c r="AL1162" s="3">
        <f>AI1162+AK1162</f>
        <v/>
      </c>
      <c r="AM1162" s="3">
        <f>AE1162-AL1162</f>
        <v/>
      </c>
      <c r="AN1162" s="4">
        <f>AM1162/AE1162</f>
        <v/>
      </c>
      <c r="AO1162" s="3" t="inlineStr">
        <is>
          <t>3 hrs</t>
        </is>
      </c>
      <c r="AQ1162" s="3" t="inlineStr">
        <is>
          <t>Weight</t>
        </is>
      </c>
      <c r="AT1162" s="3" t="inlineStr">
        <is>
          <t>3 hrs</t>
        </is>
      </c>
    </row>
    <row r="1163" ht="15.75" customHeight="1">
      <c r="A1163" s="3" t="inlineStr">
        <is>
          <t>PROD_0236</t>
        </is>
      </c>
      <c r="B1163" s="3" t="inlineStr">
        <is>
          <t>VAR_12</t>
        </is>
      </c>
      <c r="C1163" s="3" t="inlineStr">
        <is>
          <t>Electrical Material</t>
        </is>
      </c>
      <c r="D1163" s="3" t="inlineStr">
        <is>
          <t>Cieling Lights</t>
        </is>
      </c>
      <c r="E1163" s="3" t="inlineStr">
        <is>
          <t>Philips</t>
        </is>
      </c>
      <c r="F1163" s="3" t="inlineStr">
        <is>
          <t>Astra Prime</t>
        </is>
      </c>
      <c r="H1163" s="3" t="inlineStr">
        <is>
          <t>Wattage</t>
        </is>
      </c>
      <c r="I1163" s="3" t="inlineStr">
        <is>
          <t>15 W</t>
        </is>
      </c>
      <c r="J1163" s="3" t="inlineStr">
        <is>
          <t>Cutting Size</t>
        </is>
      </c>
      <c r="K1163" s="3" t="inlineStr">
        <is>
          <t>140 mm</t>
        </is>
      </c>
      <c r="L1163" s="3" t="inlineStr">
        <is>
          <t>Color</t>
        </is>
      </c>
      <c r="M1163" s="3" t="inlineStr">
        <is>
          <t>Cool White</t>
        </is>
      </c>
      <c r="N1163" s="3" t="inlineStr">
        <is>
          <t>Shape</t>
        </is>
      </c>
      <c r="O1163" s="3" t="inlineStr">
        <is>
          <t>Round</t>
        </is>
      </c>
      <c r="Q1163" s="3" t="inlineStr">
        <is>
          <t>Manufacturer's Warranty</t>
        </is>
      </c>
      <c r="Y1163" s="3" t="inlineStr">
        <is>
          <t>EM_CLN_PHILLIPS_ASTRAROUND</t>
        </is>
      </c>
      <c r="Z1163" s="3" t="n">
        <v>9405</v>
      </c>
      <c r="AE1163" s="3" t="n">
        <v>975</v>
      </c>
      <c r="AF1163" s="4" t="n">
        <v>0.37</v>
      </c>
      <c r="AG1163" s="3">
        <f>ROUND(AE1163-(AE1163*AF1163),2)</f>
        <v/>
      </c>
      <c r="AH1163" s="4" t="n">
        <v>0.18</v>
      </c>
      <c r="AI1163" s="3">
        <f>ROUND(AG1163+(AG1163*AH1163),2)</f>
        <v/>
      </c>
      <c r="AJ1163" s="4" t="n">
        <v>0.2</v>
      </c>
      <c r="AK1163" s="3">
        <f>ROUND(AI1163*AJ1163,2)</f>
        <v/>
      </c>
      <c r="AL1163" s="3">
        <f>AI1163+AK1163</f>
        <v/>
      </c>
      <c r="AM1163" s="3">
        <f>AE1163-AL1163</f>
        <v/>
      </c>
      <c r="AN1163" s="4">
        <f>AM1163/AE1163</f>
        <v/>
      </c>
      <c r="AO1163" s="3" t="inlineStr">
        <is>
          <t>3 hrs</t>
        </is>
      </c>
      <c r="AQ1163" s="3" t="inlineStr">
        <is>
          <t>Weight</t>
        </is>
      </c>
      <c r="AT1163" s="3" t="inlineStr">
        <is>
          <t>3 hrs</t>
        </is>
      </c>
    </row>
    <row r="1164" ht="15.75" customHeight="1">
      <c r="A1164" s="3" t="inlineStr">
        <is>
          <t>PROD_0236</t>
        </is>
      </c>
      <c r="B1164" s="3" t="inlineStr">
        <is>
          <t>VAR_13</t>
        </is>
      </c>
      <c r="C1164" s="3" t="inlineStr">
        <is>
          <t>Electrical Material</t>
        </is>
      </c>
      <c r="D1164" s="3" t="inlineStr">
        <is>
          <t>Cieling Lights</t>
        </is>
      </c>
      <c r="E1164" s="3" t="inlineStr">
        <is>
          <t>Philips</t>
        </is>
      </c>
      <c r="F1164" s="3" t="inlineStr">
        <is>
          <t>Astra Prime</t>
        </is>
      </c>
      <c r="H1164" s="3" t="inlineStr">
        <is>
          <t>Wattage</t>
        </is>
      </c>
      <c r="I1164" s="3" t="inlineStr">
        <is>
          <t>22 W</t>
        </is>
      </c>
      <c r="J1164" s="3" t="inlineStr">
        <is>
          <t>Cutting Size</t>
        </is>
      </c>
      <c r="K1164" s="3" t="inlineStr">
        <is>
          <t>188 mm</t>
        </is>
      </c>
      <c r="L1164" s="3" t="inlineStr">
        <is>
          <t>Color</t>
        </is>
      </c>
      <c r="M1164" s="3" t="inlineStr">
        <is>
          <t>Warm White</t>
        </is>
      </c>
      <c r="N1164" s="3" t="inlineStr">
        <is>
          <t>Shape</t>
        </is>
      </c>
      <c r="O1164" s="3" t="inlineStr">
        <is>
          <t>Round</t>
        </is>
      </c>
      <c r="Q1164" s="3" t="inlineStr">
        <is>
          <t>Manufacturer's Warranty</t>
        </is>
      </c>
      <c r="Y1164" s="3" t="inlineStr">
        <is>
          <t>EM_CLN_PHILLIPS_ASTRAROUND</t>
        </is>
      </c>
      <c r="Z1164" s="3" t="n">
        <v>9405</v>
      </c>
      <c r="AE1164" s="3" t="n">
        <v>1650</v>
      </c>
      <c r="AF1164" s="4" t="n">
        <v>0.37</v>
      </c>
      <c r="AG1164" s="3">
        <f>ROUND(AE1164-(AE1164*AF1164),2)</f>
        <v/>
      </c>
      <c r="AH1164" s="4" t="n">
        <v>0.18</v>
      </c>
      <c r="AI1164" s="3">
        <f>ROUND(AG1164+(AG1164*AH1164),2)</f>
        <v/>
      </c>
      <c r="AJ1164" s="4" t="n">
        <v>0.2</v>
      </c>
      <c r="AK1164" s="3">
        <f>ROUND(AI1164*AJ1164,2)</f>
        <v/>
      </c>
      <c r="AL1164" s="3">
        <f>AI1164+AK1164</f>
        <v/>
      </c>
      <c r="AM1164" s="3">
        <f>AE1164-AL1164</f>
        <v/>
      </c>
      <c r="AN1164" s="4">
        <f>AM1164/AE1164</f>
        <v/>
      </c>
      <c r="AO1164" s="3" t="inlineStr">
        <is>
          <t>3 hrs</t>
        </is>
      </c>
      <c r="AQ1164" s="3" t="inlineStr">
        <is>
          <t>Weight</t>
        </is>
      </c>
      <c r="AT1164" s="3" t="inlineStr">
        <is>
          <t>3 hrs</t>
        </is>
      </c>
    </row>
    <row r="1165" ht="15.75" customHeight="1">
      <c r="A1165" s="3" t="inlineStr">
        <is>
          <t>PROD_0236</t>
        </is>
      </c>
      <c r="B1165" s="3" t="inlineStr">
        <is>
          <t>VAR_14</t>
        </is>
      </c>
      <c r="C1165" s="3" t="inlineStr">
        <is>
          <t>Electrical Material</t>
        </is>
      </c>
      <c r="D1165" s="3" t="inlineStr">
        <is>
          <t>Cieling Lights</t>
        </is>
      </c>
      <c r="E1165" s="3" t="inlineStr">
        <is>
          <t>Philips</t>
        </is>
      </c>
      <c r="F1165" s="3" t="inlineStr">
        <is>
          <t>Astra Prime</t>
        </is>
      </c>
      <c r="H1165" s="3" t="inlineStr">
        <is>
          <t>Wattage</t>
        </is>
      </c>
      <c r="I1165" s="3" t="inlineStr">
        <is>
          <t>22 W</t>
        </is>
      </c>
      <c r="J1165" s="3" t="inlineStr">
        <is>
          <t>Cutting Size</t>
        </is>
      </c>
      <c r="K1165" s="3" t="inlineStr">
        <is>
          <t>188 mm</t>
        </is>
      </c>
      <c r="L1165" s="3" t="inlineStr">
        <is>
          <t>Color</t>
        </is>
      </c>
      <c r="M1165" s="3" t="inlineStr">
        <is>
          <t>Natural White</t>
        </is>
      </c>
      <c r="N1165" s="3" t="inlineStr">
        <is>
          <t>Shape</t>
        </is>
      </c>
      <c r="O1165" s="3" t="inlineStr">
        <is>
          <t>Round</t>
        </is>
      </c>
      <c r="Q1165" s="3" t="inlineStr">
        <is>
          <t>Manufacturer's Warranty</t>
        </is>
      </c>
      <c r="Y1165" s="3" t="inlineStr">
        <is>
          <t>EM_CLN_PHILLIPS_ASTRAROUND</t>
        </is>
      </c>
      <c r="Z1165" s="3" t="n">
        <v>9405</v>
      </c>
      <c r="AE1165" s="3" t="n">
        <v>1650</v>
      </c>
      <c r="AF1165" s="4" t="n">
        <v>0.37</v>
      </c>
      <c r="AG1165" s="3">
        <f>ROUND(AE1165-(AE1165*AF1165),2)</f>
        <v/>
      </c>
      <c r="AH1165" s="4" t="n">
        <v>0.18</v>
      </c>
      <c r="AI1165" s="3">
        <f>ROUND(AG1165+(AG1165*AH1165),2)</f>
        <v/>
      </c>
      <c r="AJ1165" s="4" t="n">
        <v>0.2</v>
      </c>
      <c r="AK1165" s="3">
        <f>ROUND(AI1165*AJ1165,2)</f>
        <v/>
      </c>
      <c r="AL1165" s="3">
        <f>AI1165+AK1165</f>
        <v/>
      </c>
      <c r="AM1165" s="3">
        <f>AE1165-AL1165</f>
        <v/>
      </c>
      <c r="AN1165" s="4">
        <f>AM1165/AE1165</f>
        <v/>
      </c>
      <c r="AO1165" s="3" t="inlineStr">
        <is>
          <t>3 hrs</t>
        </is>
      </c>
      <c r="AQ1165" s="3" t="inlineStr">
        <is>
          <t>Weight</t>
        </is>
      </c>
      <c r="AT1165" s="3" t="inlineStr">
        <is>
          <t>3 hrs</t>
        </is>
      </c>
    </row>
    <row r="1166" ht="15.75" customHeight="1">
      <c r="A1166" s="3" t="inlineStr">
        <is>
          <t>PROD_0236</t>
        </is>
      </c>
      <c r="B1166" s="3" t="inlineStr">
        <is>
          <t>VAR_15</t>
        </is>
      </c>
      <c r="C1166" s="3" t="inlineStr">
        <is>
          <t>Electrical Material</t>
        </is>
      </c>
      <c r="D1166" s="3" t="inlineStr">
        <is>
          <t>Cieling Lights</t>
        </is>
      </c>
      <c r="E1166" s="3" t="inlineStr">
        <is>
          <t>Philips</t>
        </is>
      </c>
      <c r="F1166" s="3" t="inlineStr">
        <is>
          <t>Astra Prime</t>
        </is>
      </c>
      <c r="H1166" s="3" t="inlineStr">
        <is>
          <t>Wattage</t>
        </is>
      </c>
      <c r="I1166" s="3" t="inlineStr">
        <is>
          <t>22 W</t>
        </is>
      </c>
      <c r="J1166" s="3" t="inlineStr">
        <is>
          <t>Cutting Size</t>
        </is>
      </c>
      <c r="K1166" s="3" t="inlineStr">
        <is>
          <t>188 mm</t>
        </is>
      </c>
      <c r="L1166" s="3" t="inlineStr">
        <is>
          <t>Color</t>
        </is>
      </c>
      <c r="M1166" s="3" t="inlineStr">
        <is>
          <t>Cool White</t>
        </is>
      </c>
      <c r="N1166" s="3" t="inlineStr">
        <is>
          <t>Shape</t>
        </is>
      </c>
      <c r="O1166" s="3" t="inlineStr">
        <is>
          <t>Round</t>
        </is>
      </c>
      <c r="Q1166" s="3" t="inlineStr">
        <is>
          <t>Manufacturer's Warranty</t>
        </is>
      </c>
      <c r="Y1166" s="3" t="inlineStr">
        <is>
          <t>EM_CLN_PHILLIPS_ASTRAROUND</t>
        </is>
      </c>
      <c r="Z1166" s="3" t="n">
        <v>9405</v>
      </c>
      <c r="AE1166" s="3" t="n">
        <v>1650</v>
      </c>
      <c r="AF1166" s="4" t="n">
        <v>0.37</v>
      </c>
      <c r="AG1166" s="3">
        <f>ROUND(AE1166-(AE1166*AF1166),2)</f>
        <v/>
      </c>
      <c r="AH1166" s="4" t="n">
        <v>0.18</v>
      </c>
      <c r="AI1166" s="3">
        <f>ROUND(AG1166+(AG1166*AH1166),2)</f>
        <v/>
      </c>
      <c r="AJ1166" s="4" t="n">
        <v>0.2</v>
      </c>
      <c r="AK1166" s="3">
        <f>ROUND(AI1166*AJ1166,2)</f>
        <v/>
      </c>
      <c r="AL1166" s="3">
        <f>AI1166+AK1166</f>
        <v/>
      </c>
      <c r="AM1166" s="3">
        <f>AE1166-AL1166</f>
        <v/>
      </c>
      <c r="AN1166" s="4">
        <f>AM1166/AE1166</f>
        <v/>
      </c>
      <c r="AO1166" s="3" t="inlineStr">
        <is>
          <t>3 hrs</t>
        </is>
      </c>
      <c r="AQ1166" s="3" t="inlineStr">
        <is>
          <t>Weight</t>
        </is>
      </c>
      <c r="AT1166" s="3" t="inlineStr">
        <is>
          <t>3 hrs</t>
        </is>
      </c>
    </row>
    <row r="1167" ht="15.75" customHeight="1">
      <c r="A1167" s="3" t="inlineStr">
        <is>
          <t>PROD_0236</t>
        </is>
      </c>
      <c r="B1167" s="3" t="inlineStr">
        <is>
          <t>VAR_16</t>
        </is>
      </c>
      <c r="C1167" s="3" t="inlineStr">
        <is>
          <t>Electrical Material</t>
        </is>
      </c>
      <c r="D1167" s="3" t="inlineStr">
        <is>
          <t>Cieling Lights</t>
        </is>
      </c>
      <c r="E1167" s="3" t="inlineStr">
        <is>
          <t>Philips</t>
        </is>
      </c>
      <c r="F1167" s="3" t="inlineStr">
        <is>
          <t>Astra Prime</t>
        </is>
      </c>
      <c r="H1167" s="3" t="inlineStr">
        <is>
          <t>Wattage</t>
        </is>
      </c>
      <c r="I1167" s="3" t="inlineStr">
        <is>
          <t>5 W</t>
        </is>
      </c>
      <c r="J1167" s="3" t="inlineStr">
        <is>
          <t>Cutting Size</t>
        </is>
      </c>
      <c r="K1167" s="3" t="inlineStr">
        <is>
          <t>75 mm</t>
        </is>
      </c>
      <c r="L1167" s="3" t="inlineStr">
        <is>
          <t>Color</t>
        </is>
      </c>
      <c r="M1167" s="3" t="inlineStr">
        <is>
          <t>Warm White</t>
        </is>
      </c>
      <c r="N1167" s="3" t="inlineStr">
        <is>
          <t>Shape</t>
        </is>
      </c>
      <c r="O1167" s="3" t="inlineStr">
        <is>
          <t>Square</t>
        </is>
      </c>
      <c r="Q1167" s="3" t="inlineStr">
        <is>
          <t>Manufacturer's Warranty</t>
        </is>
      </c>
      <c r="Y1167" s="3" t="inlineStr">
        <is>
          <t>EM_CLN_PHILLIPS_ASTRA_SQR</t>
        </is>
      </c>
      <c r="Z1167" s="3" t="n">
        <v>9405</v>
      </c>
      <c r="AE1167" s="3" t="n">
        <v>640</v>
      </c>
      <c r="AF1167" s="4" t="n">
        <v>0.37</v>
      </c>
      <c r="AG1167" s="3">
        <f>ROUND(AE1167-(AE1167*AF1167),2)</f>
        <v/>
      </c>
      <c r="AH1167" s="4" t="n">
        <v>0.18</v>
      </c>
      <c r="AI1167" s="3">
        <f>ROUND(AG1167+(AG1167*AH1167),2)</f>
        <v/>
      </c>
      <c r="AJ1167" s="4" t="n">
        <v>0.2</v>
      </c>
      <c r="AK1167" s="3">
        <f>ROUND(AI1167*AJ1167,2)</f>
        <v/>
      </c>
      <c r="AL1167" s="3">
        <f>AI1167+AK1167</f>
        <v/>
      </c>
      <c r="AM1167" s="3">
        <f>AE1167-AL1167</f>
        <v/>
      </c>
      <c r="AN1167" s="4">
        <f>AM1167/AE1167</f>
        <v/>
      </c>
      <c r="AO1167" s="3" t="inlineStr">
        <is>
          <t>3 hrs</t>
        </is>
      </c>
      <c r="AQ1167" s="3" t="inlineStr">
        <is>
          <t>Weight</t>
        </is>
      </c>
      <c r="AT1167" s="3" t="inlineStr">
        <is>
          <t>3 hrs</t>
        </is>
      </c>
    </row>
    <row r="1168" ht="15.75" customHeight="1">
      <c r="A1168" s="3" t="inlineStr">
        <is>
          <t>PROD_0236</t>
        </is>
      </c>
      <c r="B1168" s="3" t="inlineStr">
        <is>
          <t>VAR_17</t>
        </is>
      </c>
      <c r="C1168" s="3" t="inlineStr">
        <is>
          <t>Electrical Material</t>
        </is>
      </c>
      <c r="D1168" s="3" t="inlineStr">
        <is>
          <t>Cieling Lights</t>
        </is>
      </c>
      <c r="E1168" s="3" t="inlineStr">
        <is>
          <t>Philips</t>
        </is>
      </c>
      <c r="F1168" s="3" t="inlineStr">
        <is>
          <t>Astra Prime</t>
        </is>
      </c>
      <c r="H1168" s="3" t="inlineStr">
        <is>
          <t>Wattage</t>
        </is>
      </c>
      <c r="I1168" s="3" t="inlineStr">
        <is>
          <t>5 W</t>
        </is>
      </c>
      <c r="J1168" s="3" t="inlineStr">
        <is>
          <t>Cutting Size</t>
        </is>
      </c>
      <c r="K1168" s="3" t="inlineStr">
        <is>
          <t>75 mm</t>
        </is>
      </c>
      <c r="L1168" s="3" t="inlineStr">
        <is>
          <t>Color</t>
        </is>
      </c>
      <c r="M1168" s="3" t="inlineStr">
        <is>
          <t>Natural White</t>
        </is>
      </c>
      <c r="N1168" s="3" t="inlineStr">
        <is>
          <t>Shape</t>
        </is>
      </c>
      <c r="O1168" s="3" t="inlineStr">
        <is>
          <t>Square</t>
        </is>
      </c>
      <c r="Q1168" s="3" t="inlineStr">
        <is>
          <t>Manufacturer's Warranty</t>
        </is>
      </c>
      <c r="Y1168" s="3" t="inlineStr">
        <is>
          <t>EM_CLN_PHILLIPS_ASTRA_SQR</t>
        </is>
      </c>
      <c r="Z1168" s="3" t="n">
        <v>9405</v>
      </c>
      <c r="AE1168" s="3" t="n">
        <v>640</v>
      </c>
      <c r="AF1168" s="4" t="n">
        <v>0.37</v>
      </c>
      <c r="AG1168" s="3">
        <f>ROUND(AE1168-(AE1168*AF1168),2)</f>
        <v/>
      </c>
      <c r="AH1168" s="4" t="n">
        <v>0.18</v>
      </c>
      <c r="AI1168" s="3">
        <f>ROUND(AG1168+(AG1168*AH1168),2)</f>
        <v/>
      </c>
      <c r="AJ1168" s="4" t="n">
        <v>0.2</v>
      </c>
      <c r="AK1168" s="3">
        <f>ROUND(AI1168*AJ1168,2)</f>
        <v/>
      </c>
      <c r="AL1168" s="3">
        <f>AI1168+AK1168</f>
        <v/>
      </c>
      <c r="AM1168" s="3">
        <f>AE1168-AL1168</f>
        <v/>
      </c>
      <c r="AN1168" s="4">
        <f>AM1168/AE1168</f>
        <v/>
      </c>
      <c r="AO1168" s="3" t="inlineStr">
        <is>
          <t>3 hrs</t>
        </is>
      </c>
      <c r="AQ1168" s="3" t="inlineStr">
        <is>
          <t>Weight</t>
        </is>
      </c>
      <c r="AT1168" s="3" t="inlineStr">
        <is>
          <t>3 hrs</t>
        </is>
      </c>
    </row>
    <row r="1169" ht="15.75" customHeight="1">
      <c r="A1169" s="3" t="inlineStr">
        <is>
          <t>PROD_0236</t>
        </is>
      </c>
      <c r="B1169" s="3" t="inlineStr">
        <is>
          <t>VAR_18</t>
        </is>
      </c>
      <c r="C1169" s="3" t="inlineStr">
        <is>
          <t>Electrical Material</t>
        </is>
      </c>
      <c r="D1169" s="3" t="inlineStr">
        <is>
          <t>Cieling Lights</t>
        </is>
      </c>
      <c r="E1169" s="3" t="inlineStr">
        <is>
          <t>Philips</t>
        </is>
      </c>
      <c r="F1169" s="3" t="inlineStr">
        <is>
          <t>Astra Prime</t>
        </is>
      </c>
      <c r="H1169" s="3" t="inlineStr">
        <is>
          <t>Wattage</t>
        </is>
      </c>
      <c r="I1169" s="3" t="inlineStr">
        <is>
          <t>5 W</t>
        </is>
      </c>
      <c r="J1169" s="3" t="inlineStr">
        <is>
          <t>Cutting Size</t>
        </is>
      </c>
      <c r="K1169" s="3" t="inlineStr">
        <is>
          <t>75 mm</t>
        </is>
      </c>
      <c r="L1169" s="3" t="inlineStr">
        <is>
          <t>Color</t>
        </is>
      </c>
      <c r="M1169" s="3" t="inlineStr">
        <is>
          <t>Cool White</t>
        </is>
      </c>
      <c r="N1169" s="3" t="inlineStr">
        <is>
          <t>Shape</t>
        </is>
      </c>
      <c r="O1169" s="3" t="inlineStr">
        <is>
          <t>Square</t>
        </is>
      </c>
      <c r="Q1169" s="3" t="inlineStr">
        <is>
          <t>Manufacturer's Warranty</t>
        </is>
      </c>
      <c r="Y1169" s="3" t="inlineStr">
        <is>
          <t>EM_CLN_PHILLIPS_ASTRA_SQR</t>
        </is>
      </c>
      <c r="Z1169" s="3" t="n">
        <v>9405</v>
      </c>
      <c r="AE1169" s="3" t="n">
        <v>640</v>
      </c>
      <c r="AF1169" s="4" t="n">
        <v>0.37</v>
      </c>
      <c r="AG1169" s="3">
        <f>ROUND(AE1169-(AE1169*AF1169),2)</f>
        <v/>
      </c>
      <c r="AH1169" s="4" t="n">
        <v>0.18</v>
      </c>
      <c r="AI1169" s="3">
        <f>ROUND(AG1169+(AG1169*AH1169),2)</f>
        <v/>
      </c>
      <c r="AJ1169" s="4" t="n">
        <v>0.2</v>
      </c>
      <c r="AK1169" s="3">
        <f>ROUND(AI1169*AJ1169,2)</f>
        <v/>
      </c>
      <c r="AL1169" s="3">
        <f>AI1169+AK1169</f>
        <v/>
      </c>
      <c r="AM1169" s="3">
        <f>AE1169-AL1169</f>
        <v/>
      </c>
      <c r="AN1169" s="4">
        <f>AM1169/AE1169</f>
        <v/>
      </c>
      <c r="AO1169" s="3" t="inlineStr">
        <is>
          <t>3 hrs</t>
        </is>
      </c>
      <c r="AQ1169" s="3" t="inlineStr">
        <is>
          <t>Weight</t>
        </is>
      </c>
      <c r="AT1169" s="3" t="inlineStr">
        <is>
          <t>3 hrs</t>
        </is>
      </c>
    </row>
    <row r="1170" ht="15.75" customHeight="1">
      <c r="A1170" s="3" t="inlineStr">
        <is>
          <t>PROD_0236</t>
        </is>
      </c>
      <c r="B1170" s="3" t="inlineStr">
        <is>
          <t>VAR_19</t>
        </is>
      </c>
      <c r="C1170" s="3" t="inlineStr">
        <is>
          <t>Electrical Material</t>
        </is>
      </c>
      <c r="D1170" s="3" t="inlineStr">
        <is>
          <t>Cieling Lights</t>
        </is>
      </c>
      <c r="E1170" s="3" t="inlineStr">
        <is>
          <t>Philips</t>
        </is>
      </c>
      <c r="F1170" s="3" t="inlineStr">
        <is>
          <t>Astra Prime</t>
        </is>
      </c>
      <c r="H1170" s="3" t="inlineStr">
        <is>
          <t>Wattage</t>
        </is>
      </c>
      <c r="I1170" s="3" t="inlineStr">
        <is>
          <t>10 W</t>
        </is>
      </c>
      <c r="J1170" s="3" t="inlineStr">
        <is>
          <t>Cutting Size</t>
        </is>
      </c>
      <c r="K1170" s="3" t="inlineStr">
        <is>
          <t>110 mm</t>
        </is>
      </c>
      <c r="L1170" s="3" t="inlineStr">
        <is>
          <t>Color</t>
        </is>
      </c>
      <c r="M1170" s="3" t="inlineStr">
        <is>
          <t>Warm White</t>
        </is>
      </c>
      <c r="N1170" s="3" t="inlineStr">
        <is>
          <t>Shape</t>
        </is>
      </c>
      <c r="O1170" s="3" t="inlineStr">
        <is>
          <t>Square</t>
        </is>
      </c>
      <c r="Q1170" s="3" t="inlineStr">
        <is>
          <t>Manufacturer's Warranty</t>
        </is>
      </c>
      <c r="Y1170" s="3" t="inlineStr">
        <is>
          <t>EM_CLN_PHILLIPS_ASTRA_SQR</t>
        </is>
      </c>
      <c r="Z1170" s="3" t="n">
        <v>9405</v>
      </c>
      <c r="AE1170" s="3" t="n">
        <v>805</v>
      </c>
      <c r="AF1170" s="4" t="n">
        <v>0.37</v>
      </c>
      <c r="AG1170" s="3">
        <f>ROUND(AE1170-(AE1170*AF1170),2)</f>
        <v/>
      </c>
      <c r="AH1170" s="4" t="n">
        <v>0.18</v>
      </c>
      <c r="AI1170" s="3">
        <f>ROUND(AG1170+(AG1170*AH1170),2)</f>
        <v/>
      </c>
      <c r="AJ1170" s="4" t="n">
        <v>0.2</v>
      </c>
      <c r="AK1170" s="3">
        <f>ROUND(AI1170*AJ1170,2)</f>
        <v/>
      </c>
      <c r="AL1170" s="3">
        <f>AI1170+AK1170</f>
        <v/>
      </c>
      <c r="AM1170" s="3">
        <f>AE1170-AL1170</f>
        <v/>
      </c>
      <c r="AN1170" s="4">
        <f>AM1170/AE1170</f>
        <v/>
      </c>
      <c r="AO1170" s="3" t="inlineStr">
        <is>
          <t>3 hrs</t>
        </is>
      </c>
      <c r="AQ1170" s="3" t="inlineStr">
        <is>
          <t>Weight</t>
        </is>
      </c>
      <c r="AT1170" s="3" t="inlineStr">
        <is>
          <t>3 hrs</t>
        </is>
      </c>
    </row>
    <row r="1171" ht="15.75" customHeight="1">
      <c r="A1171" s="3" t="inlineStr">
        <is>
          <t>PROD_0236</t>
        </is>
      </c>
      <c r="B1171" s="3" t="inlineStr">
        <is>
          <t>VAR_20</t>
        </is>
      </c>
      <c r="C1171" s="3" t="inlineStr">
        <is>
          <t>Electrical Material</t>
        </is>
      </c>
      <c r="D1171" s="3" t="inlineStr">
        <is>
          <t>Cieling Lights</t>
        </is>
      </c>
      <c r="E1171" s="3" t="inlineStr">
        <is>
          <t>Philips</t>
        </is>
      </c>
      <c r="F1171" s="3" t="inlineStr">
        <is>
          <t>Astra Prime</t>
        </is>
      </c>
      <c r="H1171" s="3" t="inlineStr">
        <is>
          <t>Wattage</t>
        </is>
      </c>
      <c r="I1171" s="3" t="inlineStr">
        <is>
          <t>10 W</t>
        </is>
      </c>
      <c r="J1171" s="3" t="inlineStr">
        <is>
          <t>Cutting Size</t>
        </is>
      </c>
      <c r="K1171" s="3" t="inlineStr">
        <is>
          <t>110 mm</t>
        </is>
      </c>
      <c r="L1171" s="3" t="inlineStr">
        <is>
          <t>Color</t>
        </is>
      </c>
      <c r="M1171" s="3" t="inlineStr">
        <is>
          <t>Natural White</t>
        </is>
      </c>
      <c r="N1171" s="3" t="inlineStr">
        <is>
          <t>Shape</t>
        </is>
      </c>
      <c r="O1171" s="3" t="inlineStr">
        <is>
          <t>Square</t>
        </is>
      </c>
      <c r="Q1171" s="3" t="inlineStr">
        <is>
          <t>Manufacturer's Warranty</t>
        </is>
      </c>
      <c r="Y1171" s="3" t="inlineStr">
        <is>
          <t>EM_CLN_PHILLIPS_ASTRA_SQR</t>
        </is>
      </c>
      <c r="Z1171" s="3" t="n">
        <v>9405</v>
      </c>
      <c r="AE1171" s="3" t="n">
        <v>805</v>
      </c>
      <c r="AF1171" s="4" t="n">
        <v>0.37</v>
      </c>
      <c r="AG1171" s="3">
        <f>ROUND(AE1171-(AE1171*AF1171),2)</f>
        <v/>
      </c>
      <c r="AH1171" s="4" t="n">
        <v>0.18</v>
      </c>
      <c r="AI1171" s="3">
        <f>ROUND(AG1171+(AG1171*AH1171),2)</f>
        <v/>
      </c>
      <c r="AJ1171" s="4" t="n">
        <v>0.2</v>
      </c>
      <c r="AK1171" s="3">
        <f>ROUND(AI1171*AJ1171,2)</f>
        <v/>
      </c>
      <c r="AL1171" s="3">
        <f>AI1171+AK1171</f>
        <v/>
      </c>
      <c r="AM1171" s="3">
        <f>AE1171-AL1171</f>
        <v/>
      </c>
      <c r="AN1171" s="4">
        <f>AM1171/AE1171</f>
        <v/>
      </c>
      <c r="AO1171" s="3" t="inlineStr">
        <is>
          <t>3 hrs</t>
        </is>
      </c>
      <c r="AQ1171" s="3" t="inlineStr">
        <is>
          <t>Weight</t>
        </is>
      </c>
      <c r="AT1171" s="3" t="inlineStr">
        <is>
          <t>3 hrs</t>
        </is>
      </c>
    </row>
    <row r="1172" ht="15.75" customHeight="1">
      <c r="A1172" s="3" t="inlineStr">
        <is>
          <t>PROD_0236</t>
        </is>
      </c>
      <c r="B1172" s="3" t="inlineStr">
        <is>
          <t>VAR_21</t>
        </is>
      </c>
      <c r="C1172" s="3" t="inlineStr">
        <is>
          <t>Electrical Material</t>
        </is>
      </c>
      <c r="D1172" s="3" t="inlineStr">
        <is>
          <t>Cieling Lights</t>
        </is>
      </c>
      <c r="E1172" s="3" t="inlineStr">
        <is>
          <t>Philips</t>
        </is>
      </c>
      <c r="F1172" s="3" t="inlineStr">
        <is>
          <t>Astra Prime</t>
        </is>
      </c>
      <c r="H1172" s="3" t="inlineStr">
        <is>
          <t>Wattage</t>
        </is>
      </c>
      <c r="I1172" s="3" t="inlineStr">
        <is>
          <t>10 W</t>
        </is>
      </c>
      <c r="J1172" s="3" t="inlineStr">
        <is>
          <t>Cutting Size</t>
        </is>
      </c>
      <c r="K1172" s="3" t="inlineStr">
        <is>
          <t>110 mm</t>
        </is>
      </c>
      <c r="L1172" s="3" t="inlineStr">
        <is>
          <t>Color</t>
        </is>
      </c>
      <c r="M1172" s="3" t="inlineStr">
        <is>
          <t>Cool White</t>
        </is>
      </c>
      <c r="N1172" s="3" t="inlineStr">
        <is>
          <t>Shape</t>
        </is>
      </c>
      <c r="O1172" s="3" t="inlineStr">
        <is>
          <t>Square</t>
        </is>
      </c>
      <c r="Q1172" s="3" t="inlineStr">
        <is>
          <t>Manufacturer's Warranty</t>
        </is>
      </c>
      <c r="Y1172" s="3" t="inlineStr">
        <is>
          <t>EM_CLN_PHILLIPS_ASTRA_SQR</t>
        </is>
      </c>
      <c r="Z1172" s="3" t="n">
        <v>9405</v>
      </c>
      <c r="AE1172" s="3" t="n">
        <v>805</v>
      </c>
      <c r="AF1172" s="4" t="n">
        <v>0.37</v>
      </c>
      <c r="AG1172" s="3">
        <f>ROUND(AE1172-(AE1172*AF1172),2)</f>
        <v/>
      </c>
      <c r="AH1172" s="4" t="n">
        <v>0.18</v>
      </c>
      <c r="AI1172" s="3">
        <f>ROUND(AG1172+(AG1172*AH1172),2)</f>
        <v/>
      </c>
      <c r="AJ1172" s="4" t="n">
        <v>0.2</v>
      </c>
      <c r="AK1172" s="3">
        <f>ROUND(AI1172*AJ1172,2)</f>
        <v/>
      </c>
      <c r="AL1172" s="3">
        <f>AI1172+AK1172</f>
        <v/>
      </c>
      <c r="AM1172" s="3">
        <f>AE1172-AL1172</f>
        <v/>
      </c>
      <c r="AN1172" s="4">
        <f>AM1172/AE1172</f>
        <v/>
      </c>
      <c r="AO1172" s="3" t="inlineStr">
        <is>
          <t>3 hrs</t>
        </is>
      </c>
      <c r="AQ1172" s="3" t="inlineStr">
        <is>
          <t>Weight</t>
        </is>
      </c>
      <c r="AT1172" s="3" t="inlineStr">
        <is>
          <t>3 hrs</t>
        </is>
      </c>
    </row>
    <row r="1173" ht="15.75" customHeight="1">
      <c r="A1173" s="3" t="inlineStr">
        <is>
          <t>PROD_0236</t>
        </is>
      </c>
      <c r="B1173" s="3" t="inlineStr">
        <is>
          <t>VAR_22</t>
        </is>
      </c>
      <c r="C1173" s="3" t="inlineStr">
        <is>
          <t>Electrical Material</t>
        </is>
      </c>
      <c r="D1173" s="3" t="inlineStr">
        <is>
          <t>Cieling Lights</t>
        </is>
      </c>
      <c r="E1173" s="3" t="inlineStr">
        <is>
          <t>Philips</t>
        </is>
      </c>
      <c r="F1173" s="3" t="inlineStr">
        <is>
          <t>Astra Prime</t>
        </is>
      </c>
      <c r="H1173" s="3" t="inlineStr">
        <is>
          <t>Wattage</t>
        </is>
      </c>
      <c r="I1173" s="3" t="inlineStr">
        <is>
          <t>15 W</t>
        </is>
      </c>
      <c r="J1173" s="3" t="inlineStr">
        <is>
          <t>Cutting Size</t>
        </is>
      </c>
      <c r="K1173" s="3" t="inlineStr">
        <is>
          <t>140 mm</t>
        </is>
      </c>
      <c r="L1173" s="3" t="inlineStr">
        <is>
          <t>Color</t>
        </is>
      </c>
      <c r="M1173" s="3" t="inlineStr">
        <is>
          <t>Warm White</t>
        </is>
      </c>
      <c r="N1173" s="3" t="inlineStr">
        <is>
          <t>Shape</t>
        </is>
      </c>
      <c r="O1173" s="3" t="inlineStr">
        <is>
          <t>Square</t>
        </is>
      </c>
      <c r="Q1173" s="3" t="inlineStr">
        <is>
          <t>Manufacturer's Warranty</t>
        </is>
      </c>
      <c r="Y1173" s="3" t="inlineStr">
        <is>
          <t>EM_CLN_PHILLIPS_ASTRA_SQR</t>
        </is>
      </c>
      <c r="Z1173" s="3" t="n">
        <v>9405</v>
      </c>
      <c r="AE1173" s="3" t="n">
        <v>975</v>
      </c>
      <c r="AF1173" s="4" t="n">
        <v>0.37</v>
      </c>
      <c r="AG1173" s="3">
        <f>ROUND(AE1173-(AE1173*AF1173),2)</f>
        <v/>
      </c>
      <c r="AH1173" s="4" t="n">
        <v>0.18</v>
      </c>
      <c r="AI1173" s="3">
        <f>ROUND(AG1173+(AG1173*AH1173),2)</f>
        <v/>
      </c>
      <c r="AJ1173" s="4" t="n">
        <v>0.2</v>
      </c>
      <c r="AK1173" s="3">
        <f>ROUND(AI1173*AJ1173,2)</f>
        <v/>
      </c>
      <c r="AL1173" s="3">
        <f>AI1173+AK1173</f>
        <v/>
      </c>
      <c r="AM1173" s="3">
        <f>AE1173-AL1173</f>
        <v/>
      </c>
      <c r="AN1173" s="4">
        <f>AM1173/AE1173</f>
        <v/>
      </c>
      <c r="AO1173" s="3" t="inlineStr">
        <is>
          <t>3 hrs</t>
        </is>
      </c>
      <c r="AQ1173" s="3" t="inlineStr">
        <is>
          <t>Weight</t>
        </is>
      </c>
      <c r="AT1173" s="3" t="inlineStr">
        <is>
          <t>3 hrs</t>
        </is>
      </c>
    </row>
    <row r="1174" ht="15.75" customHeight="1">
      <c r="A1174" s="3" t="inlineStr">
        <is>
          <t>PROD_0236</t>
        </is>
      </c>
      <c r="B1174" s="3" t="inlineStr">
        <is>
          <t>VAR_23</t>
        </is>
      </c>
      <c r="C1174" s="3" t="inlineStr">
        <is>
          <t>Electrical Material</t>
        </is>
      </c>
      <c r="D1174" s="3" t="inlineStr">
        <is>
          <t>Cieling Lights</t>
        </is>
      </c>
      <c r="E1174" s="3" t="inlineStr">
        <is>
          <t>Philips</t>
        </is>
      </c>
      <c r="F1174" s="3" t="inlineStr">
        <is>
          <t>Astra Prime</t>
        </is>
      </c>
      <c r="H1174" s="3" t="inlineStr">
        <is>
          <t>Wattage</t>
        </is>
      </c>
      <c r="I1174" s="3" t="inlineStr">
        <is>
          <t>15 W</t>
        </is>
      </c>
      <c r="J1174" s="3" t="inlineStr">
        <is>
          <t>Cutting Size</t>
        </is>
      </c>
      <c r="K1174" s="3" t="inlineStr">
        <is>
          <t>140 mm</t>
        </is>
      </c>
      <c r="L1174" s="3" t="inlineStr">
        <is>
          <t>Color</t>
        </is>
      </c>
      <c r="M1174" s="3" t="inlineStr">
        <is>
          <t>Natural White</t>
        </is>
      </c>
      <c r="N1174" s="3" t="inlineStr">
        <is>
          <t>Shape</t>
        </is>
      </c>
      <c r="O1174" s="3" t="inlineStr">
        <is>
          <t>Square</t>
        </is>
      </c>
      <c r="Q1174" s="3" t="inlineStr">
        <is>
          <t>Manufacturer's Warranty</t>
        </is>
      </c>
      <c r="Y1174" s="3" t="inlineStr">
        <is>
          <t>EM_CLN_PHILLIPS_ASTRA_SQR</t>
        </is>
      </c>
      <c r="Z1174" s="3" t="n">
        <v>9405</v>
      </c>
      <c r="AE1174" s="3" t="n">
        <v>975</v>
      </c>
      <c r="AF1174" s="4" t="n">
        <v>0.37</v>
      </c>
      <c r="AG1174" s="3">
        <f>ROUND(AE1174-(AE1174*AF1174),2)</f>
        <v/>
      </c>
      <c r="AH1174" s="4" t="n">
        <v>0.18</v>
      </c>
      <c r="AI1174" s="3">
        <f>ROUND(AG1174+(AG1174*AH1174),2)</f>
        <v/>
      </c>
      <c r="AJ1174" s="4" t="n">
        <v>0.2</v>
      </c>
      <c r="AK1174" s="3">
        <f>ROUND(AI1174*AJ1174,2)</f>
        <v/>
      </c>
      <c r="AL1174" s="3">
        <f>AI1174+AK1174</f>
        <v/>
      </c>
      <c r="AM1174" s="3">
        <f>AE1174-AL1174</f>
        <v/>
      </c>
      <c r="AN1174" s="4">
        <f>AM1174/AE1174</f>
        <v/>
      </c>
      <c r="AO1174" s="3" t="inlineStr">
        <is>
          <t>3 hrs</t>
        </is>
      </c>
      <c r="AQ1174" s="3" t="inlineStr">
        <is>
          <t>Weight</t>
        </is>
      </c>
      <c r="AT1174" s="3" t="inlineStr">
        <is>
          <t>3 hrs</t>
        </is>
      </c>
    </row>
    <row r="1175" ht="15.75" customHeight="1">
      <c r="A1175" s="3" t="inlineStr">
        <is>
          <t>PROD_0236</t>
        </is>
      </c>
      <c r="B1175" s="3" t="inlineStr">
        <is>
          <t>VAR_24</t>
        </is>
      </c>
      <c r="C1175" s="3" t="inlineStr">
        <is>
          <t>Electrical Material</t>
        </is>
      </c>
      <c r="D1175" s="3" t="inlineStr">
        <is>
          <t>Cieling Lights</t>
        </is>
      </c>
      <c r="E1175" s="3" t="inlineStr">
        <is>
          <t>Philips</t>
        </is>
      </c>
      <c r="F1175" s="3" t="inlineStr">
        <is>
          <t>Astra Prime</t>
        </is>
      </c>
      <c r="H1175" s="3" t="inlineStr">
        <is>
          <t>Wattage</t>
        </is>
      </c>
      <c r="I1175" s="3" t="inlineStr">
        <is>
          <t>15 W</t>
        </is>
      </c>
      <c r="J1175" s="3" t="inlineStr">
        <is>
          <t>Cutting Size</t>
        </is>
      </c>
      <c r="K1175" s="3" t="inlineStr">
        <is>
          <t>140 mm</t>
        </is>
      </c>
      <c r="L1175" s="3" t="inlineStr">
        <is>
          <t>Color</t>
        </is>
      </c>
      <c r="M1175" s="3" t="inlineStr">
        <is>
          <t>Cool White</t>
        </is>
      </c>
      <c r="N1175" s="3" t="inlineStr">
        <is>
          <t>Shape</t>
        </is>
      </c>
      <c r="O1175" s="3" t="inlineStr">
        <is>
          <t>Square</t>
        </is>
      </c>
      <c r="Q1175" s="3" t="inlineStr">
        <is>
          <t>Manufacturer's Warranty</t>
        </is>
      </c>
      <c r="Y1175" s="3" t="inlineStr">
        <is>
          <t>EM_CLN_PHILLIPS_ASTRA_SQR</t>
        </is>
      </c>
      <c r="Z1175" s="3" t="n">
        <v>9405</v>
      </c>
      <c r="AE1175" s="3" t="n">
        <v>975</v>
      </c>
      <c r="AF1175" s="4" t="n">
        <v>0.37</v>
      </c>
      <c r="AG1175" s="3">
        <f>ROUND(AE1175-(AE1175*AF1175),2)</f>
        <v/>
      </c>
      <c r="AH1175" s="4" t="n">
        <v>0.18</v>
      </c>
      <c r="AI1175" s="3">
        <f>ROUND(AG1175+(AG1175*AH1175),2)</f>
        <v/>
      </c>
      <c r="AJ1175" s="4" t="n">
        <v>0.2</v>
      </c>
      <c r="AK1175" s="3">
        <f>ROUND(AI1175*AJ1175,2)</f>
        <v/>
      </c>
      <c r="AL1175" s="3">
        <f>AI1175+AK1175</f>
        <v/>
      </c>
      <c r="AM1175" s="3">
        <f>AE1175-AL1175</f>
        <v/>
      </c>
      <c r="AN1175" s="4">
        <f>AM1175/AE1175</f>
        <v/>
      </c>
      <c r="AO1175" s="3" t="inlineStr">
        <is>
          <t>3 hrs</t>
        </is>
      </c>
      <c r="AQ1175" s="3" t="inlineStr">
        <is>
          <t>Weight</t>
        </is>
      </c>
      <c r="AT1175" s="3" t="inlineStr">
        <is>
          <t>3 hrs</t>
        </is>
      </c>
    </row>
    <row r="1176" ht="15.75" customHeight="1">
      <c r="A1176" s="3" t="inlineStr">
        <is>
          <t>PROD_0236</t>
        </is>
      </c>
      <c r="B1176" s="3" t="inlineStr">
        <is>
          <t>VAR_25</t>
        </is>
      </c>
      <c r="C1176" s="3" t="inlineStr">
        <is>
          <t>Electrical Material</t>
        </is>
      </c>
      <c r="D1176" s="3" t="inlineStr">
        <is>
          <t>Cieling Lights</t>
        </is>
      </c>
      <c r="E1176" s="3" t="inlineStr">
        <is>
          <t>Philips</t>
        </is>
      </c>
      <c r="F1176" s="3" t="inlineStr">
        <is>
          <t>Astra Prime</t>
        </is>
      </c>
      <c r="H1176" s="3" t="inlineStr">
        <is>
          <t>Wattage</t>
        </is>
      </c>
      <c r="I1176" s="3" t="inlineStr">
        <is>
          <t>22 W</t>
        </is>
      </c>
      <c r="J1176" s="3" t="inlineStr">
        <is>
          <t>Cutting Size</t>
        </is>
      </c>
      <c r="K1176" s="3" t="inlineStr">
        <is>
          <t>188 mm</t>
        </is>
      </c>
      <c r="L1176" s="3" t="inlineStr">
        <is>
          <t>Color</t>
        </is>
      </c>
      <c r="M1176" s="3" t="inlineStr">
        <is>
          <t>Warm White</t>
        </is>
      </c>
      <c r="N1176" s="3" t="inlineStr">
        <is>
          <t>Shape</t>
        </is>
      </c>
      <c r="O1176" s="3" t="inlineStr">
        <is>
          <t>Square</t>
        </is>
      </c>
      <c r="Q1176" s="3" t="inlineStr">
        <is>
          <t>Manufacturer's Warranty</t>
        </is>
      </c>
      <c r="Y1176" s="3" t="inlineStr">
        <is>
          <t>EM_CLN_PHILLIPS_ASTRA_SQR</t>
        </is>
      </c>
      <c r="Z1176" s="3" t="n">
        <v>9405</v>
      </c>
      <c r="AE1176" s="3" t="n">
        <v>1650</v>
      </c>
      <c r="AF1176" s="4" t="n">
        <v>0.37</v>
      </c>
      <c r="AG1176" s="3">
        <f>ROUND(AE1176-(AE1176*AF1176),2)</f>
        <v/>
      </c>
      <c r="AH1176" s="4" t="n">
        <v>0.18</v>
      </c>
      <c r="AI1176" s="3">
        <f>ROUND(AG1176+(AG1176*AH1176),2)</f>
        <v/>
      </c>
      <c r="AJ1176" s="4" t="n">
        <v>0.2</v>
      </c>
      <c r="AK1176" s="3">
        <f>ROUND(AI1176*AJ1176,2)</f>
        <v/>
      </c>
      <c r="AL1176" s="3">
        <f>AI1176+AK1176</f>
        <v/>
      </c>
      <c r="AM1176" s="3">
        <f>AE1176-AL1176</f>
        <v/>
      </c>
      <c r="AN1176" s="4">
        <f>AM1176/AE1176</f>
        <v/>
      </c>
      <c r="AO1176" s="3" t="inlineStr">
        <is>
          <t>3 hrs</t>
        </is>
      </c>
      <c r="AQ1176" s="3" t="inlineStr">
        <is>
          <t>Weight</t>
        </is>
      </c>
      <c r="AT1176" s="3" t="inlineStr">
        <is>
          <t>3 hrs</t>
        </is>
      </c>
    </row>
    <row r="1177" ht="15.75" customHeight="1">
      <c r="A1177" s="3" t="inlineStr">
        <is>
          <t>PROD_0236</t>
        </is>
      </c>
      <c r="B1177" s="3" t="inlineStr">
        <is>
          <t>VAR_26</t>
        </is>
      </c>
      <c r="C1177" s="3" t="inlineStr">
        <is>
          <t>Electrical Material</t>
        </is>
      </c>
      <c r="D1177" s="3" t="inlineStr">
        <is>
          <t>Cieling Lights</t>
        </is>
      </c>
      <c r="E1177" s="3" t="inlineStr">
        <is>
          <t>Philips</t>
        </is>
      </c>
      <c r="F1177" s="3" t="inlineStr">
        <is>
          <t>Astra Prime</t>
        </is>
      </c>
      <c r="H1177" s="3" t="inlineStr">
        <is>
          <t>Wattage</t>
        </is>
      </c>
      <c r="I1177" s="3" t="inlineStr">
        <is>
          <t>22 W</t>
        </is>
      </c>
      <c r="J1177" s="3" t="inlineStr">
        <is>
          <t>Cutting Size</t>
        </is>
      </c>
      <c r="K1177" s="3" t="inlineStr">
        <is>
          <t>188 mm</t>
        </is>
      </c>
      <c r="L1177" s="3" t="inlineStr">
        <is>
          <t>Color</t>
        </is>
      </c>
      <c r="M1177" s="3" t="inlineStr">
        <is>
          <t>Natural White</t>
        </is>
      </c>
      <c r="N1177" s="3" t="inlineStr">
        <is>
          <t>Shape</t>
        </is>
      </c>
      <c r="O1177" s="3" t="inlineStr">
        <is>
          <t>Square</t>
        </is>
      </c>
      <c r="Q1177" s="3" t="inlineStr">
        <is>
          <t>Manufacturer's Warranty</t>
        </is>
      </c>
      <c r="Y1177" s="3" t="inlineStr">
        <is>
          <t>EM_CLN_PHILLIPS_ASTRA_SQR</t>
        </is>
      </c>
      <c r="Z1177" s="3" t="n">
        <v>9405</v>
      </c>
      <c r="AE1177" s="3" t="n">
        <v>1650</v>
      </c>
      <c r="AF1177" s="4" t="n">
        <v>0.37</v>
      </c>
      <c r="AG1177" s="3">
        <f>ROUND(AE1177-(AE1177*AF1177),2)</f>
        <v/>
      </c>
      <c r="AH1177" s="4" t="n">
        <v>0.18</v>
      </c>
      <c r="AI1177" s="3">
        <f>ROUND(AG1177+(AG1177*AH1177),2)</f>
        <v/>
      </c>
      <c r="AJ1177" s="4" t="n">
        <v>0.2</v>
      </c>
      <c r="AK1177" s="3">
        <f>ROUND(AI1177*AJ1177,2)</f>
        <v/>
      </c>
      <c r="AL1177" s="3">
        <f>AI1177+AK1177</f>
        <v/>
      </c>
      <c r="AM1177" s="3">
        <f>AE1177-AL1177</f>
        <v/>
      </c>
      <c r="AN1177" s="4">
        <f>AM1177/AE1177</f>
        <v/>
      </c>
      <c r="AO1177" s="3" t="inlineStr">
        <is>
          <t>3 hrs</t>
        </is>
      </c>
      <c r="AQ1177" s="3" t="inlineStr">
        <is>
          <t>Weight</t>
        </is>
      </c>
      <c r="AT1177" s="3" t="inlineStr">
        <is>
          <t>3 hrs</t>
        </is>
      </c>
    </row>
    <row r="1178" ht="15.75" customHeight="1">
      <c r="A1178" s="3" t="inlineStr">
        <is>
          <t>PROD_0236</t>
        </is>
      </c>
      <c r="B1178" s="3" t="inlineStr">
        <is>
          <t>VAR_27</t>
        </is>
      </c>
      <c r="C1178" s="3" t="inlineStr">
        <is>
          <t>Electrical Material</t>
        </is>
      </c>
      <c r="D1178" s="3" t="inlineStr">
        <is>
          <t>Cieling Lights</t>
        </is>
      </c>
      <c r="E1178" s="3" t="inlineStr">
        <is>
          <t>Philips</t>
        </is>
      </c>
      <c r="F1178" s="3" t="inlineStr">
        <is>
          <t>Astra Prime</t>
        </is>
      </c>
      <c r="H1178" s="3" t="inlineStr">
        <is>
          <t>Wattage</t>
        </is>
      </c>
      <c r="I1178" s="3" t="inlineStr">
        <is>
          <t>22 W</t>
        </is>
      </c>
      <c r="J1178" s="3" t="inlineStr">
        <is>
          <t>Cutting Size</t>
        </is>
      </c>
      <c r="K1178" s="3" t="inlineStr">
        <is>
          <t>188 mm</t>
        </is>
      </c>
      <c r="L1178" s="3" t="inlineStr">
        <is>
          <t>Color</t>
        </is>
      </c>
      <c r="M1178" s="3" t="inlineStr">
        <is>
          <t>Cool White</t>
        </is>
      </c>
      <c r="N1178" s="3" t="inlineStr">
        <is>
          <t>Shape</t>
        </is>
      </c>
      <c r="O1178" s="3" t="inlineStr">
        <is>
          <t>Square</t>
        </is>
      </c>
      <c r="Q1178" s="3" t="inlineStr">
        <is>
          <t>Manufacturer's Warranty</t>
        </is>
      </c>
      <c r="Y1178" s="3" t="inlineStr">
        <is>
          <t>EM_CLN_PHILLIPS_ASTRA_SQR</t>
        </is>
      </c>
      <c r="Z1178" s="3" t="n">
        <v>9405</v>
      </c>
      <c r="AE1178" s="3" t="n">
        <v>1650</v>
      </c>
      <c r="AF1178" s="4" t="n">
        <v>0.37</v>
      </c>
      <c r="AG1178" s="3">
        <f>ROUND(AE1178-(AE1178*AF1178),2)</f>
        <v/>
      </c>
      <c r="AH1178" s="4" t="n">
        <v>0.18</v>
      </c>
      <c r="AI1178" s="3">
        <f>ROUND(AG1178+(AG1178*AH1178),2)</f>
        <v/>
      </c>
      <c r="AJ1178" s="4" t="n">
        <v>0.2</v>
      </c>
      <c r="AK1178" s="3">
        <f>ROUND(AI1178*AJ1178,2)</f>
        <v/>
      </c>
      <c r="AL1178" s="3">
        <f>AI1178+AK1178</f>
        <v/>
      </c>
      <c r="AM1178" s="3">
        <f>AE1178-AL1178</f>
        <v/>
      </c>
      <c r="AN1178" s="4">
        <f>AM1178/AE1178</f>
        <v/>
      </c>
      <c r="AO1178" s="3" t="inlineStr">
        <is>
          <t>3 hrs</t>
        </is>
      </c>
      <c r="AQ1178" s="3" t="inlineStr">
        <is>
          <t>Weight</t>
        </is>
      </c>
      <c r="AT1178" s="3" t="inlineStr">
        <is>
          <t>3 hrs</t>
        </is>
      </c>
    </row>
    <row r="1179" ht="15.75" customHeight="1">
      <c r="A1179" s="3" t="inlineStr">
        <is>
          <t>PROD_0237</t>
        </is>
      </c>
      <c r="B1179" s="3" t="inlineStr">
        <is>
          <t>VAR_1</t>
        </is>
      </c>
      <c r="C1179" s="3" t="inlineStr">
        <is>
          <t>Electrical Material</t>
        </is>
      </c>
      <c r="D1179" s="3" t="inlineStr">
        <is>
          <t>Cieling Lights</t>
        </is>
      </c>
      <c r="E1179" s="3" t="inlineStr">
        <is>
          <t>Philips</t>
        </is>
      </c>
      <c r="F1179" s="3" t="inlineStr">
        <is>
          <t>Astra Max Metal Panel</t>
        </is>
      </c>
      <c r="H1179" s="3" t="inlineStr">
        <is>
          <t>Wattage</t>
        </is>
      </c>
      <c r="I1179" s="3" t="inlineStr">
        <is>
          <t>5 W</t>
        </is>
      </c>
      <c r="J1179" s="3" t="inlineStr">
        <is>
          <t>Cutting Size</t>
        </is>
      </c>
      <c r="K1179" s="3" t="inlineStr">
        <is>
          <t>80 mm</t>
        </is>
      </c>
      <c r="L1179" s="3" t="inlineStr">
        <is>
          <t>Color</t>
        </is>
      </c>
      <c r="M1179" s="3" t="inlineStr">
        <is>
          <t>Warm White</t>
        </is>
      </c>
      <c r="N1179" s="3" t="inlineStr">
        <is>
          <t>Shape</t>
        </is>
      </c>
      <c r="O1179" s="3" t="inlineStr">
        <is>
          <t>Round</t>
        </is>
      </c>
      <c r="Q1179" s="3" t="inlineStr">
        <is>
          <t>Manufacturer's Warranty</t>
        </is>
      </c>
      <c r="Y1179" s="3" t="inlineStr">
        <is>
          <t>EM_CLN_PHILLIPS_ASTRAMETAL_ROUND</t>
        </is>
      </c>
      <c r="Z1179" s="3" t="n">
        <v>9405</v>
      </c>
      <c r="AE1179" s="3" t="n">
        <v>700</v>
      </c>
      <c r="AF1179" s="4" t="n">
        <v>0.37</v>
      </c>
      <c r="AG1179" s="3">
        <f>ROUND(AE1179-(AE1179*AF1179),2)</f>
        <v/>
      </c>
      <c r="AH1179" s="4" t="n">
        <v>0.18</v>
      </c>
      <c r="AI1179" s="3">
        <f>ROUND(AG1179+(AG1179*AH1179),2)</f>
        <v/>
      </c>
      <c r="AJ1179" s="4" t="n">
        <v>0.2</v>
      </c>
      <c r="AK1179" s="3">
        <f>ROUND(AI1179*AJ1179,2)</f>
        <v/>
      </c>
      <c r="AL1179" s="3">
        <f>AI1179+AK1179</f>
        <v/>
      </c>
      <c r="AM1179" s="3">
        <f>AE1179-AL1179</f>
        <v/>
      </c>
      <c r="AN1179" s="4">
        <f>AM1179/AE1179</f>
        <v/>
      </c>
      <c r="AO1179" s="3" t="inlineStr">
        <is>
          <t>3 hrs</t>
        </is>
      </c>
      <c r="AQ1179" s="3" t="inlineStr">
        <is>
          <t>Weight</t>
        </is>
      </c>
      <c r="AT1179" s="3" t="inlineStr">
        <is>
          <t>3 hrs</t>
        </is>
      </c>
    </row>
    <row r="1180" ht="15.75" customHeight="1">
      <c r="A1180" s="3" t="inlineStr">
        <is>
          <t>PROD_0237</t>
        </is>
      </c>
      <c r="B1180" s="3" t="inlineStr">
        <is>
          <t>VAR_2</t>
        </is>
      </c>
      <c r="C1180" s="3" t="inlineStr">
        <is>
          <t>Electrical Material</t>
        </is>
      </c>
      <c r="D1180" s="3" t="inlineStr">
        <is>
          <t>Cieling Lights</t>
        </is>
      </c>
      <c r="E1180" s="3" t="inlineStr">
        <is>
          <t>Philips</t>
        </is>
      </c>
      <c r="F1180" s="3" t="inlineStr">
        <is>
          <t>Astra Max Metal Panel</t>
        </is>
      </c>
      <c r="H1180" s="3" t="inlineStr">
        <is>
          <t>Wattage</t>
        </is>
      </c>
      <c r="I1180" s="3" t="inlineStr">
        <is>
          <t>5 W</t>
        </is>
      </c>
      <c r="J1180" s="3" t="inlineStr">
        <is>
          <t>Cutting Size</t>
        </is>
      </c>
      <c r="K1180" s="3" t="inlineStr">
        <is>
          <t>80 mm</t>
        </is>
      </c>
      <c r="L1180" s="3" t="inlineStr">
        <is>
          <t>Color</t>
        </is>
      </c>
      <c r="M1180" s="3" t="inlineStr">
        <is>
          <t>Natural White</t>
        </is>
      </c>
      <c r="N1180" s="3" t="inlineStr">
        <is>
          <t>Shape</t>
        </is>
      </c>
      <c r="O1180" s="3" t="inlineStr">
        <is>
          <t>Round</t>
        </is>
      </c>
      <c r="Q1180" s="3" t="inlineStr">
        <is>
          <t>Manufacturer's Warranty</t>
        </is>
      </c>
      <c r="Y1180" s="3" t="inlineStr">
        <is>
          <t>EM_CLN_PHILLIPS_ASTRAMETAL_ROUND</t>
        </is>
      </c>
      <c r="Z1180" s="3" t="n">
        <v>9405</v>
      </c>
      <c r="AE1180" s="3" t="n">
        <v>700</v>
      </c>
      <c r="AF1180" s="4" t="n">
        <v>0.37</v>
      </c>
      <c r="AG1180" s="3">
        <f>ROUND(AE1180-(AE1180*AF1180),2)</f>
        <v/>
      </c>
      <c r="AH1180" s="4" t="n">
        <v>0.18</v>
      </c>
      <c r="AI1180" s="3">
        <f>ROUND(AG1180+(AG1180*AH1180),2)</f>
        <v/>
      </c>
      <c r="AJ1180" s="4" t="n">
        <v>0.2</v>
      </c>
      <c r="AK1180" s="3">
        <f>ROUND(AI1180*AJ1180,2)</f>
        <v/>
      </c>
      <c r="AL1180" s="3">
        <f>AI1180+AK1180</f>
        <v/>
      </c>
      <c r="AM1180" s="3">
        <f>AE1180-AL1180</f>
        <v/>
      </c>
      <c r="AN1180" s="4">
        <f>AM1180/AE1180</f>
        <v/>
      </c>
      <c r="AO1180" s="3" t="inlineStr">
        <is>
          <t>3 hrs</t>
        </is>
      </c>
      <c r="AQ1180" s="3" t="inlineStr">
        <is>
          <t>Weight</t>
        </is>
      </c>
      <c r="AT1180" s="3" t="inlineStr">
        <is>
          <t>3 hrs</t>
        </is>
      </c>
    </row>
    <row r="1181" ht="15.75" customHeight="1">
      <c r="A1181" s="3" t="inlineStr">
        <is>
          <t>PROD_0237</t>
        </is>
      </c>
      <c r="B1181" s="3" t="inlineStr">
        <is>
          <t>VAR_3</t>
        </is>
      </c>
      <c r="C1181" s="3" t="inlineStr">
        <is>
          <t>Electrical Material</t>
        </is>
      </c>
      <c r="D1181" s="3" t="inlineStr">
        <is>
          <t>Cieling Lights</t>
        </is>
      </c>
      <c r="E1181" s="3" t="inlineStr">
        <is>
          <t>Philips</t>
        </is>
      </c>
      <c r="F1181" s="3" t="inlineStr">
        <is>
          <t>Astra Max Metal Panel</t>
        </is>
      </c>
      <c r="H1181" s="3" t="inlineStr">
        <is>
          <t>Wattage</t>
        </is>
      </c>
      <c r="I1181" s="3" t="inlineStr">
        <is>
          <t>5 W</t>
        </is>
      </c>
      <c r="J1181" s="3" t="inlineStr">
        <is>
          <t>Cutting Size</t>
        </is>
      </c>
      <c r="K1181" s="3" t="inlineStr">
        <is>
          <t>80 mm</t>
        </is>
      </c>
      <c r="L1181" s="3" t="inlineStr">
        <is>
          <t>Color</t>
        </is>
      </c>
      <c r="M1181" s="3" t="inlineStr">
        <is>
          <t>Cool White</t>
        </is>
      </c>
      <c r="N1181" s="3" t="inlineStr">
        <is>
          <t>Shape</t>
        </is>
      </c>
      <c r="O1181" s="3" t="inlineStr">
        <is>
          <t>Round</t>
        </is>
      </c>
      <c r="Q1181" s="3" t="inlineStr">
        <is>
          <t>Manufacturer's Warranty</t>
        </is>
      </c>
      <c r="Y1181" s="3" t="inlineStr">
        <is>
          <t>EM_CLN_PHILLIPS_ASTRAMETAL_ROUND</t>
        </is>
      </c>
      <c r="Z1181" s="3" t="n">
        <v>9405</v>
      </c>
      <c r="AE1181" s="3" t="n">
        <v>700</v>
      </c>
      <c r="AF1181" s="4" t="n">
        <v>0.37</v>
      </c>
      <c r="AG1181" s="3">
        <f>ROUND(AE1181-(AE1181*AF1181),2)</f>
        <v/>
      </c>
      <c r="AH1181" s="4" t="n">
        <v>0.18</v>
      </c>
      <c r="AI1181" s="3">
        <f>ROUND(AG1181+(AG1181*AH1181),2)</f>
        <v/>
      </c>
      <c r="AJ1181" s="4" t="n">
        <v>0.2</v>
      </c>
      <c r="AK1181" s="3">
        <f>ROUND(AI1181*AJ1181,2)</f>
        <v/>
      </c>
      <c r="AL1181" s="3">
        <f>AI1181+AK1181</f>
        <v/>
      </c>
      <c r="AM1181" s="3">
        <f>AE1181-AL1181</f>
        <v/>
      </c>
      <c r="AN1181" s="4">
        <f>AM1181/AE1181</f>
        <v/>
      </c>
      <c r="AO1181" s="3" t="inlineStr">
        <is>
          <t>3 hrs</t>
        </is>
      </c>
      <c r="AQ1181" s="3" t="inlineStr">
        <is>
          <t>Weight</t>
        </is>
      </c>
      <c r="AT1181" s="3" t="inlineStr">
        <is>
          <t>3 hrs</t>
        </is>
      </c>
    </row>
    <row r="1182" ht="15.75" customHeight="1">
      <c r="A1182" s="3" t="inlineStr">
        <is>
          <t>PROD_0237</t>
        </is>
      </c>
      <c r="B1182" s="3" t="inlineStr">
        <is>
          <t>VAR_4</t>
        </is>
      </c>
      <c r="C1182" s="3" t="inlineStr">
        <is>
          <t>Electrical Material</t>
        </is>
      </c>
      <c r="D1182" s="3" t="inlineStr">
        <is>
          <t>Cieling Lights</t>
        </is>
      </c>
      <c r="E1182" s="3" t="inlineStr">
        <is>
          <t>Philips</t>
        </is>
      </c>
      <c r="F1182" s="3" t="inlineStr">
        <is>
          <t>Astra Max Metal Panel</t>
        </is>
      </c>
      <c r="H1182" s="3" t="inlineStr">
        <is>
          <t>Wattage</t>
        </is>
      </c>
      <c r="I1182" s="3" t="inlineStr">
        <is>
          <t>10 W</t>
        </is>
      </c>
      <c r="J1182" s="3" t="inlineStr">
        <is>
          <t>Cutting Size</t>
        </is>
      </c>
      <c r="K1182" s="3" t="inlineStr">
        <is>
          <t>136 mm</t>
        </is>
      </c>
      <c r="L1182" s="3" t="inlineStr">
        <is>
          <t>Color</t>
        </is>
      </c>
      <c r="M1182" s="3" t="inlineStr">
        <is>
          <t>Warm White</t>
        </is>
      </c>
      <c r="N1182" s="3" t="inlineStr">
        <is>
          <t>Shape</t>
        </is>
      </c>
      <c r="O1182" s="3" t="inlineStr">
        <is>
          <t>Round</t>
        </is>
      </c>
      <c r="Q1182" s="3" t="inlineStr">
        <is>
          <t>Manufacturer's Warranty</t>
        </is>
      </c>
      <c r="Y1182" s="3" t="inlineStr">
        <is>
          <t>EM_CLN_PHILLIPS_ASTRAMETAL_ROUND</t>
        </is>
      </c>
      <c r="Z1182" s="3" t="n">
        <v>9405</v>
      </c>
      <c r="AE1182" s="3" t="n">
        <v>900</v>
      </c>
      <c r="AF1182" s="4" t="n">
        <v>0.37</v>
      </c>
      <c r="AG1182" s="3">
        <f>ROUND(AE1182-(AE1182*AF1182),2)</f>
        <v/>
      </c>
      <c r="AH1182" s="4" t="n">
        <v>0.18</v>
      </c>
      <c r="AI1182" s="3">
        <f>ROUND(AG1182+(AG1182*AH1182),2)</f>
        <v/>
      </c>
      <c r="AJ1182" s="4" t="n">
        <v>0.2</v>
      </c>
      <c r="AK1182" s="3">
        <f>ROUND(AI1182*AJ1182,2)</f>
        <v/>
      </c>
      <c r="AL1182" s="3">
        <f>AI1182+AK1182</f>
        <v/>
      </c>
      <c r="AM1182" s="3">
        <f>AE1182-AL1182</f>
        <v/>
      </c>
      <c r="AN1182" s="4">
        <f>AM1182/AE1182</f>
        <v/>
      </c>
      <c r="AO1182" s="3" t="inlineStr">
        <is>
          <t>3 hrs</t>
        </is>
      </c>
      <c r="AQ1182" s="3" t="inlineStr">
        <is>
          <t>Weight</t>
        </is>
      </c>
      <c r="AT1182" s="3" t="inlineStr">
        <is>
          <t>3 hrs</t>
        </is>
      </c>
    </row>
    <row r="1183" ht="15.75" customHeight="1">
      <c r="A1183" s="3" t="inlineStr">
        <is>
          <t>PROD_0237</t>
        </is>
      </c>
      <c r="B1183" s="3" t="inlineStr">
        <is>
          <t>VAR_5</t>
        </is>
      </c>
      <c r="C1183" s="3" t="inlineStr">
        <is>
          <t>Electrical Material</t>
        </is>
      </c>
      <c r="D1183" s="3" t="inlineStr">
        <is>
          <t>Cieling Lights</t>
        </is>
      </c>
      <c r="E1183" s="3" t="inlineStr">
        <is>
          <t>Philips</t>
        </is>
      </c>
      <c r="F1183" s="3" t="inlineStr">
        <is>
          <t>Astra Max Metal Panel</t>
        </is>
      </c>
      <c r="H1183" s="3" t="inlineStr">
        <is>
          <t>Wattage</t>
        </is>
      </c>
      <c r="I1183" s="3" t="inlineStr">
        <is>
          <t>10 W</t>
        </is>
      </c>
      <c r="J1183" s="3" t="inlineStr">
        <is>
          <t>Cutting Size</t>
        </is>
      </c>
      <c r="K1183" s="3" t="inlineStr">
        <is>
          <t>136 mm</t>
        </is>
      </c>
      <c r="L1183" s="3" t="inlineStr">
        <is>
          <t>Color</t>
        </is>
      </c>
      <c r="M1183" s="3" t="inlineStr">
        <is>
          <t>Natural White</t>
        </is>
      </c>
      <c r="N1183" s="3" t="inlineStr">
        <is>
          <t>Shape</t>
        </is>
      </c>
      <c r="O1183" s="3" t="inlineStr">
        <is>
          <t>Round</t>
        </is>
      </c>
      <c r="Q1183" s="3" t="inlineStr">
        <is>
          <t>Manufacturer's Warranty</t>
        </is>
      </c>
      <c r="Y1183" s="3" t="inlineStr">
        <is>
          <t>EM_CLN_PHILLIPS_ASTRAMETAL_ROUND</t>
        </is>
      </c>
      <c r="Z1183" s="3" t="n">
        <v>9405</v>
      </c>
      <c r="AE1183" s="3" t="n">
        <v>900</v>
      </c>
      <c r="AF1183" s="4" t="n">
        <v>0.37</v>
      </c>
      <c r="AG1183" s="3">
        <f>ROUND(AE1183-(AE1183*AF1183),2)</f>
        <v/>
      </c>
      <c r="AH1183" s="4" t="n">
        <v>0.18</v>
      </c>
      <c r="AI1183" s="3">
        <f>ROUND(AG1183+(AG1183*AH1183),2)</f>
        <v/>
      </c>
      <c r="AJ1183" s="4" t="n">
        <v>0.2</v>
      </c>
      <c r="AK1183" s="3">
        <f>ROUND(AI1183*AJ1183,2)</f>
        <v/>
      </c>
      <c r="AL1183" s="3">
        <f>AI1183+AK1183</f>
        <v/>
      </c>
      <c r="AM1183" s="3">
        <f>AE1183-AL1183</f>
        <v/>
      </c>
      <c r="AN1183" s="4">
        <f>AM1183/AE1183</f>
        <v/>
      </c>
      <c r="AO1183" s="3" t="inlineStr">
        <is>
          <t>3 hrs</t>
        </is>
      </c>
      <c r="AQ1183" s="3" t="inlineStr">
        <is>
          <t>Weight</t>
        </is>
      </c>
      <c r="AT1183" s="3" t="inlineStr">
        <is>
          <t>3 hrs</t>
        </is>
      </c>
    </row>
    <row r="1184" ht="15.75" customHeight="1">
      <c r="A1184" s="3" t="inlineStr">
        <is>
          <t>PROD_0237</t>
        </is>
      </c>
      <c r="B1184" s="3" t="inlineStr">
        <is>
          <t>VAR_6</t>
        </is>
      </c>
      <c r="C1184" s="3" t="inlineStr">
        <is>
          <t>Electrical Material</t>
        </is>
      </c>
      <c r="D1184" s="3" t="inlineStr">
        <is>
          <t>Cieling Lights</t>
        </is>
      </c>
      <c r="E1184" s="3" t="inlineStr">
        <is>
          <t>Philips</t>
        </is>
      </c>
      <c r="F1184" s="3" t="inlineStr">
        <is>
          <t>Astra Max Metal Panel</t>
        </is>
      </c>
      <c r="H1184" s="3" t="inlineStr">
        <is>
          <t>Wattage</t>
        </is>
      </c>
      <c r="I1184" s="3" t="inlineStr">
        <is>
          <t>10 W</t>
        </is>
      </c>
      <c r="J1184" s="3" t="inlineStr">
        <is>
          <t>Cutting Size</t>
        </is>
      </c>
      <c r="K1184" s="3" t="inlineStr">
        <is>
          <t>136 mm</t>
        </is>
      </c>
      <c r="L1184" s="3" t="inlineStr">
        <is>
          <t>Color</t>
        </is>
      </c>
      <c r="M1184" s="3" t="inlineStr">
        <is>
          <t>Cool White</t>
        </is>
      </c>
      <c r="N1184" s="3" t="inlineStr">
        <is>
          <t>Shape</t>
        </is>
      </c>
      <c r="O1184" s="3" t="inlineStr">
        <is>
          <t>Round</t>
        </is>
      </c>
      <c r="Q1184" s="3" t="inlineStr">
        <is>
          <t>Manufacturer's Warranty</t>
        </is>
      </c>
      <c r="Y1184" s="3" t="inlineStr">
        <is>
          <t>EM_CLN_PHILLIPS_ASTRAMETAL_ROUND</t>
        </is>
      </c>
      <c r="Z1184" s="3" t="n">
        <v>9405</v>
      </c>
      <c r="AE1184" s="3" t="n">
        <v>900</v>
      </c>
      <c r="AF1184" s="4" t="n">
        <v>0.37</v>
      </c>
      <c r="AG1184" s="3">
        <f>ROUND(AE1184-(AE1184*AF1184),2)</f>
        <v/>
      </c>
      <c r="AH1184" s="4" t="n">
        <v>0.18</v>
      </c>
      <c r="AI1184" s="3">
        <f>ROUND(AG1184+(AG1184*AH1184),2)</f>
        <v/>
      </c>
      <c r="AJ1184" s="4" t="n">
        <v>0.2</v>
      </c>
      <c r="AK1184" s="3">
        <f>ROUND(AI1184*AJ1184,2)</f>
        <v/>
      </c>
      <c r="AL1184" s="3">
        <f>AI1184+AK1184</f>
        <v/>
      </c>
      <c r="AM1184" s="3">
        <f>AE1184-AL1184</f>
        <v/>
      </c>
      <c r="AN1184" s="4">
        <f>AM1184/AE1184</f>
        <v/>
      </c>
      <c r="AO1184" s="3" t="inlineStr">
        <is>
          <t>3 hrs</t>
        </is>
      </c>
      <c r="AQ1184" s="3" t="inlineStr">
        <is>
          <t>Weight</t>
        </is>
      </c>
      <c r="AT1184" s="3" t="inlineStr">
        <is>
          <t>3 hrs</t>
        </is>
      </c>
    </row>
    <row r="1185" ht="15.75" customHeight="1">
      <c r="A1185" s="3" t="inlineStr">
        <is>
          <t>PROD_0237</t>
        </is>
      </c>
      <c r="B1185" s="3" t="inlineStr">
        <is>
          <t>VAR_7</t>
        </is>
      </c>
      <c r="C1185" s="3" t="inlineStr">
        <is>
          <t>Electrical Material</t>
        </is>
      </c>
      <c r="D1185" s="3" t="inlineStr">
        <is>
          <t>Cieling Lights</t>
        </is>
      </c>
      <c r="E1185" s="3" t="inlineStr">
        <is>
          <t>Philips</t>
        </is>
      </c>
      <c r="F1185" s="3" t="inlineStr">
        <is>
          <t>Astra Max Metal Panel</t>
        </is>
      </c>
      <c r="H1185" s="3" t="inlineStr">
        <is>
          <t>Wattage</t>
        </is>
      </c>
      <c r="I1185" s="3" t="inlineStr">
        <is>
          <t>15 W</t>
        </is>
      </c>
      <c r="J1185" s="3" t="inlineStr">
        <is>
          <t>Cutting Size</t>
        </is>
      </c>
      <c r="K1185" s="3" t="inlineStr">
        <is>
          <t>159 mm</t>
        </is>
      </c>
      <c r="L1185" s="3" t="inlineStr">
        <is>
          <t>Color</t>
        </is>
      </c>
      <c r="M1185" s="3" t="inlineStr">
        <is>
          <t>Warm White</t>
        </is>
      </c>
      <c r="N1185" s="3" t="inlineStr">
        <is>
          <t>Shape</t>
        </is>
      </c>
      <c r="O1185" s="3" t="inlineStr">
        <is>
          <t>Round</t>
        </is>
      </c>
      <c r="Q1185" s="3" t="inlineStr">
        <is>
          <t>Manufacturer's Warranty</t>
        </is>
      </c>
      <c r="Y1185" s="3" t="inlineStr">
        <is>
          <t>EM_CLN_PHILLIPS_ASTRAMETAL_ROUND</t>
        </is>
      </c>
      <c r="Z1185" s="3" t="n">
        <v>9405</v>
      </c>
      <c r="AE1185" s="3" t="n">
        <v>1100</v>
      </c>
      <c r="AF1185" s="4" t="n">
        <v>0.37</v>
      </c>
      <c r="AG1185" s="3">
        <f>ROUND(AE1185-(AE1185*AF1185),2)</f>
        <v/>
      </c>
      <c r="AH1185" s="4" t="n">
        <v>0.18</v>
      </c>
      <c r="AI1185" s="3">
        <f>ROUND(AG1185+(AG1185*AH1185),2)</f>
        <v/>
      </c>
      <c r="AJ1185" s="4" t="n">
        <v>0.2</v>
      </c>
      <c r="AK1185" s="3">
        <f>ROUND(AI1185*AJ1185,2)</f>
        <v/>
      </c>
      <c r="AL1185" s="3">
        <f>AI1185+AK1185</f>
        <v/>
      </c>
      <c r="AM1185" s="3">
        <f>AE1185-AL1185</f>
        <v/>
      </c>
      <c r="AN1185" s="4">
        <f>AM1185/AE1185</f>
        <v/>
      </c>
      <c r="AO1185" s="3" t="inlineStr">
        <is>
          <t>3 hrs</t>
        </is>
      </c>
      <c r="AQ1185" s="3" t="inlineStr">
        <is>
          <t>Weight</t>
        </is>
      </c>
      <c r="AT1185" s="3" t="inlineStr">
        <is>
          <t>3 hrs</t>
        </is>
      </c>
    </row>
    <row r="1186" ht="15.75" customHeight="1">
      <c r="A1186" s="3" t="inlineStr">
        <is>
          <t>PROD_0237</t>
        </is>
      </c>
      <c r="B1186" s="3" t="inlineStr">
        <is>
          <t>VAR_8</t>
        </is>
      </c>
      <c r="C1186" s="3" t="inlineStr">
        <is>
          <t>Electrical Material</t>
        </is>
      </c>
      <c r="D1186" s="3" t="inlineStr">
        <is>
          <t>Cieling Lights</t>
        </is>
      </c>
      <c r="E1186" s="3" t="inlineStr">
        <is>
          <t>Philips</t>
        </is>
      </c>
      <c r="F1186" s="3" t="inlineStr">
        <is>
          <t>Astra Max Metal Panel</t>
        </is>
      </c>
      <c r="H1186" s="3" t="inlineStr">
        <is>
          <t>Wattage</t>
        </is>
      </c>
      <c r="I1186" s="3" t="inlineStr">
        <is>
          <t>15 W</t>
        </is>
      </c>
      <c r="J1186" s="3" t="inlineStr">
        <is>
          <t>Cutting Size</t>
        </is>
      </c>
      <c r="K1186" s="3" t="inlineStr">
        <is>
          <t>159 mm</t>
        </is>
      </c>
      <c r="L1186" s="3" t="inlineStr">
        <is>
          <t>Color</t>
        </is>
      </c>
      <c r="M1186" s="3" t="inlineStr">
        <is>
          <t>Natural White</t>
        </is>
      </c>
      <c r="N1186" s="3" t="inlineStr">
        <is>
          <t>Shape</t>
        </is>
      </c>
      <c r="O1186" s="3" t="inlineStr">
        <is>
          <t>Round</t>
        </is>
      </c>
      <c r="Q1186" s="3" t="inlineStr">
        <is>
          <t>Manufacturer's Warranty</t>
        </is>
      </c>
      <c r="Y1186" s="3" t="inlineStr">
        <is>
          <t>EM_CLN_PHILLIPS_ASTRAMETAL_ROUND</t>
        </is>
      </c>
      <c r="Z1186" s="3" t="n">
        <v>9405</v>
      </c>
      <c r="AE1186" s="3" t="n">
        <v>1100</v>
      </c>
      <c r="AF1186" s="4" t="n">
        <v>0.37</v>
      </c>
      <c r="AG1186" s="3">
        <f>ROUND(AE1186-(AE1186*AF1186),2)</f>
        <v/>
      </c>
      <c r="AH1186" s="4" t="n">
        <v>0.18</v>
      </c>
      <c r="AI1186" s="3">
        <f>ROUND(AG1186+(AG1186*AH1186),2)</f>
        <v/>
      </c>
      <c r="AJ1186" s="4" t="n">
        <v>0.2</v>
      </c>
      <c r="AK1186" s="3">
        <f>ROUND(AI1186*AJ1186,2)</f>
        <v/>
      </c>
      <c r="AL1186" s="3">
        <f>AI1186+AK1186</f>
        <v/>
      </c>
      <c r="AM1186" s="3">
        <f>AE1186-AL1186</f>
        <v/>
      </c>
      <c r="AN1186" s="4">
        <f>AM1186/AE1186</f>
        <v/>
      </c>
      <c r="AO1186" s="3" t="inlineStr">
        <is>
          <t>3 hrs</t>
        </is>
      </c>
      <c r="AQ1186" s="3" t="inlineStr">
        <is>
          <t>Weight</t>
        </is>
      </c>
      <c r="AT1186" s="3" t="inlineStr">
        <is>
          <t>3 hrs</t>
        </is>
      </c>
    </row>
    <row r="1187" ht="15.75" customHeight="1">
      <c r="A1187" s="3" t="inlineStr">
        <is>
          <t>PROD_0237</t>
        </is>
      </c>
      <c r="B1187" s="3" t="inlineStr">
        <is>
          <t>VAR_9</t>
        </is>
      </c>
      <c r="C1187" s="3" t="inlineStr">
        <is>
          <t>Electrical Material</t>
        </is>
      </c>
      <c r="D1187" s="3" t="inlineStr">
        <is>
          <t>Cieling Lights</t>
        </is>
      </c>
      <c r="E1187" s="3" t="inlineStr">
        <is>
          <t>Philips</t>
        </is>
      </c>
      <c r="F1187" s="3" t="inlineStr">
        <is>
          <t>Astra Max Metal Panel</t>
        </is>
      </c>
      <c r="H1187" s="3" t="inlineStr">
        <is>
          <t>Wattage</t>
        </is>
      </c>
      <c r="I1187" s="3" t="inlineStr">
        <is>
          <t>15 W</t>
        </is>
      </c>
      <c r="J1187" s="3" t="inlineStr">
        <is>
          <t>Cutting Size</t>
        </is>
      </c>
      <c r="K1187" s="3" t="inlineStr">
        <is>
          <t>159 mm</t>
        </is>
      </c>
      <c r="L1187" s="3" t="inlineStr">
        <is>
          <t>Color</t>
        </is>
      </c>
      <c r="M1187" s="3" t="inlineStr">
        <is>
          <t>Cool White</t>
        </is>
      </c>
      <c r="N1187" s="3" t="inlineStr">
        <is>
          <t>Shape</t>
        </is>
      </c>
      <c r="O1187" s="3" t="inlineStr">
        <is>
          <t>Round</t>
        </is>
      </c>
      <c r="Q1187" s="3" t="inlineStr">
        <is>
          <t>Manufacturer's Warranty</t>
        </is>
      </c>
      <c r="Y1187" s="3" t="inlineStr">
        <is>
          <t>EM_CLN_PHILLIPS_ASTRAMETAL_ROUND</t>
        </is>
      </c>
      <c r="Z1187" s="3" t="n">
        <v>9405</v>
      </c>
      <c r="AE1187" s="3" t="n">
        <v>1100</v>
      </c>
      <c r="AF1187" s="4" t="n">
        <v>0.37</v>
      </c>
      <c r="AG1187" s="3">
        <f>ROUND(AE1187-(AE1187*AF1187),2)</f>
        <v/>
      </c>
      <c r="AH1187" s="4" t="n">
        <v>0.18</v>
      </c>
      <c r="AI1187" s="3">
        <f>ROUND(AG1187+(AG1187*AH1187),2)</f>
        <v/>
      </c>
      <c r="AJ1187" s="4" t="n">
        <v>0.2</v>
      </c>
      <c r="AK1187" s="3">
        <f>ROUND(AI1187*AJ1187,2)</f>
        <v/>
      </c>
      <c r="AL1187" s="3">
        <f>AI1187+AK1187</f>
        <v/>
      </c>
      <c r="AM1187" s="3">
        <f>AE1187-AL1187</f>
        <v/>
      </c>
      <c r="AN1187" s="4">
        <f>AM1187/AE1187</f>
        <v/>
      </c>
      <c r="AO1187" s="3" t="inlineStr">
        <is>
          <t>3 hrs</t>
        </is>
      </c>
      <c r="AQ1187" s="3" t="inlineStr">
        <is>
          <t>Weight</t>
        </is>
      </c>
      <c r="AT1187" s="3" t="inlineStr">
        <is>
          <t>3 hrs</t>
        </is>
      </c>
    </row>
    <row r="1188" ht="15.75" customHeight="1">
      <c r="A1188" s="3" t="inlineStr">
        <is>
          <t>PROD_0237</t>
        </is>
      </c>
      <c r="B1188" s="3" t="inlineStr">
        <is>
          <t>VAR_10</t>
        </is>
      </c>
      <c r="C1188" s="3" t="inlineStr">
        <is>
          <t>Electrical Material</t>
        </is>
      </c>
      <c r="D1188" s="3" t="inlineStr">
        <is>
          <t>Cieling Lights</t>
        </is>
      </c>
      <c r="E1188" s="3" t="inlineStr">
        <is>
          <t>Philips</t>
        </is>
      </c>
      <c r="F1188" s="3" t="inlineStr">
        <is>
          <t>Astra Max Metal Panel</t>
        </is>
      </c>
      <c r="H1188" s="3" t="inlineStr">
        <is>
          <t>Wattage</t>
        </is>
      </c>
      <c r="I1188" s="3" t="inlineStr">
        <is>
          <t>18 W</t>
        </is>
      </c>
      <c r="J1188" s="3" t="inlineStr">
        <is>
          <t>Cutting Size</t>
        </is>
      </c>
      <c r="K1188" s="3" t="inlineStr">
        <is>
          <t>178 mm</t>
        </is>
      </c>
      <c r="L1188" s="3" t="inlineStr">
        <is>
          <t>Color</t>
        </is>
      </c>
      <c r="M1188" s="3" t="inlineStr">
        <is>
          <t>Warm White</t>
        </is>
      </c>
      <c r="N1188" s="3" t="inlineStr">
        <is>
          <t>Shape</t>
        </is>
      </c>
      <c r="O1188" s="3" t="inlineStr">
        <is>
          <t>Round</t>
        </is>
      </c>
      <c r="Q1188" s="3" t="inlineStr">
        <is>
          <t>Manufacturer's Warranty</t>
        </is>
      </c>
      <c r="Y1188" s="3" t="inlineStr">
        <is>
          <t>EM_CLN_PHILLIPS_ASTRAMETAL_ROUND</t>
        </is>
      </c>
      <c r="Z1188" s="3" t="n">
        <v>9405</v>
      </c>
      <c r="AE1188" s="3" t="n">
        <v>1500</v>
      </c>
      <c r="AF1188" s="4" t="n">
        <v>0.37</v>
      </c>
      <c r="AG1188" s="3">
        <f>ROUND(AE1188-(AE1188*AF1188),2)</f>
        <v/>
      </c>
      <c r="AH1188" s="4" t="n">
        <v>0.18</v>
      </c>
      <c r="AI1188" s="3">
        <f>ROUND(AG1188+(AG1188*AH1188),2)</f>
        <v/>
      </c>
      <c r="AJ1188" s="4" t="n">
        <v>0.2</v>
      </c>
      <c r="AK1188" s="3">
        <f>ROUND(AI1188*AJ1188,2)</f>
        <v/>
      </c>
      <c r="AL1188" s="3">
        <f>AI1188+AK1188</f>
        <v/>
      </c>
      <c r="AM1188" s="3">
        <f>AE1188-AL1188</f>
        <v/>
      </c>
      <c r="AN1188" s="4">
        <f>AM1188/AE1188</f>
        <v/>
      </c>
      <c r="AO1188" s="3" t="inlineStr">
        <is>
          <t>3 hrs</t>
        </is>
      </c>
      <c r="AQ1188" s="3" t="inlineStr">
        <is>
          <t>Weight</t>
        </is>
      </c>
      <c r="AT1188" s="3" t="inlineStr">
        <is>
          <t>3 hrs</t>
        </is>
      </c>
    </row>
    <row r="1189" ht="15.75" customHeight="1">
      <c r="A1189" s="3" t="inlineStr">
        <is>
          <t>PROD_0237</t>
        </is>
      </c>
      <c r="B1189" s="3" t="inlineStr">
        <is>
          <t>VAR_11</t>
        </is>
      </c>
      <c r="C1189" s="3" t="inlineStr">
        <is>
          <t>Electrical Material</t>
        </is>
      </c>
      <c r="D1189" s="3" t="inlineStr">
        <is>
          <t>Cieling Lights</t>
        </is>
      </c>
      <c r="E1189" s="3" t="inlineStr">
        <is>
          <t>Philips</t>
        </is>
      </c>
      <c r="F1189" s="3" t="inlineStr">
        <is>
          <t>Astra Max Metal Panel</t>
        </is>
      </c>
      <c r="H1189" s="3" t="inlineStr">
        <is>
          <t>Wattage</t>
        </is>
      </c>
      <c r="I1189" s="3" t="inlineStr">
        <is>
          <t>18 W</t>
        </is>
      </c>
      <c r="J1189" s="3" t="inlineStr">
        <is>
          <t>Cutting Size</t>
        </is>
      </c>
      <c r="K1189" s="3" t="inlineStr">
        <is>
          <t>178 mm</t>
        </is>
      </c>
      <c r="L1189" s="3" t="inlineStr">
        <is>
          <t>Color</t>
        </is>
      </c>
      <c r="M1189" s="3" t="inlineStr">
        <is>
          <t>Natural White</t>
        </is>
      </c>
      <c r="N1189" s="3" t="inlineStr">
        <is>
          <t>Shape</t>
        </is>
      </c>
      <c r="O1189" s="3" t="inlineStr">
        <is>
          <t>Round</t>
        </is>
      </c>
      <c r="Q1189" s="3" t="inlineStr">
        <is>
          <t>Manufacturer's Warranty</t>
        </is>
      </c>
      <c r="Y1189" s="3" t="inlineStr">
        <is>
          <t>EM_CLN_PHILLIPS_ASTRAMETAL_ROUND</t>
        </is>
      </c>
      <c r="Z1189" s="3" t="n">
        <v>9405</v>
      </c>
      <c r="AE1189" s="3" t="n">
        <v>1500</v>
      </c>
      <c r="AF1189" s="4" t="n">
        <v>0.37</v>
      </c>
      <c r="AG1189" s="3">
        <f>ROUND(AE1189-(AE1189*AF1189),2)</f>
        <v/>
      </c>
      <c r="AH1189" s="4" t="n">
        <v>0.18</v>
      </c>
      <c r="AI1189" s="3">
        <f>ROUND(AG1189+(AG1189*AH1189),2)</f>
        <v/>
      </c>
      <c r="AJ1189" s="4" t="n">
        <v>0.2</v>
      </c>
      <c r="AK1189" s="3">
        <f>ROUND(AI1189*AJ1189,2)</f>
        <v/>
      </c>
      <c r="AL1189" s="3">
        <f>AI1189+AK1189</f>
        <v/>
      </c>
      <c r="AM1189" s="3">
        <f>AE1189-AL1189</f>
        <v/>
      </c>
      <c r="AN1189" s="4">
        <f>AM1189/AE1189</f>
        <v/>
      </c>
      <c r="AO1189" s="3" t="inlineStr">
        <is>
          <t>3 hrs</t>
        </is>
      </c>
      <c r="AQ1189" s="3" t="inlineStr">
        <is>
          <t>Weight</t>
        </is>
      </c>
      <c r="AT1189" s="3" t="inlineStr">
        <is>
          <t>3 hrs</t>
        </is>
      </c>
    </row>
    <row r="1190" ht="15.75" customHeight="1">
      <c r="A1190" s="3" t="inlineStr">
        <is>
          <t>PROD_0237</t>
        </is>
      </c>
      <c r="B1190" s="3" t="inlineStr">
        <is>
          <t>VAR_12</t>
        </is>
      </c>
      <c r="C1190" s="3" t="inlineStr">
        <is>
          <t>Electrical Material</t>
        </is>
      </c>
      <c r="D1190" s="3" t="inlineStr">
        <is>
          <t>Cieling Lights</t>
        </is>
      </c>
      <c r="E1190" s="3" t="inlineStr">
        <is>
          <t>Philips</t>
        </is>
      </c>
      <c r="F1190" s="3" t="inlineStr">
        <is>
          <t>Astra Max Metal Panel</t>
        </is>
      </c>
      <c r="H1190" s="3" t="inlineStr">
        <is>
          <t>Wattage</t>
        </is>
      </c>
      <c r="I1190" s="3" t="inlineStr">
        <is>
          <t>18 W</t>
        </is>
      </c>
      <c r="J1190" s="3" t="inlineStr">
        <is>
          <t>Cutting Size</t>
        </is>
      </c>
      <c r="K1190" s="3" t="inlineStr">
        <is>
          <t>178 mm</t>
        </is>
      </c>
      <c r="L1190" s="3" t="inlineStr">
        <is>
          <t>Color</t>
        </is>
      </c>
      <c r="M1190" s="3" t="inlineStr">
        <is>
          <t>Cool White</t>
        </is>
      </c>
      <c r="N1190" s="3" t="inlineStr">
        <is>
          <t>Shape</t>
        </is>
      </c>
      <c r="O1190" s="3" t="inlineStr">
        <is>
          <t>Round</t>
        </is>
      </c>
      <c r="Q1190" s="3" t="inlineStr">
        <is>
          <t>Manufacturer's Warranty</t>
        </is>
      </c>
      <c r="Y1190" s="3" t="inlineStr">
        <is>
          <t>EM_CLN_PHILLIPS_ASTRAMETAL_ROUND</t>
        </is>
      </c>
      <c r="Z1190" s="3" t="n">
        <v>9405</v>
      </c>
      <c r="AE1190" s="3" t="n">
        <v>1500</v>
      </c>
      <c r="AF1190" s="4" t="n">
        <v>0.37</v>
      </c>
      <c r="AG1190" s="3">
        <f>ROUND(AE1190-(AE1190*AF1190),2)</f>
        <v/>
      </c>
      <c r="AH1190" s="4" t="n">
        <v>0.18</v>
      </c>
      <c r="AI1190" s="3">
        <f>ROUND(AG1190+(AG1190*AH1190),2)</f>
        <v/>
      </c>
      <c r="AJ1190" s="4" t="n">
        <v>0.2</v>
      </c>
      <c r="AK1190" s="3">
        <f>ROUND(AI1190*AJ1190,2)</f>
        <v/>
      </c>
      <c r="AL1190" s="3">
        <f>AI1190+AK1190</f>
        <v/>
      </c>
      <c r="AM1190" s="3">
        <f>AE1190-AL1190</f>
        <v/>
      </c>
      <c r="AN1190" s="4">
        <f>AM1190/AE1190</f>
        <v/>
      </c>
      <c r="AO1190" s="3" t="inlineStr">
        <is>
          <t>3 hrs</t>
        </is>
      </c>
      <c r="AQ1190" s="3" t="inlineStr">
        <is>
          <t>Weight</t>
        </is>
      </c>
      <c r="AT1190" s="3" t="inlineStr">
        <is>
          <t>3 hrs</t>
        </is>
      </c>
    </row>
    <row r="1191" ht="15.75" customHeight="1">
      <c r="A1191" s="3" t="inlineStr">
        <is>
          <t>PROD_0237</t>
        </is>
      </c>
      <c r="B1191" s="3" t="inlineStr">
        <is>
          <t>VAR_13</t>
        </is>
      </c>
      <c r="C1191" s="3" t="inlineStr">
        <is>
          <t>Electrical Material</t>
        </is>
      </c>
      <c r="D1191" s="3" t="inlineStr">
        <is>
          <t>Cieling Lights</t>
        </is>
      </c>
      <c r="E1191" s="3" t="inlineStr">
        <is>
          <t>Philips</t>
        </is>
      </c>
      <c r="F1191" s="3" t="inlineStr">
        <is>
          <t>Astra Max Metal Panel</t>
        </is>
      </c>
      <c r="H1191" s="3" t="inlineStr">
        <is>
          <t>Wattage</t>
        </is>
      </c>
      <c r="I1191" s="3" t="inlineStr">
        <is>
          <t>5 W</t>
        </is>
      </c>
      <c r="J1191" s="3" t="inlineStr">
        <is>
          <t>Cutting Size</t>
        </is>
      </c>
      <c r="K1191" s="3" t="inlineStr">
        <is>
          <t>80 mm</t>
        </is>
      </c>
      <c r="L1191" s="3" t="inlineStr">
        <is>
          <t>Color</t>
        </is>
      </c>
      <c r="M1191" s="3" t="inlineStr">
        <is>
          <t>Warm White</t>
        </is>
      </c>
      <c r="N1191" s="3" t="inlineStr">
        <is>
          <t>Shape</t>
        </is>
      </c>
      <c r="O1191" s="3" t="inlineStr">
        <is>
          <t>Square</t>
        </is>
      </c>
      <c r="Q1191" s="3" t="inlineStr">
        <is>
          <t>Manufacturer's Warranty</t>
        </is>
      </c>
      <c r="Y1191" s="3" t="inlineStr">
        <is>
          <t>EM_CLN_PHILLIPS_ASTRAMETAL_SQR</t>
        </is>
      </c>
      <c r="Z1191" s="3" t="n">
        <v>9405</v>
      </c>
      <c r="AE1191" s="3" t="n">
        <v>700</v>
      </c>
      <c r="AF1191" s="4" t="n">
        <v>0.37</v>
      </c>
      <c r="AG1191" s="3">
        <f>ROUND(AE1191-(AE1191*AF1191),2)</f>
        <v/>
      </c>
      <c r="AH1191" s="4" t="n">
        <v>0.18</v>
      </c>
      <c r="AI1191" s="3">
        <f>ROUND(AG1191+(AG1191*AH1191),2)</f>
        <v/>
      </c>
      <c r="AJ1191" s="4" t="n">
        <v>0.2</v>
      </c>
      <c r="AK1191" s="3">
        <f>ROUND(AI1191*AJ1191,2)</f>
        <v/>
      </c>
      <c r="AL1191" s="3">
        <f>AI1191+AK1191</f>
        <v/>
      </c>
      <c r="AM1191" s="3">
        <f>AE1191-AL1191</f>
        <v/>
      </c>
      <c r="AN1191" s="4">
        <f>AM1191/AE1191</f>
        <v/>
      </c>
      <c r="AO1191" s="3" t="inlineStr">
        <is>
          <t>3 hrs</t>
        </is>
      </c>
      <c r="AQ1191" s="3" t="inlineStr">
        <is>
          <t>Weight</t>
        </is>
      </c>
      <c r="AT1191" s="3" t="inlineStr">
        <is>
          <t>3 hrs</t>
        </is>
      </c>
    </row>
    <row r="1192" ht="15.75" customHeight="1">
      <c r="A1192" s="3" t="inlineStr">
        <is>
          <t>PROD_0237</t>
        </is>
      </c>
      <c r="B1192" s="3" t="inlineStr">
        <is>
          <t>VAR_14</t>
        </is>
      </c>
      <c r="C1192" s="3" t="inlineStr">
        <is>
          <t>Electrical Material</t>
        </is>
      </c>
      <c r="D1192" s="3" t="inlineStr">
        <is>
          <t>Cieling Lights</t>
        </is>
      </c>
      <c r="E1192" s="3" t="inlineStr">
        <is>
          <t>Philips</t>
        </is>
      </c>
      <c r="F1192" s="3" t="inlineStr">
        <is>
          <t>Astra Max Metal Panel</t>
        </is>
      </c>
      <c r="H1192" s="3" t="inlineStr">
        <is>
          <t>Wattage</t>
        </is>
      </c>
      <c r="I1192" s="3" t="inlineStr">
        <is>
          <t>5 W</t>
        </is>
      </c>
      <c r="J1192" s="3" t="inlineStr">
        <is>
          <t>Cutting Size</t>
        </is>
      </c>
      <c r="K1192" s="3" t="inlineStr">
        <is>
          <t>80 mm</t>
        </is>
      </c>
      <c r="L1192" s="3" t="inlineStr">
        <is>
          <t>Color</t>
        </is>
      </c>
      <c r="M1192" s="3" t="inlineStr">
        <is>
          <t>Natural White</t>
        </is>
      </c>
      <c r="N1192" s="3" t="inlineStr">
        <is>
          <t>Shape</t>
        </is>
      </c>
      <c r="O1192" s="3" t="inlineStr">
        <is>
          <t>Square</t>
        </is>
      </c>
      <c r="Q1192" s="3" t="inlineStr">
        <is>
          <t>Manufacturer's Warranty</t>
        </is>
      </c>
      <c r="Y1192" s="3" t="inlineStr">
        <is>
          <t>EM_CLN_PHILLIPS_ASTRAMETAL_SQR</t>
        </is>
      </c>
      <c r="Z1192" s="3" t="n">
        <v>9405</v>
      </c>
      <c r="AE1192" s="3" t="n">
        <v>700</v>
      </c>
      <c r="AF1192" s="4" t="n">
        <v>0.37</v>
      </c>
      <c r="AG1192" s="3">
        <f>ROUND(AE1192-(AE1192*AF1192),2)</f>
        <v/>
      </c>
      <c r="AH1192" s="4" t="n">
        <v>0.18</v>
      </c>
      <c r="AI1192" s="3">
        <f>ROUND(AG1192+(AG1192*AH1192),2)</f>
        <v/>
      </c>
      <c r="AJ1192" s="4" t="n">
        <v>0.2</v>
      </c>
      <c r="AK1192" s="3">
        <f>ROUND(AI1192*AJ1192,2)</f>
        <v/>
      </c>
      <c r="AL1192" s="3">
        <f>AI1192+AK1192</f>
        <v/>
      </c>
      <c r="AM1192" s="3">
        <f>AE1192-AL1192</f>
        <v/>
      </c>
      <c r="AN1192" s="4">
        <f>AM1192/AE1192</f>
        <v/>
      </c>
      <c r="AO1192" s="3" t="inlineStr">
        <is>
          <t>3 hrs</t>
        </is>
      </c>
      <c r="AQ1192" s="3" t="inlineStr">
        <is>
          <t>Weight</t>
        </is>
      </c>
      <c r="AT1192" s="3" t="inlineStr">
        <is>
          <t>3 hrs</t>
        </is>
      </c>
    </row>
    <row r="1193" ht="15.75" customHeight="1">
      <c r="A1193" s="3" t="inlineStr">
        <is>
          <t>PROD_0237</t>
        </is>
      </c>
      <c r="B1193" s="3" t="inlineStr">
        <is>
          <t>VAR_15</t>
        </is>
      </c>
      <c r="C1193" s="3" t="inlineStr">
        <is>
          <t>Electrical Material</t>
        </is>
      </c>
      <c r="D1193" s="3" t="inlineStr">
        <is>
          <t>Cieling Lights</t>
        </is>
      </c>
      <c r="E1193" s="3" t="inlineStr">
        <is>
          <t>Philips</t>
        </is>
      </c>
      <c r="F1193" s="3" t="inlineStr">
        <is>
          <t>Astra Max Metal Panel</t>
        </is>
      </c>
      <c r="H1193" s="3" t="inlineStr">
        <is>
          <t>Wattage</t>
        </is>
      </c>
      <c r="I1193" s="3" t="inlineStr">
        <is>
          <t>5 W</t>
        </is>
      </c>
      <c r="J1193" s="3" t="inlineStr">
        <is>
          <t>Cutting Size</t>
        </is>
      </c>
      <c r="K1193" s="3" t="inlineStr">
        <is>
          <t>80 mm</t>
        </is>
      </c>
      <c r="L1193" s="3" t="inlineStr">
        <is>
          <t>Color</t>
        </is>
      </c>
      <c r="M1193" s="3" t="inlineStr">
        <is>
          <t>Cool White</t>
        </is>
      </c>
      <c r="N1193" s="3" t="inlineStr">
        <is>
          <t>Shape</t>
        </is>
      </c>
      <c r="O1193" s="3" t="inlineStr">
        <is>
          <t>Square</t>
        </is>
      </c>
      <c r="Q1193" s="3" t="inlineStr">
        <is>
          <t>Manufacturer's Warranty</t>
        </is>
      </c>
      <c r="Y1193" s="3" t="inlineStr">
        <is>
          <t>EM_CLN_PHILLIPS_ASTRAMETAL_SQR</t>
        </is>
      </c>
      <c r="Z1193" s="3" t="n">
        <v>9405</v>
      </c>
      <c r="AE1193" s="3" t="n">
        <v>700</v>
      </c>
      <c r="AF1193" s="4" t="n">
        <v>0.37</v>
      </c>
      <c r="AG1193" s="3">
        <f>ROUND(AE1193-(AE1193*AF1193),2)</f>
        <v/>
      </c>
      <c r="AH1193" s="4" t="n">
        <v>0.18</v>
      </c>
      <c r="AI1193" s="3">
        <f>ROUND(AG1193+(AG1193*AH1193),2)</f>
        <v/>
      </c>
      <c r="AJ1193" s="4" t="n">
        <v>0.2</v>
      </c>
      <c r="AK1193" s="3">
        <f>ROUND(AI1193*AJ1193,2)</f>
        <v/>
      </c>
      <c r="AL1193" s="3">
        <f>AI1193+AK1193</f>
        <v/>
      </c>
      <c r="AM1193" s="3">
        <f>AE1193-AL1193</f>
        <v/>
      </c>
      <c r="AN1193" s="4">
        <f>AM1193/AE1193</f>
        <v/>
      </c>
      <c r="AO1193" s="3" t="inlineStr">
        <is>
          <t>3 hrs</t>
        </is>
      </c>
      <c r="AQ1193" s="3" t="inlineStr">
        <is>
          <t>Weight</t>
        </is>
      </c>
      <c r="AT1193" s="3" t="inlineStr">
        <is>
          <t>3 hrs</t>
        </is>
      </c>
    </row>
    <row r="1194" ht="15.75" customHeight="1">
      <c r="A1194" s="3" t="inlineStr">
        <is>
          <t>PROD_0237</t>
        </is>
      </c>
      <c r="B1194" s="3" t="inlineStr">
        <is>
          <t>VAR_16</t>
        </is>
      </c>
      <c r="C1194" s="3" t="inlineStr">
        <is>
          <t>Electrical Material</t>
        </is>
      </c>
      <c r="D1194" s="3" t="inlineStr">
        <is>
          <t>Cieling Lights</t>
        </is>
      </c>
      <c r="E1194" s="3" t="inlineStr">
        <is>
          <t>Philips</t>
        </is>
      </c>
      <c r="F1194" s="3" t="inlineStr">
        <is>
          <t>Astra Max Metal Panel</t>
        </is>
      </c>
      <c r="H1194" s="3" t="inlineStr">
        <is>
          <t>Wattage</t>
        </is>
      </c>
      <c r="I1194" s="3" t="inlineStr">
        <is>
          <t>10 W</t>
        </is>
      </c>
      <c r="J1194" s="3" t="inlineStr">
        <is>
          <t>Cutting Size</t>
        </is>
      </c>
      <c r="K1194" s="3" t="inlineStr">
        <is>
          <t>136 mm</t>
        </is>
      </c>
      <c r="L1194" s="3" t="inlineStr">
        <is>
          <t>Color</t>
        </is>
      </c>
      <c r="M1194" s="3" t="inlineStr">
        <is>
          <t>Warm White</t>
        </is>
      </c>
      <c r="N1194" s="3" t="inlineStr">
        <is>
          <t>Shape</t>
        </is>
      </c>
      <c r="O1194" s="3" t="inlineStr">
        <is>
          <t>Square</t>
        </is>
      </c>
      <c r="Q1194" s="3" t="inlineStr">
        <is>
          <t>Manufacturer's Warranty</t>
        </is>
      </c>
      <c r="Y1194" s="3" t="inlineStr">
        <is>
          <t>EM_CLN_PHILLIPS_ASTRAMETAL_SQR</t>
        </is>
      </c>
      <c r="Z1194" s="3" t="n">
        <v>9405</v>
      </c>
      <c r="AE1194" s="3" t="n">
        <v>900</v>
      </c>
      <c r="AF1194" s="4" t="n">
        <v>0.37</v>
      </c>
      <c r="AG1194" s="3">
        <f>ROUND(AE1194-(AE1194*AF1194),2)</f>
        <v/>
      </c>
      <c r="AH1194" s="4" t="n">
        <v>0.18</v>
      </c>
      <c r="AI1194" s="3">
        <f>ROUND(AG1194+(AG1194*AH1194),2)</f>
        <v/>
      </c>
      <c r="AJ1194" s="4" t="n">
        <v>0.2</v>
      </c>
      <c r="AK1194" s="3">
        <f>ROUND(AI1194*AJ1194,2)</f>
        <v/>
      </c>
      <c r="AL1194" s="3">
        <f>AI1194+AK1194</f>
        <v/>
      </c>
      <c r="AM1194" s="3">
        <f>AE1194-AL1194</f>
        <v/>
      </c>
      <c r="AN1194" s="4">
        <f>AM1194/AE1194</f>
        <v/>
      </c>
      <c r="AO1194" s="3" t="inlineStr">
        <is>
          <t>3 hrs</t>
        </is>
      </c>
      <c r="AQ1194" s="3" t="inlineStr">
        <is>
          <t>Weight</t>
        </is>
      </c>
      <c r="AT1194" s="3" t="inlineStr">
        <is>
          <t>3 hrs</t>
        </is>
      </c>
    </row>
    <row r="1195" ht="15.75" customHeight="1">
      <c r="A1195" s="3" t="inlineStr">
        <is>
          <t>PROD_0237</t>
        </is>
      </c>
      <c r="B1195" s="3" t="inlineStr">
        <is>
          <t>VAR_17</t>
        </is>
      </c>
      <c r="C1195" s="3" t="inlineStr">
        <is>
          <t>Electrical Material</t>
        </is>
      </c>
      <c r="D1195" s="3" t="inlineStr">
        <is>
          <t>Cieling Lights</t>
        </is>
      </c>
      <c r="E1195" s="3" t="inlineStr">
        <is>
          <t>Philips</t>
        </is>
      </c>
      <c r="F1195" s="3" t="inlineStr">
        <is>
          <t>Astra Max Metal Panel</t>
        </is>
      </c>
      <c r="H1195" s="3" t="inlineStr">
        <is>
          <t>Wattage</t>
        </is>
      </c>
      <c r="I1195" s="3" t="inlineStr">
        <is>
          <t>10 W</t>
        </is>
      </c>
      <c r="J1195" s="3" t="inlineStr">
        <is>
          <t>Cutting Size</t>
        </is>
      </c>
      <c r="K1195" s="3" t="inlineStr">
        <is>
          <t>136 mm</t>
        </is>
      </c>
      <c r="L1195" s="3" t="inlineStr">
        <is>
          <t>Color</t>
        </is>
      </c>
      <c r="M1195" s="3" t="inlineStr">
        <is>
          <t>Natural White</t>
        </is>
      </c>
      <c r="N1195" s="3" t="inlineStr">
        <is>
          <t>Shape</t>
        </is>
      </c>
      <c r="O1195" s="3" t="inlineStr">
        <is>
          <t>Square</t>
        </is>
      </c>
      <c r="Q1195" s="3" t="inlineStr">
        <is>
          <t>Manufacturer's Warranty</t>
        </is>
      </c>
      <c r="Y1195" s="3" t="inlineStr">
        <is>
          <t>EM_CLN_PHILLIPS_ASTRAMETAL_SQR</t>
        </is>
      </c>
      <c r="Z1195" s="3" t="n">
        <v>9405</v>
      </c>
      <c r="AE1195" s="3" t="n">
        <v>900</v>
      </c>
      <c r="AF1195" s="4" t="n">
        <v>0.37</v>
      </c>
      <c r="AG1195" s="3">
        <f>ROUND(AE1195-(AE1195*AF1195),2)</f>
        <v/>
      </c>
      <c r="AH1195" s="4" t="n">
        <v>0.18</v>
      </c>
      <c r="AI1195" s="3">
        <f>ROUND(AG1195+(AG1195*AH1195),2)</f>
        <v/>
      </c>
      <c r="AJ1195" s="4" t="n">
        <v>0.2</v>
      </c>
      <c r="AK1195" s="3">
        <f>ROUND(AI1195*AJ1195,2)</f>
        <v/>
      </c>
      <c r="AL1195" s="3">
        <f>AI1195+AK1195</f>
        <v/>
      </c>
      <c r="AM1195" s="3">
        <f>AE1195-AL1195</f>
        <v/>
      </c>
      <c r="AN1195" s="4">
        <f>AM1195/AE1195</f>
        <v/>
      </c>
      <c r="AO1195" s="3" t="inlineStr">
        <is>
          <t>3 hrs</t>
        </is>
      </c>
      <c r="AQ1195" s="3" t="inlineStr">
        <is>
          <t>Weight</t>
        </is>
      </c>
      <c r="AT1195" s="3" t="inlineStr">
        <is>
          <t>3 hrs</t>
        </is>
      </c>
    </row>
    <row r="1196" ht="15.75" customHeight="1">
      <c r="A1196" s="3" t="inlineStr">
        <is>
          <t>PROD_0237</t>
        </is>
      </c>
      <c r="B1196" s="3" t="inlineStr">
        <is>
          <t>VAR_18</t>
        </is>
      </c>
      <c r="C1196" s="3" t="inlineStr">
        <is>
          <t>Electrical Material</t>
        </is>
      </c>
      <c r="D1196" s="3" t="inlineStr">
        <is>
          <t>Cieling Lights</t>
        </is>
      </c>
      <c r="E1196" s="3" t="inlineStr">
        <is>
          <t>Philips</t>
        </is>
      </c>
      <c r="F1196" s="3" t="inlineStr">
        <is>
          <t>Astra Max Metal Panel</t>
        </is>
      </c>
      <c r="H1196" s="3" t="inlineStr">
        <is>
          <t>Wattage</t>
        </is>
      </c>
      <c r="I1196" s="3" t="inlineStr">
        <is>
          <t>10 W</t>
        </is>
      </c>
      <c r="J1196" s="3" t="inlineStr">
        <is>
          <t>Cutting Size</t>
        </is>
      </c>
      <c r="K1196" s="3" t="inlineStr">
        <is>
          <t>136 mm</t>
        </is>
      </c>
      <c r="L1196" s="3" t="inlineStr">
        <is>
          <t>Color</t>
        </is>
      </c>
      <c r="M1196" s="3" t="inlineStr">
        <is>
          <t>Cool White</t>
        </is>
      </c>
      <c r="N1196" s="3" t="inlineStr">
        <is>
          <t>Shape</t>
        </is>
      </c>
      <c r="O1196" s="3" t="inlineStr">
        <is>
          <t>Square</t>
        </is>
      </c>
      <c r="Q1196" s="3" t="inlineStr">
        <is>
          <t>Manufacturer's Warranty</t>
        </is>
      </c>
      <c r="Y1196" s="3" t="inlineStr">
        <is>
          <t>EM_CLN_PHILLIPS_ASTRAMETAL_SQR</t>
        </is>
      </c>
      <c r="Z1196" s="3" t="n">
        <v>9405</v>
      </c>
      <c r="AE1196" s="3" t="n">
        <v>900</v>
      </c>
      <c r="AF1196" s="4" t="n">
        <v>0.37</v>
      </c>
      <c r="AG1196" s="3">
        <f>ROUND(AE1196-(AE1196*AF1196),2)</f>
        <v/>
      </c>
      <c r="AH1196" s="4" t="n">
        <v>0.18</v>
      </c>
      <c r="AI1196" s="3">
        <f>ROUND(AG1196+(AG1196*AH1196),2)</f>
        <v/>
      </c>
      <c r="AJ1196" s="4" t="n">
        <v>0.2</v>
      </c>
      <c r="AK1196" s="3">
        <f>ROUND(AI1196*AJ1196,2)</f>
        <v/>
      </c>
      <c r="AL1196" s="3">
        <f>AI1196+AK1196</f>
        <v/>
      </c>
      <c r="AM1196" s="3">
        <f>AE1196-AL1196</f>
        <v/>
      </c>
      <c r="AN1196" s="4">
        <f>AM1196/AE1196</f>
        <v/>
      </c>
      <c r="AO1196" s="3" t="inlineStr">
        <is>
          <t>3 hrs</t>
        </is>
      </c>
      <c r="AQ1196" s="3" t="inlineStr">
        <is>
          <t>Weight</t>
        </is>
      </c>
      <c r="AT1196" s="3" t="inlineStr">
        <is>
          <t>3 hrs</t>
        </is>
      </c>
    </row>
    <row r="1197" ht="15.75" customHeight="1">
      <c r="A1197" s="3" t="inlineStr">
        <is>
          <t>PROD_0237</t>
        </is>
      </c>
      <c r="B1197" s="3" t="inlineStr">
        <is>
          <t>VAR_19</t>
        </is>
      </c>
      <c r="C1197" s="3" t="inlineStr">
        <is>
          <t>Electrical Material</t>
        </is>
      </c>
      <c r="D1197" s="3" t="inlineStr">
        <is>
          <t>Cieling Lights</t>
        </is>
      </c>
      <c r="E1197" s="3" t="inlineStr">
        <is>
          <t>Philips</t>
        </is>
      </c>
      <c r="F1197" s="3" t="inlineStr">
        <is>
          <t>Astra Max Metal Panel</t>
        </is>
      </c>
      <c r="H1197" s="3" t="inlineStr">
        <is>
          <t>Wattage</t>
        </is>
      </c>
      <c r="I1197" s="3" t="inlineStr">
        <is>
          <t>15 W</t>
        </is>
      </c>
      <c r="J1197" s="3" t="inlineStr">
        <is>
          <t>Cutting Size</t>
        </is>
      </c>
      <c r="K1197" s="3" t="inlineStr">
        <is>
          <t>159 mm</t>
        </is>
      </c>
      <c r="L1197" s="3" t="inlineStr">
        <is>
          <t>Color</t>
        </is>
      </c>
      <c r="M1197" s="3" t="inlineStr">
        <is>
          <t>Warm White</t>
        </is>
      </c>
      <c r="N1197" s="3" t="inlineStr">
        <is>
          <t>Shape</t>
        </is>
      </c>
      <c r="O1197" s="3" t="inlineStr">
        <is>
          <t>Square</t>
        </is>
      </c>
      <c r="Q1197" s="3" t="inlineStr">
        <is>
          <t>Manufacturer's Warranty</t>
        </is>
      </c>
      <c r="Y1197" s="3" t="inlineStr">
        <is>
          <t>EM_CLN_PHILLIPS_ASTRAMETAL_SQR</t>
        </is>
      </c>
      <c r="Z1197" s="3" t="n">
        <v>9405</v>
      </c>
      <c r="AE1197" s="3" t="n">
        <v>1100</v>
      </c>
      <c r="AF1197" s="4" t="n">
        <v>0.37</v>
      </c>
      <c r="AG1197" s="3">
        <f>ROUND(AE1197-(AE1197*AF1197),2)</f>
        <v/>
      </c>
      <c r="AH1197" s="4" t="n">
        <v>0.18</v>
      </c>
      <c r="AI1197" s="3">
        <f>ROUND(AG1197+(AG1197*AH1197),2)</f>
        <v/>
      </c>
      <c r="AJ1197" s="4" t="n">
        <v>0.2</v>
      </c>
      <c r="AK1197" s="3">
        <f>ROUND(AI1197*AJ1197,2)</f>
        <v/>
      </c>
      <c r="AL1197" s="3">
        <f>AI1197+AK1197</f>
        <v/>
      </c>
      <c r="AM1197" s="3">
        <f>AE1197-AL1197</f>
        <v/>
      </c>
      <c r="AN1197" s="4">
        <f>AM1197/AE1197</f>
        <v/>
      </c>
      <c r="AO1197" s="3" t="inlineStr">
        <is>
          <t>3 hrs</t>
        </is>
      </c>
      <c r="AQ1197" s="3" t="inlineStr">
        <is>
          <t>Weight</t>
        </is>
      </c>
      <c r="AT1197" s="3" t="inlineStr">
        <is>
          <t>3 hrs</t>
        </is>
      </c>
    </row>
    <row r="1198" ht="15.75" customHeight="1">
      <c r="A1198" s="3" t="inlineStr">
        <is>
          <t>PROD_0237</t>
        </is>
      </c>
      <c r="B1198" s="3" t="inlineStr">
        <is>
          <t>VAR_20</t>
        </is>
      </c>
      <c r="C1198" s="3" t="inlineStr">
        <is>
          <t>Electrical Material</t>
        </is>
      </c>
      <c r="D1198" s="3" t="inlineStr">
        <is>
          <t>Cieling Lights</t>
        </is>
      </c>
      <c r="E1198" s="3" t="inlineStr">
        <is>
          <t>Philips</t>
        </is>
      </c>
      <c r="F1198" s="3" t="inlineStr">
        <is>
          <t>Astra Max Metal Panel</t>
        </is>
      </c>
      <c r="H1198" s="3" t="inlineStr">
        <is>
          <t>Wattage</t>
        </is>
      </c>
      <c r="I1198" s="3" t="inlineStr">
        <is>
          <t>15 W</t>
        </is>
      </c>
      <c r="J1198" s="3" t="inlineStr">
        <is>
          <t>Cutting Size</t>
        </is>
      </c>
      <c r="K1198" s="3" t="inlineStr">
        <is>
          <t>159 mm</t>
        </is>
      </c>
      <c r="L1198" s="3" t="inlineStr">
        <is>
          <t>Color</t>
        </is>
      </c>
      <c r="M1198" s="3" t="inlineStr">
        <is>
          <t>Natural White</t>
        </is>
      </c>
      <c r="N1198" s="3" t="inlineStr">
        <is>
          <t>Shape</t>
        </is>
      </c>
      <c r="O1198" s="3" t="inlineStr">
        <is>
          <t>Square</t>
        </is>
      </c>
      <c r="Q1198" s="3" t="inlineStr">
        <is>
          <t>Manufacturer's Warranty</t>
        </is>
      </c>
      <c r="Y1198" s="3" t="inlineStr">
        <is>
          <t>EM_CLN_PHILLIPS_ASTRAMETAL_SQR</t>
        </is>
      </c>
      <c r="Z1198" s="3" t="n">
        <v>9405</v>
      </c>
      <c r="AE1198" s="3" t="n">
        <v>1100</v>
      </c>
      <c r="AF1198" s="4" t="n">
        <v>0.37</v>
      </c>
      <c r="AG1198" s="3">
        <f>ROUND(AE1198-(AE1198*AF1198),2)</f>
        <v/>
      </c>
      <c r="AH1198" s="4" t="n">
        <v>0.18</v>
      </c>
      <c r="AI1198" s="3">
        <f>ROUND(AG1198+(AG1198*AH1198),2)</f>
        <v/>
      </c>
      <c r="AJ1198" s="4" t="n">
        <v>0.2</v>
      </c>
      <c r="AK1198" s="3">
        <f>ROUND(AI1198*AJ1198,2)</f>
        <v/>
      </c>
      <c r="AL1198" s="3">
        <f>AI1198+AK1198</f>
        <v/>
      </c>
      <c r="AM1198" s="3">
        <f>AE1198-AL1198</f>
        <v/>
      </c>
      <c r="AN1198" s="4">
        <f>AM1198/AE1198</f>
        <v/>
      </c>
      <c r="AO1198" s="3" t="inlineStr">
        <is>
          <t>3 hrs</t>
        </is>
      </c>
      <c r="AQ1198" s="3" t="inlineStr">
        <is>
          <t>Weight</t>
        </is>
      </c>
      <c r="AT1198" s="3" t="inlineStr">
        <is>
          <t>3 hrs</t>
        </is>
      </c>
    </row>
    <row r="1199" ht="15.75" customHeight="1">
      <c r="A1199" s="3" t="inlineStr">
        <is>
          <t>PROD_0237</t>
        </is>
      </c>
      <c r="B1199" s="3" t="inlineStr">
        <is>
          <t>VAR_21</t>
        </is>
      </c>
      <c r="C1199" s="3" t="inlineStr">
        <is>
          <t>Electrical Material</t>
        </is>
      </c>
      <c r="D1199" s="3" t="inlineStr">
        <is>
          <t>Cieling Lights</t>
        </is>
      </c>
      <c r="E1199" s="3" t="inlineStr">
        <is>
          <t>Philips</t>
        </is>
      </c>
      <c r="F1199" s="3" t="inlineStr">
        <is>
          <t>Astra Max Metal Panel</t>
        </is>
      </c>
      <c r="H1199" s="3" t="inlineStr">
        <is>
          <t>Wattage</t>
        </is>
      </c>
      <c r="I1199" s="3" t="inlineStr">
        <is>
          <t>15 W</t>
        </is>
      </c>
      <c r="J1199" s="3" t="inlineStr">
        <is>
          <t>Cutting Size</t>
        </is>
      </c>
      <c r="K1199" s="3" t="inlineStr">
        <is>
          <t>159 mm</t>
        </is>
      </c>
      <c r="L1199" s="3" t="inlineStr">
        <is>
          <t>Color</t>
        </is>
      </c>
      <c r="M1199" s="3" t="inlineStr">
        <is>
          <t>Cool White</t>
        </is>
      </c>
      <c r="N1199" s="3" t="inlineStr">
        <is>
          <t>Shape</t>
        </is>
      </c>
      <c r="O1199" s="3" t="inlineStr">
        <is>
          <t>Square</t>
        </is>
      </c>
      <c r="Q1199" s="3" t="inlineStr">
        <is>
          <t>Manufacturer's Warranty</t>
        </is>
      </c>
      <c r="Y1199" s="3" t="inlineStr">
        <is>
          <t>EM_CLN_PHILLIPS_ASTRAMETAL_SQR</t>
        </is>
      </c>
      <c r="Z1199" s="3" t="n">
        <v>9405</v>
      </c>
      <c r="AE1199" s="3" t="n">
        <v>1100</v>
      </c>
      <c r="AF1199" s="4" t="n">
        <v>0.37</v>
      </c>
      <c r="AG1199" s="3">
        <f>ROUND(AE1199-(AE1199*AF1199),2)</f>
        <v/>
      </c>
      <c r="AH1199" s="4" t="n">
        <v>0.18</v>
      </c>
      <c r="AI1199" s="3">
        <f>ROUND(AG1199+(AG1199*AH1199),2)</f>
        <v/>
      </c>
      <c r="AJ1199" s="4" t="n">
        <v>0.2</v>
      </c>
      <c r="AK1199" s="3">
        <f>ROUND(AI1199*AJ1199,2)</f>
        <v/>
      </c>
      <c r="AL1199" s="3">
        <f>AI1199+AK1199</f>
        <v/>
      </c>
      <c r="AM1199" s="3">
        <f>AE1199-AL1199</f>
        <v/>
      </c>
      <c r="AN1199" s="4">
        <f>AM1199/AE1199</f>
        <v/>
      </c>
      <c r="AO1199" s="3" t="inlineStr">
        <is>
          <t>3 hrs</t>
        </is>
      </c>
      <c r="AQ1199" s="3" t="inlineStr">
        <is>
          <t>Weight</t>
        </is>
      </c>
      <c r="AT1199" s="3" t="inlineStr">
        <is>
          <t>3 hrs</t>
        </is>
      </c>
    </row>
    <row r="1200" ht="15.75" customHeight="1">
      <c r="A1200" s="3" t="inlineStr">
        <is>
          <t>PROD_0237</t>
        </is>
      </c>
      <c r="B1200" s="3" t="inlineStr">
        <is>
          <t>VAR_22</t>
        </is>
      </c>
      <c r="C1200" s="3" t="inlineStr">
        <is>
          <t>Electrical Material</t>
        </is>
      </c>
      <c r="D1200" s="3" t="inlineStr">
        <is>
          <t>Cieling Lights</t>
        </is>
      </c>
      <c r="E1200" s="3" t="inlineStr">
        <is>
          <t>Philips</t>
        </is>
      </c>
      <c r="F1200" s="3" t="inlineStr">
        <is>
          <t>Astra Max Metal Panel</t>
        </is>
      </c>
      <c r="H1200" s="3" t="inlineStr">
        <is>
          <t>Wattage</t>
        </is>
      </c>
      <c r="I1200" s="3" t="inlineStr">
        <is>
          <t>18 W</t>
        </is>
      </c>
      <c r="J1200" s="3" t="inlineStr">
        <is>
          <t>Cutting Size</t>
        </is>
      </c>
      <c r="K1200" s="3" t="inlineStr">
        <is>
          <t>178 mm</t>
        </is>
      </c>
      <c r="L1200" s="3" t="inlineStr">
        <is>
          <t>Color</t>
        </is>
      </c>
      <c r="M1200" s="3" t="inlineStr">
        <is>
          <t>Warm White</t>
        </is>
      </c>
      <c r="N1200" s="3" t="inlineStr">
        <is>
          <t>Shape</t>
        </is>
      </c>
      <c r="O1200" s="3" t="inlineStr">
        <is>
          <t>Square</t>
        </is>
      </c>
      <c r="Q1200" s="3" t="inlineStr">
        <is>
          <t>Manufacturer's Warranty</t>
        </is>
      </c>
      <c r="Y1200" s="3" t="inlineStr">
        <is>
          <t>EM_CLN_PHILLIPS_ASTRAMETAL_SQR</t>
        </is>
      </c>
      <c r="Z1200" s="3" t="n">
        <v>9405</v>
      </c>
      <c r="AE1200" s="3" t="n">
        <v>1500</v>
      </c>
      <c r="AF1200" s="4" t="n">
        <v>0.37</v>
      </c>
      <c r="AG1200" s="3">
        <f>ROUND(AE1200-(AE1200*AF1200),2)</f>
        <v/>
      </c>
      <c r="AH1200" s="4" t="n">
        <v>0.18</v>
      </c>
      <c r="AI1200" s="3">
        <f>ROUND(AG1200+(AG1200*AH1200),2)</f>
        <v/>
      </c>
      <c r="AJ1200" s="4" t="n">
        <v>0.2</v>
      </c>
      <c r="AK1200" s="3">
        <f>ROUND(AI1200*AJ1200,2)</f>
        <v/>
      </c>
      <c r="AL1200" s="3">
        <f>AI1200+AK1200</f>
        <v/>
      </c>
      <c r="AM1200" s="3">
        <f>AE1200-AL1200</f>
        <v/>
      </c>
      <c r="AN1200" s="4">
        <f>AM1200/AE1200</f>
        <v/>
      </c>
      <c r="AO1200" s="3" t="inlineStr">
        <is>
          <t>3 hrs</t>
        </is>
      </c>
      <c r="AQ1200" s="3" t="inlineStr">
        <is>
          <t>Weight</t>
        </is>
      </c>
      <c r="AT1200" s="3" t="inlineStr">
        <is>
          <t>3 hrs</t>
        </is>
      </c>
    </row>
    <row r="1201" ht="15.75" customHeight="1">
      <c r="A1201" s="3" t="inlineStr">
        <is>
          <t>PROD_0237</t>
        </is>
      </c>
      <c r="B1201" s="3" t="inlineStr">
        <is>
          <t>VAR_23</t>
        </is>
      </c>
      <c r="C1201" s="3" t="inlineStr">
        <is>
          <t>Electrical Material</t>
        </is>
      </c>
      <c r="D1201" s="3" t="inlineStr">
        <is>
          <t>Cieling Lights</t>
        </is>
      </c>
      <c r="E1201" s="3" t="inlineStr">
        <is>
          <t>Philips</t>
        </is>
      </c>
      <c r="F1201" s="3" t="inlineStr">
        <is>
          <t>Astra Max Metal Panel</t>
        </is>
      </c>
      <c r="H1201" s="3" t="inlineStr">
        <is>
          <t>Wattage</t>
        </is>
      </c>
      <c r="I1201" s="3" t="inlineStr">
        <is>
          <t>18 W</t>
        </is>
      </c>
      <c r="J1201" s="3" t="inlineStr">
        <is>
          <t>Cutting Size</t>
        </is>
      </c>
      <c r="K1201" s="3" t="inlineStr">
        <is>
          <t>178 mm</t>
        </is>
      </c>
      <c r="L1201" s="3" t="inlineStr">
        <is>
          <t>Color</t>
        </is>
      </c>
      <c r="M1201" s="3" t="inlineStr">
        <is>
          <t>Natural White</t>
        </is>
      </c>
      <c r="N1201" s="3" t="inlineStr">
        <is>
          <t>Shape</t>
        </is>
      </c>
      <c r="O1201" s="3" t="inlineStr">
        <is>
          <t>Square</t>
        </is>
      </c>
      <c r="Q1201" s="3" t="inlineStr">
        <is>
          <t>Manufacturer's Warranty</t>
        </is>
      </c>
      <c r="Y1201" s="3" t="inlineStr">
        <is>
          <t>EM_CLN_PHILLIPS_ASTRAMETAL_SQR</t>
        </is>
      </c>
      <c r="Z1201" s="3" t="n">
        <v>9405</v>
      </c>
      <c r="AE1201" s="3" t="n">
        <v>1500</v>
      </c>
      <c r="AF1201" s="4" t="n">
        <v>0.37</v>
      </c>
      <c r="AG1201" s="3">
        <f>ROUND(AE1201-(AE1201*AF1201),2)</f>
        <v/>
      </c>
      <c r="AH1201" s="4" t="n">
        <v>0.18</v>
      </c>
      <c r="AI1201" s="3">
        <f>ROUND(AG1201+(AG1201*AH1201),2)</f>
        <v/>
      </c>
      <c r="AJ1201" s="4" t="n">
        <v>0.2</v>
      </c>
      <c r="AK1201" s="3">
        <f>ROUND(AI1201*AJ1201,2)</f>
        <v/>
      </c>
      <c r="AL1201" s="3">
        <f>AI1201+AK1201</f>
        <v/>
      </c>
      <c r="AM1201" s="3">
        <f>AE1201-AL1201</f>
        <v/>
      </c>
      <c r="AN1201" s="4">
        <f>AM1201/AE1201</f>
        <v/>
      </c>
      <c r="AO1201" s="3" t="inlineStr">
        <is>
          <t>3 hrs</t>
        </is>
      </c>
      <c r="AQ1201" s="3" t="inlineStr">
        <is>
          <t>Weight</t>
        </is>
      </c>
      <c r="AT1201" s="3" t="inlineStr">
        <is>
          <t>3 hrs</t>
        </is>
      </c>
    </row>
    <row r="1202" ht="15.75" customHeight="1">
      <c r="A1202" s="3" t="inlineStr">
        <is>
          <t>PROD_0237</t>
        </is>
      </c>
      <c r="B1202" s="3" t="inlineStr">
        <is>
          <t>VAR_24</t>
        </is>
      </c>
      <c r="C1202" s="3" t="inlineStr">
        <is>
          <t>Electrical Material</t>
        </is>
      </c>
      <c r="D1202" s="3" t="inlineStr">
        <is>
          <t>Cieling Lights</t>
        </is>
      </c>
      <c r="E1202" s="3" t="inlineStr">
        <is>
          <t>Philips</t>
        </is>
      </c>
      <c r="F1202" s="3" t="inlineStr">
        <is>
          <t>Astra Max Metal Panel</t>
        </is>
      </c>
      <c r="H1202" s="3" t="inlineStr">
        <is>
          <t>Wattage</t>
        </is>
      </c>
      <c r="I1202" s="3" t="inlineStr">
        <is>
          <t>18 W</t>
        </is>
      </c>
      <c r="J1202" s="3" t="inlineStr">
        <is>
          <t>Cutting Size</t>
        </is>
      </c>
      <c r="K1202" s="3" t="inlineStr">
        <is>
          <t>178 mm</t>
        </is>
      </c>
      <c r="L1202" s="3" t="inlineStr">
        <is>
          <t>Color</t>
        </is>
      </c>
      <c r="M1202" s="3" t="inlineStr">
        <is>
          <t>Cool White</t>
        </is>
      </c>
      <c r="N1202" s="3" t="inlineStr">
        <is>
          <t>Shape</t>
        </is>
      </c>
      <c r="O1202" s="3" t="inlineStr">
        <is>
          <t>Square</t>
        </is>
      </c>
      <c r="Q1202" s="3" t="inlineStr">
        <is>
          <t>Manufacturer's Warranty</t>
        </is>
      </c>
      <c r="Y1202" s="3" t="inlineStr">
        <is>
          <t>EM_CLN_PHILLIPS_ASTRAMETAL_SQR</t>
        </is>
      </c>
      <c r="Z1202" s="3" t="n">
        <v>9405</v>
      </c>
      <c r="AE1202" s="3" t="n">
        <v>1500</v>
      </c>
      <c r="AF1202" s="4" t="n">
        <v>0.37</v>
      </c>
      <c r="AG1202" s="3">
        <f>ROUND(AE1202-(AE1202*AF1202),2)</f>
        <v/>
      </c>
      <c r="AH1202" s="4" t="n">
        <v>0.18</v>
      </c>
      <c r="AI1202" s="3">
        <f>ROUND(AG1202+(AG1202*AH1202),2)</f>
        <v/>
      </c>
      <c r="AJ1202" s="4" t="n">
        <v>0.2</v>
      </c>
      <c r="AK1202" s="3">
        <f>ROUND(AI1202*AJ1202,2)</f>
        <v/>
      </c>
      <c r="AL1202" s="3">
        <f>AI1202+AK1202</f>
        <v/>
      </c>
      <c r="AM1202" s="3">
        <f>AE1202-AL1202</f>
        <v/>
      </c>
      <c r="AN1202" s="4">
        <f>AM1202/AE1202</f>
        <v/>
      </c>
      <c r="AO1202" s="3" t="inlineStr">
        <is>
          <t>3 hrs</t>
        </is>
      </c>
      <c r="AQ1202" s="3" t="inlineStr">
        <is>
          <t>Weight</t>
        </is>
      </c>
      <c r="AT1202" s="3" t="inlineStr">
        <is>
          <t>3 hrs</t>
        </is>
      </c>
    </row>
    <row r="1203" ht="15.75" customHeight="1">
      <c r="A1203" s="3" t="inlineStr">
        <is>
          <t>PROD_0238</t>
        </is>
      </c>
      <c r="B1203" s="3" t="inlineStr">
        <is>
          <t>VAR_1</t>
        </is>
      </c>
      <c r="C1203" s="3" t="inlineStr">
        <is>
          <t>Electrical Material</t>
        </is>
      </c>
      <c r="D1203" s="3" t="inlineStr">
        <is>
          <t>Cieling Lights</t>
        </is>
      </c>
      <c r="E1203" s="3" t="inlineStr">
        <is>
          <t>Philips</t>
        </is>
      </c>
      <c r="F1203" s="3" t="inlineStr">
        <is>
          <t>Ultra Slim +</t>
        </is>
      </c>
      <c r="H1203" s="3" t="inlineStr">
        <is>
          <t>Wattage</t>
        </is>
      </c>
      <c r="I1203" s="3" t="inlineStr">
        <is>
          <t>3 W</t>
        </is>
      </c>
      <c r="J1203" s="3" t="inlineStr">
        <is>
          <t>Cutting Size</t>
        </is>
      </c>
      <c r="K1203" s="3" t="inlineStr">
        <is>
          <t>75 mm</t>
        </is>
      </c>
      <c r="L1203" s="3" t="inlineStr">
        <is>
          <t>Color</t>
        </is>
      </c>
      <c r="M1203" s="3" t="inlineStr">
        <is>
          <t>Warm White</t>
        </is>
      </c>
      <c r="N1203" s="3" t="inlineStr">
        <is>
          <t>Shape</t>
        </is>
      </c>
      <c r="O1203" s="3" t="inlineStr">
        <is>
          <t>Round</t>
        </is>
      </c>
      <c r="Q1203" s="3" t="inlineStr">
        <is>
          <t>Manufacturer's Warranty</t>
        </is>
      </c>
      <c r="Y1203" s="3" t="inlineStr">
        <is>
          <t>EM_CLN_PHILLIPS_ULTRA_ROUND</t>
        </is>
      </c>
      <c r="Z1203" s="3" t="n">
        <v>9405</v>
      </c>
      <c r="AE1203" s="3" t="n">
        <v>1200</v>
      </c>
      <c r="AF1203" s="4" t="n">
        <v>0.4</v>
      </c>
      <c r="AG1203" s="3">
        <f>ROUND(AE1203-(AE1203*AF1203),2)</f>
        <v/>
      </c>
      <c r="AH1203" s="4" t="n">
        <v>0.18</v>
      </c>
      <c r="AI1203" s="3">
        <f>ROUND(AG1203+(AG1203*AH1203),2)</f>
        <v/>
      </c>
      <c r="AJ1203" s="4" t="n">
        <v>0.2</v>
      </c>
      <c r="AK1203" s="3">
        <f>ROUND(AI1203*AJ1203,2)</f>
        <v/>
      </c>
      <c r="AL1203" s="3">
        <f>AI1203+AK1203</f>
        <v/>
      </c>
      <c r="AM1203" s="3">
        <f>AE1203-AL1203</f>
        <v/>
      </c>
      <c r="AN1203" s="4">
        <f>AM1203/AE1203</f>
        <v/>
      </c>
      <c r="AO1203" s="3" t="inlineStr">
        <is>
          <t>3 hrs</t>
        </is>
      </c>
      <c r="AQ1203" s="3" t="inlineStr">
        <is>
          <t>Weight</t>
        </is>
      </c>
      <c r="AT1203" s="3" t="inlineStr">
        <is>
          <t>3 hrs</t>
        </is>
      </c>
    </row>
    <row r="1204" ht="15.75" customHeight="1">
      <c r="A1204" s="3" t="inlineStr">
        <is>
          <t>PROD_0238</t>
        </is>
      </c>
      <c r="B1204" s="3" t="inlineStr">
        <is>
          <t>VAR_2</t>
        </is>
      </c>
      <c r="C1204" s="3" t="inlineStr">
        <is>
          <t>Electrical Material</t>
        </is>
      </c>
      <c r="D1204" s="3" t="inlineStr">
        <is>
          <t>Cieling Lights</t>
        </is>
      </c>
      <c r="E1204" s="3" t="inlineStr">
        <is>
          <t>Philips</t>
        </is>
      </c>
      <c r="F1204" s="3" t="inlineStr">
        <is>
          <t>Ultra Slim +</t>
        </is>
      </c>
      <c r="H1204" s="3" t="inlineStr">
        <is>
          <t>Wattage</t>
        </is>
      </c>
      <c r="I1204" s="3" t="inlineStr">
        <is>
          <t>3 W</t>
        </is>
      </c>
      <c r="J1204" s="3" t="inlineStr">
        <is>
          <t>Cutting Size</t>
        </is>
      </c>
      <c r="K1204" s="3" t="inlineStr">
        <is>
          <t>75 mm</t>
        </is>
      </c>
      <c r="L1204" s="3" t="inlineStr">
        <is>
          <t>Color</t>
        </is>
      </c>
      <c r="M1204" s="3" t="inlineStr">
        <is>
          <t>Natural White</t>
        </is>
      </c>
      <c r="N1204" s="3" t="inlineStr">
        <is>
          <t>Shape</t>
        </is>
      </c>
      <c r="O1204" s="3" t="inlineStr">
        <is>
          <t>Round</t>
        </is>
      </c>
      <c r="Q1204" s="3" t="inlineStr">
        <is>
          <t>Manufacturer's Warranty</t>
        </is>
      </c>
      <c r="Y1204" s="3" t="inlineStr">
        <is>
          <t>EM_CLN_PHILLIPS_ULTRA_ROUND</t>
        </is>
      </c>
      <c r="Z1204" s="3" t="n">
        <v>9405</v>
      </c>
      <c r="AE1204" s="3" t="n">
        <v>1200</v>
      </c>
      <c r="AF1204" s="4" t="n">
        <v>0.4</v>
      </c>
      <c r="AG1204" s="3">
        <f>ROUND(AE1204-(AE1204*AF1204),2)</f>
        <v/>
      </c>
      <c r="AH1204" s="4" t="n">
        <v>0.18</v>
      </c>
      <c r="AI1204" s="3">
        <f>ROUND(AG1204+(AG1204*AH1204),2)</f>
        <v/>
      </c>
      <c r="AJ1204" s="4" t="n">
        <v>0.2</v>
      </c>
      <c r="AK1204" s="3">
        <f>ROUND(AI1204*AJ1204,2)</f>
        <v/>
      </c>
      <c r="AL1204" s="3">
        <f>AI1204+AK1204</f>
        <v/>
      </c>
      <c r="AM1204" s="3">
        <f>AE1204-AL1204</f>
        <v/>
      </c>
      <c r="AN1204" s="4">
        <f>AM1204/AE1204</f>
        <v/>
      </c>
      <c r="AO1204" s="3" t="inlineStr">
        <is>
          <t>3 hrs</t>
        </is>
      </c>
      <c r="AQ1204" s="3" t="inlineStr">
        <is>
          <t>Weight</t>
        </is>
      </c>
      <c r="AT1204" s="3" t="inlineStr">
        <is>
          <t>3 hrs</t>
        </is>
      </c>
    </row>
    <row r="1205" ht="15.75" customHeight="1">
      <c r="A1205" s="3" t="inlineStr">
        <is>
          <t>PROD_0238</t>
        </is>
      </c>
      <c r="B1205" s="3" t="inlineStr">
        <is>
          <t>VAR_3</t>
        </is>
      </c>
      <c r="C1205" s="3" t="inlineStr">
        <is>
          <t>Electrical Material</t>
        </is>
      </c>
      <c r="D1205" s="3" t="inlineStr">
        <is>
          <t>Cieling Lights</t>
        </is>
      </c>
      <c r="E1205" s="3" t="inlineStr">
        <is>
          <t>Philips</t>
        </is>
      </c>
      <c r="F1205" s="3" t="inlineStr">
        <is>
          <t>Ultra Slim +</t>
        </is>
      </c>
      <c r="H1205" s="3" t="inlineStr">
        <is>
          <t>Wattage</t>
        </is>
      </c>
      <c r="I1205" s="3" t="inlineStr">
        <is>
          <t>3 W</t>
        </is>
      </c>
      <c r="J1205" s="3" t="inlineStr">
        <is>
          <t>Cutting Size</t>
        </is>
      </c>
      <c r="K1205" s="3" t="inlineStr">
        <is>
          <t>75 mm</t>
        </is>
      </c>
      <c r="L1205" s="3" t="inlineStr">
        <is>
          <t>Color</t>
        </is>
      </c>
      <c r="M1205" s="3" t="inlineStr">
        <is>
          <t>Cool White</t>
        </is>
      </c>
      <c r="N1205" s="3" t="inlineStr">
        <is>
          <t>Shape</t>
        </is>
      </c>
      <c r="O1205" s="3" t="inlineStr">
        <is>
          <t>Round</t>
        </is>
      </c>
      <c r="Q1205" s="3" t="inlineStr">
        <is>
          <t>Manufacturer's Warranty</t>
        </is>
      </c>
      <c r="Y1205" s="3" t="inlineStr">
        <is>
          <t>EM_CLN_PHILLIPS_ULTRA_ROUND</t>
        </is>
      </c>
      <c r="Z1205" s="3" t="n">
        <v>9405</v>
      </c>
      <c r="AE1205" s="3" t="n">
        <v>1200</v>
      </c>
      <c r="AF1205" s="4" t="n">
        <v>0.4</v>
      </c>
      <c r="AG1205" s="3">
        <f>ROUND(AE1205-(AE1205*AF1205),2)</f>
        <v/>
      </c>
      <c r="AH1205" s="4" t="n">
        <v>0.18</v>
      </c>
      <c r="AI1205" s="3">
        <f>ROUND(AG1205+(AG1205*AH1205),2)</f>
        <v/>
      </c>
      <c r="AJ1205" s="4" t="n">
        <v>0.2</v>
      </c>
      <c r="AK1205" s="3">
        <f>ROUND(AI1205*AJ1205,2)</f>
        <v/>
      </c>
      <c r="AL1205" s="3">
        <f>AI1205+AK1205</f>
        <v/>
      </c>
      <c r="AM1205" s="3">
        <f>AE1205-AL1205</f>
        <v/>
      </c>
      <c r="AN1205" s="4">
        <f>AM1205/AE1205</f>
        <v/>
      </c>
      <c r="AO1205" s="3" t="inlineStr">
        <is>
          <t>3 hrs</t>
        </is>
      </c>
      <c r="AQ1205" s="3" t="inlineStr">
        <is>
          <t>Weight</t>
        </is>
      </c>
      <c r="AT1205" s="3" t="inlineStr">
        <is>
          <t>3 hrs</t>
        </is>
      </c>
    </row>
    <row r="1206" ht="15.75" customHeight="1">
      <c r="A1206" s="3" t="inlineStr">
        <is>
          <t>PROD_0238</t>
        </is>
      </c>
      <c r="B1206" s="3" t="inlineStr">
        <is>
          <t>VAR_4</t>
        </is>
      </c>
      <c r="C1206" s="3" t="inlineStr">
        <is>
          <t>Electrical Material</t>
        </is>
      </c>
      <c r="D1206" s="3" t="inlineStr">
        <is>
          <t>Cieling Lights</t>
        </is>
      </c>
      <c r="E1206" s="3" t="inlineStr">
        <is>
          <t>Philips</t>
        </is>
      </c>
      <c r="F1206" s="3" t="inlineStr">
        <is>
          <t>Ultra Slim +</t>
        </is>
      </c>
      <c r="H1206" s="3" t="inlineStr">
        <is>
          <t>Wattage</t>
        </is>
      </c>
      <c r="I1206" s="3" t="inlineStr">
        <is>
          <t>7 W</t>
        </is>
      </c>
      <c r="J1206" s="3" t="inlineStr">
        <is>
          <t>Cutting Size</t>
        </is>
      </c>
      <c r="K1206" s="3" t="inlineStr">
        <is>
          <t>104 mm</t>
        </is>
      </c>
      <c r="L1206" s="3" t="inlineStr">
        <is>
          <t>Color</t>
        </is>
      </c>
      <c r="M1206" s="3" t="inlineStr">
        <is>
          <t>Warm White</t>
        </is>
      </c>
      <c r="N1206" s="3" t="inlineStr">
        <is>
          <t>Shape</t>
        </is>
      </c>
      <c r="O1206" s="3" t="inlineStr">
        <is>
          <t>Round</t>
        </is>
      </c>
      <c r="Q1206" s="3" t="inlineStr">
        <is>
          <t>Manufacturer's Warranty</t>
        </is>
      </c>
      <c r="Y1206" s="3" t="inlineStr">
        <is>
          <t>EM_CLN_PHILLIPS_ULTRA_ROUND</t>
        </is>
      </c>
      <c r="Z1206" s="3" t="n">
        <v>9405</v>
      </c>
      <c r="AE1206" s="3" t="n">
        <v>1200</v>
      </c>
      <c r="AF1206" s="4" t="n">
        <v>0.4</v>
      </c>
      <c r="AG1206" s="3">
        <f>ROUND(AE1206-(AE1206*AF1206),2)</f>
        <v/>
      </c>
      <c r="AH1206" s="4" t="n">
        <v>0.18</v>
      </c>
      <c r="AI1206" s="3">
        <f>ROUND(AG1206+(AG1206*AH1206),2)</f>
        <v/>
      </c>
      <c r="AJ1206" s="4" t="n">
        <v>0.2</v>
      </c>
      <c r="AK1206" s="3">
        <f>ROUND(AI1206*AJ1206,2)</f>
        <v/>
      </c>
      <c r="AL1206" s="3">
        <f>AI1206+AK1206</f>
        <v/>
      </c>
      <c r="AM1206" s="3">
        <f>AE1206-AL1206</f>
        <v/>
      </c>
      <c r="AN1206" s="4">
        <f>AM1206/AE1206</f>
        <v/>
      </c>
      <c r="AO1206" s="3" t="inlineStr">
        <is>
          <t>3 hrs</t>
        </is>
      </c>
      <c r="AQ1206" s="3" t="inlineStr">
        <is>
          <t>Weight</t>
        </is>
      </c>
      <c r="AT1206" s="3" t="inlineStr">
        <is>
          <t>3 hrs</t>
        </is>
      </c>
    </row>
    <row r="1207" ht="15.75" customHeight="1">
      <c r="A1207" s="3" t="inlineStr">
        <is>
          <t>PROD_0238</t>
        </is>
      </c>
      <c r="B1207" s="3" t="inlineStr">
        <is>
          <t>VAR_5</t>
        </is>
      </c>
      <c r="C1207" s="3" t="inlineStr">
        <is>
          <t>Electrical Material</t>
        </is>
      </c>
      <c r="D1207" s="3" t="inlineStr">
        <is>
          <t>Cieling Lights</t>
        </is>
      </c>
      <c r="E1207" s="3" t="inlineStr">
        <is>
          <t>Philips</t>
        </is>
      </c>
      <c r="F1207" s="3" t="inlineStr">
        <is>
          <t>Ultra Slim +</t>
        </is>
      </c>
      <c r="H1207" s="3" t="inlineStr">
        <is>
          <t>Wattage</t>
        </is>
      </c>
      <c r="I1207" s="3" t="inlineStr">
        <is>
          <t>7 W</t>
        </is>
      </c>
      <c r="J1207" s="3" t="inlineStr">
        <is>
          <t>Cutting Size</t>
        </is>
      </c>
      <c r="K1207" s="3" t="inlineStr">
        <is>
          <t>104 mm</t>
        </is>
      </c>
      <c r="L1207" s="3" t="inlineStr">
        <is>
          <t>Color</t>
        </is>
      </c>
      <c r="M1207" s="3" t="inlineStr">
        <is>
          <t>Natural White</t>
        </is>
      </c>
      <c r="N1207" s="3" t="inlineStr">
        <is>
          <t>Shape</t>
        </is>
      </c>
      <c r="O1207" s="3" t="inlineStr">
        <is>
          <t>Round</t>
        </is>
      </c>
      <c r="Q1207" s="3" t="inlineStr">
        <is>
          <t>Manufacturer's Warranty</t>
        </is>
      </c>
      <c r="Y1207" s="3" t="inlineStr">
        <is>
          <t>EM_CLN_PHILLIPS_ULTRA_ROUND</t>
        </is>
      </c>
      <c r="Z1207" s="3" t="n">
        <v>9405</v>
      </c>
      <c r="AE1207" s="3" t="n">
        <v>1200</v>
      </c>
      <c r="AF1207" s="4" t="n">
        <v>0.4</v>
      </c>
      <c r="AG1207" s="3">
        <f>ROUND(AE1207-(AE1207*AF1207),2)</f>
        <v/>
      </c>
      <c r="AH1207" s="4" t="n">
        <v>0.18</v>
      </c>
      <c r="AI1207" s="3">
        <f>ROUND(AG1207+(AG1207*AH1207),2)</f>
        <v/>
      </c>
      <c r="AJ1207" s="4" t="n">
        <v>0.2</v>
      </c>
      <c r="AK1207" s="3">
        <f>ROUND(AI1207*AJ1207,2)</f>
        <v/>
      </c>
      <c r="AL1207" s="3">
        <f>AI1207+AK1207</f>
        <v/>
      </c>
      <c r="AM1207" s="3">
        <f>AE1207-AL1207</f>
        <v/>
      </c>
      <c r="AN1207" s="4">
        <f>AM1207/AE1207</f>
        <v/>
      </c>
      <c r="AO1207" s="3" t="inlineStr">
        <is>
          <t>3 hrs</t>
        </is>
      </c>
      <c r="AQ1207" s="3" t="inlineStr">
        <is>
          <t>Weight</t>
        </is>
      </c>
      <c r="AT1207" s="3" t="inlineStr">
        <is>
          <t>3 hrs</t>
        </is>
      </c>
    </row>
    <row r="1208" ht="15.75" customHeight="1">
      <c r="A1208" s="3" t="inlineStr">
        <is>
          <t>PROD_0238</t>
        </is>
      </c>
      <c r="B1208" s="3" t="inlineStr">
        <is>
          <t>VAR_6</t>
        </is>
      </c>
      <c r="C1208" s="3" t="inlineStr">
        <is>
          <t>Electrical Material</t>
        </is>
      </c>
      <c r="D1208" s="3" t="inlineStr">
        <is>
          <t>Cieling Lights</t>
        </is>
      </c>
      <c r="E1208" s="3" t="inlineStr">
        <is>
          <t>Philips</t>
        </is>
      </c>
      <c r="F1208" s="3" t="inlineStr">
        <is>
          <t>Ultra Slim +</t>
        </is>
      </c>
      <c r="H1208" s="3" t="inlineStr">
        <is>
          <t>Wattage</t>
        </is>
      </c>
      <c r="I1208" s="3" t="inlineStr">
        <is>
          <t>7 W</t>
        </is>
      </c>
      <c r="J1208" s="3" t="inlineStr">
        <is>
          <t>Cutting Size</t>
        </is>
      </c>
      <c r="K1208" s="3" t="inlineStr">
        <is>
          <t>104 mm</t>
        </is>
      </c>
      <c r="L1208" s="3" t="inlineStr">
        <is>
          <t>Color</t>
        </is>
      </c>
      <c r="M1208" s="3" t="inlineStr">
        <is>
          <t>Cool White</t>
        </is>
      </c>
      <c r="N1208" s="3" t="inlineStr">
        <is>
          <t>Shape</t>
        </is>
      </c>
      <c r="O1208" s="3" t="inlineStr">
        <is>
          <t>Round</t>
        </is>
      </c>
      <c r="Q1208" s="3" t="inlineStr">
        <is>
          <t>Manufacturer's Warranty</t>
        </is>
      </c>
      <c r="Y1208" s="3" t="inlineStr">
        <is>
          <t>EM_CLN_PHILLIPS_ULTRA_ROUND</t>
        </is>
      </c>
      <c r="Z1208" s="3" t="n">
        <v>9405</v>
      </c>
      <c r="AE1208" s="3" t="n">
        <v>1200</v>
      </c>
      <c r="AF1208" s="4" t="n">
        <v>0.4</v>
      </c>
      <c r="AG1208" s="3">
        <f>ROUND(AE1208-(AE1208*AF1208),2)</f>
        <v/>
      </c>
      <c r="AH1208" s="4" t="n">
        <v>0.18</v>
      </c>
      <c r="AI1208" s="3">
        <f>ROUND(AG1208+(AG1208*AH1208),2)</f>
        <v/>
      </c>
      <c r="AJ1208" s="4" t="n">
        <v>0.2</v>
      </c>
      <c r="AK1208" s="3">
        <f>ROUND(AI1208*AJ1208,2)</f>
        <v/>
      </c>
      <c r="AL1208" s="3">
        <f>AI1208+AK1208</f>
        <v/>
      </c>
      <c r="AM1208" s="3">
        <f>AE1208-AL1208</f>
        <v/>
      </c>
      <c r="AN1208" s="4">
        <f>AM1208/AE1208</f>
        <v/>
      </c>
      <c r="AO1208" s="3" t="inlineStr">
        <is>
          <t>3 hrs</t>
        </is>
      </c>
      <c r="AQ1208" s="3" t="inlineStr">
        <is>
          <t>Weight</t>
        </is>
      </c>
      <c r="AT1208" s="3" t="inlineStr">
        <is>
          <t>3 hrs</t>
        </is>
      </c>
    </row>
    <row r="1209" ht="15.75" customHeight="1">
      <c r="A1209" s="3" t="inlineStr">
        <is>
          <t>PROD_0238</t>
        </is>
      </c>
      <c r="B1209" s="3" t="inlineStr">
        <is>
          <t>VAR_7</t>
        </is>
      </c>
      <c r="C1209" s="3" t="inlineStr">
        <is>
          <t>Electrical Material</t>
        </is>
      </c>
      <c r="D1209" s="3" t="inlineStr">
        <is>
          <t>Cieling Lights</t>
        </is>
      </c>
      <c r="E1209" s="3" t="inlineStr">
        <is>
          <t>Philips</t>
        </is>
      </c>
      <c r="F1209" s="3" t="inlineStr">
        <is>
          <t>Ultra Slim +</t>
        </is>
      </c>
      <c r="H1209" s="3" t="inlineStr">
        <is>
          <t>Wattage</t>
        </is>
      </c>
      <c r="I1209" s="3" t="inlineStr">
        <is>
          <t>7 W</t>
        </is>
      </c>
      <c r="J1209" s="3" t="inlineStr">
        <is>
          <t>Cutting Size</t>
        </is>
      </c>
      <c r="K1209" s="3" t="inlineStr">
        <is>
          <t>94 mm</t>
        </is>
      </c>
      <c r="L1209" s="3" t="inlineStr">
        <is>
          <t>Color</t>
        </is>
      </c>
      <c r="M1209" s="3" t="inlineStr">
        <is>
          <t>Warm White</t>
        </is>
      </c>
      <c r="N1209" s="3" t="inlineStr">
        <is>
          <t>Shape</t>
        </is>
      </c>
      <c r="O1209" s="3" t="inlineStr">
        <is>
          <t>Square</t>
        </is>
      </c>
      <c r="Q1209" s="3" t="inlineStr">
        <is>
          <t>Manufacturer's Warranty</t>
        </is>
      </c>
      <c r="Y1209" s="3" t="inlineStr">
        <is>
          <t>EM_CLN_PHILLIPS_ULTRA_SQR</t>
        </is>
      </c>
      <c r="Z1209" s="3" t="n">
        <v>9405</v>
      </c>
      <c r="AE1209" s="3" t="n">
        <v>1200</v>
      </c>
      <c r="AF1209" s="4" t="n">
        <v>0.4</v>
      </c>
      <c r="AG1209" s="3">
        <f>ROUND(AE1209-(AE1209*AF1209),2)</f>
        <v/>
      </c>
      <c r="AH1209" s="4" t="n">
        <v>0.18</v>
      </c>
      <c r="AI1209" s="3">
        <f>ROUND(AG1209+(AG1209*AH1209),2)</f>
        <v/>
      </c>
      <c r="AJ1209" s="4" t="n">
        <v>0.2</v>
      </c>
      <c r="AK1209" s="3">
        <f>ROUND(AI1209*AJ1209,2)</f>
        <v/>
      </c>
      <c r="AL1209" s="3">
        <f>AI1209+AK1209</f>
        <v/>
      </c>
      <c r="AM1209" s="3">
        <f>AE1209-AL1209</f>
        <v/>
      </c>
      <c r="AN1209" s="4">
        <f>AM1209/AE1209</f>
        <v/>
      </c>
      <c r="AO1209" s="3" t="inlineStr">
        <is>
          <t>3 hrs</t>
        </is>
      </c>
      <c r="AQ1209" s="3" t="inlineStr">
        <is>
          <t>Weight</t>
        </is>
      </c>
      <c r="AT1209" s="3" t="inlineStr">
        <is>
          <t>3 hrs</t>
        </is>
      </c>
    </row>
    <row r="1210" ht="15.75" customHeight="1">
      <c r="A1210" s="3" t="inlineStr">
        <is>
          <t>PROD_0238</t>
        </is>
      </c>
      <c r="B1210" s="3" t="inlineStr">
        <is>
          <t>VAR_8</t>
        </is>
      </c>
      <c r="C1210" s="3" t="inlineStr">
        <is>
          <t>Electrical Material</t>
        </is>
      </c>
      <c r="D1210" s="3" t="inlineStr">
        <is>
          <t>Cieling Lights</t>
        </is>
      </c>
      <c r="E1210" s="3" t="inlineStr">
        <is>
          <t>Philips</t>
        </is>
      </c>
      <c r="F1210" s="3" t="inlineStr">
        <is>
          <t>Ultra Slim +</t>
        </is>
      </c>
      <c r="H1210" s="3" t="inlineStr">
        <is>
          <t>Wattage</t>
        </is>
      </c>
      <c r="I1210" s="3" t="inlineStr">
        <is>
          <t>7 W</t>
        </is>
      </c>
      <c r="J1210" s="3" t="inlineStr">
        <is>
          <t>Cutting Size</t>
        </is>
      </c>
      <c r="K1210" s="3" t="inlineStr">
        <is>
          <t>94 mm</t>
        </is>
      </c>
      <c r="L1210" s="3" t="inlineStr">
        <is>
          <t>Color</t>
        </is>
      </c>
      <c r="M1210" s="3" t="inlineStr">
        <is>
          <t>Natural White</t>
        </is>
      </c>
      <c r="N1210" s="3" t="inlineStr">
        <is>
          <t>Shape</t>
        </is>
      </c>
      <c r="O1210" s="3" t="inlineStr">
        <is>
          <t>Square</t>
        </is>
      </c>
      <c r="Q1210" s="3" t="inlineStr">
        <is>
          <t>Manufacturer's Warranty</t>
        </is>
      </c>
      <c r="Y1210" s="3" t="inlineStr">
        <is>
          <t>EM_CLN_PHILLIPS_ULTRA_SQR</t>
        </is>
      </c>
      <c r="Z1210" s="3" t="n">
        <v>9405</v>
      </c>
      <c r="AE1210" s="3" t="n">
        <v>1200</v>
      </c>
      <c r="AF1210" s="4" t="n">
        <v>0.4</v>
      </c>
      <c r="AG1210" s="3">
        <f>ROUND(AE1210-(AE1210*AF1210),2)</f>
        <v/>
      </c>
      <c r="AH1210" s="4" t="n">
        <v>0.18</v>
      </c>
      <c r="AI1210" s="3">
        <f>ROUND(AG1210+(AG1210*AH1210),2)</f>
        <v/>
      </c>
      <c r="AJ1210" s="4" t="n">
        <v>0.2</v>
      </c>
      <c r="AK1210" s="3">
        <f>ROUND(AI1210*AJ1210,2)</f>
        <v/>
      </c>
      <c r="AL1210" s="3">
        <f>AI1210+AK1210</f>
        <v/>
      </c>
      <c r="AM1210" s="3">
        <f>AE1210-AL1210</f>
        <v/>
      </c>
      <c r="AN1210" s="4">
        <f>AM1210/AE1210</f>
        <v/>
      </c>
      <c r="AO1210" s="3" t="inlineStr">
        <is>
          <t>3 hrs</t>
        </is>
      </c>
      <c r="AQ1210" s="3" t="inlineStr">
        <is>
          <t>Weight</t>
        </is>
      </c>
      <c r="AT1210" s="3" t="inlineStr">
        <is>
          <t>3 hrs</t>
        </is>
      </c>
    </row>
    <row r="1211" ht="15.75" customHeight="1">
      <c r="A1211" s="3" t="inlineStr">
        <is>
          <t>PROD_0238</t>
        </is>
      </c>
      <c r="B1211" s="3" t="inlineStr">
        <is>
          <t>VAR_9</t>
        </is>
      </c>
      <c r="C1211" s="3" t="inlineStr">
        <is>
          <t>Electrical Material</t>
        </is>
      </c>
      <c r="D1211" s="3" t="inlineStr">
        <is>
          <t>Cieling Lights</t>
        </is>
      </c>
      <c r="E1211" s="3" t="inlineStr">
        <is>
          <t>Philips</t>
        </is>
      </c>
      <c r="F1211" s="3" t="inlineStr">
        <is>
          <t>Ultra Slim +</t>
        </is>
      </c>
      <c r="H1211" s="3" t="inlineStr">
        <is>
          <t>Wattage</t>
        </is>
      </c>
      <c r="I1211" s="3" t="inlineStr">
        <is>
          <t>7 W</t>
        </is>
      </c>
      <c r="J1211" s="3" t="inlineStr">
        <is>
          <t>Cutting Size</t>
        </is>
      </c>
      <c r="K1211" s="3" t="inlineStr">
        <is>
          <t>94 mm</t>
        </is>
      </c>
      <c r="L1211" s="3" t="inlineStr">
        <is>
          <t>Color</t>
        </is>
      </c>
      <c r="M1211" s="3" t="inlineStr">
        <is>
          <t>Cool White</t>
        </is>
      </c>
      <c r="N1211" s="3" t="inlineStr">
        <is>
          <t>Shape</t>
        </is>
      </c>
      <c r="O1211" s="3" t="inlineStr">
        <is>
          <t>Square</t>
        </is>
      </c>
      <c r="Q1211" s="3" t="inlineStr">
        <is>
          <t>Manufacturer's Warranty</t>
        </is>
      </c>
      <c r="Y1211" s="3" t="inlineStr">
        <is>
          <t>EM_CLN_PHILLIPS_ULTRA_SQR</t>
        </is>
      </c>
      <c r="Z1211" s="3" t="n">
        <v>9405</v>
      </c>
      <c r="AE1211" s="3" t="n">
        <v>1200</v>
      </c>
      <c r="AF1211" s="4" t="n">
        <v>0.4</v>
      </c>
      <c r="AG1211" s="3">
        <f>ROUND(AE1211-(AE1211*AF1211),2)</f>
        <v/>
      </c>
      <c r="AH1211" s="4" t="n">
        <v>0.18</v>
      </c>
      <c r="AI1211" s="3">
        <f>ROUND(AG1211+(AG1211*AH1211),2)</f>
        <v/>
      </c>
      <c r="AJ1211" s="4" t="n">
        <v>0.2</v>
      </c>
      <c r="AK1211" s="3">
        <f>ROUND(AI1211*AJ1211,2)</f>
        <v/>
      </c>
      <c r="AL1211" s="3">
        <f>AI1211+AK1211</f>
        <v/>
      </c>
      <c r="AM1211" s="3">
        <f>AE1211-AL1211</f>
        <v/>
      </c>
      <c r="AN1211" s="4">
        <f>AM1211/AE1211</f>
        <v/>
      </c>
      <c r="AO1211" s="3" t="inlineStr">
        <is>
          <t>3 hrs</t>
        </is>
      </c>
      <c r="AQ1211" s="3" t="inlineStr">
        <is>
          <t>Weight</t>
        </is>
      </c>
      <c r="AT1211" s="3" t="inlineStr">
        <is>
          <t>3 hrs</t>
        </is>
      </c>
    </row>
    <row r="1212" ht="15.75" customHeight="1">
      <c r="A1212" s="3" t="inlineStr">
        <is>
          <t>PROD_0238</t>
        </is>
      </c>
      <c r="B1212" s="3" t="inlineStr">
        <is>
          <t>VAR_10</t>
        </is>
      </c>
      <c r="C1212" s="3" t="inlineStr">
        <is>
          <t>Electrical Material</t>
        </is>
      </c>
      <c r="D1212" s="3" t="inlineStr">
        <is>
          <t>Cieling Lights</t>
        </is>
      </c>
      <c r="E1212" s="3" t="inlineStr">
        <is>
          <t>Philips</t>
        </is>
      </c>
      <c r="F1212" s="3" t="inlineStr">
        <is>
          <t>Ultra Slim +</t>
        </is>
      </c>
      <c r="H1212" s="3" t="inlineStr">
        <is>
          <t>Wattage</t>
        </is>
      </c>
      <c r="I1212" s="3" t="inlineStr">
        <is>
          <t>12 W</t>
        </is>
      </c>
      <c r="J1212" s="3" t="inlineStr">
        <is>
          <t>Cutting Size</t>
        </is>
      </c>
      <c r="K1212" s="3" t="inlineStr">
        <is>
          <t>145 mm</t>
        </is>
      </c>
      <c r="L1212" s="3" t="inlineStr">
        <is>
          <t>Color</t>
        </is>
      </c>
      <c r="M1212" s="3" t="inlineStr">
        <is>
          <t>Warm White</t>
        </is>
      </c>
      <c r="N1212" s="3" t="inlineStr">
        <is>
          <t>Shape</t>
        </is>
      </c>
      <c r="O1212" s="3" t="inlineStr">
        <is>
          <t>Round</t>
        </is>
      </c>
      <c r="Q1212" s="3" t="inlineStr">
        <is>
          <t>Manufacturer's Warranty</t>
        </is>
      </c>
      <c r="Y1212" s="3" t="inlineStr">
        <is>
          <t>EM_CLN_PHILLIPS_ULTRA_ROUND</t>
        </is>
      </c>
      <c r="Z1212" s="3" t="n">
        <v>9405</v>
      </c>
      <c r="AE1212" s="3" t="n">
        <v>1510</v>
      </c>
      <c r="AF1212" s="4" t="n">
        <v>0.52</v>
      </c>
      <c r="AG1212" s="3">
        <f>ROUND(AE1212-(AE1212*AF1212),2)</f>
        <v/>
      </c>
      <c r="AH1212" s="4" t="n">
        <v>0.18</v>
      </c>
      <c r="AI1212" s="3">
        <f>ROUND(AG1212+(AG1212*AH1212),2)</f>
        <v/>
      </c>
      <c r="AJ1212" s="4" t="n">
        <v>0.2</v>
      </c>
      <c r="AK1212" s="3">
        <f>ROUND(AI1212*AJ1212,2)</f>
        <v/>
      </c>
      <c r="AL1212" s="3">
        <f>AI1212+AK1212</f>
        <v/>
      </c>
      <c r="AM1212" s="3">
        <f>AE1212-AL1212</f>
        <v/>
      </c>
      <c r="AN1212" s="4">
        <f>AM1212/AE1212</f>
        <v/>
      </c>
      <c r="AO1212" s="3" t="inlineStr">
        <is>
          <t>3 hrs</t>
        </is>
      </c>
      <c r="AQ1212" s="3" t="inlineStr">
        <is>
          <t>Weight</t>
        </is>
      </c>
      <c r="AT1212" s="3" t="inlineStr">
        <is>
          <t>3 hrs</t>
        </is>
      </c>
    </row>
    <row r="1213" ht="15.75" customHeight="1">
      <c r="A1213" s="3" t="inlineStr">
        <is>
          <t>PROD_0238</t>
        </is>
      </c>
      <c r="B1213" s="3" t="inlineStr">
        <is>
          <t>VAR_11</t>
        </is>
      </c>
      <c r="C1213" s="3" t="inlineStr">
        <is>
          <t>Electrical Material</t>
        </is>
      </c>
      <c r="D1213" s="3" t="inlineStr">
        <is>
          <t>Cieling Lights</t>
        </is>
      </c>
      <c r="E1213" s="3" t="inlineStr">
        <is>
          <t>Philips</t>
        </is>
      </c>
      <c r="F1213" s="3" t="inlineStr">
        <is>
          <t>Ultra Slim +</t>
        </is>
      </c>
      <c r="H1213" s="3" t="inlineStr">
        <is>
          <t>Wattage</t>
        </is>
      </c>
      <c r="I1213" s="3" t="inlineStr">
        <is>
          <t>12 W</t>
        </is>
      </c>
      <c r="J1213" s="3" t="inlineStr">
        <is>
          <t>Cutting Size</t>
        </is>
      </c>
      <c r="K1213" s="3" t="inlineStr">
        <is>
          <t>145 mm</t>
        </is>
      </c>
      <c r="L1213" s="3" t="inlineStr">
        <is>
          <t>Color</t>
        </is>
      </c>
      <c r="M1213" s="3" t="inlineStr">
        <is>
          <t>Natural White</t>
        </is>
      </c>
      <c r="N1213" s="3" t="inlineStr">
        <is>
          <t>Shape</t>
        </is>
      </c>
      <c r="O1213" s="3" t="inlineStr">
        <is>
          <t>Round</t>
        </is>
      </c>
      <c r="Q1213" s="3" t="inlineStr">
        <is>
          <t>Manufacturer's Warranty</t>
        </is>
      </c>
      <c r="Y1213" s="3" t="inlineStr">
        <is>
          <t>EM_CLN_PHILLIPS_ULTRA_ROUND</t>
        </is>
      </c>
      <c r="Z1213" s="3" t="n">
        <v>9405</v>
      </c>
      <c r="AE1213" s="3" t="n">
        <v>1510</v>
      </c>
      <c r="AF1213" s="4" t="n">
        <v>0.52</v>
      </c>
      <c r="AG1213" s="3">
        <f>ROUND(AE1213-(AE1213*AF1213),2)</f>
        <v/>
      </c>
      <c r="AH1213" s="4" t="n">
        <v>0.18</v>
      </c>
      <c r="AI1213" s="3">
        <f>ROUND(AG1213+(AG1213*AH1213),2)</f>
        <v/>
      </c>
      <c r="AJ1213" s="4" t="n">
        <v>0.2</v>
      </c>
      <c r="AK1213" s="3">
        <f>ROUND(AI1213*AJ1213,2)</f>
        <v/>
      </c>
      <c r="AL1213" s="3">
        <f>AI1213+AK1213</f>
        <v/>
      </c>
      <c r="AM1213" s="3">
        <f>AE1213-AL1213</f>
        <v/>
      </c>
      <c r="AN1213" s="4">
        <f>AM1213/AE1213</f>
        <v/>
      </c>
      <c r="AO1213" s="3" t="inlineStr">
        <is>
          <t>3 hrs</t>
        </is>
      </c>
      <c r="AQ1213" s="3" t="inlineStr">
        <is>
          <t>Weight</t>
        </is>
      </c>
      <c r="AT1213" s="3" t="inlineStr">
        <is>
          <t>3 hrs</t>
        </is>
      </c>
    </row>
    <row r="1214" ht="15.75" customHeight="1">
      <c r="A1214" s="3" t="inlineStr">
        <is>
          <t>PROD_0238</t>
        </is>
      </c>
      <c r="B1214" s="3" t="inlineStr">
        <is>
          <t>VAR_12</t>
        </is>
      </c>
      <c r="C1214" s="3" t="inlineStr">
        <is>
          <t>Electrical Material</t>
        </is>
      </c>
      <c r="D1214" s="3" t="inlineStr">
        <is>
          <t>Cieling Lights</t>
        </is>
      </c>
      <c r="E1214" s="3" t="inlineStr">
        <is>
          <t>Philips</t>
        </is>
      </c>
      <c r="F1214" s="3" t="inlineStr">
        <is>
          <t>Ultra Slim +</t>
        </is>
      </c>
      <c r="H1214" s="3" t="inlineStr">
        <is>
          <t>Wattage</t>
        </is>
      </c>
      <c r="I1214" s="3" t="inlineStr">
        <is>
          <t>12 W</t>
        </is>
      </c>
      <c r="J1214" s="3" t="inlineStr">
        <is>
          <t>Cutting Size</t>
        </is>
      </c>
      <c r="K1214" s="3" t="inlineStr">
        <is>
          <t>145 mm</t>
        </is>
      </c>
      <c r="L1214" s="3" t="inlineStr">
        <is>
          <t>Color</t>
        </is>
      </c>
      <c r="M1214" s="3" t="inlineStr">
        <is>
          <t>Cool White</t>
        </is>
      </c>
      <c r="N1214" s="3" t="inlineStr">
        <is>
          <t>Shape</t>
        </is>
      </c>
      <c r="O1214" s="3" t="inlineStr">
        <is>
          <t>Round</t>
        </is>
      </c>
      <c r="Q1214" s="3" t="inlineStr">
        <is>
          <t>Manufacturer's Warranty</t>
        </is>
      </c>
      <c r="Y1214" s="3" t="inlineStr">
        <is>
          <t>EM_CLN_PHILLIPS_ULTRA_ROUND</t>
        </is>
      </c>
      <c r="Z1214" s="3" t="n">
        <v>9405</v>
      </c>
      <c r="AE1214" s="3" t="n">
        <v>1510</v>
      </c>
      <c r="AF1214" s="4" t="n">
        <v>0.52</v>
      </c>
      <c r="AG1214" s="3">
        <f>ROUND(AE1214-(AE1214*AF1214),2)</f>
        <v/>
      </c>
      <c r="AH1214" s="4" t="n">
        <v>0.18</v>
      </c>
      <c r="AI1214" s="3">
        <f>ROUND(AG1214+(AG1214*AH1214),2)</f>
        <v/>
      </c>
      <c r="AJ1214" s="4" t="n">
        <v>0.2</v>
      </c>
      <c r="AK1214" s="3">
        <f>ROUND(AI1214*AJ1214,2)</f>
        <v/>
      </c>
      <c r="AL1214" s="3">
        <f>AI1214+AK1214</f>
        <v/>
      </c>
      <c r="AM1214" s="3">
        <f>AE1214-AL1214</f>
        <v/>
      </c>
      <c r="AN1214" s="4">
        <f>AM1214/AE1214</f>
        <v/>
      </c>
      <c r="AO1214" s="3" t="inlineStr">
        <is>
          <t>3 hrs</t>
        </is>
      </c>
      <c r="AQ1214" s="3" t="inlineStr">
        <is>
          <t>Weight</t>
        </is>
      </c>
      <c r="AT1214" s="3" t="inlineStr">
        <is>
          <t>3 hrs</t>
        </is>
      </c>
    </row>
    <row r="1215" ht="15.75" customHeight="1">
      <c r="A1215" s="3" t="inlineStr">
        <is>
          <t>PROD_0238</t>
        </is>
      </c>
      <c r="B1215" s="3" t="inlineStr">
        <is>
          <t>VAR_13</t>
        </is>
      </c>
      <c r="C1215" s="3" t="inlineStr">
        <is>
          <t>Electrical Material</t>
        </is>
      </c>
      <c r="D1215" s="3" t="inlineStr">
        <is>
          <t>Cieling Lights</t>
        </is>
      </c>
      <c r="E1215" s="3" t="inlineStr">
        <is>
          <t>Philips</t>
        </is>
      </c>
      <c r="F1215" s="3" t="inlineStr">
        <is>
          <t>Ultra Slim +</t>
        </is>
      </c>
      <c r="H1215" s="3" t="inlineStr">
        <is>
          <t>Wattage</t>
        </is>
      </c>
      <c r="I1215" s="3" t="inlineStr">
        <is>
          <t>12 W</t>
        </is>
      </c>
      <c r="J1215" s="3" t="inlineStr">
        <is>
          <t>Cutting Size</t>
        </is>
      </c>
      <c r="K1215" s="3" t="inlineStr">
        <is>
          <t>120 mm</t>
        </is>
      </c>
      <c r="L1215" s="3" t="inlineStr">
        <is>
          <t>Color</t>
        </is>
      </c>
      <c r="M1215" s="3" t="inlineStr">
        <is>
          <t>Warm White</t>
        </is>
      </c>
      <c r="N1215" s="3" t="inlineStr">
        <is>
          <t>Shape</t>
        </is>
      </c>
      <c r="O1215" s="3" t="inlineStr">
        <is>
          <t>Square</t>
        </is>
      </c>
      <c r="Q1215" s="3" t="inlineStr">
        <is>
          <t>Manufacturer's Warranty</t>
        </is>
      </c>
      <c r="Y1215" s="3" t="inlineStr">
        <is>
          <t>EM_CLN_PHILLIPS_ULTRA_SQR</t>
        </is>
      </c>
      <c r="Z1215" s="3" t="n">
        <v>9405</v>
      </c>
      <c r="AE1215" s="3" t="n">
        <v>1510</v>
      </c>
      <c r="AF1215" s="4" t="n">
        <v>0.52</v>
      </c>
      <c r="AG1215" s="3">
        <f>ROUND(AE1215-(AE1215*AF1215),2)</f>
        <v/>
      </c>
      <c r="AH1215" s="4" t="n">
        <v>0.18</v>
      </c>
      <c r="AI1215" s="3">
        <f>ROUND(AG1215+(AG1215*AH1215),2)</f>
        <v/>
      </c>
      <c r="AJ1215" s="4" t="n">
        <v>0.2</v>
      </c>
      <c r="AK1215" s="3">
        <f>ROUND(AI1215*AJ1215,2)</f>
        <v/>
      </c>
      <c r="AL1215" s="3">
        <f>AI1215+AK1215</f>
        <v/>
      </c>
      <c r="AM1215" s="3">
        <f>AE1215-AL1215</f>
        <v/>
      </c>
      <c r="AN1215" s="4">
        <f>AM1215/AE1215</f>
        <v/>
      </c>
      <c r="AO1215" s="3" t="inlineStr">
        <is>
          <t>3 hrs</t>
        </is>
      </c>
      <c r="AQ1215" s="3" t="inlineStr">
        <is>
          <t>Weight</t>
        </is>
      </c>
      <c r="AT1215" s="3" t="inlineStr">
        <is>
          <t>3 hrs</t>
        </is>
      </c>
    </row>
    <row r="1216" ht="15.75" customHeight="1">
      <c r="A1216" s="3" t="inlineStr">
        <is>
          <t>PROD_0238</t>
        </is>
      </c>
      <c r="B1216" s="3" t="inlineStr">
        <is>
          <t>VAR_14</t>
        </is>
      </c>
      <c r="C1216" s="3" t="inlineStr">
        <is>
          <t>Electrical Material</t>
        </is>
      </c>
      <c r="D1216" s="3" t="inlineStr">
        <is>
          <t>Cieling Lights</t>
        </is>
      </c>
      <c r="E1216" s="3" t="inlineStr">
        <is>
          <t>Philips</t>
        </is>
      </c>
      <c r="F1216" s="3" t="inlineStr">
        <is>
          <t>Ultra Slim +</t>
        </is>
      </c>
      <c r="H1216" s="3" t="inlineStr">
        <is>
          <t>Wattage</t>
        </is>
      </c>
      <c r="I1216" s="3" t="inlineStr">
        <is>
          <t>12 W</t>
        </is>
      </c>
      <c r="J1216" s="3" t="inlineStr">
        <is>
          <t>Cutting Size</t>
        </is>
      </c>
      <c r="K1216" s="3" t="inlineStr">
        <is>
          <t>120 mm</t>
        </is>
      </c>
      <c r="L1216" s="3" t="inlineStr">
        <is>
          <t>Color</t>
        </is>
      </c>
      <c r="M1216" s="3" t="inlineStr">
        <is>
          <t>Natural White</t>
        </is>
      </c>
      <c r="N1216" s="3" t="inlineStr">
        <is>
          <t>Shape</t>
        </is>
      </c>
      <c r="O1216" s="3" t="inlineStr">
        <is>
          <t>Square</t>
        </is>
      </c>
      <c r="Q1216" s="3" t="inlineStr">
        <is>
          <t>Manufacturer's Warranty</t>
        </is>
      </c>
      <c r="Y1216" s="3" t="inlineStr">
        <is>
          <t>EM_CLN_PHILLIPS_ULTRA_SQR</t>
        </is>
      </c>
      <c r="Z1216" s="3" t="n">
        <v>9405</v>
      </c>
      <c r="AE1216" s="3" t="n">
        <v>1510</v>
      </c>
      <c r="AF1216" s="4" t="n">
        <v>0.52</v>
      </c>
      <c r="AG1216" s="3">
        <f>ROUND(AE1216-(AE1216*AF1216),2)</f>
        <v/>
      </c>
      <c r="AH1216" s="4" t="n">
        <v>0.18</v>
      </c>
      <c r="AI1216" s="3">
        <f>ROUND(AG1216+(AG1216*AH1216),2)</f>
        <v/>
      </c>
      <c r="AJ1216" s="4" t="n">
        <v>0.2</v>
      </c>
      <c r="AK1216" s="3">
        <f>ROUND(AI1216*AJ1216,2)</f>
        <v/>
      </c>
      <c r="AL1216" s="3">
        <f>AI1216+AK1216</f>
        <v/>
      </c>
      <c r="AM1216" s="3">
        <f>AE1216-AL1216</f>
        <v/>
      </c>
      <c r="AN1216" s="4">
        <f>AM1216/AE1216</f>
        <v/>
      </c>
      <c r="AO1216" s="3" t="inlineStr">
        <is>
          <t>3 hrs</t>
        </is>
      </c>
      <c r="AQ1216" s="3" t="inlineStr">
        <is>
          <t>Weight</t>
        </is>
      </c>
      <c r="AT1216" s="3" t="inlineStr">
        <is>
          <t>3 hrs</t>
        </is>
      </c>
    </row>
    <row r="1217" ht="15.75" customHeight="1">
      <c r="A1217" s="3" t="inlineStr">
        <is>
          <t>PROD_0238</t>
        </is>
      </c>
      <c r="B1217" s="3" t="inlineStr">
        <is>
          <t>VAR_15</t>
        </is>
      </c>
      <c r="C1217" s="3" t="inlineStr">
        <is>
          <t>Electrical Material</t>
        </is>
      </c>
      <c r="D1217" s="3" t="inlineStr">
        <is>
          <t>Cieling Lights</t>
        </is>
      </c>
      <c r="E1217" s="3" t="inlineStr">
        <is>
          <t>Philips</t>
        </is>
      </c>
      <c r="F1217" s="3" t="inlineStr">
        <is>
          <t>Ultra Slim +</t>
        </is>
      </c>
      <c r="H1217" s="3" t="inlineStr">
        <is>
          <t>Wattage</t>
        </is>
      </c>
      <c r="I1217" s="3" t="inlineStr">
        <is>
          <t>12 W</t>
        </is>
      </c>
      <c r="J1217" s="3" t="inlineStr">
        <is>
          <t>Cutting Size</t>
        </is>
      </c>
      <c r="K1217" s="3" t="inlineStr">
        <is>
          <t>120 mm</t>
        </is>
      </c>
      <c r="L1217" s="3" t="inlineStr">
        <is>
          <t>Color</t>
        </is>
      </c>
      <c r="M1217" s="3" t="inlineStr">
        <is>
          <t>Cool White</t>
        </is>
      </c>
      <c r="N1217" s="3" t="inlineStr">
        <is>
          <t>Shape</t>
        </is>
      </c>
      <c r="O1217" s="3" t="inlineStr">
        <is>
          <t>Square</t>
        </is>
      </c>
      <c r="Q1217" s="3" t="inlineStr">
        <is>
          <t>Manufacturer's Warranty</t>
        </is>
      </c>
      <c r="Y1217" s="3" t="inlineStr">
        <is>
          <t>EM_CLN_PHILLIPS_ULTRA_SQR</t>
        </is>
      </c>
      <c r="Z1217" s="3" t="n">
        <v>9405</v>
      </c>
      <c r="AE1217" s="3" t="n">
        <v>1510</v>
      </c>
      <c r="AF1217" s="4" t="n">
        <v>0.52</v>
      </c>
      <c r="AG1217" s="3">
        <f>ROUND(AE1217-(AE1217*AF1217),2)</f>
        <v/>
      </c>
      <c r="AH1217" s="4" t="n">
        <v>0.18</v>
      </c>
      <c r="AI1217" s="3">
        <f>ROUND(AG1217+(AG1217*AH1217),2)</f>
        <v/>
      </c>
      <c r="AJ1217" s="4" t="n">
        <v>0.2</v>
      </c>
      <c r="AK1217" s="3">
        <f>ROUND(AI1217*AJ1217,2)</f>
        <v/>
      </c>
      <c r="AL1217" s="3">
        <f>AI1217+AK1217</f>
        <v/>
      </c>
      <c r="AM1217" s="3">
        <f>AE1217-AL1217</f>
        <v/>
      </c>
      <c r="AN1217" s="4">
        <f>AM1217/AE1217</f>
        <v/>
      </c>
      <c r="AO1217" s="3" t="inlineStr">
        <is>
          <t>3 hrs</t>
        </is>
      </c>
      <c r="AQ1217" s="3" t="inlineStr">
        <is>
          <t>Weight</t>
        </is>
      </c>
      <c r="AT1217" s="3" t="inlineStr">
        <is>
          <t>3 hrs</t>
        </is>
      </c>
    </row>
    <row r="1218" ht="15.75" customHeight="1">
      <c r="A1218" s="3" t="inlineStr">
        <is>
          <t>PROD_0238</t>
        </is>
      </c>
      <c r="B1218" s="3" t="inlineStr">
        <is>
          <t>VAR_16</t>
        </is>
      </c>
      <c r="C1218" s="3" t="inlineStr">
        <is>
          <t>Electrical Material</t>
        </is>
      </c>
      <c r="D1218" s="3" t="inlineStr">
        <is>
          <t>Cieling Lights</t>
        </is>
      </c>
      <c r="E1218" s="3" t="inlineStr">
        <is>
          <t>Philips</t>
        </is>
      </c>
      <c r="F1218" s="3" t="inlineStr">
        <is>
          <t>Ultra Slim +</t>
        </is>
      </c>
      <c r="H1218" s="3" t="inlineStr">
        <is>
          <t>Wattage</t>
        </is>
      </c>
      <c r="I1218" s="3" t="inlineStr">
        <is>
          <t>15 W</t>
        </is>
      </c>
      <c r="J1218" s="3" t="inlineStr">
        <is>
          <t>Cutting Size</t>
        </is>
      </c>
      <c r="K1218" s="3" t="inlineStr">
        <is>
          <t>165 mm</t>
        </is>
      </c>
      <c r="L1218" s="3" t="inlineStr">
        <is>
          <t>Color</t>
        </is>
      </c>
      <c r="M1218" s="3" t="inlineStr">
        <is>
          <t>Warm White</t>
        </is>
      </c>
      <c r="N1218" s="3" t="inlineStr">
        <is>
          <t>Shape</t>
        </is>
      </c>
      <c r="O1218" s="3" t="inlineStr">
        <is>
          <t>Round</t>
        </is>
      </c>
      <c r="Q1218" s="3" t="inlineStr">
        <is>
          <t>Manufacturer's Warranty</t>
        </is>
      </c>
      <c r="Y1218" s="3" t="inlineStr">
        <is>
          <t>EM_CLN_PHILLIPS_ULTRA_ROUND</t>
        </is>
      </c>
      <c r="Z1218" s="3" t="n">
        <v>9405</v>
      </c>
      <c r="AE1218" s="3" t="n">
        <v>1910</v>
      </c>
      <c r="AF1218" s="4" t="n">
        <v>0.5</v>
      </c>
      <c r="AG1218" s="3">
        <f>ROUND(AE1218-(AE1218*AF1218),2)</f>
        <v/>
      </c>
      <c r="AH1218" s="4" t="n">
        <v>0.18</v>
      </c>
      <c r="AI1218" s="3">
        <f>ROUND(AG1218+(AG1218*AH1218),2)</f>
        <v/>
      </c>
      <c r="AJ1218" s="4" t="n">
        <v>0.2</v>
      </c>
      <c r="AK1218" s="3">
        <f>ROUND(AI1218*AJ1218,2)</f>
        <v/>
      </c>
      <c r="AL1218" s="3">
        <f>AI1218+AK1218</f>
        <v/>
      </c>
      <c r="AM1218" s="3">
        <f>AE1218-AL1218</f>
        <v/>
      </c>
      <c r="AN1218" s="4">
        <f>AM1218/AE1218</f>
        <v/>
      </c>
      <c r="AO1218" s="3" t="inlineStr">
        <is>
          <t>3 hrs</t>
        </is>
      </c>
      <c r="AQ1218" s="3" t="inlineStr">
        <is>
          <t>Weight</t>
        </is>
      </c>
      <c r="AT1218" s="3" t="inlineStr">
        <is>
          <t>3 hrs</t>
        </is>
      </c>
    </row>
    <row r="1219" ht="15.75" customHeight="1">
      <c r="A1219" s="3" t="inlineStr">
        <is>
          <t>PROD_0238</t>
        </is>
      </c>
      <c r="B1219" s="3" t="inlineStr">
        <is>
          <t>VAR_17</t>
        </is>
      </c>
      <c r="C1219" s="3" t="inlineStr">
        <is>
          <t>Electrical Material</t>
        </is>
      </c>
      <c r="D1219" s="3" t="inlineStr">
        <is>
          <t>Cieling Lights</t>
        </is>
      </c>
      <c r="E1219" s="3" t="inlineStr">
        <is>
          <t>Philips</t>
        </is>
      </c>
      <c r="F1219" s="3" t="inlineStr">
        <is>
          <t>Ultra Slim +</t>
        </is>
      </c>
      <c r="H1219" s="3" t="inlineStr">
        <is>
          <t>Wattage</t>
        </is>
      </c>
      <c r="I1219" s="3" t="inlineStr">
        <is>
          <t>15 W</t>
        </is>
      </c>
      <c r="J1219" s="3" t="inlineStr">
        <is>
          <t>Cutting Size</t>
        </is>
      </c>
      <c r="K1219" s="3" t="inlineStr">
        <is>
          <t>165 mm</t>
        </is>
      </c>
      <c r="L1219" s="3" t="inlineStr">
        <is>
          <t>Color</t>
        </is>
      </c>
      <c r="M1219" s="3" t="inlineStr">
        <is>
          <t>Natural White</t>
        </is>
      </c>
      <c r="N1219" s="3" t="inlineStr">
        <is>
          <t>Shape</t>
        </is>
      </c>
      <c r="O1219" s="3" t="inlineStr">
        <is>
          <t>Round</t>
        </is>
      </c>
      <c r="Q1219" s="3" t="inlineStr">
        <is>
          <t>Manufacturer's Warranty</t>
        </is>
      </c>
      <c r="Y1219" s="3" t="inlineStr">
        <is>
          <t>EM_CLN_PHILLIPS_ULTRA_ROUND</t>
        </is>
      </c>
      <c r="Z1219" s="3" t="n">
        <v>9405</v>
      </c>
      <c r="AE1219" s="3" t="n">
        <v>1910</v>
      </c>
      <c r="AF1219" s="4" t="n">
        <v>0.5</v>
      </c>
      <c r="AG1219" s="3">
        <f>ROUND(AE1219-(AE1219*AF1219),2)</f>
        <v/>
      </c>
      <c r="AH1219" s="4" t="n">
        <v>0.18</v>
      </c>
      <c r="AI1219" s="3">
        <f>ROUND(AG1219+(AG1219*AH1219),2)</f>
        <v/>
      </c>
      <c r="AJ1219" s="4" t="n">
        <v>0.2</v>
      </c>
      <c r="AK1219" s="3">
        <f>ROUND(AI1219*AJ1219,2)</f>
        <v/>
      </c>
      <c r="AL1219" s="3">
        <f>AI1219+AK1219</f>
        <v/>
      </c>
      <c r="AM1219" s="3">
        <f>AE1219-AL1219</f>
        <v/>
      </c>
      <c r="AN1219" s="4">
        <f>AM1219/AE1219</f>
        <v/>
      </c>
      <c r="AO1219" s="3" t="inlineStr">
        <is>
          <t>3 hrs</t>
        </is>
      </c>
      <c r="AQ1219" s="3" t="inlineStr">
        <is>
          <t>Weight</t>
        </is>
      </c>
      <c r="AT1219" s="3" t="inlineStr">
        <is>
          <t>3 hrs</t>
        </is>
      </c>
    </row>
    <row r="1220" ht="15.75" customHeight="1">
      <c r="A1220" s="3" t="inlineStr">
        <is>
          <t>PROD_0238</t>
        </is>
      </c>
      <c r="B1220" s="3" t="inlineStr">
        <is>
          <t>VAR_18</t>
        </is>
      </c>
      <c r="C1220" s="3" t="inlineStr">
        <is>
          <t>Electrical Material</t>
        </is>
      </c>
      <c r="D1220" s="3" t="inlineStr">
        <is>
          <t>Cieling Lights</t>
        </is>
      </c>
      <c r="E1220" s="3" t="inlineStr">
        <is>
          <t>Philips</t>
        </is>
      </c>
      <c r="F1220" s="3" t="inlineStr">
        <is>
          <t>Ultra Slim +</t>
        </is>
      </c>
      <c r="H1220" s="3" t="inlineStr">
        <is>
          <t>Wattage</t>
        </is>
      </c>
      <c r="I1220" s="3" t="inlineStr">
        <is>
          <t>15 W</t>
        </is>
      </c>
      <c r="J1220" s="3" t="inlineStr">
        <is>
          <t>Cutting Size</t>
        </is>
      </c>
      <c r="K1220" s="3" t="inlineStr">
        <is>
          <t>165 mm</t>
        </is>
      </c>
      <c r="L1220" s="3" t="inlineStr">
        <is>
          <t>Color</t>
        </is>
      </c>
      <c r="M1220" s="3" t="inlineStr">
        <is>
          <t>Cool White</t>
        </is>
      </c>
      <c r="N1220" s="3" t="inlineStr">
        <is>
          <t>Shape</t>
        </is>
      </c>
      <c r="O1220" s="3" t="inlineStr">
        <is>
          <t>Round</t>
        </is>
      </c>
      <c r="Q1220" s="3" t="inlineStr">
        <is>
          <t>Manufacturer's Warranty</t>
        </is>
      </c>
      <c r="Y1220" s="3" t="inlineStr">
        <is>
          <t>EM_CLN_PHILLIPS_ULTRA_ROUND</t>
        </is>
      </c>
      <c r="Z1220" s="3" t="n">
        <v>9405</v>
      </c>
      <c r="AE1220" s="3" t="n">
        <v>1910</v>
      </c>
      <c r="AF1220" s="4" t="n">
        <v>0.5</v>
      </c>
      <c r="AG1220" s="3">
        <f>ROUND(AE1220-(AE1220*AF1220),2)</f>
        <v/>
      </c>
      <c r="AH1220" s="4" t="n">
        <v>0.18</v>
      </c>
      <c r="AI1220" s="3">
        <f>ROUND(AG1220+(AG1220*AH1220),2)</f>
        <v/>
      </c>
      <c r="AJ1220" s="4" t="n">
        <v>0.2</v>
      </c>
      <c r="AK1220" s="3">
        <f>ROUND(AI1220*AJ1220,2)</f>
        <v/>
      </c>
      <c r="AL1220" s="3">
        <f>AI1220+AK1220</f>
        <v/>
      </c>
      <c r="AM1220" s="3">
        <f>AE1220-AL1220</f>
        <v/>
      </c>
      <c r="AN1220" s="4">
        <f>AM1220/AE1220</f>
        <v/>
      </c>
      <c r="AO1220" s="3" t="inlineStr">
        <is>
          <t>3 hrs</t>
        </is>
      </c>
      <c r="AQ1220" s="3" t="inlineStr">
        <is>
          <t>Weight</t>
        </is>
      </c>
      <c r="AT1220" s="3" t="inlineStr">
        <is>
          <t>3 hrs</t>
        </is>
      </c>
    </row>
    <row r="1221" ht="15.75" customHeight="1">
      <c r="A1221" s="3" t="inlineStr">
        <is>
          <t>PROD_0238</t>
        </is>
      </c>
      <c r="B1221" s="3" t="inlineStr">
        <is>
          <t>VAR_19</t>
        </is>
      </c>
      <c r="C1221" s="3" t="inlineStr">
        <is>
          <t>Electrical Material</t>
        </is>
      </c>
      <c r="D1221" s="3" t="inlineStr">
        <is>
          <t>Cieling Lights</t>
        </is>
      </c>
      <c r="E1221" s="3" t="inlineStr">
        <is>
          <t>Philips</t>
        </is>
      </c>
      <c r="F1221" s="3" t="inlineStr">
        <is>
          <t>Ultra Slim +</t>
        </is>
      </c>
      <c r="H1221" s="3" t="inlineStr">
        <is>
          <t>Wattage</t>
        </is>
      </c>
      <c r="I1221" s="3" t="inlineStr">
        <is>
          <t>15 W</t>
        </is>
      </c>
      <c r="J1221" s="3" t="inlineStr">
        <is>
          <t>Cutting Size</t>
        </is>
      </c>
      <c r="K1221" s="3" t="inlineStr">
        <is>
          <t>150 mm</t>
        </is>
      </c>
      <c r="L1221" s="3" t="inlineStr">
        <is>
          <t>Color</t>
        </is>
      </c>
      <c r="M1221" s="3" t="inlineStr">
        <is>
          <t>Warm White</t>
        </is>
      </c>
      <c r="N1221" s="3" t="inlineStr">
        <is>
          <t>Shape</t>
        </is>
      </c>
      <c r="O1221" s="3" t="inlineStr">
        <is>
          <t>Square</t>
        </is>
      </c>
      <c r="Q1221" s="3" t="inlineStr">
        <is>
          <t>Manufacturer's Warranty</t>
        </is>
      </c>
      <c r="Y1221" s="3" t="inlineStr">
        <is>
          <t>EM_CLN_PHILLIPS_ULTRA_SQR</t>
        </is>
      </c>
      <c r="Z1221" s="3" t="n">
        <v>9405</v>
      </c>
      <c r="AE1221" s="3" t="n">
        <v>1910</v>
      </c>
      <c r="AF1221" s="4" t="n">
        <v>0.5</v>
      </c>
      <c r="AG1221" s="3">
        <f>ROUND(AE1221-(AE1221*AF1221),2)</f>
        <v/>
      </c>
      <c r="AH1221" s="4" t="n">
        <v>0.18</v>
      </c>
      <c r="AI1221" s="3">
        <f>ROUND(AG1221+(AG1221*AH1221),2)</f>
        <v/>
      </c>
      <c r="AJ1221" s="4" t="n">
        <v>0.2</v>
      </c>
      <c r="AK1221" s="3">
        <f>ROUND(AI1221*AJ1221,2)</f>
        <v/>
      </c>
      <c r="AL1221" s="3">
        <f>AI1221+AK1221</f>
        <v/>
      </c>
      <c r="AM1221" s="3">
        <f>AE1221-AL1221</f>
        <v/>
      </c>
      <c r="AN1221" s="4">
        <f>AM1221/AE1221</f>
        <v/>
      </c>
      <c r="AO1221" s="3" t="inlineStr">
        <is>
          <t>3 hrs</t>
        </is>
      </c>
      <c r="AQ1221" s="3" t="inlineStr">
        <is>
          <t>Weight</t>
        </is>
      </c>
      <c r="AT1221" s="3" t="inlineStr">
        <is>
          <t>3 hrs</t>
        </is>
      </c>
    </row>
    <row r="1222" ht="15.75" customHeight="1">
      <c r="A1222" s="3" t="inlineStr">
        <is>
          <t>PROD_0238</t>
        </is>
      </c>
      <c r="B1222" s="3" t="inlineStr">
        <is>
          <t>VAR_20</t>
        </is>
      </c>
      <c r="C1222" s="3" t="inlineStr">
        <is>
          <t>Electrical Material</t>
        </is>
      </c>
      <c r="D1222" s="3" t="inlineStr">
        <is>
          <t>Cieling Lights</t>
        </is>
      </c>
      <c r="E1222" s="3" t="inlineStr">
        <is>
          <t>Philips</t>
        </is>
      </c>
      <c r="F1222" s="3" t="inlineStr">
        <is>
          <t>Ultra Slim +</t>
        </is>
      </c>
      <c r="H1222" s="3" t="inlineStr">
        <is>
          <t>Wattage</t>
        </is>
      </c>
      <c r="I1222" s="3" t="inlineStr">
        <is>
          <t>15 W</t>
        </is>
      </c>
      <c r="J1222" s="3" t="inlineStr">
        <is>
          <t>Cutting Size</t>
        </is>
      </c>
      <c r="K1222" s="3" t="inlineStr">
        <is>
          <t>150 mm</t>
        </is>
      </c>
      <c r="L1222" s="3" t="inlineStr">
        <is>
          <t>Color</t>
        </is>
      </c>
      <c r="M1222" s="3" t="inlineStr">
        <is>
          <t>Natural White</t>
        </is>
      </c>
      <c r="N1222" s="3" t="inlineStr">
        <is>
          <t>Shape</t>
        </is>
      </c>
      <c r="O1222" s="3" t="inlineStr">
        <is>
          <t>Square</t>
        </is>
      </c>
      <c r="Q1222" s="3" t="inlineStr">
        <is>
          <t>Manufacturer's Warranty</t>
        </is>
      </c>
      <c r="Y1222" s="3" t="inlineStr">
        <is>
          <t>EM_CLN_PHILLIPS_ULTRA_SQR</t>
        </is>
      </c>
      <c r="Z1222" s="3" t="n">
        <v>9405</v>
      </c>
      <c r="AE1222" s="3" t="n">
        <v>1910</v>
      </c>
      <c r="AF1222" s="4" t="n">
        <v>0.5</v>
      </c>
      <c r="AG1222" s="3">
        <f>ROUND(AE1222-(AE1222*AF1222),2)</f>
        <v/>
      </c>
      <c r="AH1222" s="4" t="n">
        <v>0.18</v>
      </c>
      <c r="AI1222" s="3">
        <f>ROUND(AG1222+(AG1222*AH1222),2)</f>
        <v/>
      </c>
      <c r="AJ1222" s="4" t="n">
        <v>0.2</v>
      </c>
      <c r="AK1222" s="3">
        <f>ROUND(AI1222*AJ1222,2)</f>
        <v/>
      </c>
      <c r="AL1222" s="3">
        <f>AI1222+AK1222</f>
        <v/>
      </c>
      <c r="AM1222" s="3">
        <f>AE1222-AL1222</f>
        <v/>
      </c>
      <c r="AN1222" s="4">
        <f>AM1222/AE1222</f>
        <v/>
      </c>
      <c r="AO1222" s="3" t="inlineStr">
        <is>
          <t>3 hrs</t>
        </is>
      </c>
      <c r="AQ1222" s="3" t="inlineStr">
        <is>
          <t>Weight</t>
        </is>
      </c>
      <c r="AT1222" s="3" t="inlineStr">
        <is>
          <t>3 hrs</t>
        </is>
      </c>
    </row>
    <row r="1223" ht="15.75" customHeight="1">
      <c r="A1223" s="3" t="inlineStr">
        <is>
          <t>PROD_0238</t>
        </is>
      </c>
      <c r="B1223" s="3" t="inlineStr">
        <is>
          <t>VAR_21</t>
        </is>
      </c>
      <c r="C1223" s="3" t="inlineStr">
        <is>
          <t>Electrical Material</t>
        </is>
      </c>
      <c r="D1223" s="3" t="inlineStr">
        <is>
          <t>Cieling Lights</t>
        </is>
      </c>
      <c r="E1223" s="3" t="inlineStr">
        <is>
          <t>Philips</t>
        </is>
      </c>
      <c r="F1223" s="3" t="inlineStr">
        <is>
          <t>Ultra Slim +</t>
        </is>
      </c>
      <c r="H1223" s="3" t="inlineStr">
        <is>
          <t>Wattage</t>
        </is>
      </c>
      <c r="I1223" s="3" t="inlineStr">
        <is>
          <t>15 W</t>
        </is>
      </c>
      <c r="J1223" s="3" t="inlineStr">
        <is>
          <t>Cutting Size</t>
        </is>
      </c>
      <c r="K1223" s="3" t="inlineStr">
        <is>
          <t>150 mm</t>
        </is>
      </c>
      <c r="L1223" s="3" t="inlineStr">
        <is>
          <t>Color</t>
        </is>
      </c>
      <c r="M1223" s="3" t="inlineStr">
        <is>
          <t>Cool White</t>
        </is>
      </c>
      <c r="N1223" s="3" t="inlineStr">
        <is>
          <t>Shape</t>
        </is>
      </c>
      <c r="O1223" s="3" t="inlineStr">
        <is>
          <t>Square</t>
        </is>
      </c>
      <c r="Q1223" s="3" t="inlineStr">
        <is>
          <t>Manufacturer's Warranty</t>
        </is>
      </c>
      <c r="Y1223" s="3" t="inlineStr">
        <is>
          <t>EM_CLN_PHILLIPS_ULTRA_SQR</t>
        </is>
      </c>
      <c r="Z1223" s="3" t="n">
        <v>9405</v>
      </c>
      <c r="AE1223" s="3" t="n">
        <v>1910</v>
      </c>
      <c r="AF1223" s="4" t="n">
        <v>0.5</v>
      </c>
      <c r="AG1223" s="3">
        <f>ROUND(AE1223-(AE1223*AF1223),2)</f>
        <v/>
      </c>
      <c r="AH1223" s="4" t="n">
        <v>0.18</v>
      </c>
      <c r="AI1223" s="3">
        <f>ROUND(AG1223+(AG1223*AH1223),2)</f>
        <v/>
      </c>
      <c r="AJ1223" s="4" t="n">
        <v>0.2</v>
      </c>
      <c r="AK1223" s="3">
        <f>ROUND(AI1223*AJ1223,2)</f>
        <v/>
      </c>
      <c r="AL1223" s="3">
        <f>AI1223+AK1223</f>
        <v/>
      </c>
      <c r="AM1223" s="3">
        <f>AE1223-AL1223</f>
        <v/>
      </c>
      <c r="AN1223" s="4">
        <f>AM1223/AE1223</f>
        <v/>
      </c>
      <c r="AO1223" s="3" t="inlineStr">
        <is>
          <t>3 hrs</t>
        </is>
      </c>
      <c r="AQ1223" s="3" t="inlineStr">
        <is>
          <t>Weight</t>
        </is>
      </c>
      <c r="AT1223" s="3" t="inlineStr">
        <is>
          <t>3 hrs</t>
        </is>
      </c>
    </row>
    <row r="1224" ht="15.75" customHeight="1">
      <c r="A1224" s="3" t="inlineStr">
        <is>
          <t>PROD_0238</t>
        </is>
      </c>
      <c r="B1224" s="3" t="inlineStr">
        <is>
          <t>VAR_22</t>
        </is>
      </c>
      <c r="C1224" s="3" t="inlineStr">
        <is>
          <t>Electrical Material</t>
        </is>
      </c>
      <c r="D1224" s="3" t="inlineStr">
        <is>
          <t>Cieling Lights</t>
        </is>
      </c>
      <c r="E1224" s="3" t="inlineStr">
        <is>
          <t>Philips</t>
        </is>
      </c>
      <c r="F1224" s="3" t="inlineStr">
        <is>
          <t>Ultra Slim +</t>
        </is>
      </c>
      <c r="H1224" s="3" t="inlineStr">
        <is>
          <t>Wattage</t>
        </is>
      </c>
      <c r="I1224" s="3" t="inlineStr">
        <is>
          <t>18 W</t>
        </is>
      </c>
      <c r="J1224" s="3" t="inlineStr">
        <is>
          <t>Cutting Size</t>
        </is>
      </c>
      <c r="K1224" s="3" t="inlineStr">
        <is>
          <t>185 mm</t>
        </is>
      </c>
      <c r="L1224" s="3" t="inlineStr">
        <is>
          <t>Color</t>
        </is>
      </c>
      <c r="M1224" s="3" t="inlineStr">
        <is>
          <t>Warm White</t>
        </is>
      </c>
      <c r="N1224" s="3" t="inlineStr">
        <is>
          <t>Shape</t>
        </is>
      </c>
      <c r="O1224" s="3" t="inlineStr">
        <is>
          <t>Round</t>
        </is>
      </c>
      <c r="Q1224" s="3" t="inlineStr">
        <is>
          <t>Manufacturer's Warranty</t>
        </is>
      </c>
      <c r="Y1224" s="3" t="inlineStr">
        <is>
          <t>EM_CLN_PHILLIPS_ULTRA_ROUND</t>
        </is>
      </c>
      <c r="Z1224" s="3" t="n">
        <v>9405</v>
      </c>
      <c r="AE1224" s="3" t="n">
        <v>1800</v>
      </c>
      <c r="AF1224" s="4" t="n">
        <v>0.37</v>
      </c>
      <c r="AG1224" s="3">
        <f>ROUND(AE1224-(AE1224*AF1224),2)</f>
        <v/>
      </c>
      <c r="AH1224" s="4" t="n">
        <v>0.18</v>
      </c>
      <c r="AI1224" s="3">
        <f>ROUND(AG1224+(AG1224*AH1224),2)</f>
        <v/>
      </c>
      <c r="AJ1224" s="4" t="n">
        <v>0.2</v>
      </c>
      <c r="AK1224" s="3">
        <f>ROUND(AI1224*AJ1224,2)</f>
        <v/>
      </c>
      <c r="AL1224" s="3">
        <f>AI1224+AK1224</f>
        <v/>
      </c>
      <c r="AM1224" s="3">
        <f>AE1224-AL1224</f>
        <v/>
      </c>
      <c r="AN1224" s="4">
        <f>AM1224/AE1224</f>
        <v/>
      </c>
      <c r="AO1224" s="3" t="inlineStr">
        <is>
          <t>3 hrs</t>
        </is>
      </c>
      <c r="AQ1224" s="3" t="inlineStr">
        <is>
          <t>Weight</t>
        </is>
      </c>
      <c r="AT1224" s="3" t="inlineStr">
        <is>
          <t>3 hrs</t>
        </is>
      </c>
    </row>
    <row r="1225" ht="15.75" customHeight="1">
      <c r="A1225" s="3" t="inlineStr">
        <is>
          <t>PROD_0238</t>
        </is>
      </c>
      <c r="B1225" s="3" t="inlineStr">
        <is>
          <t>VAR_23</t>
        </is>
      </c>
      <c r="C1225" s="3" t="inlineStr">
        <is>
          <t>Electrical Material</t>
        </is>
      </c>
      <c r="D1225" s="3" t="inlineStr">
        <is>
          <t>Cieling Lights</t>
        </is>
      </c>
      <c r="E1225" s="3" t="inlineStr">
        <is>
          <t>Philips</t>
        </is>
      </c>
      <c r="F1225" s="3" t="inlineStr">
        <is>
          <t>Ultra Slim +</t>
        </is>
      </c>
      <c r="H1225" s="3" t="inlineStr">
        <is>
          <t>Wattage</t>
        </is>
      </c>
      <c r="I1225" s="3" t="inlineStr">
        <is>
          <t>18 W</t>
        </is>
      </c>
      <c r="J1225" s="3" t="inlineStr">
        <is>
          <t>Cutting Size</t>
        </is>
      </c>
      <c r="K1225" s="3" t="inlineStr">
        <is>
          <t>185 mm</t>
        </is>
      </c>
      <c r="L1225" s="3" t="inlineStr">
        <is>
          <t>Color</t>
        </is>
      </c>
      <c r="M1225" s="3" t="inlineStr">
        <is>
          <t>Natural White</t>
        </is>
      </c>
      <c r="N1225" s="3" t="inlineStr">
        <is>
          <t>Shape</t>
        </is>
      </c>
      <c r="O1225" s="3" t="inlineStr">
        <is>
          <t>Round</t>
        </is>
      </c>
      <c r="Q1225" s="3" t="inlineStr">
        <is>
          <t>Manufacturer's Warranty</t>
        </is>
      </c>
      <c r="Y1225" s="3" t="inlineStr">
        <is>
          <t>EM_CLN_PHILLIPS_ULTRA_ROUND</t>
        </is>
      </c>
      <c r="Z1225" s="3" t="n">
        <v>9405</v>
      </c>
      <c r="AE1225" s="3" t="n">
        <v>1800</v>
      </c>
      <c r="AF1225" s="4" t="n">
        <v>0.37</v>
      </c>
      <c r="AG1225" s="3">
        <f>ROUND(AE1225-(AE1225*AF1225),2)</f>
        <v/>
      </c>
      <c r="AH1225" s="4" t="n">
        <v>0.18</v>
      </c>
      <c r="AI1225" s="3">
        <f>ROUND(AG1225+(AG1225*AH1225),2)</f>
        <v/>
      </c>
      <c r="AJ1225" s="4" t="n">
        <v>0.2</v>
      </c>
      <c r="AK1225" s="3">
        <f>ROUND(AI1225*AJ1225,2)</f>
        <v/>
      </c>
      <c r="AL1225" s="3">
        <f>AI1225+AK1225</f>
        <v/>
      </c>
      <c r="AM1225" s="3">
        <f>AE1225-AL1225</f>
        <v/>
      </c>
      <c r="AN1225" s="4">
        <f>AM1225/AE1225</f>
        <v/>
      </c>
      <c r="AO1225" s="3" t="inlineStr">
        <is>
          <t>3 hrs</t>
        </is>
      </c>
      <c r="AQ1225" s="3" t="inlineStr">
        <is>
          <t>Weight</t>
        </is>
      </c>
      <c r="AT1225" s="3" t="inlineStr">
        <is>
          <t>3 hrs</t>
        </is>
      </c>
    </row>
    <row r="1226" ht="15.75" customHeight="1">
      <c r="A1226" s="3" t="inlineStr">
        <is>
          <t>PROD_0238</t>
        </is>
      </c>
      <c r="B1226" s="3" t="inlineStr">
        <is>
          <t>VAR_24</t>
        </is>
      </c>
      <c r="C1226" s="3" t="inlineStr">
        <is>
          <t>Electrical Material</t>
        </is>
      </c>
      <c r="D1226" s="3" t="inlineStr">
        <is>
          <t>Cieling Lights</t>
        </is>
      </c>
      <c r="E1226" s="3" t="inlineStr">
        <is>
          <t>Philips</t>
        </is>
      </c>
      <c r="F1226" s="3" t="inlineStr">
        <is>
          <t>Ultra Slim +</t>
        </is>
      </c>
      <c r="H1226" s="3" t="inlineStr">
        <is>
          <t>Wattage</t>
        </is>
      </c>
      <c r="I1226" s="3" t="inlineStr">
        <is>
          <t>18 W</t>
        </is>
      </c>
      <c r="J1226" s="3" t="inlineStr">
        <is>
          <t>Cutting Size</t>
        </is>
      </c>
      <c r="K1226" s="3" t="inlineStr">
        <is>
          <t>185 mm</t>
        </is>
      </c>
      <c r="L1226" s="3" t="inlineStr">
        <is>
          <t>Color</t>
        </is>
      </c>
      <c r="M1226" s="3" t="inlineStr">
        <is>
          <t>Cool White</t>
        </is>
      </c>
      <c r="N1226" s="3" t="inlineStr">
        <is>
          <t>Shape</t>
        </is>
      </c>
      <c r="O1226" s="3" t="inlineStr">
        <is>
          <t>Round</t>
        </is>
      </c>
      <c r="Q1226" s="3" t="inlineStr">
        <is>
          <t>Manufacturer's Warranty</t>
        </is>
      </c>
      <c r="Y1226" s="3" t="inlineStr">
        <is>
          <t>EM_CLN_PHILLIPS_ULTRA_ROUND</t>
        </is>
      </c>
      <c r="Z1226" s="3" t="n">
        <v>9405</v>
      </c>
      <c r="AE1226" s="3" t="n">
        <v>1800</v>
      </c>
      <c r="AF1226" s="4" t="n">
        <v>0.37</v>
      </c>
      <c r="AG1226" s="3">
        <f>ROUND(AE1226-(AE1226*AF1226),2)</f>
        <v/>
      </c>
      <c r="AH1226" s="4" t="n">
        <v>0.18</v>
      </c>
      <c r="AI1226" s="3">
        <f>ROUND(AG1226+(AG1226*AH1226),2)</f>
        <v/>
      </c>
      <c r="AJ1226" s="4" t="n">
        <v>0.2</v>
      </c>
      <c r="AK1226" s="3">
        <f>ROUND(AI1226*AJ1226,2)</f>
        <v/>
      </c>
      <c r="AL1226" s="3">
        <f>AI1226+AK1226</f>
        <v/>
      </c>
      <c r="AM1226" s="3">
        <f>AE1226-AL1226</f>
        <v/>
      </c>
      <c r="AN1226" s="4">
        <f>AM1226/AE1226</f>
        <v/>
      </c>
      <c r="AO1226" s="3" t="inlineStr">
        <is>
          <t>3 hrs</t>
        </is>
      </c>
      <c r="AQ1226" s="3" t="inlineStr">
        <is>
          <t>Weight</t>
        </is>
      </c>
      <c r="AT1226" s="3" t="inlineStr">
        <is>
          <t>3 hrs</t>
        </is>
      </c>
    </row>
    <row r="1227" ht="15.75" customHeight="1">
      <c r="A1227" s="3" t="inlineStr">
        <is>
          <t>PROD_0238</t>
        </is>
      </c>
      <c r="B1227" s="3" t="inlineStr">
        <is>
          <t>VAR_25</t>
        </is>
      </c>
      <c r="C1227" s="3" t="inlineStr">
        <is>
          <t>Electrical Material</t>
        </is>
      </c>
      <c r="D1227" s="3" t="inlineStr">
        <is>
          <t>Cieling Lights</t>
        </is>
      </c>
      <c r="E1227" s="3" t="inlineStr">
        <is>
          <t>Philips</t>
        </is>
      </c>
      <c r="F1227" s="3" t="inlineStr">
        <is>
          <t>Ultra Slim +</t>
        </is>
      </c>
      <c r="H1227" s="3" t="inlineStr">
        <is>
          <t>Wattage</t>
        </is>
      </c>
      <c r="I1227" s="3" t="inlineStr">
        <is>
          <t>18 W</t>
        </is>
      </c>
      <c r="J1227" s="3" t="inlineStr">
        <is>
          <t>Cutting Size</t>
        </is>
      </c>
      <c r="K1227" s="3" t="inlineStr">
        <is>
          <t>160 mm</t>
        </is>
      </c>
      <c r="L1227" s="3" t="inlineStr">
        <is>
          <t>Color</t>
        </is>
      </c>
      <c r="M1227" s="3" t="inlineStr">
        <is>
          <t>Warm White</t>
        </is>
      </c>
      <c r="N1227" s="3" t="inlineStr">
        <is>
          <t>Shape</t>
        </is>
      </c>
      <c r="O1227" s="3" t="inlineStr">
        <is>
          <t>Square</t>
        </is>
      </c>
      <c r="Q1227" s="3" t="inlineStr">
        <is>
          <t>Manufacturer's Warranty</t>
        </is>
      </c>
      <c r="Y1227" s="3" t="inlineStr">
        <is>
          <t>EM_CLN_PHILLIPS_ULTRA_SQR</t>
        </is>
      </c>
      <c r="Z1227" s="3" t="n">
        <v>9405</v>
      </c>
      <c r="AE1227" s="3" t="n">
        <v>1800</v>
      </c>
      <c r="AF1227" s="4" t="n">
        <v>0.37</v>
      </c>
      <c r="AG1227" s="3">
        <f>ROUND(AE1227-(AE1227*AF1227),2)</f>
        <v/>
      </c>
      <c r="AH1227" s="4" t="n">
        <v>0.18</v>
      </c>
      <c r="AI1227" s="3">
        <f>ROUND(AG1227+(AG1227*AH1227),2)</f>
        <v/>
      </c>
      <c r="AJ1227" s="4" t="n">
        <v>0.2</v>
      </c>
      <c r="AK1227" s="3">
        <f>ROUND(AI1227*AJ1227,2)</f>
        <v/>
      </c>
      <c r="AL1227" s="3">
        <f>AI1227+AK1227</f>
        <v/>
      </c>
      <c r="AM1227" s="3">
        <f>AE1227-AL1227</f>
        <v/>
      </c>
      <c r="AN1227" s="4">
        <f>AM1227/AE1227</f>
        <v/>
      </c>
      <c r="AO1227" s="3" t="inlineStr">
        <is>
          <t>3 hrs</t>
        </is>
      </c>
      <c r="AQ1227" s="3" t="inlineStr">
        <is>
          <t>Weight</t>
        </is>
      </c>
      <c r="AT1227" s="3" t="inlineStr">
        <is>
          <t>3 hrs</t>
        </is>
      </c>
    </row>
    <row r="1228" ht="15.75" customHeight="1">
      <c r="A1228" s="3" t="inlineStr">
        <is>
          <t>PROD_0238</t>
        </is>
      </c>
      <c r="B1228" s="3" t="inlineStr">
        <is>
          <t>VAR_26</t>
        </is>
      </c>
      <c r="C1228" s="3" t="inlineStr">
        <is>
          <t>Electrical Material</t>
        </is>
      </c>
      <c r="D1228" s="3" t="inlineStr">
        <is>
          <t>Cieling Lights</t>
        </is>
      </c>
      <c r="E1228" s="3" t="inlineStr">
        <is>
          <t>Philips</t>
        </is>
      </c>
      <c r="F1228" s="3" t="inlineStr">
        <is>
          <t>Ultra Slim +</t>
        </is>
      </c>
      <c r="H1228" s="3" t="inlineStr">
        <is>
          <t>Wattage</t>
        </is>
      </c>
      <c r="I1228" s="3" t="inlineStr">
        <is>
          <t>18 W</t>
        </is>
      </c>
      <c r="J1228" s="3" t="inlineStr">
        <is>
          <t>Cutting Size</t>
        </is>
      </c>
      <c r="K1228" s="3" t="inlineStr">
        <is>
          <t>160 mm</t>
        </is>
      </c>
      <c r="L1228" s="3" t="inlineStr">
        <is>
          <t>Color</t>
        </is>
      </c>
      <c r="M1228" s="3" t="inlineStr">
        <is>
          <t>Natural White</t>
        </is>
      </c>
      <c r="N1228" s="3" t="inlineStr">
        <is>
          <t>Shape</t>
        </is>
      </c>
      <c r="O1228" s="3" t="inlineStr">
        <is>
          <t>Square</t>
        </is>
      </c>
      <c r="Q1228" s="3" t="inlineStr">
        <is>
          <t>Manufacturer's Warranty</t>
        </is>
      </c>
      <c r="Y1228" s="3" t="inlineStr">
        <is>
          <t>EM_CLN_PHILLIPS_ULTRA_SQR</t>
        </is>
      </c>
      <c r="Z1228" s="3" t="n">
        <v>9405</v>
      </c>
      <c r="AE1228" s="3" t="n">
        <v>1800</v>
      </c>
      <c r="AF1228" s="4" t="n">
        <v>0.37</v>
      </c>
      <c r="AG1228" s="3">
        <f>ROUND(AE1228-(AE1228*AF1228),2)</f>
        <v/>
      </c>
      <c r="AH1228" s="4" t="n">
        <v>0.18</v>
      </c>
      <c r="AI1228" s="3">
        <f>ROUND(AG1228+(AG1228*AH1228),2)</f>
        <v/>
      </c>
      <c r="AJ1228" s="4" t="n">
        <v>0.2</v>
      </c>
      <c r="AK1228" s="3">
        <f>ROUND(AI1228*AJ1228,2)</f>
        <v/>
      </c>
      <c r="AL1228" s="3">
        <f>AI1228+AK1228</f>
        <v/>
      </c>
      <c r="AM1228" s="3">
        <f>AE1228-AL1228</f>
        <v/>
      </c>
      <c r="AN1228" s="4">
        <f>AM1228/AE1228</f>
        <v/>
      </c>
      <c r="AO1228" s="3" t="inlineStr">
        <is>
          <t>3 hrs</t>
        </is>
      </c>
      <c r="AQ1228" s="3" t="inlineStr">
        <is>
          <t>Weight</t>
        </is>
      </c>
      <c r="AT1228" s="3" t="inlineStr">
        <is>
          <t>3 hrs</t>
        </is>
      </c>
    </row>
    <row r="1229" ht="15.75" customHeight="1">
      <c r="A1229" s="3" t="inlineStr">
        <is>
          <t>PROD_0238</t>
        </is>
      </c>
      <c r="B1229" s="3" t="inlineStr">
        <is>
          <t>VAR_27</t>
        </is>
      </c>
      <c r="C1229" s="3" t="inlineStr">
        <is>
          <t>Electrical Material</t>
        </is>
      </c>
      <c r="D1229" s="3" t="inlineStr">
        <is>
          <t>Cieling Lights</t>
        </is>
      </c>
      <c r="E1229" s="3" t="inlineStr">
        <is>
          <t>Philips</t>
        </is>
      </c>
      <c r="F1229" s="3" t="inlineStr">
        <is>
          <t>Ultra Slim +</t>
        </is>
      </c>
      <c r="H1229" s="3" t="inlineStr">
        <is>
          <t>Wattage</t>
        </is>
      </c>
      <c r="I1229" s="3" t="inlineStr">
        <is>
          <t>18 W</t>
        </is>
      </c>
      <c r="J1229" s="3" t="inlineStr">
        <is>
          <t>Cutting Size</t>
        </is>
      </c>
      <c r="K1229" s="3" t="inlineStr">
        <is>
          <t>160 mm</t>
        </is>
      </c>
      <c r="L1229" s="3" t="inlineStr">
        <is>
          <t>Color</t>
        </is>
      </c>
      <c r="M1229" s="3" t="inlineStr">
        <is>
          <t>Cool White</t>
        </is>
      </c>
      <c r="N1229" s="3" t="inlineStr">
        <is>
          <t>Shape</t>
        </is>
      </c>
      <c r="O1229" s="3" t="inlineStr">
        <is>
          <t>Square</t>
        </is>
      </c>
      <c r="Q1229" s="3" t="inlineStr">
        <is>
          <t>Manufacturer's Warranty</t>
        </is>
      </c>
      <c r="Y1229" s="3" t="inlineStr">
        <is>
          <t>EM_CLN_PHILLIPS_ULTRA_SQR</t>
        </is>
      </c>
      <c r="Z1229" s="3" t="n">
        <v>9405</v>
      </c>
      <c r="AE1229" s="3" t="n">
        <v>1800</v>
      </c>
      <c r="AF1229" s="4" t="n">
        <v>0.37</v>
      </c>
      <c r="AG1229" s="3">
        <f>ROUND(AE1229-(AE1229*AF1229),2)</f>
        <v/>
      </c>
      <c r="AH1229" s="4" t="n">
        <v>0.18</v>
      </c>
      <c r="AI1229" s="3">
        <f>ROUND(AG1229+(AG1229*AH1229),2)</f>
        <v/>
      </c>
      <c r="AJ1229" s="4" t="n">
        <v>0.2</v>
      </c>
      <c r="AK1229" s="3">
        <f>ROUND(AI1229*AJ1229,2)</f>
        <v/>
      </c>
      <c r="AL1229" s="3">
        <f>AI1229+AK1229</f>
        <v/>
      </c>
      <c r="AM1229" s="3">
        <f>AE1229-AL1229</f>
        <v/>
      </c>
      <c r="AN1229" s="4">
        <f>AM1229/AE1229</f>
        <v/>
      </c>
      <c r="AO1229" s="3" t="inlineStr">
        <is>
          <t>3 hrs</t>
        </is>
      </c>
      <c r="AQ1229" s="3" t="inlineStr">
        <is>
          <t>Weight</t>
        </is>
      </c>
      <c r="AT1229" s="3" t="inlineStr">
        <is>
          <t>3 hrs</t>
        </is>
      </c>
    </row>
    <row r="1230" ht="15.75" customHeight="1">
      <c r="A1230" s="3" t="inlineStr">
        <is>
          <t>PROD_0238</t>
        </is>
      </c>
      <c r="B1230" s="3" t="inlineStr">
        <is>
          <t>VAR_28</t>
        </is>
      </c>
      <c r="C1230" s="3" t="inlineStr">
        <is>
          <t>Electrical Material</t>
        </is>
      </c>
      <c r="D1230" s="3" t="inlineStr">
        <is>
          <t>Cieling Lights</t>
        </is>
      </c>
      <c r="E1230" s="3" t="inlineStr">
        <is>
          <t>Philips</t>
        </is>
      </c>
      <c r="F1230" s="3" t="inlineStr">
        <is>
          <t>Ultra Slim +</t>
        </is>
      </c>
      <c r="H1230" s="3" t="inlineStr">
        <is>
          <t>Wattage</t>
        </is>
      </c>
      <c r="I1230" s="3" t="inlineStr">
        <is>
          <t>22 W</t>
        </is>
      </c>
      <c r="J1230" s="3" t="inlineStr">
        <is>
          <t>Cutting Size</t>
        </is>
      </c>
      <c r="K1230" s="3" t="inlineStr">
        <is>
          <t>208 mm</t>
        </is>
      </c>
      <c r="L1230" s="3" t="inlineStr">
        <is>
          <t>Color</t>
        </is>
      </c>
      <c r="M1230" s="3" t="inlineStr">
        <is>
          <t>Warm White</t>
        </is>
      </c>
      <c r="N1230" s="3" t="inlineStr">
        <is>
          <t>Shape</t>
        </is>
      </c>
      <c r="O1230" s="3" t="inlineStr">
        <is>
          <t>Round</t>
        </is>
      </c>
      <c r="Q1230" s="3" t="inlineStr">
        <is>
          <t>Manufacturer's Warranty</t>
        </is>
      </c>
      <c r="Y1230" s="3" t="inlineStr">
        <is>
          <t>EM_CLN_PHILLIPS_ULTRA_ROUND</t>
        </is>
      </c>
      <c r="Z1230" s="3" t="n">
        <v>9405</v>
      </c>
      <c r="AE1230" s="3" t="n">
        <v>2260</v>
      </c>
      <c r="AF1230" s="4" t="n">
        <v>0.28</v>
      </c>
      <c r="AG1230" s="3">
        <f>ROUND(AE1230-(AE1230*AF1230),2)</f>
        <v/>
      </c>
      <c r="AH1230" s="4" t="n">
        <v>0.18</v>
      </c>
      <c r="AI1230" s="3">
        <f>ROUND(AG1230+(AG1230*AH1230),2)</f>
        <v/>
      </c>
      <c r="AJ1230" s="4" t="n">
        <v>0.2</v>
      </c>
      <c r="AK1230" s="3">
        <f>ROUND(AI1230*AJ1230,2)</f>
        <v/>
      </c>
      <c r="AL1230" s="3">
        <f>AI1230+AK1230</f>
        <v/>
      </c>
      <c r="AM1230" s="3">
        <f>AE1230-AL1230</f>
        <v/>
      </c>
      <c r="AN1230" s="4">
        <f>AM1230/AE1230</f>
        <v/>
      </c>
      <c r="AO1230" s="3" t="inlineStr">
        <is>
          <t>3 hrs</t>
        </is>
      </c>
      <c r="AQ1230" s="3" t="inlineStr">
        <is>
          <t>Weight</t>
        </is>
      </c>
      <c r="AT1230" s="3" t="inlineStr">
        <is>
          <t>3 hrs</t>
        </is>
      </c>
    </row>
    <row r="1231" ht="15.75" customHeight="1">
      <c r="A1231" s="3" t="inlineStr">
        <is>
          <t>PROD_0238</t>
        </is>
      </c>
      <c r="B1231" s="3" t="inlineStr">
        <is>
          <t>VAR_29</t>
        </is>
      </c>
      <c r="C1231" s="3" t="inlineStr">
        <is>
          <t>Electrical Material</t>
        </is>
      </c>
      <c r="D1231" s="3" t="inlineStr">
        <is>
          <t>Cieling Lights</t>
        </is>
      </c>
      <c r="E1231" s="3" t="inlineStr">
        <is>
          <t>Philips</t>
        </is>
      </c>
      <c r="F1231" s="3" t="inlineStr">
        <is>
          <t>Ultra Slim +</t>
        </is>
      </c>
      <c r="H1231" s="3" t="inlineStr">
        <is>
          <t>Wattage</t>
        </is>
      </c>
      <c r="I1231" s="3" t="inlineStr">
        <is>
          <t>22 W</t>
        </is>
      </c>
      <c r="J1231" s="3" t="inlineStr">
        <is>
          <t>Cutting Size</t>
        </is>
      </c>
      <c r="K1231" s="3" t="inlineStr">
        <is>
          <t>208 mm</t>
        </is>
      </c>
      <c r="L1231" s="3" t="inlineStr">
        <is>
          <t>Color</t>
        </is>
      </c>
      <c r="M1231" s="3" t="inlineStr">
        <is>
          <t>Natural White</t>
        </is>
      </c>
      <c r="N1231" s="3" t="inlineStr">
        <is>
          <t>Shape</t>
        </is>
      </c>
      <c r="O1231" s="3" t="inlineStr">
        <is>
          <t>Round</t>
        </is>
      </c>
      <c r="Q1231" s="3" t="inlineStr">
        <is>
          <t>Manufacturer's Warranty</t>
        </is>
      </c>
      <c r="Y1231" s="3" t="inlineStr">
        <is>
          <t>EM_CLN_PHILLIPS_ULTRA_ROUND</t>
        </is>
      </c>
      <c r="Z1231" s="3" t="n">
        <v>9405</v>
      </c>
      <c r="AE1231" s="3" t="n">
        <v>2260</v>
      </c>
      <c r="AF1231" s="4" t="n">
        <v>0.28</v>
      </c>
      <c r="AG1231" s="3">
        <f>ROUND(AE1231-(AE1231*AF1231),2)</f>
        <v/>
      </c>
      <c r="AH1231" s="4" t="n">
        <v>0.18</v>
      </c>
      <c r="AI1231" s="3">
        <f>ROUND(AG1231+(AG1231*AH1231),2)</f>
        <v/>
      </c>
      <c r="AJ1231" s="4" t="n">
        <v>0.2</v>
      </c>
      <c r="AK1231" s="3">
        <f>ROUND(AI1231*AJ1231,2)</f>
        <v/>
      </c>
      <c r="AL1231" s="3">
        <f>AI1231+AK1231</f>
        <v/>
      </c>
      <c r="AM1231" s="3">
        <f>AE1231-AL1231</f>
        <v/>
      </c>
      <c r="AN1231" s="4">
        <f>AM1231/AE1231</f>
        <v/>
      </c>
      <c r="AO1231" s="3" t="inlineStr">
        <is>
          <t>3 hrs</t>
        </is>
      </c>
      <c r="AQ1231" s="3" t="inlineStr">
        <is>
          <t>Weight</t>
        </is>
      </c>
      <c r="AT1231" s="3" t="inlineStr">
        <is>
          <t>3 hrs</t>
        </is>
      </c>
    </row>
    <row r="1232" ht="15.75" customHeight="1">
      <c r="A1232" s="3" t="inlineStr">
        <is>
          <t>PROD_0238</t>
        </is>
      </c>
      <c r="B1232" s="3" t="inlineStr">
        <is>
          <t>VAR_30</t>
        </is>
      </c>
      <c r="C1232" s="3" t="inlineStr">
        <is>
          <t>Electrical Material</t>
        </is>
      </c>
      <c r="D1232" s="3" t="inlineStr">
        <is>
          <t>Cieling Lights</t>
        </is>
      </c>
      <c r="E1232" s="3" t="inlineStr">
        <is>
          <t>Philips</t>
        </is>
      </c>
      <c r="F1232" s="3" t="inlineStr">
        <is>
          <t>Ultra Slim +</t>
        </is>
      </c>
      <c r="H1232" s="3" t="inlineStr">
        <is>
          <t>Wattage</t>
        </is>
      </c>
      <c r="I1232" s="3" t="inlineStr">
        <is>
          <t>22 W</t>
        </is>
      </c>
      <c r="J1232" s="3" t="inlineStr">
        <is>
          <t>Cutting Size</t>
        </is>
      </c>
      <c r="K1232" s="3" t="inlineStr">
        <is>
          <t>208 mm</t>
        </is>
      </c>
      <c r="L1232" s="3" t="inlineStr">
        <is>
          <t>Color</t>
        </is>
      </c>
      <c r="M1232" s="3" t="inlineStr">
        <is>
          <t>Cool White</t>
        </is>
      </c>
      <c r="N1232" s="3" t="inlineStr">
        <is>
          <t>Shape</t>
        </is>
      </c>
      <c r="O1232" s="3" t="inlineStr">
        <is>
          <t>Round</t>
        </is>
      </c>
      <c r="Q1232" s="3" t="inlineStr">
        <is>
          <t>Manufacturer's Warranty</t>
        </is>
      </c>
      <c r="Y1232" s="3" t="inlineStr">
        <is>
          <t>EM_CLN_PHILLIPS_ULTRA_ROUND</t>
        </is>
      </c>
      <c r="Z1232" s="3" t="n">
        <v>9405</v>
      </c>
      <c r="AE1232" s="3" t="n">
        <v>2260</v>
      </c>
      <c r="AF1232" s="4" t="n">
        <v>0.28</v>
      </c>
      <c r="AG1232" s="3">
        <f>ROUND(AE1232-(AE1232*AF1232),2)</f>
        <v/>
      </c>
      <c r="AH1232" s="4" t="n">
        <v>0.18</v>
      </c>
      <c r="AI1232" s="3">
        <f>ROUND(AG1232+(AG1232*AH1232),2)</f>
        <v/>
      </c>
      <c r="AJ1232" s="4" t="n">
        <v>0.2</v>
      </c>
      <c r="AK1232" s="3">
        <f>ROUND(AI1232*AJ1232,2)</f>
        <v/>
      </c>
      <c r="AL1232" s="3">
        <f>AI1232+AK1232</f>
        <v/>
      </c>
      <c r="AM1232" s="3">
        <f>AE1232-AL1232</f>
        <v/>
      </c>
      <c r="AN1232" s="4">
        <f>AM1232/AE1232</f>
        <v/>
      </c>
      <c r="AO1232" s="3" t="inlineStr">
        <is>
          <t>3 hrs</t>
        </is>
      </c>
      <c r="AQ1232" s="3" t="inlineStr">
        <is>
          <t>Weight</t>
        </is>
      </c>
      <c r="AT1232" s="3" t="inlineStr">
        <is>
          <t>3 hrs</t>
        </is>
      </c>
    </row>
    <row r="1233" ht="15.75" customHeight="1">
      <c r="A1233" s="3" t="inlineStr">
        <is>
          <t>PROD_0238</t>
        </is>
      </c>
      <c r="B1233" s="3" t="inlineStr">
        <is>
          <t>VAR_31</t>
        </is>
      </c>
      <c r="C1233" s="3" t="inlineStr">
        <is>
          <t>Electrical Material</t>
        </is>
      </c>
      <c r="D1233" s="3" t="inlineStr">
        <is>
          <t>Cieling Lights</t>
        </is>
      </c>
      <c r="E1233" s="3" t="inlineStr">
        <is>
          <t>Philips</t>
        </is>
      </c>
      <c r="F1233" s="3" t="inlineStr">
        <is>
          <t>Ultra Slim +</t>
        </is>
      </c>
      <c r="H1233" s="3" t="inlineStr">
        <is>
          <t>Wattage</t>
        </is>
      </c>
      <c r="I1233" s="3" t="inlineStr">
        <is>
          <t>22 W</t>
        </is>
      </c>
      <c r="J1233" s="3" t="inlineStr">
        <is>
          <t>Cutting Size</t>
        </is>
      </c>
      <c r="K1233" s="3" t="inlineStr">
        <is>
          <t>208 mm</t>
        </is>
      </c>
      <c r="L1233" s="3" t="inlineStr">
        <is>
          <t>Color</t>
        </is>
      </c>
      <c r="M1233" s="3" t="inlineStr">
        <is>
          <t>Warm White</t>
        </is>
      </c>
      <c r="N1233" s="3" t="inlineStr">
        <is>
          <t>Shape</t>
        </is>
      </c>
      <c r="O1233" s="3" t="inlineStr">
        <is>
          <t>Square</t>
        </is>
      </c>
      <c r="Q1233" s="3" t="inlineStr">
        <is>
          <t>Manufacturer's Warranty</t>
        </is>
      </c>
      <c r="Y1233" s="3" t="inlineStr">
        <is>
          <t>EM_CLN_PHILLIPS_ULTRA_SQR</t>
        </is>
      </c>
      <c r="Z1233" s="3" t="n">
        <v>9405</v>
      </c>
      <c r="AE1233" s="3" t="n">
        <v>2260</v>
      </c>
      <c r="AF1233" s="4" t="n">
        <v>0.28</v>
      </c>
      <c r="AG1233" s="3">
        <f>ROUND(AE1233-(AE1233*AF1233),2)</f>
        <v/>
      </c>
      <c r="AH1233" s="4" t="n">
        <v>0.18</v>
      </c>
      <c r="AI1233" s="3">
        <f>ROUND(AG1233+(AG1233*AH1233),2)</f>
        <v/>
      </c>
      <c r="AJ1233" s="4" t="n">
        <v>0.2</v>
      </c>
      <c r="AK1233" s="3">
        <f>ROUND(AI1233*AJ1233,2)</f>
        <v/>
      </c>
      <c r="AL1233" s="3">
        <f>AI1233+AK1233</f>
        <v/>
      </c>
      <c r="AM1233" s="3">
        <f>AE1233-AL1233</f>
        <v/>
      </c>
      <c r="AN1233" s="4">
        <f>AM1233/AE1233</f>
        <v/>
      </c>
      <c r="AO1233" s="3" t="inlineStr">
        <is>
          <t>3 hrs</t>
        </is>
      </c>
      <c r="AQ1233" s="3" t="inlineStr">
        <is>
          <t>Weight</t>
        </is>
      </c>
      <c r="AT1233" s="3" t="inlineStr">
        <is>
          <t>3 hrs</t>
        </is>
      </c>
    </row>
    <row r="1234" ht="15.75" customHeight="1">
      <c r="A1234" s="3" t="inlineStr">
        <is>
          <t>PROD_0238</t>
        </is>
      </c>
      <c r="B1234" s="3" t="inlineStr">
        <is>
          <t>VAR_32</t>
        </is>
      </c>
      <c r="C1234" s="3" t="inlineStr">
        <is>
          <t>Electrical Material</t>
        </is>
      </c>
      <c r="D1234" s="3" t="inlineStr">
        <is>
          <t>Cieling Lights</t>
        </is>
      </c>
      <c r="E1234" s="3" t="inlineStr">
        <is>
          <t>Philips</t>
        </is>
      </c>
      <c r="F1234" s="3" t="inlineStr">
        <is>
          <t>Ultra Slim +</t>
        </is>
      </c>
      <c r="H1234" s="3" t="inlineStr">
        <is>
          <t>Wattage</t>
        </is>
      </c>
      <c r="I1234" s="3" t="inlineStr">
        <is>
          <t>22 W</t>
        </is>
      </c>
      <c r="J1234" s="3" t="inlineStr">
        <is>
          <t>Cutting Size</t>
        </is>
      </c>
      <c r="K1234" s="3" t="inlineStr">
        <is>
          <t>208 mm</t>
        </is>
      </c>
      <c r="L1234" s="3" t="inlineStr">
        <is>
          <t>Color</t>
        </is>
      </c>
      <c r="M1234" s="3" t="inlineStr">
        <is>
          <t>Natural White</t>
        </is>
      </c>
      <c r="N1234" s="3" t="inlineStr">
        <is>
          <t>Shape</t>
        </is>
      </c>
      <c r="O1234" s="3" t="inlineStr">
        <is>
          <t>Square</t>
        </is>
      </c>
      <c r="Q1234" s="3" t="inlineStr">
        <is>
          <t>Manufacturer's Warranty</t>
        </is>
      </c>
      <c r="Y1234" s="3" t="inlineStr">
        <is>
          <t>EM_CLN_PHILLIPS_ULTRA_SQR</t>
        </is>
      </c>
      <c r="Z1234" s="3" t="n">
        <v>9405</v>
      </c>
      <c r="AE1234" s="3" t="n">
        <v>2260</v>
      </c>
      <c r="AF1234" s="4" t="n">
        <v>0.28</v>
      </c>
      <c r="AG1234" s="3">
        <f>ROUND(AE1234-(AE1234*AF1234),2)</f>
        <v/>
      </c>
      <c r="AH1234" s="4" t="n">
        <v>0.18</v>
      </c>
      <c r="AI1234" s="3">
        <f>ROUND(AG1234+(AG1234*AH1234),2)</f>
        <v/>
      </c>
      <c r="AJ1234" s="4" t="n">
        <v>0.2</v>
      </c>
      <c r="AK1234" s="3">
        <f>ROUND(AI1234*AJ1234,2)</f>
        <v/>
      </c>
      <c r="AL1234" s="3">
        <f>AI1234+AK1234</f>
        <v/>
      </c>
      <c r="AM1234" s="3">
        <f>AE1234-AL1234</f>
        <v/>
      </c>
      <c r="AN1234" s="4">
        <f>AM1234/AE1234</f>
        <v/>
      </c>
      <c r="AO1234" s="3" t="inlineStr">
        <is>
          <t>3 hrs</t>
        </is>
      </c>
      <c r="AQ1234" s="3" t="inlineStr">
        <is>
          <t>Weight</t>
        </is>
      </c>
      <c r="AT1234" s="3" t="inlineStr">
        <is>
          <t>3 hrs</t>
        </is>
      </c>
    </row>
    <row r="1235" ht="15.75" customHeight="1">
      <c r="A1235" s="3" t="inlineStr">
        <is>
          <t>PROD_0238</t>
        </is>
      </c>
      <c r="B1235" s="3" t="inlineStr">
        <is>
          <t>VAR_33</t>
        </is>
      </c>
      <c r="C1235" s="3" t="inlineStr">
        <is>
          <t>Electrical Material</t>
        </is>
      </c>
      <c r="D1235" s="3" t="inlineStr">
        <is>
          <t>Cieling Lights</t>
        </is>
      </c>
      <c r="E1235" s="3" t="inlineStr">
        <is>
          <t>Philips</t>
        </is>
      </c>
      <c r="F1235" s="3" t="inlineStr">
        <is>
          <t>Ultra Slim +</t>
        </is>
      </c>
      <c r="H1235" s="3" t="inlineStr">
        <is>
          <t>Wattage</t>
        </is>
      </c>
      <c r="I1235" s="3" t="inlineStr">
        <is>
          <t>22 W</t>
        </is>
      </c>
      <c r="J1235" s="3" t="inlineStr">
        <is>
          <t>Cutting Size</t>
        </is>
      </c>
      <c r="K1235" s="3" t="inlineStr">
        <is>
          <t>208 mm</t>
        </is>
      </c>
      <c r="L1235" s="3" t="inlineStr">
        <is>
          <t>Color</t>
        </is>
      </c>
      <c r="M1235" s="3" t="inlineStr">
        <is>
          <t>Cool White</t>
        </is>
      </c>
      <c r="N1235" s="3" t="inlineStr">
        <is>
          <t>Shape</t>
        </is>
      </c>
      <c r="O1235" s="3" t="inlineStr">
        <is>
          <t>Square</t>
        </is>
      </c>
      <c r="Q1235" s="3" t="inlineStr">
        <is>
          <t>Manufacturer's Warranty</t>
        </is>
      </c>
      <c r="Y1235" s="3" t="inlineStr">
        <is>
          <t>EM_CLN_PHILLIPS_ULTRA_SQR</t>
        </is>
      </c>
      <c r="Z1235" s="3" t="n">
        <v>9405</v>
      </c>
      <c r="AE1235" s="3" t="n">
        <v>2260</v>
      </c>
      <c r="AF1235" s="4" t="n">
        <v>0.28</v>
      </c>
      <c r="AG1235" s="3">
        <f>ROUND(AE1235-(AE1235*AF1235),2)</f>
        <v/>
      </c>
      <c r="AH1235" s="4" t="n">
        <v>0.18</v>
      </c>
      <c r="AI1235" s="3">
        <f>ROUND(AG1235+(AG1235*AH1235),2)</f>
        <v/>
      </c>
      <c r="AJ1235" s="4" t="n">
        <v>0.2</v>
      </c>
      <c r="AK1235" s="3">
        <f>ROUND(AI1235*AJ1235,2)</f>
        <v/>
      </c>
      <c r="AL1235" s="3">
        <f>AI1235+AK1235</f>
        <v/>
      </c>
      <c r="AM1235" s="3">
        <f>AE1235-AL1235</f>
        <v/>
      </c>
      <c r="AN1235" s="4">
        <f>AM1235/AE1235</f>
        <v/>
      </c>
      <c r="AO1235" s="3" t="inlineStr">
        <is>
          <t>3 hrs</t>
        </is>
      </c>
      <c r="AQ1235" s="3" t="inlineStr">
        <is>
          <t>Weight</t>
        </is>
      </c>
      <c r="AT1235" s="3" t="inlineStr">
        <is>
          <t>3 hrs</t>
        </is>
      </c>
    </row>
    <row r="1236" ht="15.75" customHeight="1">
      <c r="A1236" s="3" t="inlineStr">
        <is>
          <t>PROD_0239</t>
        </is>
      </c>
      <c r="B1236" s="3" t="inlineStr">
        <is>
          <t>VAR_1</t>
        </is>
      </c>
      <c r="C1236" s="3" t="inlineStr">
        <is>
          <t>Electrical Material</t>
        </is>
      </c>
      <c r="D1236" s="3" t="inlineStr">
        <is>
          <t>Cieling Lights</t>
        </is>
      </c>
      <c r="E1236" s="3" t="inlineStr">
        <is>
          <t>Orient</t>
        </is>
      </c>
      <c r="F1236" s="3" t="inlineStr">
        <is>
          <t>Backlite Trim Recess Panel</t>
        </is>
      </c>
      <c r="H1236" s="3" t="inlineStr">
        <is>
          <t>Wattage</t>
        </is>
      </c>
      <c r="I1236" s="3" t="inlineStr">
        <is>
          <t>6 W</t>
        </is>
      </c>
      <c r="J1236" s="3" t="inlineStr">
        <is>
          <t>Cutting Size</t>
        </is>
      </c>
      <c r="K1236" s="3" t="inlineStr">
        <is>
          <t>80 mm</t>
        </is>
      </c>
      <c r="L1236" s="3" t="inlineStr">
        <is>
          <t>Color</t>
        </is>
      </c>
      <c r="M1236" s="3" t="inlineStr">
        <is>
          <t>Warm White</t>
        </is>
      </c>
      <c r="N1236" s="3" t="inlineStr">
        <is>
          <t>Shape</t>
        </is>
      </c>
      <c r="O1236" s="3" t="inlineStr">
        <is>
          <t>Round</t>
        </is>
      </c>
      <c r="Q1236" s="3" t="inlineStr">
        <is>
          <t>Manufacturer's Warranty</t>
        </is>
      </c>
      <c r="Y1236" s="3" t="inlineStr">
        <is>
          <t>CL_OR_BLTRPL_6_12_18W, CL_OR_BLTRPL</t>
        </is>
      </c>
      <c r="Z1236" s="3" t="n">
        <v>9405</v>
      </c>
      <c r="AE1236" s="3" t="n">
        <v>450</v>
      </c>
      <c r="AF1236" s="4" t="n">
        <v>0.7</v>
      </c>
      <c r="AG1236" s="3">
        <f>ROUND(AE1236-(AE1236*AF1236),2)</f>
        <v/>
      </c>
      <c r="AH1236" s="4" t="n">
        <v>0.18</v>
      </c>
      <c r="AI1236" s="3">
        <f>ROUND(AG1236+(AG1236*AH1236),2)</f>
        <v/>
      </c>
      <c r="AJ1236" s="4" t="n">
        <v>0.2</v>
      </c>
      <c r="AK1236" s="3">
        <f>ROUND(AI1236*AJ1236,2)</f>
        <v/>
      </c>
      <c r="AL1236" s="3">
        <f>AI1236+AK1236</f>
        <v/>
      </c>
      <c r="AM1236" s="3">
        <f>AE1236-AL1236</f>
        <v/>
      </c>
      <c r="AN1236" s="4">
        <f>AM1236/AE1236</f>
        <v/>
      </c>
      <c r="AO1236" s="3" t="inlineStr">
        <is>
          <t>60 mins</t>
        </is>
      </c>
      <c r="AQ1236" s="3" t="inlineStr">
        <is>
          <t>Weight</t>
        </is>
      </c>
      <c r="AT1236" s="3" t="inlineStr">
        <is>
          <t>3 hrs</t>
        </is>
      </c>
    </row>
    <row r="1237" ht="15.75" customHeight="1">
      <c r="A1237" s="3" t="inlineStr">
        <is>
          <t>PROD_0239</t>
        </is>
      </c>
      <c r="B1237" s="3" t="inlineStr">
        <is>
          <t>VAR_2</t>
        </is>
      </c>
      <c r="C1237" s="3" t="inlineStr">
        <is>
          <t>Electrical Material</t>
        </is>
      </c>
      <c r="D1237" s="3" t="inlineStr">
        <is>
          <t>Cieling Lights</t>
        </is>
      </c>
      <c r="E1237" s="3" t="inlineStr">
        <is>
          <t>Orient</t>
        </is>
      </c>
      <c r="F1237" s="3" t="inlineStr">
        <is>
          <t>Backlite Trim Recess Panel</t>
        </is>
      </c>
      <c r="H1237" s="3" t="inlineStr">
        <is>
          <t>Wattage</t>
        </is>
      </c>
      <c r="I1237" s="3" t="inlineStr">
        <is>
          <t>6 W</t>
        </is>
      </c>
      <c r="J1237" s="3" t="inlineStr">
        <is>
          <t>Cutting Size</t>
        </is>
      </c>
      <c r="K1237" s="3" t="inlineStr">
        <is>
          <t>80 mm</t>
        </is>
      </c>
      <c r="L1237" s="3" t="inlineStr">
        <is>
          <t>Color</t>
        </is>
      </c>
      <c r="M1237" s="3" t="inlineStr">
        <is>
          <t>Natural White</t>
        </is>
      </c>
      <c r="N1237" s="3" t="inlineStr">
        <is>
          <t>Shape</t>
        </is>
      </c>
      <c r="O1237" s="3" t="inlineStr">
        <is>
          <t>Round</t>
        </is>
      </c>
      <c r="Q1237" s="3" t="inlineStr">
        <is>
          <t>Manufacturer's Warranty</t>
        </is>
      </c>
      <c r="Y1237" s="3" t="inlineStr">
        <is>
          <t>CL_OR_BLTRPL_6_12_18W, CL_OR_BLTRPL</t>
        </is>
      </c>
      <c r="Z1237" s="3" t="n">
        <v>9405</v>
      </c>
      <c r="AE1237" s="3" t="n">
        <v>450</v>
      </c>
      <c r="AF1237" s="4" t="n">
        <v>0.7</v>
      </c>
      <c r="AG1237" s="3">
        <f>ROUND(AE1237-(AE1237*AF1237),2)</f>
        <v/>
      </c>
      <c r="AH1237" s="4" t="n">
        <v>0.18</v>
      </c>
      <c r="AI1237" s="3">
        <f>ROUND(AG1237+(AG1237*AH1237),2)</f>
        <v/>
      </c>
      <c r="AJ1237" s="4" t="n">
        <v>0.2</v>
      </c>
      <c r="AK1237" s="3">
        <f>ROUND(AI1237*AJ1237,2)</f>
        <v/>
      </c>
      <c r="AL1237" s="3">
        <f>AI1237+AK1237</f>
        <v/>
      </c>
      <c r="AM1237" s="3">
        <f>AE1237-AL1237</f>
        <v/>
      </c>
      <c r="AN1237" s="4">
        <f>AM1237/AE1237</f>
        <v/>
      </c>
      <c r="AO1237" s="3" t="inlineStr">
        <is>
          <t>60 mins</t>
        </is>
      </c>
      <c r="AQ1237" s="3" t="inlineStr">
        <is>
          <t>Weight</t>
        </is>
      </c>
      <c r="AT1237" s="3" t="inlineStr">
        <is>
          <t>3 hrs</t>
        </is>
      </c>
    </row>
    <row r="1238" ht="15.75" customHeight="1">
      <c r="A1238" s="3" t="inlineStr">
        <is>
          <t>PROD_0239</t>
        </is>
      </c>
      <c r="B1238" s="3" t="inlineStr">
        <is>
          <t>VAR_3</t>
        </is>
      </c>
      <c r="C1238" s="3" t="inlineStr">
        <is>
          <t>Electrical Material</t>
        </is>
      </c>
      <c r="D1238" s="3" t="inlineStr">
        <is>
          <t>Cieling Lights</t>
        </is>
      </c>
      <c r="E1238" s="3" t="inlineStr">
        <is>
          <t>Orient</t>
        </is>
      </c>
      <c r="F1238" s="3" t="inlineStr">
        <is>
          <t>Backlite Trim Recess Panel</t>
        </is>
      </c>
      <c r="H1238" s="3" t="inlineStr">
        <is>
          <t>Wattage</t>
        </is>
      </c>
      <c r="I1238" s="3" t="inlineStr">
        <is>
          <t>6 W</t>
        </is>
      </c>
      <c r="J1238" s="3" t="inlineStr">
        <is>
          <t>Cutting Size</t>
        </is>
      </c>
      <c r="K1238" s="3" t="inlineStr">
        <is>
          <t>80 mm</t>
        </is>
      </c>
      <c r="L1238" s="3" t="inlineStr">
        <is>
          <t>Color</t>
        </is>
      </c>
      <c r="M1238" s="3" t="inlineStr">
        <is>
          <t>Cool White</t>
        </is>
      </c>
      <c r="N1238" s="3" t="inlineStr">
        <is>
          <t>Shape</t>
        </is>
      </c>
      <c r="O1238" s="3" t="inlineStr">
        <is>
          <t>Round</t>
        </is>
      </c>
      <c r="Q1238" s="3" t="inlineStr">
        <is>
          <t>Manufacturer's Warranty</t>
        </is>
      </c>
      <c r="Y1238" s="3" t="inlineStr">
        <is>
          <t>CL_OR_BLTRPL_6_12_18W, CL_OR_BLTRPL</t>
        </is>
      </c>
      <c r="Z1238" s="3" t="n">
        <v>9405</v>
      </c>
      <c r="AE1238" s="3" t="n">
        <v>450</v>
      </c>
      <c r="AF1238" s="4" t="n">
        <v>0.7</v>
      </c>
      <c r="AG1238" s="3">
        <f>ROUND(AE1238-(AE1238*AF1238),2)</f>
        <v/>
      </c>
      <c r="AH1238" s="4" t="n">
        <v>0.18</v>
      </c>
      <c r="AI1238" s="3">
        <f>ROUND(AG1238+(AG1238*AH1238),2)</f>
        <v/>
      </c>
      <c r="AJ1238" s="4" t="n">
        <v>0.2</v>
      </c>
      <c r="AK1238" s="3">
        <f>ROUND(AI1238*AJ1238,2)</f>
        <v/>
      </c>
      <c r="AL1238" s="3">
        <f>AI1238+AK1238</f>
        <v/>
      </c>
      <c r="AM1238" s="3">
        <f>AE1238-AL1238</f>
        <v/>
      </c>
      <c r="AN1238" s="4">
        <f>AM1238/AE1238</f>
        <v/>
      </c>
      <c r="AO1238" s="3" t="inlineStr">
        <is>
          <t>60 mins</t>
        </is>
      </c>
      <c r="AQ1238" s="3" t="inlineStr">
        <is>
          <t>Weight</t>
        </is>
      </c>
      <c r="AT1238" s="3" t="inlineStr">
        <is>
          <t>3 hrs</t>
        </is>
      </c>
    </row>
    <row r="1239" ht="15.75" customHeight="1">
      <c r="A1239" s="3" t="inlineStr">
        <is>
          <t>PROD_0239</t>
        </is>
      </c>
      <c r="B1239" s="3" t="inlineStr">
        <is>
          <t>VAR_4</t>
        </is>
      </c>
      <c r="C1239" s="3" t="inlineStr">
        <is>
          <t>Electrical Material</t>
        </is>
      </c>
      <c r="D1239" s="3" t="inlineStr">
        <is>
          <t>Cieling Lights</t>
        </is>
      </c>
      <c r="E1239" s="3" t="inlineStr">
        <is>
          <t>Orient</t>
        </is>
      </c>
      <c r="F1239" s="3" t="inlineStr">
        <is>
          <t>Backlite Trim Recess Panel</t>
        </is>
      </c>
      <c r="H1239" s="3" t="inlineStr">
        <is>
          <t>Wattage</t>
        </is>
      </c>
      <c r="I1239" s="3" t="inlineStr">
        <is>
          <t>12 W</t>
        </is>
      </c>
      <c r="J1239" s="3" t="inlineStr">
        <is>
          <t>Cutting Size</t>
        </is>
      </c>
      <c r="K1239" s="3" t="inlineStr">
        <is>
          <t>80 mm</t>
        </is>
      </c>
      <c r="L1239" s="3" t="inlineStr">
        <is>
          <t>Color</t>
        </is>
      </c>
      <c r="M1239" s="3" t="inlineStr">
        <is>
          <t>Warm White</t>
        </is>
      </c>
      <c r="N1239" s="3" t="inlineStr">
        <is>
          <t>Shape</t>
        </is>
      </c>
      <c r="O1239" s="3" t="inlineStr">
        <is>
          <t>Round</t>
        </is>
      </c>
      <c r="Q1239" s="3" t="inlineStr">
        <is>
          <t>Manufacturer's Warranty</t>
        </is>
      </c>
      <c r="Y1239" s="3" t="inlineStr">
        <is>
          <t>CL_OR_BLTRPL_6_12_18W, CL_OR_BLTRPL</t>
        </is>
      </c>
      <c r="Z1239" s="3" t="n">
        <v>9405</v>
      </c>
      <c r="AE1239" s="3" t="n">
        <v>700</v>
      </c>
      <c r="AF1239" s="4" t="n">
        <v>0.74</v>
      </c>
      <c r="AG1239" s="3">
        <f>ROUND(AE1239-(AE1239*AF1239),2)</f>
        <v/>
      </c>
      <c r="AH1239" s="4" t="n">
        <v>0.18</v>
      </c>
      <c r="AI1239" s="3">
        <f>ROUND(AG1239+(AG1239*AH1239),2)</f>
        <v/>
      </c>
      <c r="AJ1239" s="4" t="n">
        <v>0.2</v>
      </c>
      <c r="AK1239" s="3">
        <f>ROUND(AI1239*AJ1239,2)</f>
        <v/>
      </c>
      <c r="AL1239" s="3">
        <f>AI1239+AK1239</f>
        <v/>
      </c>
      <c r="AM1239" s="3">
        <f>AE1239-AL1239</f>
        <v/>
      </c>
      <c r="AN1239" s="4">
        <f>AM1239/AE1239</f>
        <v/>
      </c>
      <c r="AO1239" s="3" t="inlineStr">
        <is>
          <t>60 mins</t>
        </is>
      </c>
      <c r="AQ1239" s="3" t="inlineStr">
        <is>
          <t>Weight</t>
        </is>
      </c>
      <c r="AT1239" s="3" t="inlineStr">
        <is>
          <t>3 hrs</t>
        </is>
      </c>
    </row>
    <row r="1240" ht="15.75" customHeight="1">
      <c r="A1240" s="3" t="inlineStr">
        <is>
          <t>PROD_0239</t>
        </is>
      </c>
      <c r="B1240" s="3" t="inlineStr">
        <is>
          <t>VAR_5</t>
        </is>
      </c>
      <c r="C1240" s="3" t="inlineStr">
        <is>
          <t>Electrical Material</t>
        </is>
      </c>
      <c r="D1240" s="3" t="inlineStr">
        <is>
          <t>Cieling Lights</t>
        </is>
      </c>
      <c r="E1240" s="3" t="inlineStr">
        <is>
          <t>Orient</t>
        </is>
      </c>
      <c r="F1240" s="3" t="inlineStr">
        <is>
          <t>Backlite Trim Recess Panel</t>
        </is>
      </c>
      <c r="H1240" s="3" t="inlineStr">
        <is>
          <t>Wattage</t>
        </is>
      </c>
      <c r="I1240" s="3" t="inlineStr">
        <is>
          <t>12 W</t>
        </is>
      </c>
      <c r="J1240" s="3" t="inlineStr">
        <is>
          <t>Cutting Size</t>
        </is>
      </c>
      <c r="K1240" s="3" t="inlineStr">
        <is>
          <t>80 mm</t>
        </is>
      </c>
      <c r="L1240" s="3" t="inlineStr">
        <is>
          <t>Color</t>
        </is>
      </c>
      <c r="M1240" s="3" t="inlineStr">
        <is>
          <t>Natural White</t>
        </is>
      </c>
      <c r="N1240" s="3" t="inlineStr">
        <is>
          <t>Shape</t>
        </is>
      </c>
      <c r="O1240" s="3" t="inlineStr">
        <is>
          <t>Round</t>
        </is>
      </c>
      <c r="Q1240" s="3" t="inlineStr">
        <is>
          <t>Manufacturer's Warranty</t>
        </is>
      </c>
      <c r="Y1240" s="3" t="inlineStr">
        <is>
          <t>CL_OR_BLTRPL_6_12_18W, CL_OR_BLTRPL</t>
        </is>
      </c>
      <c r="Z1240" s="3" t="n">
        <v>9405</v>
      </c>
      <c r="AE1240" s="3" t="n">
        <v>700</v>
      </c>
      <c r="AF1240" s="4" t="n">
        <v>0.74</v>
      </c>
      <c r="AG1240" s="3">
        <f>ROUND(AE1240-(AE1240*AF1240),2)</f>
        <v/>
      </c>
      <c r="AH1240" s="4" t="n">
        <v>0.18</v>
      </c>
      <c r="AI1240" s="3">
        <f>ROUND(AG1240+(AG1240*AH1240),2)</f>
        <v/>
      </c>
      <c r="AJ1240" s="4" t="n">
        <v>0.2</v>
      </c>
      <c r="AK1240" s="3">
        <f>ROUND(AI1240*AJ1240,2)</f>
        <v/>
      </c>
      <c r="AL1240" s="3">
        <f>AI1240+AK1240</f>
        <v/>
      </c>
      <c r="AM1240" s="3">
        <f>AE1240-AL1240</f>
        <v/>
      </c>
      <c r="AN1240" s="4">
        <f>AM1240/AE1240</f>
        <v/>
      </c>
      <c r="AO1240" s="3" t="inlineStr">
        <is>
          <t>60 mins</t>
        </is>
      </c>
      <c r="AQ1240" s="3" t="inlineStr">
        <is>
          <t>Weight</t>
        </is>
      </c>
      <c r="AT1240" s="3" t="inlineStr">
        <is>
          <t>3 hrs</t>
        </is>
      </c>
    </row>
    <row r="1241" ht="15.75" customHeight="1">
      <c r="A1241" s="3" t="inlineStr">
        <is>
          <t>PROD_0239</t>
        </is>
      </c>
      <c r="B1241" s="3" t="inlineStr">
        <is>
          <t>VAR_6</t>
        </is>
      </c>
      <c r="C1241" s="3" t="inlineStr">
        <is>
          <t>Electrical Material</t>
        </is>
      </c>
      <c r="D1241" s="3" t="inlineStr">
        <is>
          <t>Cieling Lights</t>
        </is>
      </c>
      <c r="E1241" s="3" t="inlineStr">
        <is>
          <t>Orient</t>
        </is>
      </c>
      <c r="F1241" s="3" t="inlineStr">
        <is>
          <t>Backlite Trim Recess Panel</t>
        </is>
      </c>
      <c r="H1241" s="3" t="inlineStr">
        <is>
          <t>Wattage</t>
        </is>
      </c>
      <c r="I1241" s="3" t="inlineStr">
        <is>
          <t>12 W</t>
        </is>
      </c>
      <c r="J1241" s="3" t="inlineStr">
        <is>
          <t>Cutting Size</t>
        </is>
      </c>
      <c r="K1241" s="3" t="inlineStr">
        <is>
          <t>80 mm</t>
        </is>
      </c>
      <c r="L1241" s="3" t="inlineStr">
        <is>
          <t>Color</t>
        </is>
      </c>
      <c r="M1241" s="3" t="inlineStr">
        <is>
          <t>Cool White</t>
        </is>
      </c>
      <c r="N1241" s="3" t="inlineStr">
        <is>
          <t>Shape</t>
        </is>
      </c>
      <c r="O1241" s="3" t="inlineStr">
        <is>
          <t>Round</t>
        </is>
      </c>
      <c r="Q1241" s="3" t="inlineStr">
        <is>
          <t>Manufacturer's Warranty</t>
        </is>
      </c>
      <c r="Y1241" s="3" t="inlineStr">
        <is>
          <t>CL_OR_BLTRPL_6_12_18W, CL_OR_BLTRPL</t>
        </is>
      </c>
      <c r="Z1241" s="3" t="n">
        <v>9405</v>
      </c>
      <c r="AE1241" s="3" t="n">
        <v>700</v>
      </c>
      <c r="AF1241" s="4" t="n">
        <v>0.74</v>
      </c>
      <c r="AG1241" s="3">
        <f>ROUND(AE1241-(AE1241*AF1241),2)</f>
        <v/>
      </c>
      <c r="AH1241" s="4" t="n">
        <v>0.18</v>
      </c>
      <c r="AI1241" s="3">
        <f>ROUND(AG1241+(AG1241*AH1241),2)</f>
        <v/>
      </c>
      <c r="AJ1241" s="4" t="n">
        <v>0.2</v>
      </c>
      <c r="AK1241" s="3">
        <f>ROUND(AI1241*AJ1241,2)</f>
        <v/>
      </c>
      <c r="AL1241" s="3">
        <f>AI1241+AK1241</f>
        <v/>
      </c>
      <c r="AM1241" s="3">
        <f>AE1241-AL1241</f>
        <v/>
      </c>
      <c r="AN1241" s="4">
        <f>AM1241/AE1241</f>
        <v/>
      </c>
      <c r="AO1241" s="3" t="inlineStr">
        <is>
          <t>60 mins</t>
        </is>
      </c>
      <c r="AQ1241" s="3" t="inlineStr">
        <is>
          <t>Weight</t>
        </is>
      </c>
      <c r="AT1241" s="3" t="inlineStr">
        <is>
          <t>3 hrs</t>
        </is>
      </c>
    </row>
    <row r="1242" ht="15.75" customHeight="1">
      <c r="A1242" s="3" t="inlineStr">
        <is>
          <t>PROD_0239</t>
        </is>
      </c>
      <c r="B1242" s="3" t="inlineStr">
        <is>
          <t>VAR_7</t>
        </is>
      </c>
      <c r="C1242" s="3" t="inlineStr">
        <is>
          <t>Electrical Material</t>
        </is>
      </c>
      <c r="D1242" s="3" t="inlineStr">
        <is>
          <t>Cieling Lights</t>
        </is>
      </c>
      <c r="E1242" s="3" t="inlineStr">
        <is>
          <t>Orient</t>
        </is>
      </c>
      <c r="F1242" s="3" t="inlineStr">
        <is>
          <t>Backlite Trim Recess Panel</t>
        </is>
      </c>
      <c r="H1242" s="3" t="inlineStr">
        <is>
          <t>Wattage</t>
        </is>
      </c>
      <c r="I1242" s="3" t="inlineStr">
        <is>
          <t>18 W</t>
        </is>
      </c>
      <c r="J1242" s="3" t="inlineStr">
        <is>
          <t>Cutting Size</t>
        </is>
      </c>
      <c r="K1242" s="3" t="inlineStr">
        <is>
          <t>80 mm</t>
        </is>
      </c>
      <c r="L1242" s="3" t="inlineStr">
        <is>
          <t>Color</t>
        </is>
      </c>
      <c r="M1242" s="3" t="inlineStr">
        <is>
          <t>Warm White</t>
        </is>
      </c>
      <c r="N1242" s="3" t="inlineStr">
        <is>
          <t>Shape</t>
        </is>
      </c>
      <c r="O1242" s="3" t="inlineStr">
        <is>
          <t>Round</t>
        </is>
      </c>
      <c r="Q1242" s="3" t="inlineStr">
        <is>
          <t>Manufacturer's Warranty</t>
        </is>
      </c>
      <c r="Y1242" s="3" t="inlineStr">
        <is>
          <t>CL_OR_BLTRPL_6_12_18W, CL_OR_BLTRPL</t>
        </is>
      </c>
      <c r="Z1242" s="3" t="n">
        <v>9405</v>
      </c>
      <c r="AE1242" s="3" t="n">
        <v>900</v>
      </c>
      <c r="AF1242" s="4" t="n">
        <v>0.7</v>
      </c>
      <c r="AG1242" s="3">
        <f>ROUND(AE1242-(AE1242*AF1242),2)</f>
        <v/>
      </c>
      <c r="AH1242" s="4" t="n">
        <v>0.18</v>
      </c>
      <c r="AI1242" s="3">
        <f>ROUND(AG1242+(AG1242*AH1242),2)</f>
        <v/>
      </c>
      <c r="AJ1242" s="4" t="n">
        <v>0.2</v>
      </c>
      <c r="AK1242" s="3">
        <f>ROUND(AI1242*AJ1242,2)</f>
        <v/>
      </c>
      <c r="AL1242" s="3">
        <f>AI1242+AK1242</f>
        <v/>
      </c>
      <c r="AM1242" s="3">
        <f>AE1242-AL1242</f>
        <v/>
      </c>
      <c r="AN1242" s="4">
        <f>AM1242/AE1242</f>
        <v/>
      </c>
      <c r="AO1242" s="3" t="inlineStr">
        <is>
          <t>60 mins</t>
        </is>
      </c>
      <c r="AQ1242" s="3" t="inlineStr">
        <is>
          <t>Weight</t>
        </is>
      </c>
      <c r="AT1242" s="3" t="inlineStr">
        <is>
          <t>3 hrs</t>
        </is>
      </c>
    </row>
    <row r="1243" ht="15.75" customHeight="1">
      <c r="A1243" s="3" t="inlineStr">
        <is>
          <t>PROD_0239</t>
        </is>
      </c>
      <c r="B1243" s="3" t="inlineStr">
        <is>
          <t>VAR_8</t>
        </is>
      </c>
      <c r="C1243" s="3" t="inlineStr">
        <is>
          <t>Electrical Material</t>
        </is>
      </c>
      <c r="D1243" s="3" t="inlineStr">
        <is>
          <t>Cieling Lights</t>
        </is>
      </c>
      <c r="E1243" s="3" t="inlineStr">
        <is>
          <t>Orient</t>
        </is>
      </c>
      <c r="F1243" s="3" t="inlineStr">
        <is>
          <t>Backlite Trim Recess Panel</t>
        </is>
      </c>
      <c r="H1243" s="3" t="inlineStr">
        <is>
          <t>Wattage</t>
        </is>
      </c>
      <c r="I1243" s="3" t="inlineStr">
        <is>
          <t>18 W</t>
        </is>
      </c>
      <c r="J1243" s="3" t="inlineStr">
        <is>
          <t>Cutting Size</t>
        </is>
      </c>
      <c r="K1243" s="3" t="inlineStr">
        <is>
          <t>80 mm</t>
        </is>
      </c>
      <c r="L1243" s="3" t="inlineStr">
        <is>
          <t>Color</t>
        </is>
      </c>
      <c r="M1243" s="3" t="inlineStr">
        <is>
          <t>Natural White</t>
        </is>
      </c>
      <c r="N1243" s="3" t="inlineStr">
        <is>
          <t>Shape</t>
        </is>
      </c>
      <c r="O1243" s="3" t="inlineStr">
        <is>
          <t>Round</t>
        </is>
      </c>
      <c r="Q1243" s="3" t="inlineStr">
        <is>
          <t>Manufacturer's Warranty</t>
        </is>
      </c>
      <c r="Y1243" s="3" t="inlineStr">
        <is>
          <t>CL_OR_BLTRPL_6_12_18W, CL_OR_BLTRPL</t>
        </is>
      </c>
      <c r="Z1243" s="3" t="n">
        <v>9405</v>
      </c>
      <c r="AE1243" s="3" t="n">
        <v>900</v>
      </c>
      <c r="AF1243" s="4" t="n">
        <v>0.7</v>
      </c>
      <c r="AG1243" s="3">
        <f>ROUND(AE1243-(AE1243*AF1243),2)</f>
        <v/>
      </c>
      <c r="AH1243" s="4" t="n">
        <v>0.18</v>
      </c>
      <c r="AI1243" s="3">
        <f>ROUND(AG1243+(AG1243*AH1243),2)</f>
        <v/>
      </c>
      <c r="AJ1243" s="4" t="n">
        <v>0.2</v>
      </c>
      <c r="AK1243" s="3">
        <f>ROUND(AI1243*AJ1243,2)</f>
        <v/>
      </c>
      <c r="AL1243" s="3">
        <f>AI1243+AK1243</f>
        <v/>
      </c>
      <c r="AM1243" s="3">
        <f>AE1243-AL1243</f>
        <v/>
      </c>
      <c r="AN1243" s="4">
        <f>AM1243/AE1243</f>
        <v/>
      </c>
      <c r="AO1243" s="3" t="inlineStr">
        <is>
          <t>60 mins</t>
        </is>
      </c>
      <c r="AQ1243" s="3" t="inlineStr">
        <is>
          <t>Weight</t>
        </is>
      </c>
      <c r="AT1243" s="3" t="inlineStr">
        <is>
          <t>3 hrs</t>
        </is>
      </c>
    </row>
    <row r="1244" ht="15.75" customHeight="1">
      <c r="A1244" s="3" t="inlineStr">
        <is>
          <t>PROD_0239</t>
        </is>
      </c>
      <c r="B1244" s="3" t="inlineStr">
        <is>
          <t>VAR_9</t>
        </is>
      </c>
      <c r="C1244" s="3" t="inlineStr">
        <is>
          <t>Electrical Material</t>
        </is>
      </c>
      <c r="D1244" s="3" t="inlineStr">
        <is>
          <t>Cieling Lights</t>
        </is>
      </c>
      <c r="E1244" s="3" t="inlineStr">
        <is>
          <t>Orient</t>
        </is>
      </c>
      <c r="F1244" s="3" t="inlineStr">
        <is>
          <t>Backlite Trim Recess Panel</t>
        </is>
      </c>
      <c r="H1244" s="3" t="inlineStr">
        <is>
          <t>Wattage</t>
        </is>
      </c>
      <c r="I1244" s="3" t="inlineStr">
        <is>
          <t>18 W</t>
        </is>
      </c>
      <c r="J1244" s="3" t="inlineStr">
        <is>
          <t>Cutting Size</t>
        </is>
      </c>
      <c r="K1244" s="3" t="inlineStr">
        <is>
          <t>80 mm</t>
        </is>
      </c>
      <c r="L1244" s="3" t="inlineStr">
        <is>
          <t>Color</t>
        </is>
      </c>
      <c r="M1244" s="3" t="inlineStr">
        <is>
          <t>Cool White</t>
        </is>
      </c>
      <c r="N1244" s="3" t="inlineStr">
        <is>
          <t>Shape</t>
        </is>
      </c>
      <c r="O1244" s="3" t="inlineStr">
        <is>
          <t>Round</t>
        </is>
      </c>
      <c r="Q1244" s="3" t="inlineStr">
        <is>
          <t>Manufacturer's Warranty</t>
        </is>
      </c>
      <c r="Y1244" s="3" t="inlineStr">
        <is>
          <t>CL_OR_BLTRPL_6_12_18W, CL_OR_BLTRPL</t>
        </is>
      </c>
      <c r="Z1244" s="3" t="n">
        <v>9405</v>
      </c>
      <c r="AE1244" s="3" t="n">
        <v>900</v>
      </c>
      <c r="AF1244" s="4" t="n">
        <v>0.7</v>
      </c>
      <c r="AG1244" s="3">
        <f>ROUND(AE1244-(AE1244*AF1244),2)</f>
        <v/>
      </c>
      <c r="AH1244" s="4" t="n">
        <v>0.18</v>
      </c>
      <c r="AI1244" s="3">
        <f>ROUND(AG1244+(AG1244*AH1244),2)</f>
        <v/>
      </c>
      <c r="AJ1244" s="4" t="n">
        <v>0.2</v>
      </c>
      <c r="AK1244" s="3">
        <f>ROUND(AI1244*AJ1244,2)</f>
        <v/>
      </c>
      <c r="AL1244" s="3">
        <f>AI1244+AK1244</f>
        <v/>
      </c>
      <c r="AM1244" s="3">
        <f>AE1244-AL1244</f>
        <v/>
      </c>
      <c r="AN1244" s="4">
        <f>AM1244/AE1244</f>
        <v/>
      </c>
      <c r="AO1244" s="3" t="inlineStr">
        <is>
          <t>60 mins</t>
        </is>
      </c>
      <c r="AQ1244" s="3" t="inlineStr">
        <is>
          <t>Weight</t>
        </is>
      </c>
      <c r="AT1244" s="3" t="inlineStr">
        <is>
          <t>3 hrs</t>
        </is>
      </c>
    </row>
    <row r="1245" ht="15.75" customHeight="1">
      <c r="A1245" s="3" t="inlineStr">
        <is>
          <t>PROD_0240</t>
        </is>
      </c>
      <c r="B1245" s="3" t="inlineStr">
        <is>
          <t>VAR_1</t>
        </is>
      </c>
      <c r="C1245" s="3" t="inlineStr">
        <is>
          <t>Electrical Material</t>
        </is>
      </c>
      <c r="D1245" s="3" t="inlineStr">
        <is>
          <t>Cieling Lights</t>
        </is>
      </c>
      <c r="E1245" s="3" t="inlineStr">
        <is>
          <t>Orient</t>
        </is>
      </c>
      <c r="F1245" s="3" t="inlineStr">
        <is>
          <t>Eternal Backlit LED Recess Panel</t>
        </is>
      </c>
      <c r="H1245" s="3" t="inlineStr">
        <is>
          <t>Wattage</t>
        </is>
      </c>
      <c r="I1245" s="3" t="inlineStr">
        <is>
          <t>10 W</t>
        </is>
      </c>
      <c r="J1245" s="3" t="inlineStr">
        <is>
          <t>Cutting Size</t>
        </is>
      </c>
      <c r="K1245" s="3" t="inlineStr">
        <is>
          <t>105 mm</t>
        </is>
      </c>
      <c r="L1245" s="3" t="inlineStr">
        <is>
          <t>Color</t>
        </is>
      </c>
      <c r="M1245" s="3" t="inlineStr">
        <is>
          <t>Warm White</t>
        </is>
      </c>
      <c r="N1245" s="3" t="inlineStr">
        <is>
          <t>Shape</t>
        </is>
      </c>
      <c r="O1245" s="3" t="inlineStr">
        <is>
          <t>Round</t>
        </is>
      </c>
      <c r="Q1245" s="3" t="inlineStr">
        <is>
          <t>Manufacturer's Warranty</t>
        </is>
      </c>
      <c r="Y1245" s="3" t="inlineStr">
        <is>
          <t>CL_OR_ETRBLT_RND_10W</t>
        </is>
      </c>
      <c r="Z1245" s="3" t="n">
        <v>9405</v>
      </c>
      <c r="AE1245" s="3" t="n">
        <v>700</v>
      </c>
      <c r="AF1245" s="4" t="n">
        <v>0.75</v>
      </c>
      <c r="AG1245" s="3">
        <f>ROUND(AE1245-(AE1245*AF1245),2)</f>
        <v/>
      </c>
      <c r="AH1245" s="4" t="n">
        <v>0.18</v>
      </c>
      <c r="AI1245" s="3">
        <f>ROUND(AG1245+(AG1245*AH1245),2)</f>
        <v/>
      </c>
      <c r="AJ1245" s="4" t="n">
        <v>0.2</v>
      </c>
      <c r="AK1245" s="3">
        <f>ROUND(AI1245*AJ1245,2)</f>
        <v/>
      </c>
      <c r="AL1245" s="3">
        <f>AI1245+AK1245</f>
        <v/>
      </c>
      <c r="AM1245" s="3">
        <f>AE1245-AL1245</f>
        <v/>
      </c>
      <c r="AN1245" s="4">
        <f>AM1245/AE1245</f>
        <v/>
      </c>
      <c r="AO1245" s="3" t="inlineStr">
        <is>
          <t>60 mins</t>
        </is>
      </c>
      <c r="AQ1245" s="3" t="inlineStr">
        <is>
          <t>Weight</t>
        </is>
      </c>
      <c r="AT1245" s="3" t="inlineStr">
        <is>
          <t>3 hrs</t>
        </is>
      </c>
    </row>
    <row r="1246" ht="15.75" customHeight="1">
      <c r="A1246" s="3" t="inlineStr">
        <is>
          <t>PROD_0240</t>
        </is>
      </c>
      <c r="B1246" s="3" t="inlineStr">
        <is>
          <t>VAR_2</t>
        </is>
      </c>
      <c r="C1246" s="3" t="inlineStr">
        <is>
          <t>Electrical Material</t>
        </is>
      </c>
      <c r="D1246" s="3" t="inlineStr">
        <is>
          <t>Cieling Lights</t>
        </is>
      </c>
      <c r="E1246" s="3" t="inlineStr">
        <is>
          <t>Orient</t>
        </is>
      </c>
      <c r="F1246" s="3" t="inlineStr">
        <is>
          <t>Eternal Backlit LED Recess Panel</t>
        </is>
      </c>
      <c r="H1246" s="3" t="inlineStr">
        <is>
          <t>Wattage</t>
        </is>
      </c>
      <c r="I1246" s="3" t="inlineStr">
        <is>
          <t>10 W</t>
        </is>
      </c>
      <c r="J1246" s="3" t="inlineStr">
        <is>
          <t>Cutting Size</t>
        </is>
      </c>
      <c r="K1246" s="3" t="inlineStr">
        <is>
          <t>105 mm</t>
        </is>
      </c>
      <c r="L1246" s="3" t="inlineStr">
        <is>
          <t>Color</t>
        </is>
      </c>
      <c r="M1246" s="3" t="inlineStr">
        <is>
          <t>Natural White</t>
        </is>
      </c>
      <c r="N1246" s="3" t="inlineStr">
        <is>
          <t>Shape</t>
        </is>
      </c>
      <c r="O1246" s="3" t="inlineStr">
        <is>
          <t>Round</t>
        </is>
      </c>
      <c r="Q1246" s="3" t="inlineStr">
        <is>
          <t>Manufacturer's Warranty</t>
        </is>
      </c>
      <c r="Y1246" s="3" t="inlineStr">
        <is>
          <t>CL_OR_ETRBLT_RND_10W</t>
        </is>
      </c>
      <c r="Z1246" s="3" t="n">
        <v>9405</v>
      </c>
      <c r="AE1246" s="3" t="n">
        <v>700</v>
      </c>
      <c r="AF1246" s="4" t="n">
        <v>0.75</v>
      </c>
      <c r="AG1246" s="3">
        <f>ROUND(AE1246-(AE1246*AF1246),2)</f>
        <v/>
      </c>
      <c r="AH1246" s="4" t="n">
        <v>0.18</v>
      </c>
      <c r="AI1246" s="3">
        <f>ROUND(AG1246+(AG1246*AH1246),2)</f>
        <v/>
      </c>
      <c r="AJ1246" s="4" t="n">
        <v>0.2</v>
      </c>
      <c r="AK1246" s="3">
        <f>ROUND(AI1246*AJ1246,2)</f>
        <v/>
      </c>
      <c r="AL1246" s="3">
        <f>AI1246+AK1246</f>
        <v/>
      </c>
      <c r="AM1246" s="3">
        <f>AE1246-AL1246</f>
        <v/>
      </c>
      <c r="AN1246" s="4">
        <f>AM1246/AE1246</f>
        <v/>
      </c>
      <c r="AO1246" s="3" t="inlineStr">
        <is>
          <t>60 mins</t>
        </is>
      </c>
      <c r="AQ1246" s="3" t="inlineStr">
        <is>
          <t>Weight</t>
        </is>
      </c>
      <c r="AT1246" s="3" t="inlineStr">
        <is>
          <t>3 hrs</t>
        </is>
      </c>
    </row>
    <row r="1247" ht="15.75" customHeight="1">
      <c r="A1247" s="3" t="inlineStr">
        <is>
          <t>PROD_0240</t>
        </is>
      </c>
      <c r="B1247" s="3" t="inlineStr">
        <is>
          <t>VAR_3</t>
        </is>
      </c>
      <c r="C1247" s="3" t="inlineStr">
        <is>
          <t>Electrical Material</t>
        </is>
      </c>
      <c r="D1247" s="3" t="inlineStr">
        <is>
          <t>Cieling Lights</t>
        </is>
      </c>
      <c r="E1247" s="3" t="inlineStr">
        <is>
          <t>Orient</t>
        </is>
      </c>
      <c r="F1247" s="3" t="inlineStr">
        <is>
          <t>Eternal Backlit LED Recess Panel</t>
        </is>
      </c>
      <c r="H1247" s="3" t="inlineStr">
        <is>
          <t>Wattage</t>
        </is>
      </c>
      <c r="I1247" s="3" t="inlineStr">
        <is>
          <t>10 W</t>
        </is>
      </c>
      <c r="J1247" s="3" t="inlineStr">
        <is>
          <t>Cutting Size</t>
        </is>
      </c>
      <c r="K1247" s="3" t="inlineStr">
        <is>
          <t>105 mm</t>
        </is>
      </c>
      <c r="L1247" s="3" t="inlineStr">
        <is>
          <t>Color</t>
        </is>
      </c>
      <c r="M1247" s="3" t="inlineStr">
        <is>
          <t>Cool White</t>
        </is>
      </c>
      <c r="N1247" s="3" t="inlineStr">
        <is>
          <t>Shape</t>
        </is>
      </c>
      <c r="O1247" s="3" t="inlineStr">
        <is>
          <t>Round</t>
        </is>
      </c>
      <c r="Q1247" s="3" t="inlineStr">
        <is>
          <t>Manufacturer's Warranty</t>
        </is>
      </c>
      <c r="Y1247" s="3" t="inlineStr">
        <is>
          <t>CL_OR_ETRBLT_RND_10W</t>
        </is>
      </c>
      <c r="Z1247" s="3" t="n">
        <v>9405</v>
      </c>
      <c r="AE1247" s="3" t="n">
        <v>700</v>
      </c>
      <c r="AF1247" s="4" t="n">
        <v>0.75</v>
      </c>
      <c r="AG1247" s="3">
        <f>ROUND(AE1247-(AE1247*AF1247),2)</f>
        <v/>
      </c>
      <c r="AH1247" s="4" t="n">
        <v>0.18</v>
      </c>
      <c r="AI1247" s="3">
        <f>ROUND(AG1247+(AG1247*AH1247),2)</f>
        <v/>
      </c>
      <c r="AJ1247" s="4" t="n">
        <v>0.2</v>
      </c>
      <c r="AK1247" s="3">
        <f>ROUND(AI1247*AJ1247,2)</f>
        <v/>
      </c>
      <c r="AL1247" s="3">
        <f>AI1247+AK1247</f>
        <v/>
      </c>
      <c r="AM1247" s="3">
        <f>AE1247-AL1247</f>
        <v/>
      </c>
      <c r="AN1247" s="4">
        <f>AM1247/AE1247</f>
        <v/>
      </c>
      <c r="AO1247" s="3" t="inlineStr">
        <is>
          <t>60 mins</t>
        </is>
      </c>
      <c r="AQ1247" s="3" t="inlineStr">
        <is>
          <t>Weight</t>
        </is>
      </c>
      <c r="AT1247" s="3" t="inlineStr">
        <is>
          <t>3 hrs</t>
        </is>
      </c>
    </row>
    <row r="1248" ht="15.75" customHeight="1">
      <c r="A1248" s="3" t="inlineStr">
        <is>
          <t>PROD_0240</t>
        </is>
      </c>
      <c r="B1248" s="3" t="inlineStr">
        <is>
          <t>VAR_4</t>
        </is>
      </c>
      <c r="C1248" s="3" t="inlineStr">
        <is>
          <t>Electrical Material</t>
        </is>
      </c>
      <c r="D1248" s="3" t="inlineStr">
        <is>
          <t>Cieling Lights</t>
        </is>
      </c>
      <c r="E1248" s="3" t="inlineStr">
        <is>
          <t>Orient</t>
        </is>
      </c>
      <c r="F1248" s="3" t="inlineStr">
        <is>
          <t>Eternal Backlit LED Recess Panel</t>
        </is>
      </c>
      <c r="H1248" s="3" t="inlineStr">
        <is>
          <t>Wattage</t>
        </is>
      </c>
      <c r="I1248" s="3" t="inlineStr">
        <is>
          <t>15 W</t>
        </is>
      </c>
      <c r="J1248" s="3" t="inlineStr">
        <is>
          <t>Cutting Size</t>
        </is>
      </c>
      <c r="K1248" s="3" t="inlineStr">
        <is>
          <t>105 mm</t>
        </is>
      </c>
      <c r="L1248" s="3" t="inlineStr">
        <is>
          <t>Color</t>
        </is>
      </c>
      <c r="M1248" s="3" t="inlineStr">
        <is>
          <t>Warm White</t>
        </is>
      </c>
      <c r="N1248" s="3" t="inlineStr">
        <is>
          <t>Shape</t>
        </is>
      </c>
      <c r="O1248" s="3" t="inlineStr">
        <is>
          <t>Round</t>
        </is>
      </c>
      <c r="Q1248" s="3" t="inlineStr">
        <is>
          <t>Manufacturer's Warranty</t>
        </is>
      </c>
      <c r="Y1248" s="3" t="inlineStr">
        <is>
          <t>CL_OR_ETRBLT_RND_15W</t>
        </is>
      </c>
      <c r="Z1248" s="3" t="n">
        <v>9405</v>
      </c>
      <c r="AE1248" s="3" t="n">
        <v>800</v>
      </c>
      <c r="AF1248" s="4" t="n">
        <v>0.7</v>
      </c>
      <c r="AG1248" s="3">
        <f>ROUND(AE1248-(AE1248*AF1248),2)</f>
        <v/>
      </c>
      <c r="AH1248" s="4" t="n">
        <v>0.18</v>
      </c>
      <c r="AI1248" s="3">
        <f>ROUND(AG1248+(AG1248*AH1248),2)</f>
        <v/>
      </c>
      <c r="AJ1248" s="4" t="n">
        <v>0.2</v>
      </c>
      <c r="AK1248" s="3">
        <f>ROUND(AI1248*AJ1248,2)</f>
        <v/>
      </c>
      <c r="AL1248" s="3">
        <f>AI1248+AK1248</f>
        <v/>
      </c>
      <c r="AM1248" s="3">
        <f>AE1248-AL1248</f>
        <v/>
      </c>
      <c r="AN1248" s="4">
        <f>AM1248/AE1248</f>
        <v/>
      </c>
      <c r="AO1248" s="3" t="inlineStr">
        <is>
          <t>60 mins</t>
        </is>
      </c>
      <c r="AQ1248" s="3" t="inlineStr">
        <is>
          <t>Weight</t>
        </is>
      </c>
      <c r="AT1248" s="3" t="inlineStr">
        <is>
          <t>3 hrs</t>
        </is>
      </c>
    </row>
    <row r="1249" ht="15.75" customHeight="1">
      <c r="A1249" s="3" t="inlineStr">
        <is>
          <t>PROD_0240</t>
        </is>
      </c>
      <c r="B1249" s="3" t="inlineStr">
        <is>
          <t>VAR_5</t>
        </is>
      </c>
      <c r="C1249" s="3" t="inlineStr">
        <is>
          <t>Electrical Material</t>
        </is>
      </c>
      <c r="D1249" s="3" t="inlineStr">
        <is>
          <t>Cieling Lights</t>
        </is>
      </c>
      <c r="E1249" s="3" t="inlineStr">
        <is>
          <t>Orient</t>
        </is>
      </c>
      <c r="F1249" s="3" t="inlineStr">
        <is>
          <t>Eternal Backlit LED Recess Panel</t>
        </is>
      </c>
      <c r="H1249" s="3" t="inlineStr">
        <is>
          <t>Wattage</t>
        </is>
      </c>
      <c r="I1249" s="3" t="inlineStr">
        <is>
          <t>15 W</t>
        </is>
      </c>
      <c r="J1249" s="3" t="inlineStr">
        <is>
          <t>Cutting Size</t>
        </is>
      </c>
      <c r="K1249" s="3" t="inlineStr">
        <is>
          <t>105 mm</t>
        </is>
      </c>
      <c r="L1249" s="3" t="inlineStr">
        <is>
          <t>Color</t>
        </is>
      </c>
      <c r="M1249" s="3" t="inlineStr">
        <is>
          <t>Natural White</t>
        </is>
      </c>
      <c r="N1249" s="3" t="inlineStr">
        <is>
          <t>Shape</t>
        </is>
      </c>
      <c r="O1249" s="3" t="inlineStr">
        <is>
          <t>Round</t>
        </is>
      </c>
      <c r="Q1249" s="3" t="inlineStr">
        <is>
          <t>Manufacturer's Warranty</t>
        </is>
      </c>
      <c r="Y1249" s="3" t="inlineStr">
        <is>
          <t>CL_OR_ETRBLT_RND_15W</t>
        </is>
      </c>
      <c r="Z1249" s="3" t="n">
        <v>9405</v>
      </c>
      <c r="AE1249" s="3" t="n">
        <v>800</v>
      </c>
      <c r="AF1249" s="4" t="n">
        <v>0.7</v>
      </c>
      <c r="AG1249" s="3">
        <f>ROUND(AE1249-(AE1249*AF1249),2)</f>
        <v/>
      </c>
      <c r="AH1249" s="4" t="n">
        <v>0.18</v>
      </c>
      <c r="AI1249" s="3">
        <f>ROUND(AG1249+(AG1249*AH1249),2)</f>
        <v/>
      </c>
      <c r="AJ1249" s="4" t="n">
        <v>0.2</v>
      </c>
      <c r="AK1249" s="3">
        <f>ROUND(AI1249*AJ1249,2)</f>
        <v/>
      </c>
      <c r="AL1249" s="3">
        <f>AI1249+AK1249</f>
        <v/>
      </c>
      <c r="AM1249" s="3">
        <f>AE1249-AL1249</f>
        <v/>
      </c>
      <c r="AN1249" s="4">
        <f>AM1249/AE1249</f>
        <v/>
      </c>
      <c r="AO1249" s="3" t="inlineStr">
        <is>
          <t>60 mins</t>
        </is>
      </c>
      <c r="AQ1249" s="3" t="inlineStr">
        <is>
          <t>Weight</t>
        </is>
      </c>
      <c r="AT1249" s="3" t="inlineStr">
        <is>
          <t>3 hrs</t>
        </is>
      </c>
    </row>
    <row r="1250" ht="15.75" customHeight="1">
      <c r="A1250" s="3" t="inlineStr">
        <is>
          <t>PROD_0240</t>
        </is>
      </c>
      <c r="B1250" s="3" t="inlineStr">
        <is>
          <t>VAR_6</t>
        </is>
      </c>
      <c r="C1250" s="3" t="inlineStr">
        <is>
          <t>Electrical Material</t>
        </is>
      </c>
      <c r="D1250" s="3" t="inlineStr">
        <is>
          <t>Cieling Lights</t>
        </is>
      </c>
      <c r="E1250" s="3" t="inlineStr">
        <is>
          <t>Orient</t>
        </is>
      </c>
      <c r="F1250" s="3" t="inlineStr">
        <is>
          <t>Eternal Backlit LED Recess Panel</t>
        </is>
      </c>
      <c r="H1250" s="3" t="inlineStr">
        <is>
          <t>Wattage</t>
        </is>
      </c>
      <c r="I1250" s="3" t="inlineStr">
        <is>
          <t>15 W</t>
        </is>
      </c>
      <c r="J1250" s="3" t="inlineStr">
        <is>
          <t>Cutting Size</t>
        </is>
      </c>
      <c r="K1250" s="3" t="inlineStr">
        <is>
          <t>105 mm</t>
        </is>
      </c>
      <c r="L1250" s="3" t="inlineStr">
        <is>
          <t>Color</t>
        </is>
      </c>
      <c r="M1250" s="3" t="inlineStr">
        <is>
          <t>Cool White</t>
        </is>
      </c>
      <c r="N1250" s="3" t="inlineStr">
        <is>
          <t>Shape</t>
        </is>
      </c>
      <c r="O1250" s="3" t="inlineStr">
        <is>
          <t>Round</t>
        </is>
      </c>
      <c r="Q1250" s="3" t="inlineStr">
        <is>
          <t>Manufacturer's Warranty</t>
        </is>
      </c>
      <c r="Y1250" s="3" t="inlineStr">
        <is>
          <t>CL_OR_ETRBLT_RND_15W</t>
        </is>
      </c>
      <c r="Z1250" s="3" t="n">
        <v>9405</v>
      </c>
      <c r="AE1250" s="3" t="n">
        <v>800</v>
      </c>
      <c r="AF1250" s="4" t="n">
        <v>0.7</v>
      </c>
      <c r="AG1250" s="3">
        <f>ROUND(AE1250-(AE1250*AF1250),2)</f>
        <v/>
      </c>
      <c r="AH1250" s="4" t="n">
        <v>0.18</v>
      </c>
      <c r="AI1250" s="3">
        <f>ROUND(AG1250+(AG1250*AH1250),2)</f>
        <v/>
      </c>
      <c r="AJ1250" s="4" t="n">
        <v>0.2</v>
      </c>
      <c r="AK1250" s="3">
        <f>ROUND(AI1250*AJ1250,2)</f>
        <v/>
      </c>
      <c r="AL1250" s="3">
        <f>AI1250+AK1250</f>
        <v/>
      </c>
      <c r="AM1250" s="3">
        <f>AE1250-AL1250</f>
        <v/>
      </c>
      <c r="AN1250" s="4">
        <f>AM1250/AE1250</f>
        <v/>
      </c>
      <c r="AO1250" s="3" t="inlineStr">
        <is>
          <t>60 mins</t>
        </is>
      </c>
      <c r="AQ1250" s="3" t="inlineStr">
        <is>
          <t>Weight</t>
        </is>
      </c>
      <c r="AT1250" s="3" t="inlineStr">
        <is>
          <t>3 hrs</t>
        </is>
      </c>
    </row>
    <row r="1251" ht="15.75" customHeight="1">
      <c r="A1251" s="3" t="inlineStr">
        <is>
          <t>PROD_0240</t>
        </is>
      </c>
      <c r="B1251" s="3" t="inlineStr">
        <is>
          <t>VAR_7</t>
        </is>
      </c>
      <c r="C1251" s="3" t="inlineStr">
        <is>
          <t>Electrical Material</t>
        </is>
      </c>
      <c r="D1251" s="3" t="inlineStr">
        <is>
          <t>Cieling Lights</t>
        </is>
      </c>
      <c r="E1251" s="3" t="inlineStr">
        <is>
          <t>Orient</t>
        </is>
      </c>
      <c r="F1251" s="3" t="inlineStr">
        <is>
          <t>Eternal Backlit LED Recess Panel</t>
        </is>
      </c>
      <c r="H1251" s="3" t="inlineStr">
        <is>
          <t>Wattage</t>
        </is>
      </c>
      <c r="I1251" s="3" t="inlineStr">
        <is>
          <t>10 W</t>
        </is>
      </c>
      <c r="J1251" s="3" t="inlineStr">
        <is>
          <t>Cutting Size</t>
        </is>
      </c>
      <c r="K1251" s="3" t="inlineStr">
        <is>
          <t>105 mm</t>
        </is>
      </c>
      <c r="L1251" s="3" t="inlineStr">
        <is>
          <t>Color</t>
        </is>
      </c>
      <c r="M1251" s="3" t="inlineStr">
        <is>
          <t>Warm White</t>
        </is>
      </c>
      <c r="N1251" s="3" t="inlineStr">
        <is>
          <t>Shape</t>
        </is>
      </c>
      <c r="O1251" s="3" t="inlineStr">
        <is>
          <t>Square</t>
        </is>
      </c>
      <c r="Q1251" s="3" t="inlineStr">
        <is>
          <t>Manufacturer's Warranty</t>
        </is>
      </c>
      <c r="Y1251" s="3" t="inlineStr">
        <is>
          <t>CL_OR_ETRBLT_SQ_10W</t>
        </is>
      </c>
      <c r="Z1251" s="3" t="n">
        <v>9405</v>
      </c>
      <c r="AE1251" s="3" t="n">
        <v>700</v>
      </c>
      <c r="AF1251" s="4" t="n">
        <v>0.75</v>
      </c>
      <c r="AG1251" s="3">
        <f>ROUND(AE1251-(AE1251*AF1251),2)</f>
        <v/>
      </c>
      <c r="AH1251" s="4" t="n">
        <v>0.18</v>
      </c>
      <c r="AI1251" s="3">
        <f>ROUND(AG1251+(AG1251*AH1251),2)</f>
        <v/>
      </c>
      <c r="AJ1251" s="4" t="n">
        <v>0.2</v>
      </c>
      <c r="AK1251" s="3">
        <f>ROUND(AI1251*AJ1251,2)</f>
        <v/>
      </c>
      <c r="AL1251" s="3">
        <f>AI1251+AK1251</f>
        <v/>
      </c>
      <c r="AM1251" s="3">
        <f>AE1251-AL1251</f>
        <v/>
      </c>
      <c r="AN1251" s="4">
        <f>AM1251/AE1251</f>
        <v/>
      </c>
      <c r="AO1251" s="3" t="inlineStr">
        <is>
          <t>60 mins</t>
        </is>
      </c>
      <c r="AQ1251" s="3" t="inlineStr">
        <is>
          <t>Weight</t>
        </is>
      </c>
      <c r="AT1251" s="3" t="inlineStr">
        <is>
          <t>3 hrs</t>
        </is>
      </c>
    </row>
    <row r="1252" ht="15.75" customHeight="1">
      <c r="A1252" s="3" t="inlineStr">
        <is>
          <t>PROD_0240</t>
        </is>
      </c>
      <c r="B1252" s="3" t="inlineStr">
        <is>
          <t>VAR_8</t>
        </is>
      </c>
      <c r="C1252" s="3" t="inlineStr">
        <is>
          <t>Electrical Material</t>
        </is>
      </c>
      <c r="D1252" s="3" t="inlineStr">
        <is>
          <t>Cieling Lights</t>
        </is>
      </c>
      <c r="E1252" s="3" t="inlineStr">
        <is>
          <t>Orient</t>
        </is>
      </c>
      <c r="F1252" s="3" t="inlineStr">
        <is>
          <t>Eternal Backlit LED Recess Panel</t>
        </is>
      </c>
      <c r="H1252" s="3" t="inlineStr">
        <is>
          <t>Wattage</t>
        </is>
      </c>
      <c r="I1252" s="3" t="inlineStr">
        <is>
          <t>10 W</t>
        </is>
      </c>
      <c r="J1252" s="3" t="inlineStr">
        <is>
          <t>Cutting Size</t>
        </is>
      </c>
      <c r="K1252" s="3" t="inlineStr">
        <is>
          <t>105 mm</t>
        </is>
      </c>
      <c r="L1252" s="3" t="inlineStr">
        <is>
          <t>Color</t>
        </is>
      </c>
      <c r="M1252" s="3" t="inlineStr">
        <is>
          <t>Natural White</t>
        </is>
      </c>
      <c r="N1252" s="3" t="inlineStr">
        <is>
          <t>Shape</t>
        </is>
      </c>
      <c r="O1252" s="3" t="inlineStr">
        <is>
          <t>Square</t>
        </is>
      </c>
      <c r="Q1252" s="3" t="inlineStr">
        <is>
          <t>Manufacturer's Warranty</t>
        </is>
      </c>
      <c r="Y1252" s="3" t="inlineStr">
        <is>
          <t>CL_OR_ETRBLT_SQ_10W</t>
        </is>
      </c>
      <c r="Z1252" s="3" t="n">
        <v>9405</v>
      </c>
      <c r="AE1252" s="3" t="n">
        <v>700</v>
      </c>
      <c r="AF1252" s="4" t="n">
        <v>0.75</v>
      </c>
      <c r="AG1252" s="3">
        <f>ROUND(AE1252-(AE1252*AF1252),2)</f>
        <v/>
      </c>
      <c r="AH1252" s="4" t="n">
        <v>0.18</v>
      </c>
      <c r="AI1252" s="3">
        <f>ROUND(AG1252+(AG1252*AH1252),2)</f>
        <v/>
      </c>
      <c r="AJ1252" s="4" t="n">
        <v>0.2</v>
      </c>
      <c r="AK1252" s="3">
        <f>ROUND(AI1252*AJ1252,2)</f>
        <v/>
      </c>
      <c r="AL1252" s="3">
        <f>AI1252+AK1252</f>
        <v/>
      </c>
      <c r="AM1252" s="3">
        <f>AE1252-AL1252</f>
        <v/>
      </c>
      <c r="AN1252" s="4">
        <f>AM1252/AE1252</f>
        <v/>
      </c>
      <c r="AO1252" s="3" t="inlineStr">
        <is>
          <t>60 mins</t>
        </is>
      </c>
      <c r="AQ1252" s="3" t="inlineStr">
        <is>
          <t>Weight</t>
        </is>
      </c>
      <c r="AT1252" s="3" t="inlineStr">
        <is>
          <t>3 hrs</t>
        </is>
      </c>
    </row>
    <row r="1253" ht="15.75" customHeight="1">
      <c r="A1253" s="3" t="inlineStr">
        <is>
          <t>PROD_0240</t>
        </is>
      </c>
      <c r="B1253" s="3" t="inlineStr">
        <is>
          <t>VAR_9</t>
        </is>
      </c>
      <c r="C1253" s="3" t="inlineStr">
        <is>
          <t>Electrical Material</t>
        </is>
      </c>
      <c r="D1253" s="3" t="inlineStr">
        <is>
          <t>Cieling Lights</t>
        </is>
      </c>
      <c r="E1253" s="3" t="inlineStr">
        <is>
          <t>Orient</t>
        </is>
      </c>
      <c r="F1253" s="3" t="inlineStr">
        <is>
          <t>Eternal Backlit LED Recess Panel</t>
        </is>
      </c>
      <c r="H1253" s="3" t="inlineStr">
        <is>
          <t>Wattage</t>
        </is>
      </c>
      <c r="I1253" s="3" t="inlineStr">
        <is>
          <t>10 W</t>
        </is>
      </c>
      <c r="J1253" s="3" t="inlineStr">
        <is>
          <t>Cutting Size</t>
        </is>
      </c>
      <c r="K1253" s="3" t="inlineStr">
        <is>
          <t>105 mm</t>
        </is>
      </c>
      <c r="L1253" s="3" t="inlineStr">
        <is>
          <t>Color</t>
        </is>
      </c>
      <c r="M1253" s="3" t="inlineStr">
        <is>
          <t>Cool White</t>
        </is>
      </c>
      <c r="N1253" s="3" t="inlineStr">
        <is>
          <t>Shape</t>
        </is>
      </c>
      <c r="O1253" s="3" t="inlineStr">
        <is>
          <t>Square</t>
        </is>
      </c>
      <c r="Q1253" s="3" t="inlineStr">
        <is>
          <t>Manufacturer's Warranty</t>
        </is>
      </c>
      <c r="Y1253" s="3" t="inlineStr">
        <is>
          <t>CL_OR_ETRBLT_SQ_10W</t>
        </is>
      </c>
      <c r="Z1253" s="3" t="n">
        <v>9405</v>
      </c>
      <c r="AE1253" s="3" t="n">
        <v>700</v>
      </c>
      <c r="AF1253" s="4" t="n">
        <v>0.75</v>
      </c>
      <c r="AG1253" s="3">
        <f>ROUND(AE1253-(AE1253*AF1253),2)</f>
        <v/>
      </c>
      <c r="AH1253" s="4" t="n">
        <v>0.18</v>
      </c>
      <c r="AI1253" s="3">
        <f>ROUND(AG1253+(AG1253*AH1253),2)</f>
        <v/>
      </c>
      <c r="AJ1253" s="4" t="n">
        <v>0.2</v>
      </c>
      <c r="AK1253" s="3">
        <f>ROUND(AI1253*AJ1253,2)</f>
        <v/>
      </c>
      <c r="AL1253" s="3">
        <f>AI1253+AK1253</f>
        <v/>
      </c>
      <c r="AM1253" s="3">
        <f>AE1253-AL1253</f>
        <v/>
      </c>
      <c r="AN1253" s="4">
        <f>AM1253/AE1253</f>
        <v/>
      </c>
      <c r="AO1253" s="3" t="inlineStr">
        <is>
          <t>60 mins</t>
        </is>
      </c>
      <c r="AQ1253" s="3" t="inlineStr">
        <is>
          <t>Weight</t>
        </is>
      </c>
      <c r="AT1253" s="3" t="inlineStr">
        <is>
          <t>3 hrs</t>
        </is>
      </c>
    </row>
    <row r="1254" ht="15.75" customHeight="1">
      <c r="A1254" s="3" t="inlineStr">
        <is>
          <t>PROD_0240</t>
        </is>
      </c>
      <c r="B1254" s="3" t="inlineStr">
        <is>
          <t>VAR_10</t>
        </is>
      </c>
      <c r="C1254" s="3" t="inlineStr">
        <is>
          <t>Electrical Material</t>
        </is>
      </c>
      <c r="D1254" s="3" t="inlineStr">
        <is>
          <t>Cieling Lights</t>
        </is>
      </c>
      <c r="E1254" s="3" t="inlineStr">
        <is>
          <t>Orient</t>
        </is>
      </c>
      <c r="F1254" s="3" t="inlineStr">
        <is>
          <t>Eternal Backlit LED Recess Panel</t>
        </is>
      </c>
      <c r="H1254" s="3" t="inlineStr">
        <is>
          <t>Wattage</t>
        </is>
      </c>
      <c r="I1254" s="3" t="inlineStr">
        <is>
          <t>15 W</t>
        </is>
      </c>
      <c r="J1254" s="3" t="inlineStr">
        <is>
          <t>Cutting Size</t>
        </is>
      </c>
      <c r="K1254" s="3" t="inlineStr">
        <is>
          <t>105 mm</t>
        </is>
      </c>
      <c r="L1254" s="3" t="inlineStr">
        <is>
          <t>Color</t>
        </is>
      </c>
      <c r="M1254" s="3" t="inlineStr">
        <is>
          <t>Warm White</t>
        </is>
      </c>
      <c r="N1254" s="3" t="inlineStr">
        <is>
          <t>Shape</t>
        </is>
      </c>
      <c r="O1254" s="3" t="inlineStr">
        <is>
          <t>Square</t>
        </is>
      </c>
      <c r="Q1254" s="3" t="inlineStr">
        <is>
          <t>Manufacturer's Warranty</t>
        </is>
      </c>
      <c r="Y1254" s="3" t="inlineStr">
        <is>
          <t>CL_OR_ETRBLT_SQ_15W</t>
        </is>
      </c>
      <c r="Z1254" s="3" t="n">
        <v>9405</v>
      </c>
      <c r="AE1254" s="3" t="n">
        <v>800</v>
      </c>
      <c r="AF1254" s="4" t="n">
        <v>0.7</v>
      </c>
      <c r="AG1254" s="3">
        <f>ROUND(AE1254-(AE1254*AF1254),2)</f>
        <v/>
      </c>
      <c r="AH1254" s="4" t="n">
        <v>0.18</v>
      </c>
      <c r="AI1254" s="3">
        <f>ROUND(AG1254+(AG1254*AH1254),2)</f>
        <v/>
      </c>
      <c r="AJ1254" s="4" t="n">
        <v>0.2</v>
      </c>
      <c r="AK1254" s="3">
        <f>ROUND(AI1254*AJ1254,2)</f>
        <v/>
      </c>
      <c r="AL1254" s="3">
        <f>AI1254+AK1254</f>
        <v/>
      </c>
      <c r="AM1254" s="3">
        <f>AE1254-AL1254</f>
        <v/>
      </c>
      <c r="AN1254" s="4">
        <f>AM1254/AE1254</f>
        <v/>
      </c>
      <c r="AO1254" s="3" t="inlineStr">
        <is>
          <t>60 mins</t>
        </is>
      </c>
      <c r="AQ1254" s="3" t="inlineStr">
        <is>
          <t>Weight</t>
        </is>
      </c>
      <c r="AT1254" s="3" t="inlineStr">
        <is>
          <t>3 hrs</t>
        </is>
      </c>
    </row>
    <row r="1255" ht="15.75" customHeight="1">
      <c r="A1255" s="3" t="inlineStr">
        <is>
          <t>PROD_0240</t>
        </is>
      </c>
      <c r="B1255" s="3" t="inlineStr">
        <is>
          <t>VAR_11</t>
        </is>
      </c>
      <c r="C1255" s="3" t="inlineStr">
        <is>
          <t>Electrical Material</t>
        </is>
      </c>
      <c r="D1255" s="3" t="inlineStr">
        <is>
          <t>Cieling Lights</t>
        </is>
      </c>
      <c r="E1255" s="3" t="inlineStr">
        <is>
          <t>Orient</t>
        </is>
      </c>
      <c r="F1255" s="3" t="inlineStr">
        <is>
          <t>Eternal Backlit LED Recess Panel</t>
        </is>
      </c>
      <c r="H1255" s="3" t="inlineStr">
        <is>
          <t>Wattage</t>
        </is>
      </c>
      <c r="I1255" s="3" t="inlineStr">
        <is>
          <t>15 W</t>
        </is>
      </c>
      <c r="J1255" s="3" t="inlineStr">
        <is>
          <t>Cutting Size</t>
        </is>
      </c>
      <c r="K1255" s="3" t="inlineStr">
        <is>
          <t>105 mm</t>
        </is>
      </c>
      <c r="L1255" s="3" t="inlineStr">
        <is>
          <t>Color</t>
        </is>
      </c>
      <c r="M1255" s="3" t="inlineStr">
        <is>
          <t>Natural White</t>
        </is>
      </c>
      <c r="N1255" s="3" t="inlineStr">
        <is>
          <t>Shape</t>
        </is>
      </c>
      <c r="O1255" s="3" t="inlineStr">
        <is>
          <t>Square</t>
        </is>
      </c>
      <c r="Q1255" s="3" t="inlineStr">
        <is>
          <t>Manufacturer's Warranty</t>
        </is>
      </c>
      <c r="Y1255" s="3" t="inlineStr">
        <is>
          <t>CL_OR_ETRBLT_SQ_15W</t>
        </is>
      </c>
      <c r="Z1255" s="3" t="n">
        <v>9405</v>
      </c>
      <c r="AE1255" s="3" t="n">
        <v>800</v>
      </c>
      <c r="AF1255" s="4" t="n">
        <v>0.7</v>
      </c>
      <c r="AG1255" s="3">
        <f>ROUND(AE1255-(AE1255*AF1255),2)</f>
        <v/>
      </c>
      <c r="AH1255" s="4" t="n">
        <v>0.18</v>
      </c>
      <c r="AI1255" s="3">
        <f>ROUND(AG1255+(AG1255*AH1255),2)</f>
        <v/>
      </c>
      <c r="AJ1255" s="4" t="n">
        <v>0.2</v>
      </c>
      <c r="AK1255" s="3">
        <f>ROUND(AI1255*AJ1255,2)</f>
        <v/>
      </c>
      <c r="AL1255" s="3">
        <f>AI1255+AK1255</f>
        <v/>
      </c>
      <c r="AM1255" s="3">
        <f>AE1255-AL1255</f>
        <v/>
      </c>
      <c r="AN1255" s="4">
        <f>AM1255/AE1255</f>
        <v/>
      </c>
      <c r="AO1255" s="3" t="inlineStr">
        <is>
          <t>60 mins</t>
        </is>
      </c>
      <c r="AQ1255" s="3" t="inlineStr">
        <is>
          <t>Weight</t>
        </is>
      </c>
      <c r="AT1255" s="3" t="inlineStr">
        <is>
          <t>3 hrs</t>
        </is>
      </c>
    </row>
    <row r="1256" ht="15.75" customHeight="1">
      <c r="A1256" s="3" t="inlineStr">
        <is>
          <t>PROD_0240</t>
        </is>
      </c>
      <c r="B1256" s="3" t="inlineStr">
        <is>
          <t>VAR_12</t>
        </is>
      </c>
      <c r="C1256" s="3" t="inlineStr">
        <is>
          <t>Electrical Material</t>
        </is>
      </c>
      <c r="D1256" s="3" t="inlineStr">
        <is>
          <t>Cieling Lights</t>
        </is>
      </c>
      <c r="E1256" s="3" t="inlineStr">
        <is>
          <t>Orient</t>
        </is>
      </c>
      <c r="F1256" s="3" t="inlineStr">
        <is>
          <t>Eternal Backlit LED Recess Panel</t>
        </is>
      </c>
      <c r="H1256" s="3" t="inlineStr">
        <is>
          <t>Wattage</t>
        </is>
      </c>
      <c r="I1256" s="3" t="inlineStr">
        <is>
          <t>15 W</t>
        </is>
      </c>
      <c r="J1256" s="3" t="inlineStr">
        <is>
          <t>Cutting Size</t>
        </is>
      </c>
      <c r="K1256" s="3" t="inlineStr">
        <is>
          <t>105 mm</t>
        </is>
      </c>
      <c r="L1256" s="3" t="inlineStr">
        <is>
          <t>Color</t>
        </is>
      </c>
      <c r="M1256" s="3" t="inlineStr">
        <is>
          <t>Cool White</t>
        </is>
      </c>
      <c r="N1256" s="3" t="inlineStr">
        <is>
          <t>Shape</t>
        </is>
      </c>
      <c r="O1256" s="3" t="inlineStr">
        <is>
          <t>Square</t>
        </is>
      </c>
      <c r="Q1256" s="3" t="inlineStr">
        <is>
          <t>Manufacturer's Warranty</t>
        </is>
      </c>
      <c r="Y1256" s="3" t="inlineStr">
        <is>
          <t>CL_OR_ETRBLT_SQ_15W</t>
        </is>
      </c>
      <c r="Z1256" s="3" t="n">
        <v>9405</v>
      </c>
      <c r="AE1256" s="3" t="n">
        <v>800</v>
      </c>
      <c r="AF1256" s="4" t="n">
        <v>0.7</v>
      </c>
      <c r="AG1256" s="3">
        <f>ROUND(AE1256-(AE1256*AF1256),2)</f>
        <v/>
      </c>
      <c r="AH1256" s="4" t="n">
        <v>0.18</v>
      </c>
      <c r="AI1256" s="3">
        <f>ROUND(AG1256+(AG1256*AH1256),2)</f>
        <v/>
      </c>
      <c r="AJ1256" s="4" t="n">
        <v>0.2</v>
      </c>
      <c r="AK1256" s="3">
        <f>ROUND(AI1256*AJ1256,2)</f>
        <v/>
      </c>
      <c r="AL1256" s="3">
        <f>AI1256+AK1256</f>
        <v/>
      </c>
      <c r="AM1256" s="3">
        <f>AE1256-AL1256</f>
        <v/>
      </c>
      <c r="AN1256" s="4">
        <f>AM1256/AE1256</f>
        <v/>
      </c>
      <c r="AO1256" s="3" t="inlineStr">
        <is>
          <t>60 mins</t>
        </is>
      </c>
      <c r="AQ1256" s="3" t="inlineStr">
        <is>
          <t>Weight</t>
        </is>
      </c>
      <c r="AT1256" s="3" t="inlineStr">
        <is>
          <t>3 hrs</t>
        </is>
      </c>
    </row>
    <row r="1257" ht="15.75" customHeight="1">
      <c r="A1257" s="3" t="inlineStr">
        <is>
          <t>PROD_0241</t>
        </is>
      </c>
      <c r="B1257" s="3" t="inlineStr">
        <is>
          <t>VAR_1</t>
        </is>
      </c>
      <c r="C1257" s="3" t="inlineStr">
        <is>
          <t>Electrical Material</t>
        </is>
      </c>
      <c r="D1257" s="3" t="inlineStr">
        <is>
          <t>Surface Light</t>
        </is>
      </c>
      <c r="E1257" s="3" t="inlineStr">
        <is>
          <t>Philips</t>
        </is>
      </c>
      <c r="F1257" s="3" t="inlineStr">
        <is>
          <t>Star Surface</t>
        </is>
      </c>
      <c r="H1257" s="3" t="inlineStr">
        <is>
          <t>Wattage</t>
        </is>
      </c>
      <c r="I1257" s="3" t="inlineStr">
        <is>
          <t>7 W</t>
        </is>
      </c>
      <c r="J1257" s="3" t="inlineStr">
        <is>
          <t>Dimension</t>
        </is>
      </c>
      <c r="K1257" s="3" t="inlineStr">
        <is>
          <t>146 mm X 146 mm</t>
        </is>
      </c>
      <c r="L1257" s="3" t="inlineStr">
        <is>
          <t>Color</t>
        </is>
      </c>
      <c r="M1257" s="3" t="inlineStr">
        <is>
          <t>Warm White</t>
        </is>
      </c>
      <c r="N1257" s="3" t="inlineStr">
        <is>
          <t>Shape</t>
        </is>
      </c>
      <c r="O1257" s="3" t="inlineStr">
        <is>
          <t>Round</t>
        </is>
      </c>
      <c r="Q1257" s="3" t="inlineStr">
        <is>
          <t>Manufacturer's Warranty</t>
        </is>
      </c>
      <c r="Y1257" s="3" t="inlineStr">
        <is>
          <t>EM_CLN_PHILLIPS_STARSURF_ROUND</t>
        </is>
      </c>
      <c r="Z1257" s="3" t="n">
        <v>9405</v>
      </c>
      <c r="AE1257" s="3" t="n">
        <v>800</v>
      </c>
      <c r="AF1257" s="4" t="n">
        <v>0.37</v>
      </c>
      <c r="AG1257" s="3">
        <f>ROUND(AE1257-(AE1257*AF1257),2)</f>
        <v/>
      </c>
      <c r="AH1257" s="4" t="n">
        <v>0.18</v>
      </c>
      <c r="AI1257" s="3">
        <f>ROUND(AG1257+(AG1257*AH1257),2)</f>
        <v/>
      </c>
      <c r="AJ1257" s="4" t="n">
        <v>0.2</v>
      </c>
      <c r="AK1257" s="3">
        <f>ROUND(AI1257*AJ1257,2)</f>
        <v/>
      </c>
      <c r="AL1257" s="3">
        <f>AI1257+AK1257</f>
        <v/>
      </c>
      <c r="AM1257" s="3">
        <f>AE1257-AL1257</f>
        <v/>
      </c>
      <c r="AN1257" s="4">
        <f>AM1257/AE1257</f>
        <v/>
      </c>
      <c r="AO1257" s="3" t="inlineStr">
        <is>
          <t>3 hrs</t>
        </is>
      </c>
      <c r="AQ1257" s="3" t="inlineStr">
        <is>
          <t>Weight</t>
        </is>
      </c>
      <c r="AT1257" s="3" t="inlineStr">
        <is>
          <t>3 hrs</t>
        </is>
      </c>
    </row>
    <row r="1258" ht="15.75" customHeight="1">
      <c r="A1258" s="3" t="inlineStr">
        <is>
          <t>PROD_0241</t>
        </is>
      </c>
      <c r="B1258" s="3" t="inlineStr">
        <is>
          <t>VAR_2</t>
        </is>
      </c>
      <c r="C1258" s="3" t="inlineStr">
        <is>
          <t>Electrical Material</t>
        </is>
      </c>
      <c r="D1258" s="3" t="inlineStr">
        <is>
          <t>Surface Light</t>
        </is>
      </c>
      <c r="E1258" s="3" t="inlineStr">
        <is>
          <t>Philips</t>
        </is>
      </c>
      <c r="F1258" s="3" t="inlineStr">
        <is>
          <t>Star Surface</t>
        </is>
      </c>
      <c r="H1258" s="3" t="inlineStr">
        <is>
          <t>Wattage</t>
        </is>
      </c>
      <c r="I1258" s="3" t="inlineStr">
        <is>
          <t>7 W</t>
        </is>
      </c>
      <c r="J1258" s="3" t="inlineStr">
        <is>
          <t>Dimension</t>
        </is>
      </c>
      <c r="K1258" s="3" t="inlineStr">
        <is>
          <t>146 mm X 146 mm</t>
        </is>
      </c>
      <c r="L1258" s="3" t="inlineStr">
        <is>
          <t>Color</t>
        </is>
      </c>
      <c r="M1258" s="3" t="inlineStr">
        <is>
          <t>Natural White</t>
        </is>
      </c>
      <c r="N1258" s="3" t="inlineStr">
        <is>
          <t>Shape</t>
        </is>
      </c>
      <c r="O1258" s="3" t="inlineStr">
        <is>
          <t>Round</t>
        </is>
      </c>
      <c r="Q1258" s="3" t="inlineStr">
        <is>
          <t>Manufacturer's Warranty</t>
        </is>
      </c>
      <c r="Y1258" s="3" t="inlineStr">
        <is>
          <t>EM_CLN_PHILLIPS_STARSURF_ROUND</t>
        </is>
      </c>
      <c r="Z1258" s="3" t="n">
        <v>9405</v>
      </c>
      <c r="AE1258" s="3" t="n">
        <v>800</v>
      </c>
      <c r="AF1258" s="4" t="n">
        <v>0.37</v>
      </c>
      <c r="AG1258" s="3">
        <f>ROUND(AE1258-(AE1258*AF1258),2)</f>
        <v/>
      </c>
      <c r="AH1258" s="4" t="n">
        <v>0.18</v>
      </c>
      <c r="AI1258" s="3">
        <f>ROUND(AG1258+(AG1258*AH1258),2)</f>
        <v/>
      </c>
      <c r="AJ1258" s="4" t="n">
        <v>0.2</v>
      </c>
      <c r="AK1258" s="3">
        <f>ROUND(AI1258*AJ1258,2)</f>
        <v/>
      </c>
      <c r="AL1258" s="3">
        <f>AI1258+AK1258</f>
        <v/>
      </c>
      <c r="AM1258" s="3">
        <f>AE1258-AL1258</f>
        <v/>
      </c>
      <c r="AN1258" s="4">
        <f>AM1258/AE1258</f>
        <v/>
      </c>
      <c r="AO1258" s="3" t="inlineStr">
        <is>
          <t>3 hrs</t>
        </is>
      </c>
      <c r="AQ1258" s="3" t="inlineStr">
        <is>
          <t>Weight</t>
        </is>
      </c>
      <c r="AT1258" s="3" t="inlineStr">
        <is>
          <t>3 hrs</t>
        </is>
      </c>
    </row>
    <row r="1259" ht="15.75" customHeight="1">
      <c r="A1259" s="3" t="inlineStr">
        <is>
          <t>PROD_0241</t>
        </is>
      </c>
      <c r="B1259" s="3" t="inlineStr">
        <is>
          <t>VAR_3</t>
        </is>
      </c>
      <c r="C1259" s="3" t="inlineStr">
        <is>
          <t>Electrical Material</t>
        </is>
      </c>
      <c r="D1259" s="3" t="inlineStr">
        <is>
          <t>Surface Light</t>
        </is>
      </c>
      <c r="E1259" s="3" t="inlineStr">
        <is>
          <t>Philips</t>
        </is>
      </c>
      <c r="F1259" s="3" t="inlineStr">
        <is>
          <t>Star Surface</t>
        </is>
      </c>
      <c r="H1259" s="3" t="inlineStr">
        <is>
          <t>Wattage</t>
        </is>
      </c>
      <c r="I1259" s="3" t="inlineStr">
        <is>
          <t>7 W</t>
        </is>
      </c>
      <c r="J1259" s="3" t="inlineStr">
        <is>
          <t>Dimension</t>
        </is>
      </c>
      <c r="K1259" s="3" t="inlineStr">
        <is>
          <t>146 mm X 146 mm</t>
        </is>
      </c>
      <c r="L1259" s="3" t="inlineStr">
        <is>
          <t>Color</t>
        </is>
      </c>
      <c r="M1259" s="3" t="inlineStr">
        <is>
          <t>Cool White</t>
        </is>
      </c>
      <c r="N1259" s="3" t="inlineStr">
        <is>
          <t>Shape</t>
        </is>
      </c>
      <c r="O1259" s="3" t="inlineStr">
        <is>
          <t>Round</t>
        </is>
      </c>
      <c r="Q1259" s="3" t="inlineStr">
        <is>
          <t>Manufacturer's Warranty</t>
        </is>
      </c>
      <c r="Y1259" s="3" t="inlineStr">
        <is>
          <t>EM_CLN_PHILLIPS_STARSURF_ROUND</t>
        </is>
      </c>
      <c r="Z1259" s="3" t="n">
        <v>9405</v>
      </c>
      <c r="AE1259" s="3" t="n">
        <v>800</v>
      </c>
      <c r="AF1259" s="4" t="n">
        <v>0.37</v>
      </c>
      <c r="AG1259" s="3">
        <f>ROUND(AE1259-(AE1259*AF1259),2)</f>
        <v/>
      </c>
      <c r="AH1259" s="4" t="n">
        <v>0.18</v>
      </c>
      <c r="AI1259" s="3">
        <f>ROUND(AG1259+(AG1259*AH1259),2)</f>
        <v/>
      </c>
      <c r="AJ1259" s="4" t="n">
        <v>0.2</v>
      </c>
      <c r="AK1259" s="3">
        <f>ROUND(AI1259*AJ1259,2)</f>
        <v/>
      </c>
      <c r="AL1259" s="3">
        <f>AI1259+AK1259</f>
        <v/>
      </c>
      <c r="AM1259" s="3">
        <f>AE1259-AL1259</f>
        <v/>
      </c>
      <c r="AN1259" s="4">
        <f>AM1259/AE1259</f>
        <v/>
      </c>
      <c r="AO1259" s="3" t="inlineStr">
        <is>
          <t>3 hrs</t>
        </is>
      </c>
      <c r="AQ1259" s="3" t="inlineStr">
        <is>
          <t>Weight</t>
        </is>
      </c>
      <c r="AT1259" s="3" t="inlineStr">
        <is>
          <t>3 hrs</t>
        </is>
      </c>
    </row>
    <row r="1260" ht="15.75" customHeight="1">
      <c r="A1260" s="3" t="inlineStr">
        <is>
          <t>PROD_0241</t>
        </is>
      </c>
      <c r="B1260" s="3" t="inlineStr">
        <is>
          <t>VAR_4</t>
        </is>
      </c>
      <c r="C1260" s="3" t="inlineStr">
        <is>
          <t>Electrical Material</t>
        </is>
      </c>
      <c r="D1260" s="3" t="inlineStr">
        <is>
          <t>Surface Light</t>
        </is>
      </c>
      <c r="E1260" s="3" t="inlineStr">
        <is>
          <t>Philips</t>
        </is>
      </c>
      <c r="F1260" s="3" t="inlineStr">
        <is>
          <t>Star Surface</t>
        </is>
      </c>
      <c r="H1260" s="3" t="inlineStr">
        <is>
          <t>Wattage</t>
        </is>
      </c>
      <c r="I1260" s="3" t="inlineStr">
        <is>
          <t>7 W</t>
        </is>
      </c>
      <c r="J1260" s="3" t="inlineStr">
        <is>
          <t>Dimension</t>
        </is>
      </c>
      <c r="K1260" s="3" t="inlineStr">
        <is>
          <t>146 mm X 146 mm</t>
        </is>
      </c>
      <c r="L1260" s="3" t="inlineStr">
        <is>
          <t>Color</t>
        </is>
      </c>
      <c r="M1260" s="3" t="inlineStr">
        <is>
          <t>Warm White</t>
        </is>
      </c>
      <c r="N1260" s="3" t="inlineStr">
        <is>
          <t>Shape</t>
        </is>
      </c>
      <c r="O1260" s="3" t="inlineStr">
        <is>
          <t>Square</t>
        </is>
      </c>
      <c r="Q1260" s="3" t="inlineStr">
        <is>
          <t>Manufacturer's Warranty</t>
        </is>
      </c>
      <c r="Y1260" s="3" t="inlineStr">
        <is>
          <t>EM_CLN_PHILLIPS_STARSURF_SQR</t>
        </is>
      </c>
      <c r="Z1260" s="3" t="n">
        <v>9405</v>
      </c>
      <c r="AE1260" s="3" t="n">
        <v>800</v>
      </c>
      <c r="AF1260" s="4" t="n">
        <v>0.42</v>
      </c>
      <c r="AG1260" s="3">
        <f>ROUND(AE1260-(AE1260*AF1260),2)</f>
        <v/>
      </c>
      <c r="AH1260" s="4" t="n">
        <v>0.18</v>
      </c>
      <c r="AI1260" s="3">
        <f>ROUND(AG1260+(AG1260*AH1260),2)</f>
        <v/>
      </c>
      <c r="AJ1260" s="4" t="n">
        <v>0.2</v>
      </c>
      <c r="AK1260" s="3">
        <f>ROUND(AI1260*AJ1260,2)</f>
        <v/>
      </c>
      <c r="AL1260" s="3">
        <f>AI1260+AK1260</f>
        <v/>
      </c>
      <c r="AM1260" s="3">
        <f>AE1260-AL1260</f>
        <v/>
      </c>
      <c r="AN1260" s="4">
        <f>AM1260/AE1260</f>
        <v/>
      </c>
      <c r="AO1260" s="3" t="inlineStr">
        <is>
          <t>3 hrs</t>
        </is>
      </c>
      <c r="AQ1260" s="3" t="inlineStr">
        <is>
          <t>Weight</t>
        </is>
      </c>
      <c r="AT1260" s="3" t="inlineStr">
        <is>
          <t>3 hrs</t>
        </is>
      </c>
    </row>
    <row r="1261" ht="15.75" customHeight="1">
      <c r="A1261" s="3" t="inlineStr">
        <is>
          <t>PROD_0241</t>
        </is>
      </c>
      <c r="B1261" s="3" t="inlineStr">
        <is>
          <t>VAR_5</t>
        </is>
      </c>
      <c r="C1261" s="3" t="inlineStr">
        <is>
          <t>Electrical Material</t>
        </is>
      </c>
      <c r="D1261" s="3" t="inlineStr">
        <is>
          <t>Surface Light</t>
        </is>
      </c>
      <c r="E1261" s="3" t="inlineStr">
        <is>
          <t>Philips</t>
        </is>
      </c>
      <c r="F1261" s="3" t="inlineStr">
        <is>
          <t>Star Surface</t>
        </is>
      </c>
      <c r="H1261" s="3" t="inlineStr">
        <is>
          <t>Wattage</t>
        </is>
      </c>
      <c r="I1261" s="3" t="inlineStr">
        <is>
          <t>7 W</t>
        </is>
      </c>
      <c r="J1261" s="3" t="inlineStr">
        <is>
          <t>Dimension</t>
        </is>
      </c>
      <c r="K1261" s="3" t="inlineStr">
        <is>
          <t>146 mm X 146 mm</t>
        </is>
      </c>
      <c r="L1261" s="3" t="inlineStr">
        <is>
          <t>Color</t>
        </is>
      </c>
      <c r="M1261" s="3" t="inlineStr">
        <is>
          <t>Natural White</t>
        </is>
      </c>
      <c r="N1261" s="3" t="inlineStr">
        <is>
          <t>Shape</t>
        </is>
      </c>
      <c r="O1261" s="3" t="inlineStr">
        <is>
          <t>Square</t>
        </is>
      </c>
      <c r="Q1261" s="3" t="inlineStr">
        <is>
          <t>Manufacturer's Warranty</t>
        </is>
      </c>
      <c r="Y1261" s="3" t="inlineStr">
        <is>
          <t>EM_CLN_PHILLIPS_STARSURF_SQR</t>
        </is>
      </c>
      <c r="Z1261" s="3" t="n">
        <v>9405</v>
      </c>
      <c r="AE1261" s="3" t="n">
        <v>800</v>
      </c>
      <c r="AF1261" s="4" t="n">
        <v>0.42</v>
      </c>
      <c r="AG1261" s="3">
        <f>ROUND(AE1261-(AE1261*AF1261),2)</f>
        <v/>
      </c>
      <c r="AH1261" s="4" t="n">
        <v>0.18</v>
      </c>
      <c r="AI1261" s="3">
        <f>ROUND(AG1261+(AG1261*AH1261),2)</f>
        <v/>
      </c>
      <c r="AJ1261" s="4" t="n">
        <v>0.2</v>
      </c>
      <c r="AK1261" s="3">
        <f>ROUND(AI1261*AJ1261,2)</f>
        <v/>
      </c>
      <c r="AL1261" s="3">
        <f>AI1261+AK1261</f>
        <v/>
      </c>
      <c r="AM1261" s="3">
        <f>AE1261-AL1261</f>
        <v/>
      </c>
      <c r="AN1261" s="4">
        <f>AM1261/AE1261</f>
        <v/>
      </c>
      <c r="AO1261" s="3" t="inlineStr">
        <is>
          <t>3 hrs</t>
        </is>
      </c>
      <c r="AQ1261" s="3" t="inlineStr">
        <is>
          <t>Weight</t>
        </is>
      </c>
      <c r="AT1261" s="3" t="inlineStr">
        <is>
          <t>3 hrs</t>
        </is>
      </c>
    </row>
    <row r="1262" ht="15.75" customHeight="1">
      <c r="A1262" s="3" t="inlineStr">
        <is>
          <t>PROD_0241</t>
        </is>
      </c>
      <c r="B1262" s="3" t="inlineStr">
        <is>
          <t>VAR_6</t>
        </is>
      </c>
      <c r="C1262" s="3" t="inlineStr">
        <is>
          <t>Electrical Material</t>
        </is>
      </c>
      <c r="D1262" s="3" t="inlineStr">
        <is>
          <t>Surface Light</t>
        </is>
      </c>
      <c r="E1262" s="3" t="inlineStr">
        <is>
          <t>Philips</t>
        </is>
      </c>
      <c r="F1262" s="3" t="inlineStr">
        <is>
          <t>Star Surface</t>
        </is>
      </c>
      <c r="H1262" s="3" t="inlineStr">
        <is>
          <t>Wattage</t>
        </is>
      </c>
      <c r="I1262" s="3" t="inlineStr">
        <is>
          <t>7 W</t>
        </is>
      </c>
      <c r="J1262" s="3" t="inlineStr">
        <is>
          <t>Dimension</t>
        </is>
      </c>
      <c r="K1262" s="3" t="inlineStr">
        <is>
          <t>146 mm X 146 mm</t>
        </is>
      </c>
      <c r="L1262" s="3" t="inlineStr">
        <is>
          <t>Color</t>
        </is>
      </c>
      <c r="M1262" s="3" t="inlineStr">
        <is>
          <t>Cool White</t>
        </is>
      </c>
      <c r="N1262" s="3" t="inlineStr">
        <is>
          <t>Shape</t>
        </is>
      </c>
      <c r="O1262" s="3" t="inlineStr">
        <is>
          <t>Square</t>
        </is>
      </c>
      <c r="Q1262" s="3" t="inlineStr">
        <is>
          <t>Manufacturer's Warranty</t>
        </is>
      </c>
      <c r="Y1262" s="3" t="inlineStr">
        <is>
          <t>EM_CLN_PHILLIPS_STARSURF_SQR</t>
        </is>
      </c>
      <c r="Z1262" s="3" t="n">
        <v>9405</v>
      </c>
      <c r="AE1262" s="3" t="n">
        <v>800</v>
      </c>
      <c r="AF1262" s="4" t="n">
        <v>0.42</v>
      </c>
      <c r="AG1262" s="3">
        <f>ROUND(AE1262-(AE1262*AF1262),2)</f>
        <v/>
      </c>
      <c r="AH1262" s="4" t="n">
        <v>0.18</v>
      </c>
      <c r="AI1262" s="3">
        <f>ROUND(AG1262+(AG1262*AH1262),2)</f>
        <v/>
      </c>
      <c r="AJ1262" s="4" t="n">
        <v>0.2</v>
      </c>
      <c r="AK1262" s="3">
        <f>ROUND(AI1262*AJ1262,2)</f>
        <v/>
      </c>
      <c r="AL1262" s="3">
        <f>AI1262+AK1262</f>
        <v/>
      </c>
      <c r="AM1262" s="3">
        <f>AE1262-AL1262</f>
        <v/>
      </c>
      <c r="AN1262" s="4">
        <f>AM1262/AE1262</f>
        <v/>
      </c>
      <c r="AO1262" s="3" t="inlineStr">
        <is>
          <t>3 hrs</t>
        </is>
      </c>
      <c r="AQ1262" s="3" t="inlineStr">
        <is>
          <t>Weight</t>
        </is>
      </c>
      <c r="AT1262" s="3" t="inlineStr">
        <is>
          <t>3 hrs</t>
        </is>
      </c>
    </row>
    <row r="1263" ht="15.75" customHeight="1">
      <c r="A1263" s="3" t="inlineStr">
        <is>
          <t>PROD_0241</t>
        </is>
      </c>
      <c r="B1263" s="3" t="inlineStr">
        <is>
          <t>VAR_7</t>
        </is>
      </c>
      <c r="C1263" s="3" t="inlineStr">
        <is>
          <t>Electrical Material</t>
        </is>
      </c>
      <c r="D1263" s="3" t="inlineStr">
        <is>
          <t>Surface Light</t>
        </is>
      </c>
      <c r="E1263" s="3" t="inlineStr">
        <is>
          <t>Philips</t>
        </is>
      </c>
      <c r="F1263" s="3" t="inlineStr">
        <is>
          <t>Star Surface</t>
        </is>
      </c>
      <c r="H1263" s="3" t="inlineStr">
        <is>
          <t>Wattage</t>
        </is>
      </c>
      <c r="I1263" s="3" t="inlineStr">
        <is>
          <t>12 W</t>
        </is>
      </c>
      <c r="J1263" s="3" t="inlineStr">
        <is>
          <t>Dimension</t>
        </is>
      </c>
      <c r="K1263" s="3" t="inlineStr">
        <is>
          <t>146 mm X 146 mm</t>
        </is>
      </c>
      <c r="L1263" s="3" t="inlineStr">
        <is>
          <t>Color</t>
        </is>
      </c>
      <c r="M1263" s="3" t="inlineStr">
        <is>
          <t>Warm White</t>
        </is>
      </c>
      <c r="N1263" s="3" t="inlineStr">
        <is>
          <t>Shape</t>
        </is>
      </c>
      <c r="O1263" s="3" t="inlineStr">
        <is>
          <t>Round</t>
        </is>
      </c>
      <c r="Q1263" s="3" t="inlineStr">
        <is>
          <t>Manufacturer's Warranty</t>
        </is>
      </c>
      <c r="Y1263" s="3" t="inlineStr">
        <is>
          <t>EM_CLN_PHILLIPS_STARSURF_ROUND</t>
        </is>
      </c>
      <c r="Z1263" s="3" t="n">
        <v>9405</v>
      </c>
      <c r="AE1263" s="3" t="n">
        <v>1365</v>
      </c>
      <c r="AF1263" s="4" t="n">
        <v>0.42</v>
      </c>
      <c r="AG1263" s="3">
        <f>ROUND(AE1263-(AE1263*AF1263),2)</f>
        <v/>
      </c>
      <c r="AH1263" s="4" t="n">
        <v>0.18</v>
      </c>
      <c r="AI1263" s="3">
        <f>ROUND(AG1263+(AG1263*AH1263),2)</f>
        <v/>
      </c>
      <c r="AJ1263" s="4" t="n">
        <v>0.2</v>
      </c>
      <c r="AK1263" s="3">
        <f>ROUND(AI1263*AJ1263,2)</f>
        <v/>
      </c>
      <c r="AL1263" s="3">
        <f>AI1263+AK1263</f>
        <v/>
      </c>
      <c r="AM1263" s="3">
        <f>AE1263-AL1263</f>
        <v/>
      </c>
      <c r="AN1263" s="4">
        <f>AM1263/AE1263</f>
        <v/>
      </c>
      <c r="AO1263" s="3" t="inlineStr">
        <is>
          <t>3 hrs</t>
        </is>
      </c>
      <c r="AQ1263" s="3" t="inlineStr">
        <is>
          <t>Weight</t>
        </is>
      </c>
      <c r="AT1263" s="3" t="inlineStr">
        <is>
          <t>3 hrs</t>
        </is>
      </c>
    </row>
    <row r="1264" ht="15.75" customHeight="1">
      <c r="A1264" s="3" t="inlineStr">
        <is>
          <t>PROD_0241</t>
        </is>
      </c>
      <c r="B1264" s="3" t="inlineStr">
        <is>
          <t>VAR_8</t>
        </is>
      </c>
      <c r="C1264" s="3" t="inlineStr">
        <is>
          <t>Electrical Material</t>
        </is>
      </c>
      <c r="D1264" s="3" t="inlineStr">
        <is>
          <t>Surface Light</t>
        </is>
      </c>
      <c r="E1264" s="3" t="inlineStr">
        <is>
          <t>Philips</t>
        </is>
      </c>
      <c r="F1264" s="3" t="inlineStr">
        <is>
          <t>Star Surface</t>
        </is>
      </c>
      <c r="H1264" s="3" t="inlineStr">
        <is>
          <t>Wattage</t>
        </is>
      </c>
      <c r="I1264" s="3" t="inlineStr">
        <is>
          <t>12 W</t>
        </is>
      </c>
      <c r="J1264" s="3" t="inlineStr">
        <is>
          <t>Dimension</t>
        </is>
      </c>
      <c r="K1264" s="3" t="inlineStr">
        <is>
          <t>146 mm X 146 mm</t>
        </is>
      </c>
      <c r="L1264" s="3" t="inlineStr">
        <is>
          <t>Color</t>
        </is>
      </c>
      <c r="M1264" s="3" t="inlineStr">
        <is>
          <t>Natural White</t>
        </is>
      </c>
      <c r="N1264" s="3" t="inlineStr">
        <is>
          <t>Shape</t>
        </is>
      </c>
      <c r="O1264" s="3" t="inlineStr">
        <is>
          <t>Round</t>
        </is>
      </c>
      <c r="Q1264" s="3" t="inlineStr">
        <is>
          <t>Manufacturer's Warranty</t>
        </is>
      </c>
      <c r="Y1264" s="3" t="inlineStr">
        <is>
          <t>EM_CLN_PHILLIPS_STARSURF_ROUND</t>
        </is>
      </c>
      <c r="Z1264" s="3" t="n">
        <v>9405</v>
      </c>
      <c r="AE1264" s="3" t="n">
        <v>1365</v>
      </c>
      <c r="AF1264" s="4" t="n">
        <v>0.42</v>
      </c>
      <c r="AG1264" s="3">
        <f>ROUND(AE1264-(AE1264*AF1264),2)</f>
        <v/>
      </c>
      <c r="AH1264" s="4" t="n">
        <v>0.18</v>
      </c>
      <c r="AI1264" s="3">
        <f>ROUND(AG1264+(AG1264*AH1264),2)</f>
        <v/>
      </c>
      <c r="AJ1264" s="4" t="n">
        <v>0.2</v>
      </c>
      <c r="AK1264" s="3">
        <f>ROUND(AI1264*AJ1264,2)</f>
        <v/>
      </c>
      <c r="AL1264" s="3">
        <f>AI1264+AK1264</f>
        <v/>
      </c>
      <c r="AM1264" s="3">
        <f>AE1264-AL1264</f>
        <v/>
      </c>
      <c r="AN1264" s="4">
        <f>AM1264/AE1264</f>
        <v/>
      </c>
      <c r="AO1264" s="3" t="inlineStr">
        <is>
          <t>3 hrs</t>
        </is>
      </c>
      <c r="AQ1264" s="3" t="inlineStr">
        <is>
          <t>Weight</t>
        </is>
      </c>
      <c r="AT1264" s="3" t="inlineStr">
        <is>
          <t>3 hrs</t>
        </is>
      </c>
    </row>
    <row r="1265" ht="15.75" customHeight="1">
      <c r="A1265" s="3" t="inlineStr">
        <is>
          <t>PROD_0241</t>
        </is>
      </c>
      <c r="B1265" s="3" t="inlineStr">
        <is>
          <t>VAR_9</t>
        </is>
      </c>
      <c r="C1265" s="3" t="inlineStr">
        <is>
          <t>Electrical Material</t>
        </is>
      </c>
      <c r="D1265" s="3" t="inlineStr">
        <is>
          <t>Surface Light</t>
        </is>
      </c>
      <c r="E1265" s="3" t="inlineStr">
        <is>
          <t>Philips</t>
        </is>
      </c>
      <c r="F1265" s="3" t="inlineStr">
        <is>
          <t>Star Surface</t>
        </is>
      </c>
      <c r="H1265" s="3" t="inlineStr">
        <is>
          <t>Wattage</t>
        </is>
      </c>
      <c r="I1265" s="3" t="inlineStr">
        <is>
          <t>12 W</t>
        </is>
      </c>
      <c r="J1265" s="3" t="inlineStr">
        <is>
          <t>Dimension</t>
        </is>
      </c>
      <c r="K1265" s="3" t="inlineStr">
        <is>
          <t>146 mm X 146 mm</t>
        </is>
      </c>
      <c r="L1265" s="3" t="inlineStr">
        <is>
          <t>Color</t>
        </is>
      </c>
      <c r="M1265" s="3" t="inlineStr">
        <is>
          <t>Cool White</t>
        </is>
      </c>
      <c r="N1265" s="3" t="inlineStr">
        <is>
          <t>Shape</t>
        </is>
      </c>
      <c r="O1265" s="3" t="inlineStr">
        <is>
          <t>Round</t>
        </is>
      </c>
      <c r="Q1265" s="3" t="inlineStr">
        <is>
          <t>Manufacturer's Warranty</t>
        </is>
      </c>
      <c r="Y1265" s="3" t="inlineStr">
        <is>
          <t>EM_CLN_PHILLIPS_STARSURF_ROUND</t>
        </is>
      </c>
      <c r="Z1265" s="3" t="n">
        <v>9405</v>
      </c>
      <c r="AE1265" s="3" t="n">
        <v>1365</v>
      </c>
      <c r="AF1265" s="4" t="n">
        <v>0.42</v>
      </c>
      <c r="AG1265" s="3">
        <f>ROUND(AE1265-(AE1265*AF1265),2)</f>
        <v/>
      </c>
      <c r="AH1265" s="4" t="n">
        <v>0.18</v>
      </c>
      <c r="AI1265" s="3">
        <f>ROUND(AG1265+(AG1265*AH1265),2)</f>
        <v/>
      </c>
      <c r="AJ1265" s="4" t="n">
        <v>0.2</v>
      </c>
      <c r="AK1265" s="3">
        <f>ROUND(AI1265*AJ1265,2)</f>
        <v/>
      </c>
      <c r="AL1265" s="3">
        <f>AI1265+AK1265</f>
        <v/>
      </c>
      <c r="AM1265" s="3">
        <f>AE1265-AL1265</f>
        <v/>
      </c>
      <c r="AN1265" s="4">
        <f>AM1265/AE1265</f>
        <v/>
      </c>
      <c r="AO1265" s="3" t="inlineStr">
        <is>
          <t>3 hrs</t>
        </is>
      </c>
      <c r="AQ1265" s="3" t="inlineStr">
        <is>
          <t>Weight</t>
        </is>
      </c>
      <c r="AT1265" s="3" t="inlineStr">
        <is>
          <t>3 hrs</t>
        </is>
      </c>
    </row>
    <row r="1266" ht="15.75" customHeight="1">
      <c r="A1266" s="3" t="inlineStr">
        <is>
          <t>PROD_0241</t>
        </is>
      </c>
      <c r="B1266" s="3" t="inlineStr">
        <is>
          <t>VAR_10</t>
        </is>
      </c>
      <c r="C1266" s="3" t="inlineStr">
        <is>
          <t>Electrical Material</t>
        </is>
      </c>
      <c r="D1266" s="3" t="inlineStr">
        <is>
          <t>Surface Light</t>
        </is>
      </c>
      <c r="E1266" s="3" t="inlineStr">
        <is>
          <t>Philips</t>
        </is>
      </c>
      <c r="F1266" s="3" t="inlineStr">
        <is>
          <t>Star Surface</t>
        </is>
      </c>
      <c r="H1266" s="3" t="inlineStr">
        <is>
          <t>Wattage</t>
        </is>
      </c>
      <c r="I1266" s="3" t="inlineStr">
        <is>
          <t>12 W</t>
        </is>
      </c>
      <c r="J1266" s="3" t="inlineStr">
        <is>
          <t>Dimension</t>
        </is>
      </c>
      <c r="K1266" s="3" t="inlineStr">
        <is>
          <t>146 mm X 146 mm</t>
        </is>
      </c>
      <c r="L1266" s="3" t="inlineStr">
        <is>
          <t>Color</t>
        </is>
      </c>
      <c r="M1266" s="3" t="inlineStr">
        <is>
          <t>Warm White</t>
        </is>
      </c>
      <c r="N1266" s="3" t="inlineStr">
        <is>
          <t>Shape</t>
        </is>
      </c>
      <c r="O1266" s="3" t="inlineStr">
        <is>
          <t>Square</t>
        </is>
      </c>
      <c r="Q1266" s="3" t="inlineStr">
        <is>
          <t>Manufacturer's Warranty</t>
        </is>
      </c>
      <c r="Y1266" s="3" t="inlineStr">
        <is>
          <t>EM_CLN_PHILLIPS_STARSURF_SQR</t>
        </is>
      </c>
      <c r="Z1266" s="3" t="n">
        <v>9405</v>
      </c>
      <c r="AE1266" s="3" t="n">
        <v>1365</v>
      </c>
      <c r="AF1266" s="4" t="n">
        <v>0.42</v>
      </c>
      <c r="AG1266" s="3">
        <f>ROUND(AE1266-(AE1266*AF1266),2)</f>
        <v/>
      </c>
      <c r="AH1266" s="4" t="n">
        <v>0.18</v>
      </c>
      <c r="AI1266" s="3">
        <f>ROUND(AG1266+(AG1266*AH1266),2)</f>
        <v/>
      </c>
      <c r="AJ1266" s="4" t="n">
        <v>0.2</v>
      </c>
      <c r="AK1266" s="3">
        <f>ROUND(AI1266*AJ1266,2)</f>
        <v/>
      </c>
      <c r="AL1266" s="3">
        <f>AI1266+AK1266</f>
        <v/>
      </c>
      <c r="AM1266" s="3">
        <f>AE1266-AL1266</f>
        <v/>
      </c>
      <c r="AN1266" s="4">
        <f>AM1266/AE1266</f>
        <v/>
      </c>
      <c r="AO1266" s="3" t="inlineStr">
        <is>
          <t>3 hrs</t>
        </is>
      </c>
      <c r="AQ1266" s="3" t="inlineStr">
        <is>
          <t>Weight</t>
        </is>
      </c>
      <c r="AT1266" s="3" t="inlineStr">
        <is>
          <t>3 hrs</t>
        </is>
      </c>
    </row>
    <row r="1267" ht="15.75" customHeight="1">
      <c r="A1267" s="3" t="inlineStr">
        <is>
          <t>PROD_0241</t>
        </is>
      </c>
      <c r="B1267" s="3" t="inlineStr">
        <is>
          <t>VAR_11</t>
        </is>
      </c>
      <c r="C1267" s="3" t="inlineStr">
        <is>
          <t>Electrical Material</t>
        </is>
      </c>
      <c r="D1267" s="3" t="inlineStr">
        <is>
          <t>Surface Light</t>
        </is>
      </c>
      <c r="E1267" s="3" t="inlineStr">
        <is>
          <t>Philips</t>
        </is>
      </c>
      <c r="F1267" s="3" t="inlineStr">
        <is>
          <t>Star Surface</t>
        </is>
      </c>
      <c r="H1267" s="3" t="inlineStr">
        <is>
          <t>Wattage</t>
        </is>
      </c>
      <c r="I1267" s="3" t="inlineStr">
        <is>
          <t>12 W</t>
        </is>
      </c>
      <c r="J1267" s="3" t="inlineStr">
        <is>
          <t>Dimension</t>
        </is>
      </c>
      <c r="K1267" s="3" t="inlineStr">
        <is>
          <t>146 mm X 146 mm</t>
        </is>
      </c>
      <c r="L1267" s="3" t="inlineStr">
        <is>
          <t>Color</t>
        </is>
      </c>
      <c r="M1267" s="3" t="inlineStr">
        <is>
          <t>Natural White</t>
        </is>
      </c>
      <c r="N1267" s="3" t="inlineStr">
        <is>
          <t>Shape</t>
        </is>
      </c>
      <c r="O1267" s="3" t="inlineStr">
        <is>
          <t>Square</t>
        </is>
      </c>
      <c r="Q1267" s="3" t="inlineStr">
        <is>
          <t>Manufacturer's Warranty</t>
        </is>
      </c>
      <c r="Y1267" s="3" t="inlineStr">
        <is>
          <t>EM_CLN_PHILLIPS_STARSURF_SQR</t>
        </is>
      </c>
      <c r="Z1267" s="3" t="n">
        <v>9405</v>
      </c>
      <c r="AE1267" s="3" t="n">
        <v>1365</v>
      </c>
      <c r="AF1267" s="4" t="n">
        <v>0.42</v>
      </c>
      <c r="AG1267" s="3">
        <f>ROUND(AE1267-(AE1267*AF1267),2)</f>
        <v/>
      </c>
      <c r="AH1267" s="4" t="n">
        <v>0.18</v>
      </c>
      <c r="AI1267" s="3">
        <f>ROUND(AG1267+(AG1267*AH1267),2)</f>
        <v/>
      </c>
      <c r="AJ1267" s="4" t="n">
        <v>0.2</v>
      </c>
      <c r="AK1267" s="3">
        <f>ROUND(AI1267*AJ1267,2)</f>
        <v/>
      </c>
      <c r="AL1267" s="3">
        <f>AI1267+AK1267</f>
        <v/>
      </c>
      <c r="AM1267" s="3">
        <f>AE1267-AL1267</f>
        <v/>
      </c>
      <c r="AN1267" s="4">
        <f>AM1267/AE1267</f>
        <v/>
      </c>
      <c r="AO1267" s="3" t="inlineStr">
        <is>
          <t>3 hrs</t>
        </is>
      </c>
      <c r="AQ1267" s="3" t="inlineStr">
        <is>
          <t>Weight</t>
        </is>
      </c>
      <c r="AT1267" s="3" t="inlineStr">
        <is>
          <t>3 hrs</t>
        </is>
      </c>
    </row>
    <row r="1268" ht="15.75" customHeight="1">
      <c r="A1268" s="3" t="inlineStr">
        <is>
          <t>PROD_0241</t>
        </is>
      </c>
      <c r="B1268" s="3" t="inlineStr">
        <is>
          <t>VAR_12</t>
        </is>
      </c>
      <c r="C1268" s="3" t="inlineStr">
        <is>
          <t>Electrical Material</t>
        </is>
      </c>
      <c r="D1268" s="3" t="inlineStr">
        <is>
          <t>Surface Light</t>
        </is>
      </c>
      <c r="E1268" s="3" t="inlineStr">
        <is>
          <t>Philips</t>
        </is>
      </c>
      <c r="F1268" s="3" t="inlineStr">
        <is>
          <t>Star Surface</t>
        </is>
      </c>
      <c r="H1268" s="3" t="inlineStr">
        <is>
          <t>Wattage</t>
        </is>
      </c>
      <c r="I1268" s="3" t="inlineStr">
        <is>
          <t>12 W</t>
        </is>
      </c>
      <c r="J1268" s="3" t="inlineStr">
        <is>
          <t>Dimension</t>
        </is>
      </c>
      <c r="K1268" s="3" t="inlineStr">
        <is>
          <t>146 mm X 146 mm</t>
        </is>
      </c>
      <c r="L1268" s="3" t="inlineStr">
        <is>
          <t>Color</t>
        </is>
      </c>
      <c r="M1268" s="3" t="inlineStr">
        <is>
          <t>Cool White</t>
        </is>
      </c>
      <c r="N1268" s="3" t="inlineStr">
        <is>
          <t>Shape</t>
        </is>
      </c>
      <c r="O1268" s="3" t="inlineStr">
        <is>
          <t>Square</t>
        </is>
      </c>
      <c r="Q1268" s="3" t="inlineStr">
        <is>
          <t>Manufacturer's Warranty</t>
        </is>
      </c>
      <c r="Y1268" s="3" t="inlineStr">
        <is>
          <t>EM_CLN_PHILLIPS_STARSURF_SQR</t>
        </is>
      </c>
      <c r="Z1268" s="3" t="n">
        <v>9405</v>
      </c>
      <c r="AE1268" s="3" t="n">
        <v>1365</v>
      </c>
      <c r="AF1268" s="4" t="n">
        <v>0.42</v>
      </c>
      <c r="AG1268" s="3">
        <f>ROUND(AE1268-(AE1268*AF1268),2)</f>
        <v/>
      </c>
      <c r="AH1268" s="4" t="n">
        <v>0.18</v>
      </c>
      <c r="AI1268" s="3">
        <f>ROUND(AG1268+(AG1268*AH1268),2)</f>
        <v/>
      </c>
      <c r="AJ1268" s="4" t="n">
        <v>0.2</v>
      </c>
      <c r="AK1268" s="3">
        <f>ROUND(AI1268*AJ1268,2)</f>
        <v/>
      </c>
      <c r="AL1268" s="3">
        <f>AI1268+AK1268</f>
        <v/>
      </c>
      <c r="AM1268" s="3">
        <f>AE1268-AL1268</f>
        <v/>
      </c>
      <c r="AN1268" s="4">
        <f>AM1268/AE1268</f>
        <v/>
      </c>
      <c r="AO1268" s="3" t="inlineStr">
        <is>
          <t>3 hrs</t>
        </is>
      </c>
      <c r="AQ1268" s="3" t="inlineStr">
        <is>
          <t>Weight</t>
        </is>
      </c>
      <c r="AT1268" s="3" t="inlineStr">
        <is>
          <t>3 hrs</t>
        </is>
      </c>
    </row>
    <row r="1269" ht="15.75" customHeight="1">
      <c r="A1269" s="3" t="inlineStr">
        <is>
          <t>PROD_0242</t>
        </is>
      </c>
      <c r="B1269" s="3" t="inlineStr">
        <is>
          <t>VAR_1</t>
        </is>
      </c>
      <c r="C1269" s="3" t="inlineStr">
        <is>
          <t>Electrical Material</t>
        </is>
      </c>
      <c r="D1269" s="3" t="inlineStr">
        <is>
          <t>Surface Light</t>
        </is>
      </c>
      <c r="E1269" s="3" t="inlineStr">
        <is>
          <t>Orient</t>
        </is>
      </c>
      <c r="F1269" s="3" t="inlineStr">
        <is>
          <t xml:space="preserve">Rimless LED </t>
        </is>
      </c>
      <c r="H1269" s="3" t="inlineStr">
        <is>
          <t>Wattage</t>
        </is>
      </c>
      <c r="I1269" s="3" t="inlineStr">
        <is>
          <t>6 W</t>
        </is>
      </c>
      <c r="J1269" s="3" t="inlineStr">
        <is>
          <t>Dimension</t>
        </is>
      </c>
      <c r="K1269" s="3" t="inlineStr">
        <is>
          <t>229 mm X 69 mm</t>
        </is>
      </c>
      <c r="L1269" s="3" t="inlineStr">
        <is>
          <t>Color</t>
        </is>
      </c>
      <c r="M1269" s="3" t="inlineStr">
        <is>
          <t>Cool White</t>
        </is>
      </c>
      <c r="N1269" s="3" t="inlineStr">
        <is>
          <t>Shape</t>
        </is>
      </c>
      <c r="O1269" s="3" t="inlineStr">
        <is>
          <t>Round</t>
        </is>
      </c>
      <c r="Q1269" s="3" t="inlineStr">
        <is>
          <t>Manufacturer's Warranty</t>
        </is>
      </c>
      <c r="Y1269" s="3" t="inlineStr">
        <is>
          <t>SL_OR_RMLS_RND_6W</t>
        </is>
      </c>
      <c r="Z1269" s="3" t="n">
        <v>9405</v>
      </c>
      <c r="AE1269" s="3" t="n">
        <v>1150</v>
      </c>
      <c r="AF1269" s="4" t="n">
        <v>0.6</v>
      </c>
      <c r="AG1269" s="3">
        <f>ROUND(AE1269-(AE1269*AF1269),2)</f>
        <v/>
      </c>
      <c r="AH1269" s="4" t="n">
        <v>0.18</v>
      </c>
      <c r="AI1269" s="3">
        <f>ROUND(AG1269+(AG1269*AH1269),2)</f>
        <v/>
      </c>
      <c r="AJ1269" s="4" t="n">
        <v>0.2</v>
      </c>
      <c r="AK1269" s="3">
        <f>ROUND(AI1269*AJ1269,2)</f>
        <v/>
      </c>
      <c r="AL1269" s="3">
        <f>AI1269+AK1269</f>
        <v/>
      </c>
      <c r="AM1269" s="3">
        <f>AE1269-AL1269</f>
        <v/>
      </c>
      <c r="AN1269" s="4">
        <f>AM1269/AE1269</f>
        <v/>
      </c>
      <c r="AO1269" s="3" t="inlineStr">
        <is>
          <t>60 mins</t>
        </is>
      </c>
      <c r="AQ1269" s="3" t="inlineStr">
        <is>
          <t>Weight</t>
        </is>
      </c>
      <c r="AT1269" s="3" t="inlineStr">
        <is>
          <t>3 hrs</t>
        </is>
      </c>
    </row>
    <row r="1270" ht="15.75" customHeight="1">
      <c r="A1270" s="3" t="inlineStr">
        <is>
          <t>PROD_0242</t>
        </is>
      </c>
      <c r="B1270" s="3" t="inlineStr">
        <is>
          <t>VAR_2</t>
        </is>
      </c>
      <c r="C1270" s="3" t="inlineStr">
        <is>
          <t>Electrical Material</t>
        </is>
      </c>
      <c r="D1270" s="3" t="inlineStr">
        <is>
          <t>Surface Light</t>
        </is>
      </c>
      <c r="E1270" s="3" t="inlineStr">
        <is>
          <t>Orient</t>
        </is>
      </c>
      <c r="F1270" s="3" t="inlineStr">
        <is>
          <t xml:space="preserve">Rimless LED </t>
        </is>
      </c>
      <c r="H1270" s="3" t="inlineStr">
        <is>
          <t>Wattage</t>
        </is>
      </c>
      <c r="I1270" s="3" t="inlineStr">
        <is>
          <t>12 W</t>
        </is>
      </c>
      <c r="J1270" s="3" t="inlineStr">
        <is>
          <t>Dimension</t>
        </is>
      </c>
      <c r="K1270" s="3" t="inlineStr">
        <is>
          <t>229 mm X 69 mm</t>
        </is>
      </c>
      <c r="L1270" s="3" t="inlineStr">
        <is>
          <t>Color</t>
        </is>
      </c>
      <c r="M1270" s="3" t="inlineStr">
        <is>
          <t>Cool White</t>
        </is>
      </c>
      <c r="N1270" s="3" t="inlineStr">
        <is>
          <t>Shape</t>
        </is>
      </c>
      <c r="O1270" s="3" t="inlineStr">
        <is>
          <t>Round</t>
        </is>
      </c>
      <c r="Q1270" s="3" t="inlineStr">
        <is>
          <t>Manufacturer's Warranty</t>
        </is>
      </c>
      <c r="Y1270" s="3" t="inlineStr">
        <is>
          <t>SL_OR_RMLS_RND_12W</t>
        </is>
      </c>
      <c r="Z1270" s="3" t="n">
        <v>9405</v>
      </c>
      <c r="AE1270" s="3" t="n">
        <v>1150</v>
      </c>
      <c r="AF1270" s="4" t="n">
        <v>0.6</v>
      </c>
      <c r="AG1270" s="3">
        <f>ROUND(AE1270-(AE1270*AF1270),2)</f>
        <v/>
      </c>
      <c r="AH1270" s="4" t="n">
        <v>0.18</v>
      </c>
      <c r="AI1270" s="3">
        <f>ROUND(AG1270+(AG1270*AH1270),2)</f>
        <v/>
      </c>
      <c r="AJ1270" s="4" t="n">
        <v>0.2</v>
      </c>
      <c r="AK1270" s="3">
        <f>ROUND(AI1270*AJ1270,2)</f>
        <v/>
      </c>
      <c r="AL1270" s="3">
        <f>AI1270+AK1270</f>
        <v/>
      </c>
      <c r="AM1270" s="3">
        <f>AE1270-AL1270</f>
        <v/>
      </c>
      <c r="AN1270" s="4">
        <f>AM1270/AE1270</f>
        <v/>
      </c>
      <c r="AO1270" s="3" t="inlineStr">
        <is>
          <t>60 mins</t>
        </is>
      </c>
      <c r="AQ1270" s="3" t="inlineStr">
        <is>
          <t>Weight</t>
        </is>
      </c>
      <c r="AT1270" s="3" t="inlineStr">
        <is>
          <t>3 hrs</t>
        </is>
      </c>
    </row>
    <row r="1271" ht="15.75" customHeight="1">
      <c r="A1271" s="3" t="inlineStr">
        <is>
          <t>PROD_0242</t>
        </is>
      </c>
      <c r="B1271" s="3" t="inlineStr">
        <is>
          <t>VAR_3</t>
        </is>
      </c>
      <c r="C1271" s="3" t="inlineStr">
        <is>
          <t>Electrical Material</t>
        </is>
      </c>
      <c r="D1271" s="3" t="inlineStr">
        <is>
          <t>Surface Light</t>
        </is>
      </c>
      <c r="E1271" s="3" t="inlineStr">
        <is>
          <t>Orient</t>
        </is>
      </c>
      <c r="F1271" s="3" t="inlineStr">
        <is>
          <t xml:space="preserve">Rimless LED </t>
        </is>
      </c>
      <c r="H1271" s="3" t="inlineStr">
        <is>
          <t>Wattage</t>
        </is>
      </c>
      <c r="I1271" s="3" t="inlineStr">
        <is>
          <t>18 W</t>
        </is>
      </c>
      <c r="J1271" s="3" t="inlineStr">
        <is>
          <t>Dimension</t>
        </is>
      </c>
      <c r="K1271" s="3" t="inlineStr">
        <is>
          <t>229 mm X 69 mm</t>
        </is>
      </c>
      <c r="L1271" s="3" t="inlineStr">
        <is>
          <t>Color</t>
        </is>
      </c>
      <c r="M1271" s="3" t="inlineStr">
        <is>
          <t>Cool White</t>
        </is>
      </c>
      <c r="N1271" s="3" t="inlineStr">
        <is>
          <t>Shape</t>
        </is>
      </c>
      <c r="O1271" s="3" t="inlineStr">
        <is>
          <t>Round</t>
        </is>
      </c>
      <c r="Q1271" s="3" t="inlineStr">
        <is>
          <t>Manufacturer's Warranty</t>
        </is>
      </c>
      <c r="Y1271" s="3" t="inlineStr">
        <is>
          <t>SL_OR_RMLS_RND_18W</t>
        </is>
      </c>
      <c r="Z1271" s="3" t="n">
        <v>9405</v>
      </c>
      <c r="AE1271" s="3" t="n">
        <v>1150</v>
      </c>
      <c r="AF1271" s="4" t="n">
        <v>0.6</v>
      </c>
      <c r="AG1271" s="3">
        <f>ROUND(AE1271-(AE1271*AF1271),2)</f>
        <v/>
      </c>
      <c r="AH1271" s="4" t="n">
        <v>0.18</v>
      </c>
      <c r="AI1271" s="3">
        <f>ROUND(AG1271+(AG1271*AH1271),2)</f>
        <v/>
      </c>
      <c r="AJ1271" s="4" t="n">
        <v>0.2</v>
      </c>
      <c r="AK1271" s="3">
        <f>ROUND(AI1271*AJ1271,2)</f>
        <v/>
      </c>
      <c r="AL1271" s="3">
        <f>AI1271+AK1271</f>
        <v/>
      </c>
      <c r="AM1271" s="3">
        <f>AE1271-AL1271</f>
        <v/>
      </c>
      <c r="AN1271" s="4">
        <f>AM1271/AE1271</f>
        <v/>
      </c>
      <c r="AO1271" s="3" t="inlineStr">
        <is>
          <t>60 mins</t>
        </is>
      </c>
      <c r="AQ1271" s="3" t="inlineStr">
        <is>
          <t>Weight</t>
        </is>
      </c>
      <c r="AT1271" s="3" t="inlineStr">
        <is>
          <t>3 hrs</t>
        </is>
      </c>
    </row>
    <row r="1272" ht="15.75" customHeight="1">
      <c r="A1272" s="15" t="inlineStr">
        <is>
          <t>PROD_0243</t>
        </is>
      </c>
      <c r="B1272" s="15" t="inlineStr">
        <is>
          <t>VAR_1</t>
        </is>
      </c>
      <c r="C1272" s="15" t="inlineStr">
        <is>
          <t>Electrical Material</t>
        </is>
      </c>
      <c r="D1272" s="15" t="inlineStr">
        <is>
          <t>Surface Light</t>
        </is>
      </c>
      <c r="E1272" s="15" t="inlineStr">
        <is>
          <t>Panasonic</t>
        </is>
      </c>
      <c r="F1272" s="15" t="inlineStr">
        <is>
          <t>Rimless Surface Panel</t>
        </is>
      </c>
      <c r="G1272" s="15" t="n"/>
      <c r="H1272" s="15" t="inlineStr">
        <is>
          <t>Wattage</t>
        </is>
      </c>
      <c r="I1272" s="15" t="inlineStr">
        <is>
          <t>6 W</t>
        </is>
      </c>
      <c r="J1272" s="15" t="n"/>
      <c r="K1272" s="15" t="n"/>
      <c r="L1272" s="15" t="inlineStr">
        <is>
          <t>Color</t>
        </is>
      </c>
      <c r="M1272" s="15" t="inlineStr">
        <is>
          <t>Warm White</t>
        </is>
      </c>
      <c r="N1272" s="15" t="inlineStr">
        <is>
          <t>Shape</t>
        </is>
      </c>
      <c r="O1272" s="15" t="inlineStr">
        <is>
          <t>Round</t>
        </is>
      </c>
      <c r="P1272" s="15" t="n"/>
      <c r="Q1272" s="15" t="inlineStr">
        <is>
          <t>Manufacturer's Warranty</t>
        </is>
      </c>
      <c r="R1272" s="15" t="n"/>
      <c r="S1272" s="15" t="n"/>
      <c r="T1272" s="15" t="n"/>
      <c r="U1272" s="15" t="n"/>
      <c r="V1272" s="15" t="n"/>
      <c r="W1272" s="15" t="n"/>
      <c r="X1272" s="15" t="n"/>
      <c r="Y1272" s="15" t="inlineStr">
        <is>
          <t>SL_PS_RMLS_RND</t>
        </is>
      </c>
      <c r="Z1272" s="15" t="n">
        <v>9405</v>
      </c>
      <c r="AA1272" s="15" t="n"/>
      <c r="AB1272" s="15" t="n"/>
      <c r="AC1272" s="15" t="n"/>
      <c r="AD1272" s="15" t="n"/>
      <c r="AE1272" s="15" t="n">
        <v>400</v>
      </c>
      <c r="AF1272" s="16" t="n">
        <v>0.6</v>
      </c>
      <c r="AG1272" s="15">
        <f>ROUND(AE1272-(AE1272*AF1272),2)</f>
        <v/>
      </c>
      <c r="AH1272" s="16" t="n">
        <v>0.18</v>
      </c>
      <c r="AI1272" s="15">
        <f>ROUND(AG1272+(AG1272*AH1272),2)</f>
        <v/>
      </c>
      <c r="AJ1272" s="16" t="n">
        <v>0.2</v>
      </c>
      <c r="AK1272" s="15">
        <f>ROUND(AI1272*AJ1272,2)</f>
        <v/>
      </c>
      <c r="AL1272" s="15">
        <f>AI1272+AK1272</f>
        <v/>
      </c>
      <c r="AM1272" s="15">
        <f>AE1272-AL1272</f>
        <v/>
      </c>
      <c r="AN1272" s="16">
        <f>AM1272/AE1272</f>
        <v/>
      </c>
      <c r="AO1272" s="15" t="inlineStr">
        <is>
          <t>60 mins</t>
        </is>
      </c>
      <c r="AP1272" s="15" t="n"/>
      <c r="AQ1272" s="15" t="inlineStr">
        <is>
          <t>Weight</t>
        </is>
      </c>
      <c r="AR1272" s="15" t="n"/>
      <c r="AS1272" s="15" t="n"/>
      <c r="AT1272" s="3" t="inlineStr">
        <is>
          <t>On Demand</t>
        </is>
      </c>
    </row>
    <row r="1273" ht="15.75" customHeight="1">
      <c r="A1273" s="15" t="inlineStr">
        <is>
          <t>PROD_0243</t>
        </is>
      </c>
      <c r="B1273" s="15" t="inlineStr">
        <is>
          <t>VAR_2</t>
        </is>
      </c>
      <c r="C1273" s="15" t="inlineStr">
        <is>
          <t>Electrical Material</t>
        </is>
      </c>
      <c r="D1273" s="15" t="inlineStr">
        <is>
          <t>Surface Light</t>
        </is>
      </c>
      <c r="E1273" s="15" t="inlineStr">
        <is>
          <t>Panasonic</t>
        </is>
      </c>
      <c r="F1273" s="15" t="inlineStr">
        <is>
          <t>Rimless Surface Panel</t>
        </is>
      </c>
      <c r="G1273" s="15" t="n"/>
      <c r="H1273" s="15" t="inlineStr">
        <is>
          <t>Wattage</t>
        </is>
      </c>
      <c r="I1273" s="15" t="inlineStr">
        <is>
          <t>6 W</t>
        </is>
      </c>
      <c r="J1273" s="15" t="n"/>
      <c r="K1273" s="15" t="n"/>
      <c r="L1273" s="15" t="inlineStr">
        <is>
          <t>Color</t>
        </is>
      </c>
      <c r="M1273" s="15" t="inlineStr">
        <is>
          <t>Natural White</t>
        </is>
      </c>
      <c r="N1273" s="15" t="inlineStr">
        <is>
          <t>Shape</t>
        </is>
      </c>
      <c r="O1273" s="15" t="inlineStr">
        <is>
          <t>Round</t>
        </is>
      </c>
      <c r="P1273" s="15" t="n"/>
      <c r="Q1273" s="15" t="inlineStr">
        <is>
          <t>Manufacturer's Warranty</t>
        </is>
      </c>
      <c r="R1273" s="15" t="n"/>
      <c r="S1273" s="15" t="n"/>
      <c r="T1273" s="15" t="n"/>
      <c r="U1273" s="15" t="n"/>
      <c r="V1273" s="15" t="n"/>
      <c r="W1273" s="15" t="n"/>
      <c r="X1273" s="15" t="n"/>
      <c r="Y1273" s="15" t="inlineStr">
        <is>
          <t>SL_PS_RMLS_RND</t>
        </is>
      </c>
      <c r="Z1273" s="15" t="n">
        <v>9405</v>
      </c>
      <c r="AA1273" s="15" t="n"/>
      <c r="AB1273" s="15" t="n"/>
      <c r="AC1273" s="15" t="n"/>
      <c r="AD1273" s="15" t="n"/>
      <c r="AE1273" s="15" t="n">
        <v>400</v>
      </c>
      <c r="AF1273" s="16" t="n">
        <v>0.6</v>
      </c>
      <c r="AG1273" s="15">
        <f>ROUND(AE1273-(AE1273*AF1273),2)</f>
        <v/>
      </c>
      <c r="AH1273" s="16" t="n">
        <v>0.18</v>
      </c>
      <c r="AI1273" s="15">
        <f>ROUND(AG1273+(AG1273*AH1273),2)</f>
        <v/>
      </c>
      <c r="AJ1273" s="16" t="n">
        <v>0.2</v>
      </c>
      <c r="AK1273" s="15">
        <f>ROUND(AI1273*AJ1273,2)</f>
        <v/>
      </c>
      <c r="AL1273" s="15">
        <f>AI1273+AK1273</f>
        <v/>
      </c>
      <c r="AM1273" s="15">
        <f>AE1273-AL1273</f>
        <v/>
      </c>
      <c r="AN1273" s="16">
        <f>AM1273/AE1273</f>
        <v/>
      </c>
      <c r="AO1273" s="15" t="inlineStr">
        <is>
          <t>60 mins</t>
        </is>
      </c>
      <c r="AP1273" s="15" t="n"/>
      <c r="AQ1273" s="15" t="inlineStr">
        <is>
          <t>Weight</t>
        </is>
      </c>
      <c r="AR1273" s="15" t="n"/>
      <c r="AS1273" s="15" t="n"/>
      <c r="AT1273" s="3" t="inlineStr">
        <is>
          <t>On Demand</t>
        </is>
      </c>
    </row>
    <row r="1274" ht="15.75" customHeight="1">
      <c r="A1274" s="15" t="inlineStr">
        <is>
          <t>PROD_0243</t>
        </is>
      </c>
      <c r="B1274" s="15" t="inlineStr">
        <is>
          <t>VAR_3</t>
        </is>
      </c>
      <c r="C1274" s="15" t="inlineStr">
        <is>
          <t>Electrical Material</t>
        </is>
      </c>
      <c r="D1274" s="15" t="inlineStr">
        <is>
          <t>Surface Light</t>
        </is>
      </c>
      <c r="E1274" s="15" t="inlineStr">
        <is>
          <t>Panasonic</t>
        </is>
      </c>
      <c r="F1274" s="15" t="inlineStr">
        <is>
          <t>Rimless Surface Panel</t>
        </is>
      </c>
      <c r="G1274" s="15" t="n"/>
      <c r="H1274" s="15" t="inlineStr">
        <is>
          <t>Wattage</t>
        </is>
      </c>
      <c r="I1274" s="15" t="inlineStr">
        <is>
          <t>6 W</t>
        </is>
      </c>
      <c r="J1274" s="15" t="n"/>
      <c r="K1274" s="15" t="n"/>
      <c r="L1274" s="15" t="inlineStr">
        <is>
          <t>Color</t>
        </is>
      </c>
      <c r="M1274" s="15" t="inlineStr">
        <is>
          <t>Cool White</t>
        </is>
      </c>
      <c r="N1274" s="15" t="inlineStr">
        <is>
          <t>Shape</t>
        </is>
      </c>
      <c r="O1274" s="15" t="inlineStr">
        <is>
          <t>Round</t>
        </is>
      </c>
      <c r="P1274" s="15" t="n"/>
      <c r="Q1274" s="15" t="inlineStr">
        <is>
          <t>Manufacturer's Warranty</t>
        </is>
      </c>
      <c r="R1274" s="15" t="n"/>
      <c r="S1274" s="15" t="n"/>
      <c r="T1274" s="15" t="n"/>
      <c r="U1274" s="15" t="n"/>
      <c r="V1274" s="15" t="n"/>
      <c r="W1274" s="15" t="n"/>
      <c r="X1274" s="15" t="n"/>
      <c r="Y1274" s="15" t="inlineStr">
        <is>
          <t>SL_PS_RMLS_RND</t>
        </is>
      </c>
      <c r="Z1274" s="15" t="n">
        <v>9405</v>
      </c>
      <c r="AA1274" s="15" t="n"/>
      <c r="AB1274" s="15" t="n"/>
      <c r="AC1274" s="15" t="n"/>
      <c r="AD1274" s="15" t="n"/>
      <c r="AE1274" s="15" t="n">
        <v>400</v>
      </c>
      <c r="AF1274" s="16" t="n">
        <v>0.6</v>
      </c>
      <c r="AG1274" s="15">
        <f>ROUND(AE1274-(AE1274*AF1274),2)</f>
        <v/>
      </c>
      <c r="AH1274" s="16" t="n">
        <v>0.18</v>
      </c>
      <c r="AI1274" s="15">
        <f>ROUND(AG1274+(AG1274*AH1274),2)</f>
        <v/>
      </c>
      <c r="AJ1274" s="16" t="n">
        <v>0.2</v>
      </c>
      <c r="AK1274" s="15">
        <f>ROUND(AI1274*AJ1274,2)</f>
        <v/>
      </c>
      <c r="AL1274" s="15">
        <f>AI1274+AK1274</f>
        <v/>
      </c>
      <c r="AM1274" s="15">
        <f>AE1274-AL1274</f>
        <v/>
      </c>
      <c r="AN1274" s="16">
        <f>AM1274/AE1274</f>
        <v/>
      </c>
      <c r="AO1274" s="15" t="inlineStr">
        <is>
          <t>60 mins</t>
        </is>
      </c>
      <c r="AP1274" s="15" t="n"/>
      <c r="AQ1274" s="15" t="inlineStr">
        <is>
          <t>Weight</t>
        </is>
      </c>
      <c r="AR1274" s="15" t="n"/>
      <c r="AS1274" s="15" t="n"/>
      <c r="AT1274" s="3" t="inlineStr">
        <is>
          <t>On Demand</t>
        </is>
      </c>
    </row>
    <row r="1275" ht="15.75" customHeight="1">
      <c r="A1275" s="15" t="inlineStr">
        <is>
          <t>PROD_0243</t>
        </is>
      </c>
      <c r="B1275" s="15" t="inlineStr">
        <is>
          <t>VAR_4</t>
        </is>
      </c>
      <c r="C1275" s="15" t="inlineStr">
        <is>
          <t>Electrical Material</t>
        </is>
      </c>
      <c r="D1275" s="15" t="inlineStr">
        <is>
          <t>Surface Light</t>
        </is>
      </c>
      <c r="E1275" s="15" t="inlineStr">
        <is>
          <t>Panasonic</t>
        </is>
      </c>
      <c r="F1275" s="15" t="inlineStr">
        <is>
          <t>Rimless Surface Panel</t>
        </is>
      </c>
      <c r="G1275" s="15" t="n"/>
      <c r="H1275" s="15" t="inlineStr">
        <is>
          <t>Wattage</t>
        </is>
      </c>
      <c r="I1275" s="15" t="inlineStr">
        <is>
          <t>6 W</t>
        </is>
      </c>
      <c r="J1275" s="15" t="n"/>
      <c r="K1275" s="15" t="n"/>
      <c r="L1275" s="15" t="inlineStr">
        <is>
          <t>Color</t>
        </is>
      </c>
      <c r="M1275" s="15" t="inlineStr">
        <is>
          <t>Warm White</t>
        </is>
      </c>
      <c r="N1275" s="15" t="inlineStr">
        <is>
          <t>Shape</t>
        </is>
      </c>
      <c r="O1275" s="15" t="inlineStr">
        <is>
          <t>Square</t>
        </is>
      </c>
      <c r="P1275" s="15" t="n"/>
      <c r="Q1275" s="15" t="inlineStr">
        <is>
          <t>Manufacturer's Warranty</t>
        </is>
      </c>
      <c r="R1275" s="15" t="n"/>
      <c r="S1275" s="15" t="n"/>
      <c r="T1275" s="15" t="n"/>
      <c r="U1275" s="15" t="n"/>
      <c r="V1275" s="15" t="n"/>
      <c r="W1275" s="15" t="n"/>
      <c r="X1275" s="15" t="n"/>
      <c r="Y1275" s="15" t="inlineStr">
        <is>
          <t>SL_PS_RMLS_SQ</t>
        </is>
      </c>
      <c r="Z1275" s="15" t="n">
        <v>9405</v>
      </c>
      <c r="AA1275" s="15" t="n"/>
      <c r="AB1275" s="15" t="n"/>
      <c r="AC1275" s="15" t="n"/>
      <c r="AD1275" s="15" t="n"/>
      <c r="AE1275" s="15" t="n">
        <v>400</v>
      </c>
      <c r="AF1275" s="16" t="n">
        <v>0.6</v>
      </c>
      <c r="AG1275" s="15">
        <f>ROUND(AE1275-(AE1275*AF1275),2)</f>
        <v/>
      </c>
      <c r="AH1275" s="16" t="n">
        <v>0.18</v>
      </c>
      <c r="AI1275" s="15">
        <f>ROUND(AG1275+(AG1275*AH1275),2)</f>
        <v/>
      </c>
      <c r="AJ1275" s="16" t="n">
        <v>0.2</v>
      </c>
      <c r="AK1275" s="15">
        <f>ROUND(AI1275*AJ1275,2)</f>
        <v/>
      </c>
      <c r="AL1275" s="15">
        <f>AI1275+AK1275</f>
        <v/>
      </c>
      <c r="AM1275" s="15">
        <f>AE1275-AL1275</f>
        <v/>
      </c>
      <c r="AN1275" s="16">
        <f>AM1275/AE1275</f>
        <v/>
      </c>
      <c r="AO1275" s="15" t="inlineStr">
        <is>
          <t>60 mins</t>
        </is>
      </c>
      <c r="AP1275" s="15" t="n"/>
      <c r="AQ1275" s="15" t="inlineStr">
        <is>
          <t>Weight</t>
        </is>
      </c>
      <c r="AR1275" s="15" t="n"/>
      <c r="AS1275" s="15" t="n"/>
      <c r="AT1275" s="3" t="inlineStr">
        <is>
          <t>On Demand</t>
        </is>
      </c>
    </row>
    <row r="1276" ht="15.75" customHeight="1">
      <c r="A1276" s="15" t="inlineStr">
        <is>
          <t>PROD_0243</t>
        </is>
      </c>
      <c r="B1276" s="15" t="inlineStr">
        <is>
          <t>VAR_5</t>
        </is>
      </c>
      <c r="C1276" s="15" t="inlineStr">
        <is>
          <t>Electrical Material</t>
        </is>
      </c>
      <c r="D1276" s="15" t="inlineStr">
        <is>
          <t>Surface Light</t>
        </is>
      </c>
      <c r="E1276" s="15" t="inlineStr">
        <is>
          <t>Panasonic</t>
        </is>
      </c>
      <c r="F1276" s="15" t="inlineStr">
        <is>
          <t>Rimless Surface Panel</t>
        </is>
      </c>
      <c r="G1276" s="15" t="n"/>
      <c r="H1276" s="15" t="inlineStr">
        <is>
          <t>Wattage</t>
        </is>
      </c>
      <c r="I1276" s="15" t="inlineStr">
        <is>
          <t>6 W</t>
        </is>
      </c>
      <c r="J1276" s="15" t="n"/>
      <c r="K1276" s="15" t="n"/>
      <c r="L1276" s="15" t="inlineStr">
        <is>
          <t>Color</t>
        </is>
      </c>
      <c r="M1276" s="15" t="inlineStr">
        <is>
          <t>Natural White</t>
        </is>
      </c>
      <c r="N1276" s="15" t="inlineStr">
        <is>
          <t>Shape</t>
        </is>
      </c>
      <c r="O1276" s="15" t="inlineStr">
        <is>
          <t>Square</t>
        </is>
      </c>
      <c r="P1276" s="15" t="n"/>
      <c r="Q1276" s="15" t="inlineStr">
        <is>
          <t>Manufacturer's Warranty</t>
        </is>
      </c>
      <c r="R1276" s="15" t="n"/>
      <c r="S1276" s="15" t="n"/>
      <c r="T1276" s="15" t="n"/>
      <c r="U1276" s="15" t="n"/>
      <c r="V1276" s="15" t="n"/>
      <c r="W1276" s="15" t="n"/>
      <c r="X1276" s="15" t="n"/>
      <c r="Y1276" s="15" t="inlineStr">
        <is>
          <t>SL_PS_RMLS_SQ</t>
        </is>
      </c>
      <c r="Z1276" s="15" t="n">
        <v>9405</v>
      </c>
      <c r="AA1276" s="15" t="n"/>
      <c r="AB1276" s="15" t="n"/>
      <c r="AC1276" s="15" t="n"/>
      <c r="AD1276" s="15" t="n"/>
      <c r="AE1276" s="15" t="n">
        <v>400</v>
      </c>
      <c r="AF1276" s="16" t="n">
        <v>0.6</v>
      </c>
      <c r="AG1276" s="15">
        <f>ROUND(AE1276-(AE1276*AF1276),2)</f>
        <v/>
      </c>
      <c r="AH1276" s="16" t="n">
        <v>0.18</v>
      </c>
      <c r="AI1276" s="15">
        <f>ROUND(AG1276+(AG1276*AH1276),2)</f>
        <v/>
      </c>
      <c r="AJ1276" s="16" t="n">
        <v>0.2</v>
      </c>
      <c r="AK1276" s="15">
        <f>ROUND(AI1276*AJ1276,2)</f>
        <v/>
      </c>
      <c r="AL1276" s="15">
        <f>AI1276+AK1276</f>
        <v/>
      </c>
      <c r="AM1276" s="15">
        <f>AE1276-AL1276</f>
        <v/>
      </c>
      <c r="AN1276" s="16">
        <f>AM1276/AE1276</f>
        <v/>
      </c>
      <c r="AO1276" s="15" t="inlineStr">
        <is>
          <t>60 mins</t>
        </is>
      </c>
      <c r="AP1276" s="15" t="n"/>
      <c r="AQ1276" s="15" t="inlineStr">
        <is>
          <t>Weight</t>
        </is>
      </c>
      <c r="AR1276" s="15" t="n"/>
      <c r="AS1276" s="15" t="n"/>
      <c r="AT1276" s="3" t="inlineStr">
        <is>
          <t>On Demand</t>
        </is>
      </c>
    </row>
    <row r="1277" ht="15.75" customHeight="1">
      <c r="A1277" s="15" t="inlineStr">
        <is>
          <t>PROD_0243</t>
        </is>
      </c>
      <c r="B1277" s="15" t="inlineStr">
        <is>
          <t>VAR_6</t>
        </is>
      </c>
      <c r="C1277" s="15" t="inlineStr">
        <is>
          <t>Electrical Material</t>
        </is>
      </c>
      <c r="D1277" s="15" t="inlineStr">
        <is>
          <t>Surface Light</t>
        </is>
      </c>
      <c r="E1277" s="15" t="inlineStr">
        <is>
          <t>Panasonic</t>
        </is>
      </c>
      <c r="F1277" s="15" t="inlineStr">
        <is>
          <t>Rimless Surface Panel</t>
        </is>
      </c>
      <c r="G1277" s="15" t="n"/>
      <c r="H1277" s="15" t="inlineStr">
        <is>
          <t>Wattage</t>
        </is>
      </c>
      <c r="I1277" s="15" t="inlineStr">
        <is>
          <t>6 W</t>
        </is>
      </c>
      <c r="J1277" s="15" t="n"/>
      <c r="K1277" s="15" t="n"/>
      <c r="L1277" s="15" t="inlineStr">
        <is>
          <t>Color</t>
        </is>
      </c>
      <c r="M1277" s="15" t="inlineStr">
        <is>
          <t>Cool White</t>
        </is>
      </c>
      <c r="N1277" s="15" t="inlineStr">
        <is>
          <t>Shape</t>
        </is>
      </c>
      <c r="O1277" s="15" t="inlineStr">
        <is>
          <t>Square</t>
        </is>
      </c>
      <c r="P1277" s="15" t="n"/>
      <c r="Q1277" s="15" t="inlineStr">
        <is>
          <t>Manufacturer's Warranty</t>
        </is>
      </c>
      <c r="R1277" s="15" t="n"/>
      <c r="S1277" s="15" t="n"/>
      <c r="T1277" s="15" t="n"/>
      <c r="U1277" s="15" t="n"/>
      <c r="V1277" s="15" t="n"/>
      <c r="W1277" s="15" t="n"/>
      <c r="X1277" s="15" t="n"/>
      <c r="Y1277" s="15" t="inlineStr">
        <is>
          <t>SL_PS_RMLS_SQ</t>
        </is>
      </c>
      <c r="Z1277" s="15" t="n">
        <v>9405</v>
      </c>
      <c r="AA1277" s="15" t="n"/>
      <c r="AB1277" s="15" t="n"/>
      <c r="AC1277" s="15" t="n"/>
      <c r="AD1277" s="15" t="n"/>
      <c r="AE1277" s="15" t="n">
        <v>400</v>
      </c>
      <c r="AF1277" s="16" t="n">
        <v>0.6</v>
      </c>
      <c r="AG1277" s="15">
        <f>ROUND(AE1277-(AE1277*AF1277),2)</f>
        <v/>
      </c>
      <c r="AH1277" s="16" t="n">
        <v>0.18</v>
      </c>
      <c r="AI1277" s="15">
        <f>ROUND(AG1277+(AG1277*AH1277),2)</f>
        <v/>
      </c>
      <c r="AJ1277" s="16" t="n">
        <v>0.2</v>
      </c>
      <c r="AK1277" s="15">
        <f>ROUND(AI1277*AJ1277,2)</f>
        <v/>
      </c>
      <c r="AL1277" s="15">
        <f>AI1277+AK1277</f>
        <v/>
      </c>
      <c r="AM1277" s="15">
        <f>AE1277-AL1277</f>
        <v/>
      </c>
      <c r="AN1277" s="16">
        <f>AM1277/AE1277</f>
        <v/>
      </c>
      <c r="AO1277" s="15" t="inlineStr">
        <is>
          <t>60 mins</t>
        </is>
      </c>
      <c r="AP1277" s="15" t="n"/>
      <c r="AQ1277" s="15" t="inlineStr">
        <is>
          <t>Weight</t>
        </is>
      </c>
      <c r="AR1277" s="15" t="n"/>
      <c r="AS1277" s="15" t="n"/>
      <c r="AT1277" s="3" t="inlineStr">
        <is>
          <t>On Demand</t>
        </is>
      </c>
    </row>
    <row r="1278" ht="15.75" customHeight="1">
      <c r="A1278" s="15" t="inlineStr">
        <is>
          <t>PROD_0243</t>
        </is>
      </c>
      <c r="B1278" s="15" t="inlineStr">
        <is>
          <t>VAR_7</t>
        </is>
      </c>
      <c r="C1278" s="15" t="inlineStr">
        <is>
          <t>Electrical Material</t>
        </is>
      </c>
      <c r="D1278" s="15" t="inlineStr">
        <is>
          <t>Surface Light</t>
        </is>
      </c>
      <c r="E1278" s="15" t="inlineStr">
        <is>
          <t>Panasonic</t>
        </is>
      </c>
      <c r="F1278" s="15" t="inlineStr">
        <is>
          <t>Rimless Surface Panel</t>
        </is>
      </c>
      <c r="G1278" s="15" t="n"/>
      <c r="H1278" s="15" t="inlineStr">
        <is>
          <t>Wattage</t>
        </is>
      </c>
      <c r="I1278" s="15" t="inlineStr">
        <is>
          <t>12 W</t>
        </is>
      </c>
      <c r="J1278" s="15" t="n"/>
      <c r="K1278" s="15" t="n"/>
      <c r="L1278" s="15" t="inlineStr">
        <is>
          <t>Color</t>
        </is>
      </c>
      <c r="M1278" s="15" t="inlineStr">
        <is>
          <t>Warm White</t>
        </is>
      </c>
      <c r="N1278" s="15" t="inlineStr">
        <is>
          <t>Shape</t>
        </is>
      </c>
      <c r="O1278" s="15" t="inlineStr">
        <is>
          <t>Round</t>
        </is>
      </c>
      <c r="P1278" s="15" t="n"/>
      <c r="Q1278" s="15" t="inlineStr">
        <is>
          <t>Manufacturer's Warranty</t>
        </is>
      </c>
      <c r="R1278" s="15" t="n"/>
      <c r="S1278" s="15" t="n"/>
      <c r="T1278" s="15" t="n"/>
      <c r="U1278" s="15" t="n"/>
      <c r="V1278" s="15" t="n"/>
      <c r="W1278" s="15" t="n"/>
      <c r="X1278" s="15" t="n"/>
      <c r="Y1278" s="15" t="inlineStr">
        <is>
          <t>SL_PS_RMLS_RND</t>
        </is>
      </c>
      <c r="Z1278" s="15" t="n">
        <v>9405</v>
      </c>
      <c r="AA1278" s="15" t="n"/>
      <c r="AB1278" s="15" t="n"/>
      <c r="AC1278" s="15" t="n"/>
      <c r="AD1278" s="15" t="n"/>
      <c r="AE1278" s="15" t="n">
        <v>850</v>
      </c>
      <c r="AF1278" s="16" t="n">
        <v>0.65</v>
      </c>
      <c r="AG1278" s="15">
        <f>ROUND(AE1278-(AE1278*AF1278),2)</f>
        <v/>
      </c>
      <c r="AH1278" s="16" t="n">
        <v>0.18</v>
      </c>
      <c r="AI1278" s="15">
        <f>ROUND(AG1278+(AG1278*AH1278),2)</f>
        <v/>
      </c>
      <c r="AJ1278" s="16" t="n">
        <v>0.2</v>
      </c>
      <c r="AK1278" s="15">
        <f>ROUND(AI1278*AJ1278,2)</f>
        <v/>
      </c>
      <c r="AL1278" s="15">
        <f>AI1278+AK1278</f>
        <v/>
      </c>
      <c r="AM1278" s="15">
        <f>AE1278-AL1278</f>
        <v/>
      </c>
      <c r="AN1278" s="16">
        <f>AM1278/AE1278</f>
        <v/>
      </c>
      <c r="AO1278" s="15" t="inlineStr">
        <is>
          <t>60 mins</t>
        </is>
      </c>
      <c r="AP1278" s="15" t="n"/>
      <c r="AQ1278" s="15" t="inlineStr">
        <is>
          <t>Weight</t>
        </is>
      </c>
      <c r="AR1278" s="15" t="n"/>
      <c r="AS1278" s="15" t="n"/>
      <c r="AT1278" s="3" t="inlineStr">
        <is>
          <t>On Demand</t>
        </is>
      </c>
    </row>
    <row r="1279" ht="15.75" customHeight="1">
      <c r="A1279" s="15" t="inlineStr">
        <is>
          <t>PROD_0243</t>
        </is>
      </c>
      <c r="B1279" s="15" t="inlineStr">
        <is>
          <t>VAR_8</t>
        </is>
      </c>
      <c r="C1279" s="15" t="inlineStr">
        <is>
          <t>Electrical Material</t>
        </is>
      </c>
      <c r="D1279" s="15" t="inlineStr">
        <is>
          <t>Surface Light</t>
        </is>
      </c>
      <c r="E1279" s="15" t="inlineStr">
        <is>
          <t>Panasonic</t>
        </is>
      </c>
      <c r="F1279" s="15" t="inlineStr">
        <is>
          <t>Rimless Surface Panel</t>
        </is>
      </c>
      <c r="G1279" s="15" t="n"/>
      <c r="H1279" s="15" t="inlineStr">
        <is>
          <t>Wattage</t>
        </is>
      </c>
      <c r="I1279" s="15" t="inlineStr">
        <is>
          <t>12 W</t>
        </is>
      </c>
      <c r="J1279" s="15" t="n"/>
      <c r="K1279" s="15" t="n"/>
      <c r="L1279" s="15" t="inlineStr">
        <is>
          <t>Color</t>
        </is>
      </c>
      <c r="M1279" s="15" t="inlineStr">
        <is>
          <t>Natural White</t>
        </is>
      </c>
      <c r="N1279" s="15" t="inlineStr">
        <is>
          <t>Shape</t>
        </is>
      </c>
      <c r="O1279" s="15" t="inlineStr">
        <is>
          <t>Round</t>
        </is>
      </c>
      <c r="P1279" s="15" t="n"/>
      <c r="Q1279" s="15" t="inlineStr">
        <is>
          <t>Manufacturer's Warranty</t>
        </is>
      </c>
      <c r="R1279" s="15" t="n"/>
      <c r="S1279" s="15" t="n"/>
      <c r="T1279" s="15" t="n"/>
      <c r="U1279" s="15" t="n"/>
      <c r="V1279" s="15" t="n"/>
      <c r="W1279" s="15" t="n"/>
      <c r="X1279" s="15" t="n"/>
      <c r="Y1279" s="15" t="inlineStr">
        <is>
          <t>SL_PS_RMLS_RND</t>
        </is>
      </c>
      <c r="Z1279" s="15" t="n">
        <v>9405</v>
      </c>
      <c r="AA1279" s="15" t="n"/>
      <c r="AB1279" s="15" t="n"/>
      <c r="AC1279" s="15" t="n"/>
      <c r="AD1279" s="15" t="n"/>
      <c r="AE1279" s="15" t="n">
        <v>850</v>
      </c>
      <c r="AF1279" s="16" t="n">
        <v>0.65</v>
      </c>
      <c r="AG1279" s="15">
        <f>ROUND(AE1279-(AE1279*AF1279),2)</f>
        <v/>
      </c>
      <c r="AH1279" s="16" t="n">
        <v>0.18</v>
      </c>
      <c r="AI1279" s="15">
        <f>ROUND(AG1279+(AG1279*AH1279),2)</f>
        <v/>
      </c>
      <c r="AJ1279" s="16" t="n">
        <v>0.2</v>
      </c>
      <c r="AK1279" s="15">
        <f>ROUND(AI1279*AJ1279,2)</f>
        <v/>
      </c>
      <c r="AL1279" s="15">
        <f>AI1279+AK1279</f>
        <v/>
      </c>
      <c r="AM1279" s="15">
        <f>AE1279-AL1279</f>
        <v/>
      </c>
      <c r="AN1279" s="16">
        <f>AM1279/AE1279</f>
        <v/>
      </c>
      <c r="AO1279" s="15" t="inlineStr">
        <is>
          <t>60 mins</t>
        </is>
      </c>
      <c r="AP1279" s="15" t="n"/>
      <c r="AQ1279" s="15" t="inlineStr">
        <is>
          <t>Weight</t>
        </is>
      </c>
      <c r="AR1279" s="15" t="n"/>
      <c r="AS1279" s="15" t="n"/>
      <c r="AT1279" s="3" t="inlineStr">
        <is>
          <t>On Demand</t>
        </is>
      </c>
    </row>
    <row r="1280" ht="15.75" customHeight="1">
      <c r="A1280" s="15" t="inlineStr">
        <is>
          <t>PROD_0243</t>
        </is>
      </c>
      <c r="B1280" s="15" t="inlineStr">
        <is>
          <t>VAR_9</t>
        </is>
      </c>
      <c r="C1280" s="15" t="inlineStr">
        <is>
          <t>Electrical Material</t>
        </is>
      </c>
      <c r="D1280" s="15" t="inlineStr">
        <is>
          <t>Surface Light</t>
        </is>
      </c>
      <c r="E1280" s="15" t="inlineStr">
        <is>
          <t>Panasonic</t>
        </is>
      </c>
      <c r="F1280" s="15" t="inlineStr">
        <is>
          <t>Rimless Surface Panel</t>
        </is>
      </c>
      <c r="G1280" s="15" t="n"/>
      <c r="H1280" s="15" t="inlineStr">
        <is>
          <t>Wattage</t>
        </is>
      </c>
      <c r="I1280" s="15" t="inlineStr">
        <is>
          <t>12 W</t>
        </is>
      </c>
      <c r="J1280" s="15" t="n"/>
      <c r="K1280" s="15" t="n"/>
      <c r="L1280" s="15" t="inlineStr">
        <is>
          <t>Color</t>
        </is>
      </c>
      <c r="M1280" s="15" t="inlineStr">
        <is>
          <t>Cool White</t>
        </is>
      </c>
      <c r="N1280" s="15" t="inlineStr">
        <is>
          <t>Shape</t>
        </is>
      </c>
      <c r="O1280" s="15" t="inlineStr">
        <is>
          <t>Round</t>
        </is>
      </c>
      <c r="P1280" s="15" t="n"/>
      <c r="Q1280" s="15" t="inlineStr">
        <is>
          <t>Manufacturer's Warranty</t>
        </is>
      </c>
      <c r="R1280" s="15" t="n"/>
      <c r="S1280" s="15" t="n"/>
      <c r="T1280" s="15" t="n"/>
      <c r="U1280" s="15" t="n"/>
      <c r="V1280" s="15" t="n"/>
      <c r="W1280" s="15" t="n"/>
      <c r="X1280" s="15" t="n"/>
      <c r="Y1280" s="15" t="inlineStr">
        <is>
          <t>SL_PS_RMLS_RND</t>
        </is>
      </c>
      <c r="Z1280" s="15" t="n">
        <v>9405</v>
      </c>
      <c r="AA1280" s="15" t="n"/>
      <c r="AB1280" s="15" t="n"/>
      <c r="AC1280" s="15" t="n"/>
      <c r="AD1280" s="15" t="n"/>
      <c r="AE1280" s="15" t="n">
        <v>850</v>
      </c>
      <c r="AF1280" s="16" t="n">
        <v>0.65</v>
      </c>
      <c r="AG1280" s="15">
        <f>ROUND(AE1280-(AE1280*AF1280),2)</f>
        <v/>
      </c>
      <c r="AH1280" s="16" t="n">
        <v>0.18</v>
      </c>
      <c r="AI1280" s="15">
        <f>ROUND(AG1280+(AG1280*AH1280),2)</f>
        <v/>
      </c>
      <c r="AJ1280" s="16" t="n">
        <v>0.2</v>
      </c>
      <c r="AK1280" s="15">
        <f>ROUND(AI1280*AJ1280,2)</f>
        <v/>
      </c>
      <c r="AL1280" s="15">
        <f>AI1280+AK1280</f>
        <v/>
      </c>
      <c r="AM1280" s="15">
        <f>AE1280-AL1280</f>
        <v/>
      </c>
      <c r="AN1280" s="16">
        <f>AM1280/AE1280</f>
        <v/>
      </c>
      <c r="AO1280" s="15" t="inlineStr">
        <is>
          <t>60 mins</t>
        </is>
      </c>
      <c r="AP1280" s="15" t="n"/>
      <c r="AQ1280" s="15" t="inlineStr">
        <is>
          <t>Weight</t>
        </is>
      </c>
      <c r="AR1280" s="15" t="n"/>
      <c r="AS1280" s="15" t="n"/>
      <c r="AT1280" s="3" t="inlineStr">
        <is>
          <t>On Demand</t>
        </is>
      </c>
    </row>
    <row r="1281" ht="15.75" customHeight="1">
      <c r="A1281" s="15" t="inlineStr">
        <is>
          <t>PROD_0243</t>
        </is>
      </c>
      <c r="B1281" s="15" t="inlineStr">
        <is>
          <t>VAR_10</t>
        </is>
      </c>
      <c r="C1281" s="15" t="inlineStr">
        <is>
          <t>Electrical Material</t>
        </is>
      </c>
      <c r="D1281" s="15" t="inlineStr">
        <is>
          <t>Surface Light</t>
        </is>
      </c>
      <c r="E1281" s="15" t="inlineStr">
        <is>
          <t>Panasonic</t>
        </is>
      </c>
      <c r="F1281" s="15" t="inlineStr">
        <is>
          <t>Rimless Surface Panel</t>
        </is>
      </c>
      <c r="G1281" s="15" t="n"/>
      <c r="H1281" s="15" t="inlineStr">
        <is>
          <t>Wattage</t>
        </is>
      </c>
      <c r="I1281" s="15" t="inlineStr">
        <is>
          <t>12 W</t>
        </is>
      </c>
      <c r="J1281" s="15" t="n"/>
      <c r="K1281" s="15" t="n"/>
      <c r="L1281" s="15" t="inlineStr">
        <is>
          <t>Color</t>
        </is>
      </c>
      <c r="M1281" s="15" t="inlineStr">
        <is>
          <t>Warm White</t>
        </is>
      </c>
      <c r="N1281" s="15" t="inlineStr">
        <is>
          <t>Shape</t>
        </is>
      </c>
      <c r="O1281" s="15" t="inlineStr">
        <is>
          <t>Square</t>
        </is>
      </c>
      <c r="P1281" s="15" t="n"/>
      <c r="Q1281" s="15" t="inlineStr">
        <is>
          <t>Manufacturer's Warranty</t>
        </is>
      </c>
      <c r="R1281" s="15" t="n"/>
      <c r="S1281" s="15" t="n"/>
      <c r="T1281" s="15" t="n"/>
      <c r="U1281" s="15" t="n"/>
      <c r="V1281" s="15" t="n"/>
      <c r="W1281" s="15" t="n"/>
      <c r="X1281" s="15" t="n"/>
      <c r="Y1281" s="15" t="inlineStr">
        <is>
          <t>SL_PS_RMLS_SQ</t>
        </is>
      </c>
      <c r="Z1281" s="15" t="n">
        <v>9405</v>
      </c>
      <c r="AA1281" s="15" t="n"/>
      <c r="AB1281" s="15" t="n"/>
      <c r="AC1281" s="15" t="n"/>
      <c r="AD1281" s="15" t="n"/>
      <c r="AE1281" s="15" t="n">
        <v>850</v>
      </c>
      <c r="AF1281" s="16" t="n">
        <v>0.65</v>
      </c>
      <c r="AG1281" s="15">
        <f>ROUND(AE1281-(AE1281*AF1281),2)</f>
        <v/>
      </c>
      <c r="AH1281" s="16" t="n">
        <v>0.18</v>
      </c>
      <c r="AI1281" s="15">
        <f>ROUND(AG1281+(AG1281*AH1281),2)</f>
        <v/>
      </c>
      <c r="AJ1281" s="16" t="n">
        <v>0.2</v>
      </c>
      <c r="AK1281" s="15">
        <f>ROUND(AI1281*AJ1281,2)</f>
        <v/>
      </c>
      <c r="AL1281" s="15">
        <f>AI1281+AK1281</f>
        <v/>
      </c>
      <c r="AM1281" s="15">
        <f>AE1281-AL1281</f>
        <v/>
      </c>
      <c r="AN1281" s="16">
        <f>AM1281/AE1281</f>
        <v/>
      </c>
      <c r="AO1281" s="15" t="inlineStr">
        <is>
          <t>60 mins</t>
        </is>
      </c>
      <c r="AP1281" s="15" t="n"/>
      <c r="AQ1281" s="15" t="inlineStr">
        <is>
          <t>Weight</t>
        </is>
      </c>
      <c r="AR1281" s="15" t="n"/>
      <c r="AS1281" s="15" t="n"/>
      <c r="AT1281" s="3" t="inlineStr">
        <is>
          <t>On Demand</t>
        </is>
      </c>
    </row>
    <row r="1282" ht="15.75" customHeight="1">
      <c r="A1282" s="15" t="inlineStr">
        <is>
          <t>PROD_0243</t>
        </is>
      </c>
      <c r="B1282" s="15" t="inlineStr">
        <is>
          <t>VAR_11</t>
        </is>
      </c>
      <c r="C1282" s="15" t="inlineStr">
        <is>
          <t>Electrical Material</t>
        </is>
      </c>
      <c r="D1282" s="15" t="inlineStr">
        <is>
          <t>Surface Light</t>
        </is>
      </c>
      <c r="E1282" s="15" t="inlineStr">
        <is>
          <t>Panasonic</t>
        </is>
      </c>
      <c r="F1282" s="15" t="inlineStr">
        <is>
          <t>Rimless Surface Panel</t>
        </is>
      </c>
      <c r="G1282" s="15" t="n"/>
      <c r="H1282" s="15" t="inlineStr">
        <is>
          <t>Wattage</t>
        </is>
      </c>
      <c r="I1282" s="15" t="inlineStr">
        <is>
          <t>12 W</t>
        </is>
      </c>
      <c r="J1282" s="15" t="n"/>
      <c r="K1282" s="15" t="n"/>
      <c r="L1282" s="15" t="inlineStr">
        <is>
          <t>Color</t>
        </is>
      </c>
      <c r="M1282" s="15" t="inlineStr">
        <is>
          <t>Natural White</t>
        </is>
      </c>
      <c r="N1282" s="15" t="inlineStr">
        <is>
          <t>Shape</t>
        </is>
      </c>
      <c r="O1282" s="15" t="inlineStr">
        <is>
          <t>Square</t>
        </is>
      </c>
      <c r="P1282" s="15" t="n"/>
      <c r="Q1282" s="15" t="inlineStr">
        <is>
          <t>Manufacturer's Warranty</t>
        </is>
      </c>
      <c r="R1282" s="15" t="n"/>
      <c r="S1282" s="15" t="n"/>
      <c r="T1282" s="15" t="n"/>
      <c r="U1282" s="15" t="n"/>
      <c r="V1282" s="15" t="n"/>
      <c r="W1282" s="15" t="n"/>
      <c r="X1282" s="15" t="n"/>
      <c r="Y1282" s="15" t="inlineStr">
        <is>
          <t>SL_PS_RMLS_SQ</t>
        </is>
      </c>
      <c r="Z1282" s="15" t="n">
        <v>9405</v>
      </c>
      <c r="AA1282" s="15" t="n"/>
      <c r="AB1282" s="15" t="n"/>
      <c r="AC1282" s="15" t="n"/>
      <c r="AD1282" s="15" t="n"/>
      <c r="AE1282" s="15" t="n">
        <v>850</v>
      </c>
      <c r="AF1282" s="16" t="n">
        <v>0.65</v>
      </c>
      <c r="AG1282" s="15">
        <f>ROUND(AE1282-(AE1282*AF1282),2)</f>
        <v/>
      </c>
      <c r="AH1282" s="16" t="n">
        <v>0.18</v>
      </c>
      <c r="AI1282" s="15">
        <f>ROUND(AG1282+(AG1282*AH1282),2)</f>
        <v/>
      </c>
      <c r="AJ1282" s="16" t="n">
        <v>0.2</v>
      </c>
      <c r="AK1282" s="15">
        <f>ROUND(AI1282*AJ1282,2)</f>
        <v/>
      </c>
      <c r="AL1282" s="15">
        <f>AI1282+AK1282</f>
        <v/>
      </c>
      <c r="AM1282" s="15">
        <f>AE1282-AL1282</f>
        <v/>
      </c>
      <c r="AN1282" s="16">
        <f>AM1282/AE1282</f>
        <v/>
      </c>
      <c r="AO1282" s="15" t="inlineStr">
        <is>
          <t>60 mins</t>
        </is>
      </c>
      <c r="AP1282" s="15" t="n"/>
      <c r="AQ1282" s="15" t="inlineStr">
        <is>
          <t>Weight</t>
        </is>
      </c>
      <c r="AR1282" s="15" t="n"/>
      <c r="AS1282" s="15" t="n"/>
      <c r="AT1282" s="3" t="inlineStr">
        <is>
          <t>On Demand</t>
        </is>
      </c>
    </row>
    <row r="1283" ht="15.75" customHeight="1">
      <c r="A1283" s="15" t="inlineStr">
        <is>
          <t>PROD_0243</t>
        </is>
      </c>
      <c r="B1283" s="15" t="inlineStr">
        <is>
          <t>VAR_12</t>
        </is>
      </c>
      <c r="C1283" s="15" t="inlineStr">
        <is>
          <t>Electrical Material</t>
        </is>
      </c>
      <c r="D1283" s="15" t="inlineStr">
        <is>
          <t>Surface Light</t>
        </is>
      </c>
      <c r="E1283" s="15" t="inlineStr">
        <is>
          <t>Panasonic</t>
        </is>
      </c>
      <c r="F1283" s="15" t="inlineStr">
        <is>
          <t>Rimless Surface Panel</t>
        </is>
      </c>
      <c r="G1283" s="15" t="n"/>
      <c r="H1283" s="15" t="inlineStr">
        <is>
          <t>Wattage</t>
        </is>
      </c>
      <c r="I1283" s="15" t="inlineStr">
        <is>
          <t>12 W</t>
        </is>
      </c>
      <c r="J1283" s="15" t="n"/>
      <c r="K1283" s="15" t="n"/>
      <c r="L1283" s="15" t="inlineStr">
        <is>
          <t>Color</t>
        </is>
      </c>
      <c r="M1283" s="15" t="inlineStr">
        <is>
          <t>Cool White</t>
        </is>
      </c>
      <c r="N1283" s="15" t="inlineStr">
        <is>
          <t>Shape</t>
        </is>
      </c>
      <c r="O1283" s="15" t="inlineStr">
        <is>
          <t>Square</t>
        </is>
      </c>
      <c r="P1283" s="15" t="n"/>
      <c r="Q1283" s="15" t="inlineStr">
        <is>
          <t>Manufacturer's Warranty</t>
        </is>
      </c>
      <c r="R1283" s="15" t="n"/>
      <c r="S1283" s="15" t="n"/>
      <c r="T1283" s="15" t="n"/>
      <c r="U1283" s="15" t="n"/>
      <c r="V1283" s="15" t="n"/>
      <c r="W1283" s="15" t="n"/>
      <c r="X1283" s="15" t="n"/>
      <c r="Y1283" s="15" t="inlineStr">
        <is>
          <t>SL_PS_RMLS_SQ</t>
        </is>
      </c>
      <c r="Z1283" s="15" t="n">
        <v>9405</v>
      </c>
      <c r="AA1283" s="15" t="n"/>
      <c r="AB1283" s="15" t="n"/>
      <c r="AC1283" s="15" t="n"/>
      <c r="AD1283" s="15" t="n"/>
      <c r="AE1283" s="15" t="n">
        <v>850</v>
      </c>
      <c r="AF1283" s="16" t="n">
        <v>0.65</v>
      </c>
      <c r="AG1283" s="15">
        <f>ROUND(AE1283-(AE1283*AF1283),2)</f>
        <v/>
      </c>
      <c r="AH1283" s="16" t="n">
        <v>0.18</v>
      </c>
      <c r="AI1283" s="15">
        <f>ROUND(AG1283+(AG1283*AH1283),2)</f>
        <v/>
      </c>
      <c r="AJ1283" s="16" t="n">
        <v>0.2</v>
      </c>
      <c r="AK1283" s="15">
        <f>ROUND(AI1283*AJ1283,2)</f>
        <v/>
      </c>
      <c r="AL1283" s="15">
        <f>AI1283+AK1283</f>
        <v/>
      </c>
      <c r="AM1283" s="15">
        <f>AE1283-AL1283</f>
        <v/>
      </c>
      <c r="AN1283" s="16">
        <f>AM1283/AE1283</f>
        <v/>
      </c>
      <c r="AO1283" s="15" t="inlineStr">
        <is>
          <t>60 mins</t>
        </is>
      </c>
      <c r="AP1283" s="15" t="n"/>
      <c r="AQ1283" s="15" t="inlineStr">
        <is>
          <t>Weight</t>
        </is>
      </c>
      <c r="AR1283" s="15" t="n"/>
      <c r="AS1283" s="15" t="n"/>
      <c r="AT1283" s="3" t="inlineStr">
        <is>
          <t>On Demand</t>
        </is>
      </c>
    </row>
    <row r="1284" ht="15.75" customHeight="1">
      <c r="A1284" s="15" t="inlineStr">
        <is>
          <t>PROD_0243</t>
        </is>
      </c>
      <c r="B1284" s="15" t="inlineStr">
        <is>
          <t>VAR_13</t>
        </is>
      </c>
      <c r="C1284" s="15" t="inlineStr">
        <is>
          <t>Electrical Material</t>
        </is>
      </c>
      <c r="D1284" s="15" t="inlineStr">
        <is>
          <t>Surface Light</t>
        </is>
      </c>
      <c r="E1284" s="15" t="inlineStr">
        <is>
          <t>Panasonic</t>
        </is>
      </c>
      <c r="F1284" s="15" t="inlineStr">
        <is>
          <t>Rimless Surface Panel</t>
        </is>
      </c>
      <c r="G1284" s="15" t="n"/>
      <c r="H1284" s="15" t="inlineStr">
        <is>
          <t>Wattage</t>
        </is>
      </c>
      <c r="I1284" s="15" t="inlineStr">
        <is>
          <t>18 W</t>
        </is>
      </c>
      <c r="J1284" s="15" t="n"/>
      <c r="K1284" s="15" t="n"/>
      <c r="L1284" s="15" t="inlineStr">
        <is>
          <t>Color</t>
        </is>
      </c>
      <c r="M1284" s="15" t="inlineStr">
        <is>
          <t>Warm White</t>
        </is>
      </c>
      <c r="N1284" s="15" t="inlineStr">
        <is>
          <t>Shape</t>
        </is>
      </c>
      <c r="O1284" s="15" t="inlineStr">
        <is>
          <t>Round</t>
        </is>
      </c>
      <c r="P1284" s="15" t="n"/>
      <c r="Q1284" s="15" t="inlineStr">
        <is>
          <t>Manufacturer's Warranty</t>
        </is>
      </c>
      <c r="R1284" s="15" t="n"/>
      <c r="S1284" s="15" t="n"/>
      <c r="T1284" s="15" t="n"/>
      <c r="U1284" s="15" t="n"/>
      <c r="V1284" s="15" t="n"/>
      <c r="W1284" s="15" t="n"/>
      <c r="X1284" s="15" t="n"/>
      <c r="Y1284" s="15" t="inlineStr">
        <is>
          <t>SL_PS_RMLS_RND</t>
        </is>
      </c>
      <c r="Z1284" s="15" t="n">
        <v>9405</v>
      </c>
      <c r="AA1284" s="15" t="n"/>
      <c r="AB1284" s="15" t="n"/>
      <c r="AC1284" s="15" t="n"/>
      <c r="AD1284" s="15" t="n"/>
      <c r="AE1284" s="15" t="n">
        <v>1150</v>
      </c>
      <c r="AF1284" s="16" t="n">
        <v>0.65</v>
      </c>
      <c r="AG1284" s="15">
        <f>ROUND(AE1284-(AE1284*AF1284),2)</f>
        <v/>
      </c>
      <c r="AH1284" s="16" t="n">
        <v>0.18</v>
      </c>
      <c r="AI1284" s="15">
        <f>ROUND(AG1284+(AG1284*AH1284),2)</f>
        <v/>
      </c>
      <c r="AJ1284" s="16" t="n">
        <v>0.2</v>
      </c>
      <c r="AK1284" s="15">
        <f>ROUND(AI1284*AJ1284,2)</f>
        <v/>
      </c>
      <c r="AL1284" s="15">
        <f>AI1284+AK1284</f>
        <v/>
      </c>
      <c r="AM1284" s="15">
        <f>AE1284-AL1284</f>
        <v/>
      </c>
      <c r="AN1284" s="16">
        <f>AM1284/AE1284</f>
        <v/>
      </c>
      <c r="AO1284" s="15" t="inlineStr">
        <is>
          <t>60 mins</t>
        </is>
      </c>
      <c r="AP1284" s="15" t="n"/>
      <c r="AQ1284" s="15" t="inlineStr">
        <is>
          <t>Weight</t>
        </is>
      </c>
      <c r="AR1284" s="15" t="n"/>
      <c r="AS1284" s="15" t="n"/>
      <c r="AT1284" s="3" t="inlineStr">
        <is>
          <t>On Demand</t>
        </is>
      </c>
    </row>
    <row r="1285" ht="15.75" customHeight="1">
      <c r="A1285" s="15" t="inlineStr">
        <is>
          <t>PROD_0243</t>
        </is>
      </c>
      <c r="B1285" s="15" t="inlineStr">
        <is>
          <t>VAR_14</t>
        </is>
      </c>
      <c r="C1285" s="15" t="inlineStr">
        <is>
          <t>Electrical Material</t>
        </is>
      </c>
      <c r="D1285" s="15" t="inlineStr">
        <is>
          <t>Surface Light</t>
        </is>
      </c>
      <c r="E1285" s="15" t="inlineStr">
        <is>
          <t>Panasonic</t>
        </is>
      </c>
      <c r="F1285" s="15" t="inlineStr">
        <is>
          <t>Rimless Surface Panel</t>
        </is>
      </c>
      <c r="G1285" s="15" t="n"/>
      <c r="H1285" s="15" t="inlineStr">
        <is>
          <t>Wattage</t>
        </is>
      </c>
      <c r="I1285" s="15" t="inlineStr">
        <is>
          <t>18 W</t>
        </is>
      </c>
      <c r="J1285" s="15" t="n"/>
      <c r="K1285" s="15" t="n"/>
      <c r="L1285" s="15" t="inlineStr">
        <is>
          <t>Color</t>
        </is>
      </c>
      <c r="M1285" s="15" t="inlineStr">
        <is>
          <t>Natural White</t>
        </is>
      </c>
      <c r="N1285" s="15" t="inlineStr">
        <is>
          <t>Shape</t>
        </is>
      </c>
      <c r="O1285" s="15" t="inlineStr">
        <is>
          <t>Round</t>
        </is>
      </c>
      <c r="P1285" s="15" t="n"/>
      <c r="Q1285" s="15" t="inlineStr">
        <is>
          <t>Manufacturer's Warranty</t>
        </is>
      </c>
      <c r="R1285" s="15" t="n"/>
      <c r="S1285" s="15" t="n"/>
      <c r="T1285" s="15" t="n"/>
      <c r="U1285" s="15" t="n"/>
      <c r="V1285" s="15" t="n"/>
      <c r="W1285" s="15" t="n"/>
      <c r="X1285" s="15" t="n"/>
      <c r="Y1285" s="15" t="inlineStr">
        <is>
          <t>SL_PS_RMLS_RND</t>
        </is>
      </c>
      <c r="Z1285" s="15" t="n">
        <v>9405</v>
      </c>
      <c r="AA1285" s="15" t="n"/>
      <c r="AB1285" s="15" t="n"/>
      <c r="AC1285" s="15" t="n"/>
      <c r="AD1285" s="15" t="n"/>
      <c r="AE1285" s="15" t="n">
        <v>1150</v>
      </c>
      <c r="AF1285" s="16" t="n">
        <v>0.65</v>
      </c>
      <c r="AG1285" s="15">
        <f>ROUND(AE1285-(AE1285*AF1285),2)</f>
        <v/>
      </c>
      <c r="AH1285" s="16" t="n">
        <v>0.18</v>
      </c>
      <c r="AI1285" s="15">
        <f>ROUND(AG1285+(AG1285*AH1285),2)</f>
        <v/>
      </c>
      <c r="AJ1285" s="16" t="n">
        <v>0.2</v>
      </c>
      <c r="AK1285" s="15">
        <f>ROUND(AI1285*AJ1285,2)</f>
        <v/>
      </c>
      <c r="AL1285" s="15">
        <f>AI1285+AK1285</f>
        <v/>
      </c>
      <c r="AM1285" s="15">
        <f>AE1285-AL1285</f>
        <v/>
      </c>
      <c r="AN1285" s="16">
        <f>AM1285/AE1285</f>
        <v/>
      </c>
      <c r="AO1285" s="15" t="inlineStr">
        <is>
          <t>60 mins</t>
        </is>
      </c>
      <c r="AP1285" s="15" t="n"/>
      <c r="AQ1285" s="15" t="inlineStr">
        <is>
          <t>Weight</t>
        </is>
      </c>
      <c r="AR1285" s="15" t="n"/>
      <c r="AS1285" s="15" t="n"/>
      <c r="AT1285" s="3" t="inlineStr">
        <is>
          <t>On Demand</t>
        </is>
      </c>
    </row>
    <row r="1286" ht="15.75" customHeight="1">
      <c r="A1286" s="15" t="inlineStr">
        <is>
          <t>PROD_0243</t>
        </is>
      </c>
      <c r="B1286" s="15" t="inlineStr">
        <is>
          <t>VAR_15</t>
        </is>
      </c>
      <c r="C1286" s="15" t="inlineStr">
        <is>
          <t>Electrical Material</t>
        </is>
      </c>
      <c r="D1286" s="15" t="inlineStr">
        <is>
          <t>Surface Light</t>
        </is>
      </c>
      <c r="E1286" s="15" t="inlineStr">
        <is>
          <t>Panasonic</t>
        </is>
      </c>
      <c r="F1286" s="15" t="inlineStr">
        <is>
          <t>Rimless Surface Panel</t>
        </is>
      </c>
      <c r="G1286" s="15" t="n"/>
      <c r="H1286" s="15" t="inlineStr">
        <is>
          <t>Wattage</t>
        </is>
      </c>
      <c r="I1286" s="15" t="inlineStr">
        <is>
          <t>18 W</t>
        </is>
      </c>
      <c r="J1286" s="15" t="n"/>
      <c r="K1286" s="15" t="n"/>
      <c r="L1286" s="15" t="inlineStr">
        <is>
          <t>Color</t>
        </is>
      </c>
      <c r="M1286" s="15" t="inlineStr">
        <is>
          <t>Cool White</t>
        </is>
      </c>
      <c r="N1286" s="15" t="inlineStr">
        <is>
          <t>Shape</t>
        </is>
      </c>
      <c r="O1286" s="15" t="inlineStr">
        <is>
          <t>Round</t>
        </is>
      </c>
      <c r="P1286" s="15" t="n"/>
      <c r="Q1286" s="15" t="inlineStr">
        <is>
          <t>Manufacturer's Warranty</t>
        </is>
      </c>
      <c r="R1286" s="15" t="n"/>
      <c r="S1286" s="15" t="n"/>
      <c r="T1286" s="15" t="n"/>
      <c r="U1286" s="15" t="n"/>
      <c r="V1286" s="15" t="n"/>
      <c r="W1286" s="15" t="n"/>
      <c r="X1286" s="15" t="n"/>
      <c r="Y1286" s="15" t="inlineStr">
        <is>
          <t>SL_PS_RMLS_RND</t>
        </is>
      </c>
      <c r="Z1286" s="15" t="n">
        <v>9405</v>
      </c>
      <c r="AA1286" s="15" t="n"/>
      <c r="AB1286" s="15" t="n"/>
      <c r="AC1286" s="15" t="n"/>
      <c r="AD1286" s="15" t="n"/>
      <c r="AE1286" s="15" t="n">
        <v>1150</v>
      </c>
      <c r="AF1286" s="16" t="n">
        <v>0.65</v>
      </c>
      <c r="AG1286" s="15">
        <f>ROUND(AE1286-(AE1286*AF1286),2)</f>
        <v/>
      </c>
      <c r="AH1286" s="16" t="n">
        <v>0.18</v>
      </c>
      <c r="AI1286" s="15">
        <f>ROUND(AG1286+(AG1286*AH1286),2)</f>
        <v/>
      </c>
      <c r="AJ1286" s="16" t="n">
        <v>0.2</v>
      </c>
      <c r="AK1286" s="15">
        <f>ROUND(AI1286*AJ1286,2)</f>
        <v/>
      </c>
      <c r="AL1286" s="15">
        <f>AI1286+AK1286</f>
        <v/>
      </c>
      <c r="AM1286" s="15">
        <f>AE1286-AL1286</f>
        <v/>
      </c>
      <c r="AN1286" s="16">
        <f>AM1286/AE1286</f>
        <v/>
      </c>
      <c r="AO1286" s="15" t="inlineStr">
        <is>
          <t>60 mins</t>
        </is>
      </c>
      <c r="AP1286" s="15" t="n"/>
      <c r="AQ1286" s="15" t="inlineStr">
        <is>
          <t>Weight</t>
        </is>
      </c>
      <c r="AR1286" s="15" t="n"/>
      <c r="AS1286" s="15" t="n"/>
      <c r="AT1286" s="3" t="inlineStr">
        <is>
          <t>On Demand</t>
        </is>
      </c>
    </row>
    <row r="1287" ht="15.75" customHeight="1">
      <c r="A1287" s="15" t="inlineStr">
        <is>
          <t>PROD_0243</t>
        </is>
      </c>
      <c r="B1287" s="15" t="inlineStr">
        <is>
          <t>VAR_16</t>
        </is>
      </c>
      <c r="C1287" s="15" t="inlineStr">
        <is>
          <t>Electrical Material</t>
        </is>
      </c>
      <c r="D1287" s="15" t="inlineStr">
        <is>
          <t>Surface Light</t>
        </is>
      </c>
      <c r="E1287" s="15" t="inlineStr">
        <is>
          <t>Panasonic</t>
        </is>
      </c>
      <c r="F1287" s="15" t="inlineStr">
        <is>
          <t>Rimless Surface Panel</t>
        </is>
      </c>
      <c r="G1287" s="15" t="n"/>
      <c r="H1287" s="15" t="inlineStr">
        <is>
          <t>Wattage</t>
        </is>
      </c>
      <c r="I1287" s="15" t="inlineStr">
        <is>
          <t>18 W</t>
        </is>
      </c>
      <c r="J1287" s="15" t="n"/>
      <c r="K1287" s="15" t="n"/>
      <c r="L1287" s="15" t="inlineStr">
        <is>
          <t>Color</t>
        </is>
      </c>
      <c r="M1287" s="15" t="inlineStr">
        <is>
          <t>Warm White</t>
        </is>
      </c>
      <c r="N1287" s="15" t="inlineStr">
        <is>
          <t>Shape</t>
        </is>
      </c>
      <c r="O1287" s="15" t="inlineStr">
        <is>
          <t>Square</t>
        </is>
      </c>
      <c r="P1287" s="15" t="n"/>
      <c r="Q1287" s="15" t="inlineStr">
        <is>
          <t>Manufacturer's Warranty</t>
        </is>
      </c>
      <c r="R1287" s="15" t="n"/>
      <c r="S1287" s="15" t="n"/>
      <c r="T1287" s="15" t="n"/>
      <c r="U1287" s="15" t="n"/>
      <c r="V1287" s="15" t="n"/>
      <c r="W1287" s="15" t="n"/>
      <c r="X1287" s="15" t="n"/>
      <c r="Y1287" s="15" t="inlineStr">
        <is>
          <t>SL_PS_RMLS_SQ</t>
        </is>
      </c>
      <c r="Z1287" s="15" t="n">
        <v>9405</v>
      </c>
      <c r="AA1287" s="15" t="n"/>
      <c r="AB1287" s="15" t="n"/>
      <c r="AC1287" s="15" t="n"/>
      <c r="AD1287" s="15" t="n"/>
      <c r="AE1287" s="15" t="n">
        <v>1150</v>
      </c>
      <c r="AF1287" s="16" t="n">
        <v>0.65</v>
      </c>
      <c r="AG1287" s="15">
        <f>ROUND(AE1287-(AE1287*AF1287),2)</f>
        <v/>
      </c>
      <c r="AH1287" s="16" t="n">
        <v>0.18</v>
      </c>
      <c r="AI1287" s="15">
        <f>ROUND(AG1287+(AG1287*AH1287),2)</f>
        <v/>
      </c>
      <c r="AJ1287" s="16" t="n">
        <v>0.2</v>
      </c>
      <c r="AK1287" s="15">
        <f>ROUND(AI1287*AJ1287,2)</f>
        <v/>
      </c>
      <c r="AL1287" s="15">
        <f>AI1287+AK1287</f>
        <v/>
      </c>
      <c r="AM1287" s="15">
        <f>AE1287-AL1287</f>
        <v/>
      </c>
      <c r="AN1287" s="16">
        <f>AM1287/AE1287</f>
        <v/>
      </c>
      <c r="AO1287" s="15" t="inlineStr">
        <is>
          <t>60 mins</t>
        </is>
      </c>
      <c r="AP1287" s="15" t="n"/>
      <c r="AQ1287" s="15" t="inlineStr">
        <is>
          <t>Weight</t>
        </is>
      </c>
      <c r="AR1287" s="15" t="n"/>
      <c r="AS1287" s="15" t="n"/>
      <c r="AT1287" s="3" t="inlineStr">
        <is>
          <t>On Demand</t>
        </is>
      </c>
    </row>
    <row r="1288" ht="15.75" customHeight="1">
      <c r="A1288" s="15" t="inlineStr">
        <is>
          <t>PROD_0243</t>
        </is>
      </c>
      <c r="B1288" s="15" t="inlineStr">
        <is>
          <t>VAR_17</t>
        </is>
      </c>
      <c r="C1288" s="15" t="inlineStr">
        <is>
          <t>Electrical Material</t>
        </is>
      </c>
      <c r="D1288" s="15" t="inlineStr">
        <is>
          <t>Surface Light</t>
        </is>
      </c>
      <c r="E1288" s="15" t="inlineStr">
        <is>
          <t>Panasonic</t>
        </is>
      </c>
      <c r="F1288" s="15" t="inlineStr">
        <is>
          <t>Rimless Surface Panel</t>
        </is>
      </c>
      <c r="G1288" s="15" t="n"/>
      <c r="H1288" s="15" t="inlineStr">
        <is>
          <t>Wattage</t>
        </is>
      </c>
      <c r="I1288" s="15" t="inlineStr">
        <is>
          <t>18 W</t>
        </is>
      </c>
      <c r="J1288" s="15" t="n"/>
      <c r="K1288" s="15" t="n"/>
      <c r="L1288" s="15" t="inlineStr">
        <is>
          <t>Color</t>
        </is>
      </c>
      <c r="M1288" s="15" t="inlineStr">
        <is>
          <t>Natural White</t>
        </is>
      </c>
      <c r="N1288" s="15" t="inlineStr">
        <is>
          <t>Shape</t>
        </is>
      </c>
      <c r="O1288" s="15" t="inlineStr">
        <is>
          <t>Square</t>
        </is>
      </c>
      <c r="P1288" s="15" t="n"/>
      <c r="Q1288" s="15" t="inlineStr">
        <is>
          <t>Manufacturer's Warranty</t>
        </is>
      </c>
      <c r="R1288" s="15" t="n"/>
      <c r="S1288" s="15" t="n"/>
      <c r="T1288" s="15" t="n"/>
      <c r="U1288" s="15" t="n"/>
      <c r="V1288" s="15" t="n"/>
      <c r="W1288" s="15" t="n"/>
      <c r="X1288" s="15" t="n"/>
      <c r="Y1288" s="15" t="inlineStr">
        <is>
          <t>SL_PS_RMLS_SQ</t>
        </is>
      </c>
      <c r="Z1288" s="15" t="n">
        <v>9405</v>
      </c>
      <c r="AA1288" s="15" t="n"/>
      <c r="AB1288" s="15" t="n"/>
      <c r="AC1288" s="15" t="n"/>
      <c r="AD1288" s="15" t="n"/>
      <c r="AE1288" s="15" t="n">
        <v>1150</v>
      </c>
      <c r="AF1288" s="16" t="n">
        <v>0.65</v>
      </c>
      <c r="AG1288" s="15">
        <f>ROUND(AE1288-(AE1288*AF1288),2)</f>
        <v/>
      </c>
      <c r="AH1288" s="16" t="n">
        <v>0.18</v>
      </c>
      <c r="AI1288" s="15">
        <f>ROUND(AG1288+(AG1288*AH1288),2)</f>
        <v/>
      </c>
      <c r="AJ1288" s="16" t="n">
        <v>0.2</v>
      </c>
      <c r="AK1288" s="15">
        <f>ROUND(AI1288*AJ1288,2)</f>
        <v/>
      </c>
      <c r="AL1288" s="15">
        <f>AI1288+AK1288</f>
        <v/>
      </c>
      <c r="AM1288" s="15">
        <f>AE1288-AL1288</f>
        <v/>
      </c>
      <c r="AN1288" s="16">
        <f>AM1288/AE1288</f>
        <v/>
      </c>
      <c r="AO1288" s="15" t="inlineStr">
        <is>
          <t>60 mins</t>
        </is>
      </c>
      <c r="AP1288" s="15" t="n"/>
      <c r="AQ1288" s="15" t="inlineStr">
        <is>
          <t>Weight</t>
        </is>
      </c>
      <c r="AR1288" s="15" t="n"/>
      <c r="AS1288" s="15" t="n"/>
      <c r="AT1288" s="3" t="inlineStr">
        <is>
          <t>On Demand</t>
        </is>
      </c>
    </row>
    <row r="1289" ht="15.75" customHeight="1">
      <c r="A1289" s="15" t="inlineStr">
        <is>
          <t>PROD_0243</t>
        </is>
      </c>
      <c r="B1289" s="15" t="inlineStr">
        <is>
          <t>VAR_18</t>
        </is>
      </c>
      <c r="C1289" s="15" t="inlineStr">
        <is>
          <t>Electrical Material</t>
        </is>
      </c>
      <c r="D1289" s="15" t="inlineStr">
        <is>
          <t>Surface Light</t>
        </is>
      </c>
      <c r="E1289" s="15" t="inlineStr">
        <is>
          <t>Panasonic</t>
        </is>
      </c>
      <c r="F1289" s="15" t="inlineStr">
        <is>
          <t>Rimless Surface Panel</t>
        </is>
      </c>
      <c r="G1289" s="15" t="n"/>
      <c r="H1289" s="15" t="inlineStr">
        <is>
          <t>Wattage</t>
        </is>
      </c>
      <c r="I1289" s="15" t="inlineStr">
        <is>
          <t>18 W</t>
        </is>
      </c>
      <c r="J1289" s="15" t="n"/>
      <c r="K1289" s="15" t="n"/>
      <c r="L1289" s="15" t="inlineStr">
        <is>
          <t>Color</t>
        </is>
      </c>
      <c r="M1289" s="15" t="inlineStr">
        <is>
          <t>Cool White</t>
        </is>
      </c>
      <c r="N1289" s="15" t="inlineStr">
        <is>
          <t>Shape</t>
        </is>
      </c>
      <c r="O1289" s="15" t="inlineStr">
        <is>
          <t>Square</t>
        </is>
      </c>
      <c r="P1289" s="15" t="n"/>
      <c r="Q1289" s="15" t="inlineStr">
        <is>
          <t>Manufacturer's Warranty</t>
        </is>
      </c>
      <c r="R1289" s="15" t="n"/>
      <c r="S1289" s="15" t="n"/>
      <c r="T1289" s="15" t="n"/>
      <c r="U1289" s="15" t="n"/>
      <c r="V1289" s="15" t="n"/>
      <c r="W1289" s="15" t="n"/>
      <c r="X1289" s="15" t="n"/>
      <c r="Y1289" s="15" t="inlineStr">
        <is>
          <t>SL_PS_RMLS_SQ</t>
        </is>
      </c>
      <c r="Z1289" s="15" t="n">
        <v>9405</v>
      </c>
      <c r="AA1289" s="15" t="n"/>
      <c r="AB1289" s="15" t="n"/>
      <c r="AC1289" s="15" t="n"/>
      <c r="AD1289" s="15" t="n"/>
      <c r="AE1289" s="15" t="n">
        <v>1150</v>
      </c>
      <c r="AF1289" s="16" t="n">
        <v>0.65</v>
      </c>
      <c r="AG1289" s="15">
        <f>ROUND(AE1289-(AE1289*AF1289),2)</f>
        <v/>
      </c>
      <c r="AH1289" s="16" t="n">
        <v>0.18</v>
      </c>
      <c r="AI1289" s="15">
        <f>ROUND(AG1289+(AG1289*AH1289),2)</f>
        <v/>
      </c>
      <c r="AJ1289" s="16" t="n">
        <v>0.2</v>
      </c>
      <c r="AK1289" s="15">
        <f>ROUND(AI1289*AJ1289,2)</f>
        <v/>
      </c>
      <c r="AL1289" s="15">
        <f>AI1289+AK1289</f>
        <v/>
      </c>
      <c r="AM1289" s="15">
        <f>AE1289-AL1289</f>
        <v/>
      </c>
      <c r="AN1289" s="16">
        <f>AM1289/AE1289</f>
        <v/>
      </c>
      <c r="AO1289" s="15" t="inlineStr">
        <is>
          <t>60 mins</t>
        </is>
      </c>
      <c r="AP1289" s="15" t="n"/>
      <c r="AQ1289" s="15" t="inlineStr">
        <is>
          <t>Weight</t>
        </is>
      </c>
      <c r="AR1289" s="15" t="n"/>
      <c r="AS1289" s="15" t="n"/>
      <c r="AT1289" s="3" t="inlineStr">
        <is>
          <t>On Demand</t>
        </is>
      </c>
    </row>
    <row r="1290" ht="15.75" customHeight="1">
      <c r="A1290" s="15" t="inlineStr">
        <is>
          <t>PROD_0243</t>
        </is>
      </c>
      <c r="B1290" s="15" t="inlineStr">
        <is>
          <t>VAR_19</t>
        </is>
      </c>
      <c r="C1290" s="15" t="inlineStr">
        <is>
          <t>Electrical Material</t>
        </is>
      </c>
      <c r="D1290" s="15" t="inlineStr">
        <is>
          <t>Surface Light</t>
        </is>
      </c>
      <c r="E1290" s="15" t="inlineStr">
        <is>
          <t>Panasonic</t>
        </is>
      </c>
      <c r="F1290" s="15" t="inlineStr">
        <is>
          <t>Rimless Surface Panel</t>
        </is>
      </c>
      <c r="G1290" s="15" t="n"/>
      <c r="H1290" s="15" t="inlineStr">
        <is>
          <t>Wattage</t>
        </is>
      </c>
      <c r="I1290" s="15" t="inlineStr">
        <is>
          <t>24 W</t>
        </is>
      </c>
      <c r="J1290" s="15" t="n"/>
      <c r="K1290" s="15" t="n"/>
      <c r="L1290" s="15" t="inlineStr">
        <is>
          <t>Color</t>
        </is>
      </c>
      <c r="M1290" s="15" t="inlineStr">
        <is>
          <t>Warm White</t>
        </is>
      </c>
      <c r="N1290" s="15" t="inlineStr">
        <is>
          <t>Shape</t>
        </is>
      </c>
      <c r="O1290" s="15" t="inlineStr">
        <is>
          <t>Round</t>
        </is>
      </c>
      <c r="P1290" s="15" t="n"/>
      <c r="Q1290" s="15" t="inlineStr">
        <is>
          <t>Manufacturer's Warranty</t>
        </is>
      </c>
      <c r="R1290" s="15" t="n"/>
      <c r="S1290" s="15" t="n"/>
      <c r="T1290" s="15" t="n"/>
      <c r="U1290" s="15" t="n"/>
      <c r="V1290" s="15" t="n"/>
      <c r="W1290" s="15" t="n"/>
      <c r="X1290" s="15" t="n"/>
      <c r="Y1290" s="15" t="inlineStr">
        <is>
          <t>SL_PS_RMLS_RND</t>
        </is>
      </c>
      <c r="Z1290" s="15" t="n">
        <v>9405</v>
      </c>
      <c r="AA1290" s="15" t="n"/>
      <c r="AB1290" s="15" t="n"/>
      <c r="AC1290" s="15" t="n"/>
      <c r="AD1290" s="15" t="n"/>
      <c r="AE1290" s="15" t="n">
        <v>1550</v>
      </c>
      <c r="AF1290" s="16" t="n">
        <v>0.58</v>
      </c>
      <c r="AG1290" s="15">
        <f>ROUND(AE1290-(AE1290*AF1290),2)</f>
        <v/>
      </c>
      <c r="AH1290" s="16" t="n">
        <v>0.18</v>
      </c>
      <c r="AI1290" s="15">
        <f>ROUND(AG1290+(AG1290*AH1290),2)</f>
        <v/>
      </c>
      <c r="AJ1290" s="16" t="n">
        <v>0.2</v>
      </c>
      <c r="AK1290" s="15">
        <f>ROUND(AI1290*AJ1290,2)</f>
        <v/>
      </c>
      <c r="AL1290" s="15">
        <f>AI1290+AK1290</f>
        <v/>
      </c>
      <c r="AM1290" s="15">
        <f>AE1290-AL1290</f>
        <v/>
      </c>
      <c r="AN1290" s="16">
        <f>AM1290/AE1290</f>
        <v/>
      </c>
      <c r="AO1290" s="15" t="inlineStr">
        <is>
          <t>60 mins</t>
        </is>
      </c>
      <c r="AP1290" s="15" t="n"/>
      <c r="AQ1290" s="15" t="inlineStr">
        <is>
          <t>Weight</t>
        </is>
      </c>
      <c r="AR1290" s="15" t="n"/>
      <c r="AS1290" s="15" t="n"/>
      <c r="AT1290" s="3" t="inlineStr">
        <is>
          <t>On Demand</t>
        </is>
      </c>
    </row>
    <row r="1291" ht="15.75" customHeight="1">
      <c r="A1291" s="15" t="inlineStr">
        <is>
          <t>PROD_0243</t>
        </is>
      </c>
      <c r="B1291" s="15" t="inlineStr">
        <is>
          <t>VAR_20</t>
        </is>
      </c>
      <c r="C1291" s="15" t="inlineStr">
        <is>
          <t>Electrical Material</t>
        </is>
      </c>
      <c r="D1291" s="15" t="inlineStr">
        <is>
          <t>Surface Light</t>
        </is>
      </c>
      <c r="E1291" s="15" t="inlineStr">
        <is>
          <t>Panasonic</t>
        </is>
      </c>
      <c r="F1291" s="15" t="inlineStr">
        <is>
          <t>Rimless Surface Panel</t>
        </is>
      </c>
      <c r="G1291" s="15" t="n"/>
      <c r="H1291" s="15" t="inlineStr">
        <is>
          <t>Wattage</t>
        </is>
      </c>
      <c r="I1291" s="15" t="inlineStr">
        <is>
          <t>24 W</t>
        </is>
      </c>
      <c r="J1291" s="15" t="n"/>
      <c r="K1291" s="15" t="n"/>
      <c r="L1291" s="15" t="inlineStr">
        <is>
          <t>Color</t>
        </is>
      </c>
      <c r="M1291" s="15" t="inlineStr">
        <is>
          <t>Natural White</t>
        </is>
      </c>
      <c r="N1291" s="15" t="inlineStr">
        <is>
          <t>Shape</t>
        </is>
      </c>
      <c r="O1291" s="15" t="inlineStr">
        <is>
          <t>Round</t>
        </is>
      </c>
      <c r="P1291" s="15" t="n"/>
      <c r="Q1291" s="15" t="inlineStr">
        <is>
          <t>Manufacturer's Warranty</t>
        </is>
      </c>
      <c r="R1291" s="15" t="n"/>
      <c r="S1291" s="15" t="n"/>
      <c r="T1291" s="15" t="n"/>
      <c r="U1291" s="15" t="n"/>
      <c r="V1291" s="15" t="n"/>
      <c r="W1291" s="15" t="n"/>
      <c r="X1291" s="15" t="n"/>
      <c r="Y1291" s="15" t="inlineStr">
        <is>
          <t>SL_PS_RMLS_RND</t>
        </is>
      </c>
      <c r="Z1291" s="15" t="n">
        <v>9405</v>
      </c>
      <c r="AA1291" s="15" t="n"/>
      <c r="AB1291" s="15" t="n"/>
      <c r="AC1291" s="15" t="n"/>
      <c r="AD1291" s="15" t="n"/>
      <c r="AE1291" s="15" t="n">
        <v>1550</v>
      </c>
      <c r="AF1291" s="16" t="n">
        <v>0.58</v>
      </c>
      <c r="AG1291" s="15">
        <f>ROUND(AE1291-(AE1291*AF1291),2)</f>
        <v/>
      </c>
      <c r="AH1291" s="16" t="n">
        <v>0.18</v>
      </c>
      <c r="AI1291" s="15">
        <f>ROUND(AG1291+(AG1291*AH1291),2)</f>
        <v/>
      </c>
      <c r="AJ1291" s="16" t="n">
        <v>0.2</v>
      </c>
      <c r="AK1291" s="15">
        <f>ROUND(AI1291*AJ1291,2)</f>
        <v/>
      </c>
      <c r="AL1291" s="15">
        <f>AI1291+AK1291</f>
        <v/>
      </c>
      <c r="AM1291" s="15">
        <f>AE1291-AL1291</f>
        <v/>
      </c>
      <c r="AN1291" s="16">
        <f>AM1291/AE1291</f>
        <v/>
      </c>
      <c r="AO1291" s="15" t="inlineStr">
        <is>
          <t>60 mins</t>
        </is>
      </c>
      <c r="AP1291" s="15" t="n"/>
      <c r="AQ1291" s="15" t="inlineStr">
        <is>
          <t>Weight</t>
        </is>
      </c>
      <c r="AR1291" s="15" t="n"/>
      <c r="AS1291" s="15" t="n"/>
      <c r="AT1291" s="3" t="inlineStr">
        <is>
          <t>On Demand</t>
        </is>
      </c>
    </row>
    <row r="1292" ht="15.75" customHeight="1">
      <c r="A1292" s="15" t="inlineStr">
        <is>
          <t>PROD_0243</t>
        </is>
      </c>
      <c r="B1292" s="15" t="inlineStr">
        <is>
          <t>VAR_21</t>
        </is>
      </c>
      <c r="C1292" s="15" t="inlineStr">
        <is>
          <t>Electrical Material</t>
        </is>
      </c>
      <c r="D1292" s="15" t="inlineStr">
        <is>
          <t>Surface Light</t>
        </is>
      </c>
      <c r="E1292" s="15" t="inlineStr">
        <is>
          <t>Panasonic</t>
        </is>
      </c>
      <c r="F1292" s="15" t="inlineStr">
        <is>
          <t>Rimless Surface Panel</t>
        </is>
      </c>
      <c r="G1292" s="15" t="n"/>
      <c r="H1292" s="15" t="inlineStr">
        <is>
          <t>Wattage</t>
        </is>
      </c>
      <c r="I1292" s="15" t="inlineStr">
        <is>
          <t>24 W</t>
        </is>
      </c>
      <c r="J1292" s="15" t="n"/>
      <c r="K1292" s="15" t="n"/>
      <c r="L1292" s="15" t="inlineStr">
        <is>
          <t>Color</t>
        </is>
      </c>
      <c r="M1292" s="15" t="inlineStr">
        <is>
          <t>Cool White</t>
        </is>
      </c>
      <c r="N1292" s="15" t="inlineStr">
        <is>
          <t>Shape</t>
        </is>
      </c>
      <c r="O1292" s="15" t="inlineStr">
        <is>
          <t>Round</t>
        </is>
      </c>
      <c r="P1292" s="15" t="n"/>
      <c r="Q1292" s="15" t="inlineStr">
        <is>
          <t>Manufacturer's Warranty</t>
        </is>
      </c>
      <c r="R1292" s="15" t="n"/>
      <c r="S1292" s="15" t="n"/>
      <c r="T1292" s="15" t="n"/>
      <c r="U1292" s="15" t="n"/>
      <c r="V1292" s="15" t="n"/>
      <c r="W1292" s="15" t="n"/>
      <c r="X1292" s="15" t="n"/>
      <c r="Y1292" s="15" t="inlineStr">
        <is>
          <t>SL_PS_RMLS_RND</t>
        </is>
      </c>
      <c r="Z1292" s="15" t="n">
        <v>9405</v>
      </c>
      <c r="AA1292" s="15" t="n"/>
      <c r="AB1292" s="15" t="n"/>
      <c r="AC1292" s="15" t="n"/>
      <c r="AD1292" s="15" t="n"/>
      <c r="AE1292" s="15" t="n">
        <v>1550</v>
      </c>
      <c r="AF1292" s="16" t="n">
        <v>0.58</v>
      </c>
      <c r="AG1292" s="15">
        <f>ROUND(AE1292-(AE1292*AF1292),2)</f>
        <v/>
      </c>
      <c r="AH1292" s="16" t="n">
        <v>0.18</v>
      </c>
      <c r="AI1292" s="15">
        <f>ROUND(AG1292+(AG1292*AH1292),2)</f>
        <v/>
      </c>
      <c r="AJ1292" s="16" t="n">
        <v>0.2</v>
      </c>
      <c r="AK1292" s="15">
        <f>ROUND(AI1292*AJ1292,2)</f>
        <v/>
      </c>
      <c r="AL1292" s="15">
        <f>AI1292+AK1292</f>
        <v/>
      </c>
      <c r="AM1292" s="15">
        <f>AE1292-AL1292</f>
        <v/>
      </c>
      <c r="AN1292" s="16">
        <f>AM1292/AE1292</f>
        <v/>
      </c>
      <c r="AO1292" s="15" t="inlineStr">
        <is>
          <t>60 mins</t>
        </is>
      </c>
      <c r="AP1292" s="15" t="n"/>
      <c r="AQ1292" s="15" t="inlineStr">
        <is>
          <t>Weight</t>
        </is>
      </c>
      <c r="AR1292" s="15" t="n"/>
      <c r="AS1292" s="15" t="n"/>
      <c r="AT1292" s="3" t="inlineStr">
        <is>
          <t>On Demand</t>
        </is>
      </c>
    </row>
    <row r="1293" ht="15.75" customHeight="1">
      <c r="A1293" s="15" t="inlineStr">
        <is>
          <t>PROD_0243</t>
        </is>
      </c>
      <c r="B1293" s="15" t="inlineStr">
        <is>
          <t>VAR_22</t>
        </is>
      </c>
      <c r="C1293" s="15" t="inlineStr">
        <is>
          <t>Electrical Material</t>
        </is>
      </c>
      <c r="D1293" s="15" t="inlineStr">
        <is>
          <t>Surface Light</t>
        </is>
      </c>
      <c r="E1293" s="15" t="inlineStr">
        <is>
          <t>Panasonic</t>
        </is>
      </c>
      <c r="F1293" s="15" t="inlineStr">
        <is>
          <t>Rimless Surface Panel</t>
        </is>
      </c>
      <c r="G1293" s="15" t="n"/>
      <c r="H1293" s="15" t="inlineStr">
        <is>
          <t>Wattage</t>
        </is>
      </c>
      <c r="I1293" s="15" t="inlineStr">
        <is>
          <t>24 W</t>
        </is>
      </c>
      <c r="J1293" s="15" t="n"/>
      <c r="K1293" s="15" t="n"/>
      <c r="L1293" s="15" t="inlineStr">
        <is>
          <t>Color</t>
        </is>
      </c>
      <c r="M1293" s="15" t="inlineStr">
        <is>
          <t>Warm White</t>
        </is>
      </c>
      <c r="N1293" s="15" t="inlineStr">
        <is>
          <t>Shape</t>
        </is>
      </c>
      <c r="O1293" s="15" t="inlineStr">
        <is>
          <t>Square</t>
        </is>
      </c>
      <c r="P1293" s="15" t="n"/>
      <c r="Q1293" s="15" t="inlineStr">
        <is>
          <t>Manufacturer's Warranty</t>
        </is>
      </c>
      <c r="R1293" s="15" t="n"/>
      <c r="S1293" s="15" t="n"/>
      <c r="T1293" s="15" t="n"/>
      <c r="U1293" s="15" t="n"/>
      <c r="V1293" s="15" t="n"/>
      <c r="W1293" s="15" t="n"/>
      <c r="X1293" s="15" t="n"/>
      <c r="Y1293" s="15" t="inlineStr">
        <is>
          <t>SL_PS_RMLS_SQ</t>
        </is>
      </c>
      <c r="Z1293" s="15" t="n">
        <v>9405</v>
      </c>
      <c r="AA1293" s="15" t="n"/>
      <c r="AB1293" s="15" t="n"/>
      <c r="AC1293" s="15" t="n"/>
      <c r="AD1293" s="15" t="n"/>
      <c r="AE1293" s="15" t="n">
        <v>1550</v>
      </c>
      <c r="AF1293" s="16" t="n">
        <v>0.58</v>
      </c>
      <c r="AG1293" s="15">
        <f>ROUND(AE1293-(AE1293*AF1293),2)</f>
        <v/>
      </c>
      <c r="AH1293" s="16" t="n">
        <v>0.18</v>
      </c>
      <c r="AI1293" s="15">
        <f>ROUND(AG1293+(AG1293*AH1293),2)</f>
        <v/>
      </c>
      <c r="AJ1293" s="16" t="n">
        <v>0.2</v>
      </c>
      <c r="AK1293" s="15">
        <f>ROUND(AI1293*AJ1293,2)</f>
        <v/>
      </c>
      <c r="AL1293" s="15">
        <f>AI1293+AK1293</f>
        <v/>
      </c>
      <c r="AM1293" s="15">
        <f>AE1293-AL1293</f>
        <v/>
      </c>
      <c r="AN1293" s="16">
        <f>AM1293/AE1293</f>
        <v/>
      </c>
      <c r="AO1293" s="15" t="inlineStr">
        <is>
          <t>60 mins</t>
        </is>
      </c>
      <c r="AP1293" s="15" t="n"/>
      <c r="AQ1293" s="15" t="inlineStr">
        <is>
          <t>Weight</t>
        </is>
      </c>
      <c r="AR1293" s="15" t="n"/>
      <c r="AS1293" s="15" t="n"/>
      <c r="AT1293" s="3" t="inlineStr">
        <is>
          <t>On Demand</t>
        </is>
      </c>
    </row>
    <row r="1294" ht="15.75" customHeight="1">
      <c r="A1294" s="15" t="inlineStr">
        <is>
          <t>PROD_0243</t>
        </is>
      </c>
      <c r="B1294" s="15" t="inlineStr">
        <is>
          <t>VAR_23</t>
        </is>
      </c>
      <c r="C1294" s="15" t="inlineStr">
        <is>
          <t>Electrical Material</t>
        </is>
      </c>
      <c r="D1294" s="15" t="inlineStr">
        <is>
          <t>Surface Light</t>
        </is>
      </c>
      <c r="E1294" s="15" t="inlineStr">
        <is>
          <t>Panasonic</t>
        </is>
      </c>
      <c r="F1294" s="15" t="inlineStr">
        <is>
          <t>Rimless Surface Panel</t>
        </is>
      </c>
      <c r="G1294" s="15" t="n"/>
      <c r="H1294" s="15" t="inlineStr">
        <is>
          <t>Wattage</t>
        </is>
      </c>
      <c r="I1294" s="15" t="inlineStr">
        <is>
          <t>24 W</t>
        </is>
      </c>
      <c r="J1294" s="15" t="n"/>
      <c r="K1294" s="15" t="n"/>
      <c r="L1294" s="15" t="inlineStr">
        <is>
          <t>Color</t>
        </is>
      </c>
      <c r="M1294" s="15" t="inlineStr">
        <is>
          <t>Natural White</t>
        </is>
      </c>
      <c r="N1294" s="15" t="inlineStr">
        <is>
          <t>Shape</t>
        </is>
      </c>
      <c r="O1294" s="15" t="inlineStr">
        <is>
          <t>Square</t>
        </is>
      </c>
      <c r="P1294" s="15" t="n"/>
      <c r="Q1294" s="15" t="inlineStr">
        <is>
          <t>Manufacturer's Warranty</t>
        </is>
      </c>
      <c r="R1294" s="15" t="n"/>
      <c r="S1294" s="15" t="n"/>
      <c r="T1294" s="15" t="n"/>
      <c r="U1294" s="15" t="n"/>
      <c r="V1294" s="15" t="n"/>
      <c r="W1294" s="15" t="n"/>
      <c r="X1294" s="15" t="n"/>
      <c r="Y1294" s="15" t="inlineStr">
        <is>
          <t>SL_PS_RMLS_SQ</t>
        </is>
      </c>
      <c r="Z1294" s="15" t="n">
        <v>9405</v>
      </c>
      <c r="AA1294" s="15" t="n"/>
      <c r="AB1294" s="15" t="n"/>
      <c r="AC1294" s="15" t="n"/>
      <c r="AD1294" s="15" t="n"/>
      <c r="AE1294" s="15" t="n">
        <v>1550</v>
      </c>
      <c r="AF1294" s="16" t="n">
        <v>0.58</v>
      </c>
      <c r="AG1294" s="15">
        <f>ROUND(AE1294-(AE1294*AF1294),2)</f>
        <v/>
      </c>
      <c r="AH1294" s="16" t="n">
        <v>0.18</v>
      </c>
      <c r="AI1294" s="15">
        <f>ROUND(AG1294+(AG1294*AH1294),2)</f>
        <v/>
      </c>
      <c r="AJ1294" s="16" t="n">
        <v>0.2</v>
      </c>
      <c r="AK1294" s="15">
        <f>ROUND(AI1294*AJ1294,2)</f>
        <v/>
      </c>
      <c r="AL1294" s="15">
        <f>AI1294+AK1294</f>
        <v/>
      </c>
      <c r="AM1294" s="15">
        <f>AE1294-AL1294</f>
        <v/>
      </c>
      <c r="AN1294" s="16">
        <f>AM1294/AE1294</f>
        <v/>
      </c>
      <c r="AO1294" s="15" t="inlineStr">
        <is>
          <t>60 mins</t>
        </is>
      </c>
      <c r="AP1294" s="15" t="n"/>
      <c r="AQ1294" s="15" t="inlineStr">
        <is>
          <t>Weight</t>
        </is>
      </c>
      <c r="AR1294" s="15" t="n"/>
      <c r="AS1294" s="15" t="n"/>
      <c r="AT1294" s="3" t="inlineStr">
        <is>
          <t>On Demand</t>
        </is>
      </c>
    </row>
    <row r="1295" ht="15.75" customHeight="1">
      <c r="A1295" s="15" t="inlineStr">
        <is>
          <t>PROD_0243</t>
        </is>
      </c>
      <c r="B1295" s="15" t="inlineStr">
        <is>
          <t>VAR_24</t>
        </is>
      </c>
      <c r="C1295" s="15" t="inlineStr">
        <is>
          <t>Electrical Material</t>
        </is>
      </c>
      <c r="D1295" s="15" t="inlineStr">
        <is>
          <t>Surface Light</t>
        </is>
      </c>
      <c r="E1295" s="15" t="inlineStr">
        <is>
          <t>Panasonic</t>
        </is>
      </c>
      <c r="F1295" s="15" t="inlineStr">
        <is>
          <t>Rimless Surface Panel</t>
        </is>
      </c>
      <c r="G1295" s="15" t="n"/>
      <c r="H1295" s="15" t="inlineStr">
        <is>
          <t>Wattage</t>
        </is>
      </c>
      <c r="I1295" s="15" t="inlineStr">
        <is>
          <t>24 W</t>
        </is>
      </c>
      <c r="J1295" s="15" t="n"/>
      <c r="K1295" s="15" t="n"/>
      <c r="L1295" s="15" t="inlineStr">
        <is>
          <t>Color</t>
        </is>
      </c>
      <c r="M1295" s="15" t="inlineStr">
        <is>
          <t>Cool White</t>
        </is>
      </c>
      <c r="N1295" s="15" t="inlineStr">
        <is>
          <t>Shape</t>
        </is>
      </c>
      <c r="O1295" s="15" t="inlineStr">
        <is>
          <t>Square</t>
        </is>
      </c>
      <c r="P1295" s="15" t="n"/>
      <c r="Q1295" s="15" t="inlineStr">
        <is>
          <t>Manufacturer's Warranty</t>
        </is>
      </c>
      <c r="R1295" s="15" t="n"/>
      <c r="S1295" s="15" t="n"/>
      <c r="T1295" s="15" t="n"/>
      <c r="U1295" s="15" t="n"/>
      <c r="V1295" s="15" t="n"/>
      <c r="W1295" s="15" t="n"/>
      <c r="X1295" s="15" t="n"/>
      <c r="Y1295" s="15" t="inlineStr">
        <is>
          <t>SL_PS_RMLS_SQ</t>
        </is>
      </c>
      <c r="Z1295" s="15" t="n">
        <v>9405</v>
      </c>
      <c r="AA1295" s="15" t="n"/>
      <c r="AB1295" s="15" t="n"/>
      <c r="AC1295" s="15" t="n"/>
      <c r="AD1295" s="15" t="n"/>
      <c r="AE1295" s="15" t="n">
        <v>1550</v>
      </c>
      <c r="AF1295" s="16" t="n">
        <v>0.58</v>
      </c>
      <c r="AG1295" s="15">
        <f>ROUND(AE1295-(AE1295*AF1295),2)</f>
        <v/>
      </c>
      <c r="AH1295" s="16" t="n">
        <v>0.18</v>
      </c>
      <c r="AI1295" s="15">
        <f>ROUND(AG1295+(AG1295*AH1295),2)</f>
        <v/>
      </c>
      <c r="AJ1295" s="16" t="n">
        <v>0.2</v>
      </c>
      <c r="AK1295" s="15">
        <f>ROUND(AI1295*AJ1295,2)</f>
        <v/>
      </c>
      <c r="AL1295" s="15">
        <f>AI1295+AK1295</f>
        <v/>
      </c>
      <c r="AM1295" s="15">
        <f>AE1295-AL1295</f>
        <v/>
      </c>
      <c r="AN1295" s="16">
        <f>AM1295/AE1295</f>
        <v/>
      </c>
      <c r="AO1295" s="15" t="inlineStr">
        <is>
          <t>60 mins</t>
        </is>
      </c>
      <c r="AP1295" s="15" t="n"/>
      <c r="AQ1295" s="15" t="inlineStr">
        <is>
          <t>Weight</t>
        </is>
      </c>
      <c r="AR1295" s="15" t="n"/>
      <c r="AS1295" s="15" t="n"/>
      <c r="AT1295" s="3" t="inlineStr">
        <is>
          <t>On Demand</t>
        </is>
      </c>
    </row>
    <row r="1296" ht="15.75" customHeight="1">
      <c r="A1296" s="15" t="inlineStr">
        <is>
          <t>PROD_0244</t>
        </is>
      </c>
      <c r="B1296" s="15" t="inlineStr">
        <is>
          <t>VAR_1</t>
        </is>
      </c>
      <c r="C1296" s="15" t="inlineStr">
        <is>
          <t>Electrical Material</t>
        </is>
      </c>
      <c r="D1296" s="15" t="inlineStr">
        <is>
          <t>Surface Light</t>
        </is>
      </c>
      <c r="E1296" s="15" t="inlineStr">
        <is>
          <t>Panasonic</t>
        </is>
      </c>
      <c r="F1296" s="15" t="inlineStr">
        <is>
          <t>LED PC Panel Light</t>
        </is>
      </c>
      <c r="G1296" s="15" t="n"/>
      <c r="H1296" s="15" t="inlineStr">
        <is>
          <t>Wattage</t>
        </is>
      </c>
      <c r="I1296" s="15" t="inlineStr">
        <is>
          <t>3 W</t>
        </is>
      </c>
      <c r="J1296" s="15" t="n"/>
      <c r="K1296" s="15" t="n"/>
      <c r="L1296" s="15" t="inlineStr">
        <is>
          <t>Color</t>
        </is>
      </c>
      <c r="M1296" s="15" t="inlineStr">
        <is>
          <t>Warm White</t>
        </is>
      </c>
      <c r="N1296" s="15" t="inlineStr">
        <is>
          <t>Shape</t>
        </is>
      </c>
      <c r="O1296" s="15" t="inlineStr">
        <is>
          <t>Round</t>
        </is>
      </c>
      <c r="P1296" s="15" t="n"/>
      <c r="Q1296" s="15" t="inlineStr">
        <is>
          <t>Manufacturer's Warranty</t>
        </is>
      </c>
      <c r="R1296" s="15" t="n"/>
      <c r="S1296" s="15" t="n"/>
      <c r="T1296" s="15" t="n"/>
      <c r="U1296" s="15" t="n"/>
      <c r="V1296" s="15" t="n"/>
      <c r="W1296" s="15" t="n"/>
      <c r="X1296" s="15" t="n"/>
      <c r="Y1296" s="15" t="inlineStr">
        <is>
          <t>SL_PS_LEDPC_RND_1, SL_PS_LEDPC_RND_2</t>
        </is>
      </c>
      <c r="Z1296" s="15" t="n">
        <v>9405</v>
      </c>
      <c r="AA1296" s="15" t="n"/>
      <c r="AB1296" s="15" t="n"/>
      <c r="AC1296" s="15" t="n"/>
      <c r="AD1296" s="15" t="n"/>
      <c r="AE1296" s="15" t="n">
        <v>252</v>
      </c>
      <c r="AF1296" s="16" t="n">
        <v>0.62</v>
      </c>
      <c r="AG1296" s="15">
        <f>ROUND(AE1296-(AE1296*AF1296),2)</f>
        <v/>
      </c>
      <c r="AH1296" s="16" t="n">
        <v>0.18</v>
      </c>
      <c r="AI1296" s="15">
        <f>ROUND(AG1296+(AG1296*AH1296),2)</f>
        <v/>
      </c>
      <c r="AJ1296" s="16" t="n">
        <v>0.2</v>
      </c>
      <c r="AK1296" s="15">
        <f>ROUND(AI1296*AJ1296,2)</f>
        <v/>
      </c>
      <c r="AL1296" s="15">
        <f>AI1296+AK1296</f>
        <v/>
      </c>
      <c r="AM1296" s="15">
        <f>AE1296-AL1296</f>
        <v/>
      </c>
      <c r="AN1296" s="16">
        <f>AM1296/AE1296</f>
        <v/>
      </c>
      <c r="AO1296" s="15" t="inlineStr">
        <is>
          <t>60 mins</t>
        </is>
      </c>
      <c r="AP1296" s="15" t="n"/>
      <c r="AQ1296" s="15" t="inlineStr">
        <is>
          <t>Weight</t>
        </is>
      </c>
      <c r="AR1296" s="15" t="n"/>
      <c r="AS1296" s="15" t="n"/>
      <c r="AT1296" s="3" t="inlineStr">
        <is>
          <t>On Demand</t>
        </is>
      </c>
    </row>
    <row r="1297" ht="15.75" customHeight="1">
      <c r="A1297" s="15" t="inlineStr">
        <is>
          <t>PROD_0244</t>
        </is>
      </c>
      <c r="B1297" s="15" t="inlineStr">
        <is>
          <t>VAR_2</t>
        </is>
      </c>
      <c r="C1297" s="15" t="inlineStr">
        <is>
          <t>Electrical Material</t>
        </is>
      </c>
      <c r="D1297" s="15" t="inlineStr">
        <is>
          <t>Surface Light</t>
        </is>
      </c>
      <c r="E1297" s="15" t="inlineStr">
        <is>
          <t>Panasonic</t>
        </is>
      </c>
      <c r="F1297" s="15" t="inlineStr">
        <is>
          <t>LED PC Panel Light</t>
        </is>
      </c>
      <c r="G1297" s="15" t="n"/>
      <c r="H1297" s="15" t="inlineStr">
        <is>
          <t>Wattage</t>
        </is>
      </c>
      <c r="I1297" s="15" t="inlineStr">
        <is>
          <t>3 W</t>
        </is>
      </c>
      <c r="J1297" s="15" t="n"/>
      <c r="K1297" s="15" t="n"/>
      <c r="L1297" s="15" t="inlineStr">
        <is>
          <t>Color</t>
        </is>
      </c>
      <c r="M1297" s="15" t="inlineStr">
        <is>
          <t>Natural White</t>
        </is>
      </c>
      <c r="N1297" s="15" t="inlineStr">
        <is>
          <t>Shape</t>
        </is>
      </c>
      <c r="O1297" s="15" t="inlineStr">
        <is>
          <t>Round</t>
        </is>
      </c>
      <c r="P1297" s="15" t="n"/>
      <c r="Q1297" s="15" t="inlineStr">
        <is>
          <t>Manufacturer's Warranty</t>
        </is>
      </c>
      <c r="R1297" s="15" t="n"/>
      <c r="S1297" s="15" t="n"/>
      <c r="T1297" s="15" t="n"/>
      <c r="U1297" s="15" t="n"/>
      <c r="V1297" s="15" t="n"/>
      <c r="W1297" s="15" t="n"/>
      <c r="X1297" s="15" t="n"/>
      <c r="Y1297" s="15" t="inlineStr">
        <is>
          <t>SL_PS_LEDPC_RND_1, SL_PS_LEDPC_RND_2</t>
        </is>
      </c>
      <c r="Z1297" s="15" t="n">
        <v>9405</v>
      </c>
      <c r="AA1297" s="15" t="n"/>
      <c r="AB1297" s="15" t="n"/>
      <c r="AC1297" s="15" t="n"/>
      <c r="AD1297" s="15" t="n"/>
      <c r="AE1297" s="15" t="n">
        <v>252</v>
      </c>
      <c r="AF1297" s="16" t="n">
        <v>0.62</v>
      </c>
      <c r="AG1297" s="15">
        <f>ROUND(AE1297-(AE1297*AF1297),2)</f>
        <v/>
      </c>
      <c r="AH1297" s="16" t="n">
        <v>0.18</v>
      </c>
      <c r="AI1297" s="15">
        <f>ROUND(AG1297+(AG1297*AH1297),2)</f>
        <v/>
      </c>
      <c r="AJ1297" s="16" t="n">
        <v>0.2</v>
      </c>
      <c r="AK1297" s="15">
        <f>ROUND(AI1297*AJ1297,2)</f>
        <v/>
      </c>
      <c r="AL1297" s="15">
        <f>AI1297+AK1297</f>
        <v/>
      </c>
      <c r="AM1297" s="15">
        <f>AE1297-AL1297</f>
        <v/>
      </c>
      <c r="AN1297" s="16">
        <f>AM1297/AE1297</f>
        <v/>
      </c>
      <c r="AO1297" s="15" t="inlineStr">
        <is>
          <t>60 mins</t>
        </is>
      </c>
      <c r="AP1297" s="15" t="n"/>
      <c r="AQ1297" s="15" t="inlineStr">
        <is>
          <t>Weight</t>
        </is>
      </c>
      <c r="AR1297" s="15" t="n"/>
      <c r="AS1297" s="15" t="n"/>
      <c r="AT1297" s="3" t="inlineStr">
        <is>
          <t>On Demand</t>
        </is>
      </c>
    </row>
    <row r="1298" ht="15.75" customHeight="1">
      <c r="A1298" s="15" t="inlineStr">
        <is>
          <t>PROD_0244</t>
        </is>
      </c>
      <c r="B1298" s="15" t="inlineStr">
        <is>
          <t>VAR_3</t>
        </is>
      </c>
      <c r="C1298" s="15" t="inlineStr">
        <is>
          <t>Electrical Material</t>
        </is>
      </c>
      <c r="D1298" s="15" t="inlineStr">
        <is>
          <t>Surface Light</t>
        </is>
      </c>
      <c r="E1298" s="15" t="inlineStr">
        <is>
          <t>Panasonic</t>
        </is>
      </c>
      <c r="F1298" s="15" t="inlineStr">
        <is>
          <t>LED PC Panel Light</t>
        </is>
      </c>
      <c r="G1298" s="15" t="n"/>
      <c r="H1298" s="15" t="inlineStr">
        <is>
          <t>Wattage</t>
        </is>
      </c>
      <c r="I1298" s="15" t="inlineStr">
        <is>
          <t>3 W</t>
        </is>
      </c>
      <c r="J1298" s="15" t="n"/>
      <c r="K1298" s="15" t="n"/>
      <c r="L1298" s="15" t="inlineStr">
        <is>
          <t>Color</t>
        </is>
      </c>
      <c r="M1298" s="15" t="inlineStr">
        <is>
          <t>Cool White</t>
        </is>
      </c>
      <c r="N1298" s="15" t="inlineStr">
        <is>
          <t>Shape</t>
        </is>
      </c>
      <c r="O1298" s="15" t="inlineStr">
        <is>
          <t>Round</t>
        </is>
      </c>
      <c r="P1298" s="15" t="n"/>
      <c r="Q1298" s="15" t="inlineStr">
        <is>
          <t>Manufacturer's Warranty</t>
        </is>
      </c>
      <c r="R1298" s="15" t="n"/>
      <c r="S1298" s="15" t="n"/>
      <c r="T1298" s="15" t="n"/>
      <c r="U1298" s="15" t="n"/>
      <c r="V1298" s="15" t="n"/>
      <c r="W1298" s="15" t="n"/>
      <c r="X1298" s="15" t="n"/>
      <c r="Y1298" s="15" t="inlineStr">
        <is>
          <t>SL_PS_LEDPC_RND_1, SL_PS_LEDPC_RND_2</t>
        </is>
      </c>
      <c r="Z1298" s="15" t="n">
        <v>9405</v>
      </c>
      <c r="AA1298" s="15" t="n"/>
      <c r="AB1298" s="15" t="n"/>
      <c r="AC1298" s="15" t="n"/>
      <c r="AD1298" s="15" t="n"/>
      <c r="AE1298" s="15" t="n">
        <v>252</v>
      </c>
      <c r="AF1298" s="16" t="n">
        <v>0.62</v>
      </c>
      <c r="AG1298" s="15">
        <f>ROUND(AE1298-(AE1298*AF1298),2)</f>
        <v/>
      </c>
      <c r="AH1298" s="16" t="n">
        <v>0.18</v>
      </c>
      <c r="AI1298" s="15">
        <f>ROUND(AG1298+(AG1298*AH1298),2)</f>
        <v/>
      </c>
      <c r="AJ1298" s="16" t="n">
        <v>0.2</v>
      </c>
      <c r="AK1298" s="15">
        <f>ROUND(AI1298*AJ1298,2)</f>
        <v/>
      </c>
      <c r="AL1298" s="15">
        <f>AI1298+AK1298</f>
        <v/>
      </c>
      <c r="AM1298" s="15">
        <f>AE1298-AL1298</f>
        <v/>
      </c>
      <c r="AN1298" s="16">
        <f>AM1298/AE1298</f>
        <v/>
      </c>
      <c r="AO1298" s="15" t="inlineStr">
        <is>
          <t>60 mins</t>
        </is>
      </c>
      <c r="AP1298" s="15" t="n"/>
      <c r="AQ1298" s="15" t="inlineStr">
        <is>
          <t>Weight</t>
        </is>
      </c>
      <c r="AR1298" s="15" t="n"/>
      <c r="AS1298" s="15" t="n"/>
      <c r="AT1298" s="3" t="inlineStr">
        <is>
          <t>On Demand</t>
        </is>
      </c>
    </row>
    <row r="1299" ht="15.75" customHeight="1">
      <c r="A1299" s="15" t="inlineStr">
        <is>
          <t>PROD_0244</t>
        </is>
      </c>
      <c r="B1299" s="15" t="inlineStr">
        <is>
          <t>VAR_4</t>
        </is>
      </c>
      <c r="C1299" s="15" t="inlineStr">
        <is>
          <t>Electrical Material</t>
        </is>
      </c>
      <c r="D1299" s="15" t="inlineStr">
        <is>
          <t>Surface Light</t>
        </is>
      </c>
      <c r="E1299" s="15" t="inlineStr">
        <is>
          <t>Panasonic</t>
        </is>
      </c>
      <c r="F1299" s="15" t="inlineStr">
        <is>
          <t>LED PC Panel Light</t>
        </is>
      </c>
      <c r="G1299" s="15" t="n"/>
      <c r="H1299" s="15" t="inlineStr">
        <is>
          <t>Wattage</t>
        </is>
      </c>
      <c r="I1299" s="15" t="inlineStr">
        <is>
          <t>6 W</t>
        </is>
      </c>
      <c r="J1299" s="15" t="n"/>
      <c r="K1299" s="15" t="n"/>
      <c r="L1299" s="15" t="inlineStr">
        <is>
          <t>Color</t>
        </is>
      </c>
      <c r="M1299" s="15" t="inlineStr">
        <is>
          <t>Warm White</t>
        </is>
      </c>
      <c r="N1299" s="15" t="inlineStr">
        <is>
          <t>Shape</t>
        </is>
      </c>
      <c r="O1299" s="15" t="inlineStr">
        <is>
          <t>Round</t>
        </is>
      </c>
      <c r="P1299" s="15" t="n"/>
      <c r="Q1299" s="15" t="inlineStr">
        <is>
          <t>Manufacturer's Warranty</t>
        </is>
      </c>
      <c r="R1299" s="15" t="n"/>
      <c r="S1299" s="15" t="n"/>
      <c r="T1299" s="15" t="n"/>
      <c r="U1299" s="15" t="n"/>
      <c r="V1299" s="15" t="n"/>
      <c r="W1299" s="15" t="n"/>
      <c r="X1299" s="15" t="n"/>
      <c r="Y1299" s="15" t="inlineStr">
        <is>
          <t>SL_PS_LEDPC_RND_1, SL_PS_LEDPC_RND_2</t>
        </is>
      </c>
      <c r="Z1299" s="15" t="n">
        <v>9405</v>
      </c>
      <c r="AA1299" s="15" t="n"/>
      <c r="AB1299" s="15" t="n"/>
      <c r="AC1299" s="15" t="n"/>
      <c r="AD1299" s="15" t="n"/>
      <c r="AE1299" s="15" t="n">
        <v>400</v>
      </c>
      <c r="AF1299" s="16" t="n">
        <v>0.62</v>
      </c>
      <c r="AG1299" s="15">
        <f>ROUND(AE1299-(AE1299*AF1299),2)</f>
        <v/>
      </c>
      <c r="AH1299" s="16" t="n">
        <v>0.18</v>
      </c>
      <c r="AI1299" s="15">
        <f>ROUND(AG1299+(AG1299*AH1299),2)</f>
        <v/>
      </c>
      <c r="AJ1299" s="16" t="n">
        <v>0.2</v>
      </c>
      <c r="AK1299" s="15">
        <f>ROUND(AI1299*AJ1299,2)</f>
        <v/>
      </c>
      <c r="AL1299" s="15">
        <f>AI1299+AK1299</f>
        <v/>
      </c>
      <c r="AM1299" s="15">
        <f>AE1299-AL1299</f>
        <v/>
      </c>
      <c r="AN1299" s="16">
        <f>AM1299/AE1299</f>
        <v/>
      </c>
      <c r="AO1299" s="15" t="inlineStr">
        <is>
          <t>60 mins</t>
        </is>
      </c>
      <c r="AP1299" s="15" t="n"/>
      <c r="AQ1299" s="15" t="inlineStr">
        <is>
          <t>Weight</t>
        </is>
      </c>
      <c r="AR1299" s="15" t="n"/>
      <c r="AS1299" s="15" t="n"/>
      <c r="AT1299" s="3" t="inlineStr">
        <is>
          <t>On Demand</t>
        </is>
      </c>
    </row>
    <row r="1300" ht="15.75" customHeight="1">
      <c r="A1300" s="15" t="inlineStr">
        <is>
          <t>PROD_0244</t>
        </is>
      </c>
      <c r="B1300" s="15" t="inlineStr">
        <is>
          <t>VAR_5</t>
        </is>
      </c>
      <c r="C1300" s="15" t="inlineStr">
        <is>
          <t>Electrical Material</t>
        </is>
      </c>
      <c r="D1300" s="15" t="inlineStr">
        <is>
          <t>Surface Light</t>
        </is>
      </c>
      <c r="E1300" s="15" t="inlineStr">
        <is>
          <t>Panasonic</t>
        </is>
      </c>
      <c r="F1300" s="15" t="inlineStr">
        <is>
          <t>LED PC Panel Light</t>
        </is>
      </c>
      <c r="G1300" s="15" t="n"/>
      <c r="H1300" s="15" t="inlineStr">
        <is>
          <t>Wattage</t>
        </is>
      </c>
      <c r="I1300" s="15" t="inlineStr">
        <is>
          <t>6 W</t>
        </is>
      </c>
      <c r="J1300" s="15" t="n"/>
      <c r="K1300" s="15" t="n"/>
      <c r="L1300" s="15" t="inlineStr">
        <is>
          <t>Color</t>
        </is>
      </c>
      <c r="M1300" s="15" t="inlineStr">
        <is>
          <t>Natural White</t>
        </is>
      </c>
      <c r="N1300" s="15" t="inlineStr">
        <is>
          <t>Shape</t>
        </is>
      </c>
      <c r="O1300" s="15" t="inlineStr">
        <is>
          <t>Round</t>
        </is>
      </c>
      <c r="P1300" s="15" t="n"/>
      <c r="Q1300" s="15" t="inlineStr">
        <is>
          <t>Manufacturer's Warranty</t>
        </is>
      </c>
      <c r="R1300" s="15" t="n"/>
      <c r="S1300" s="15" t="n"/>
      <c r="T1300" s="15" t="n"/>
      <c r="U1300" s="15" t="n"/>
      <c r="V1300" s="15" t="n"/>
      <c r="W1300" s="15" t="n"/>
      <c r="X1300" s="15" t="n"/>
      <c r="Y1300" s="15" t="inlineStr">
        <is>
          <t>SL_PS_LEDPC_RND_1, SL_PS_LEDPC_RND_2</t>
        </is>
      </c>
      <c r="Z1300" s="15" t="n">
        <v>9405</v>
      </c>
      <c r="AA1300" s="15" t="n"/>
      <c r="AB1300" s="15" t="n"/>
      <c r="AC1300" s="15" t="n"/>
      <c r="AD1300" s="15" t="n"/>
      <c r="AE1300" s="15" t="n">
        <v>400</v>
      </c>
      <c r="AF1300" s="16" t="n">
        <v>0.62</v>
      </c>
      <c r="AG1300" s="15">
        <f>ROUND(AE1300-(AE1300*AF1300),2)</f>
        <v/>
      </c>
      <c r="AH1300" s="16" t="n">
        <v>0.18</v>
      </c>
      <c r="AI1300" s="15">
        <f>ROUND(AG1300+(AG1300*AH1300),2)</f>
        <v/>
      </c>
      <c r="AJ1300" s="16" t="n">
        <v>0.2</v>
      </c>
      <c r="AK1300" s="15">
        <f>ROUND(AI1300*AJ1300,2)</f>
        <v/>
      </c>
      <c r="AL1300" s="15">
        <f>AI1300+AK1300</f>
        <v/>
      </c>
      <c r="AM1300" s="15">
        <f>AE1300-AL1300</f>
        <v/>
      </c>
      <c r="AN1300" s="16">
        <f>AM1300/AE1300</f>
        <v/>
      </c>
      <c r="AO1300" s="15" t="inlineStr">
        <is>
          <t>60 mins</t>
        </is>
      </c>
      <c r="AP1300" s="15" t="n"/>
      <c r="AQ1300" s="15" t="inlineStr">
        <is>
          <t>Weight</t>
        </is>
      </c>
      <c r="AR1300" s="15" t="n"/>
      <c r="AS1300" s="15" t="n"/>
      <c r="AT1300" s="3" t="inlineStr">
        <is>
          <t>On Demand</t>
        </is>
      </c>
    </row>
    <row r="1301" ht="15.75" customHeight="1">
      <c r="A1301" s="15" t="inlineStr">
        <is>
          <t>PROD_0244</t>
        </is>
      </c>
      <c r="B1301" s="15" t="inlineStr">
        <is>
          <t>VAR_6</t>
        </is>
      </c>
      <c r="C1301" s="15" t="inlineStr">
        <is>
          <t>Electrical Material</t>
        </is>
      </c>
      <c r="D1301" s="15" t="inlineStr">
        <is>
          <t>Surface Light</t>
        </is>
      </c>
      <c r="E1301" s="15" t="inlineStr">
        <is>
          <t>Panasonic</t>
        </is>
      </c>
      <c r="F1301" s="15" t="inlineStr">
        <is>
          <t>LED PC Panel Light</t>
        </is>
      </c>
      <c r="G1301" s="15" t="n"/>
      <c r="H1301" s="15" t="inlineStr">
        <is>
          <t>Wattage</t>
        </is>
      </c>
      <c r="I1301" s="15" t="inlineStr">
        <is>
          <t>6 W</t>
        </is>
      </c>
      <c r="J1301" s="15" t="n"/>
      <c r="K1301" s="15" t="n"/>
      <c r="L1301" s="15" t="inlineStr">
        <is>
          <t>Color</t>
        </is>
      </c>
      <c r="M1301" s="15" t="inlineStr">
        <is>
          <t>Cool White</t>
        </is>
      </c>
      <c r="N1301" s="15" t="inlineStr">
        <is>
          <t>Shape</t>
        </is>
      </c>
      <c r="O1301" s="15" t="inlineStr">
        <is>
          <t>Round</t>
        </is>
      </c>
      <c r="P1301" s="15" t="n"/>
      <c r="Q1301" s="15" t="inlineStr">
        <is>
          <t>Manufacturer's Warranty</t>
        </is>
      </c>
      <c r="R1301" s="15" t="n"/>
      <c r="S1301" s="15" t="n"/>
      <c r="T1301" s="15" t="n"/>
      <c r="U1301" s="15" t="n"/>
      <c r="V1301" s="15" t="n"/>
      <c r="W1301" s="15" t="n"/>
      <c r="X1301" s="15" t="n"/>
      <c r="Y1301" s="15" t="inlineStr">
        <is>
          <t>SL_PS_LEDPC_RND_1, SL_PS_LEDPC_RND_2</t>
        </is>
      </c>
      <c r="Z1301" s="15" t="n">
        <v>9405</v>
      </c>
      <c r="AA1301" s="15" t="n"/>
      <c r="AB1301" s="15" t="n"/>
      <c r="AC1301" s="15" t="n"/>
      <c r="AD1301" s="15" t="n"/>
      <c r="AE1301" s="15" t="n">
        <v>400</v>
      </c>
      <c r="AF1301" s="16" t="n">
        <v>0.62</v>
      </c>
      <c r="AG1301" s="15">
        <f>ROUND(AE1301-(AE1301*AF1301),2)</f>
        <v/>
      </c>
      <c r="AH1301" s="16" t="n">
        <v>0.18</v>
      </c>
      <c r="AI1301" s="15">
        <f>ROUND(AG1301+(AG1301*AH1301),2)</f>
        <v/>
      </c>
      <c r="AJ1301" s="16" t="n">
        <v>0.2</v>
      </c>
      <c r="AK1301" s="15">
        <f>ROUND(AI1301*AJ1301,2)</f>
        <v/>
      </c>
      <c r="AL1301" s="15">
        <f>AI1301+AK1301</f>
        <v/>
      </c>
      <c r="AM1301" s="15">
        <f>AE1301-AL1301</f>
        <v/>
      </c>
      <c r="AN1301" s="16">
        <f>AM1301/AE1301</f>
        <v/>
      </c>
      <c r="AO1301" s="15" t="inlineStr">
        <is>
          <t>60 mins</t>
        </is>
      </c>
      <c r="AP1301" s="15" t="n"/>
      <c r="AQ1301" s="15" t="inlineStr">
        <is>
          <t>Weight</t>
        </is>
      </c>
      <c r="AR1301" s="15" t="n"/>
      <c r="AS1301" s="15" t="n"/>
      <c r="AT1301" s="3" t="inlineStr">
        <is>
          <t>On Demand</t>
        </is>
      </c>
    </row>
    <row r="1302" ht="15.75" customHeight="1">
      <c r="A1302" s="15" t="inlineStr">
        <is>
          <t>PROD_0244</t>
        </is>
      </c>
      <c r="B1302" s="15" t="inlineStr">
        <is>
          <t>VAR_7</t>
        </is>
      </c>
      <c r="C1302" s="15" t="inlineStr">
        <is>
          <t>Electrical Material</t>
        </is>
      </c>
      <c r="D1302" s="15" t="inlineStr">
        <is>
          <t>Surface Light</t>
        </is>
      </c>
      <c r="E1302" s="15" t="inlineStr">
        <is>
          <t>Panasonic</t>
        </is>
      </c>
      <c r="F1302" s="15" t="inlineStr">
        <is>
          <t>LED PC Panel Light</t>
        </is>
      </c>
      <c r="G1302" s="15" t="n"/>
      <c r="H1302" s="15" t="inlineStr">
        <is>
          <t>Wattage</t>
        </is>
      </c>
      <c r="I1302" s="15" t="inlineStr">
        <is>
          <t>10 W</t>
        </is>
      </c>
      <c r="J1302" s="15" t="n"/>
      <c r="K1302" s="15" t="n"/>
      <c r="L1302" s="15" t="inlineStr">
        <is>
          <t>Color</t>
        </is>
      </c>
      <c r="M1302" s="15" t="inlineStr">
        <is>
          <t>Warm White</t>
        </is>
      </c>
      <c r="N1302" s="15" t="inlineStr">
        <is>
          <t>Shape</t>
        </is>
      </c>
      <c r="O1302" s="15" t="inlineStr">
        <is>
          <t>Round</t>
        </is>
      </c>
      <c r="P1302" s="15" t="n"/>
      <c r="Q1302" s="15" t="inlineStr">
        <is>
          <t>Manufacturer's Warranty</t>
        </is>
      </c>
      <c r="R1302" s="15" t="n"/>
      <c r="S1302" s="15" t="n"/>
      <c r="T1302" s="15" t="n"/>
      <c r="U1302" s="15" t="n"/>
      <c r="V1302" s="15" t="n"/>
      <c r="W1302" s="15" t="n"/>
      <c r="X1302" s="15" t="n"/>
      <c r="Y1302" s="15" t="inlineStr">
        <is>
          <t>SL_PS_LEDPC_RND_1, SL_PS_LEDPC_RND_2</t>
        </is>
      </c>
      <c r="Z1302" s="15" t="n">
        <v>9405</v>
      </c>
      <c r="AA1302" s="15" t="n"/>
      <c r="AB1302" s="15" t="n"/>
      <c r="AC1302" s="15" t="n"/>
      <c r="AD1302" s="15" t="n"/>
      <c r="AE1302" s="15" t="n">
        <v>600</v>
      </c>
      <c r="AF1302" s="16" t="n">
        <v>0.62</v>
      </c>
      <c r="AG1302" s="15">
        <f>ROUND(AE1302-(AE1302*AF1302),2)</f>
        <v/>
      </c>
      <c r="AH1302" s="16" t="n">
        <v>0.18</v>
      </c>
      <c r="AI1302" s="15">
        <f>ROUND(AG1302+(AG1302*AH1302),2)</f>
        <v/>
      </c>
      <c r="AJ1302" s="16" t="n">
        <v>0.2</v>
      </c>
      <c r="AK1302" s="15">
        <f>ROUND(AI1302*AJ1302,2)</f>
        <v/>
      </c>
      <c r="AL1302" s="15">
        <f>AI1302+AK1302</f>
        <v/>
      </c>
      <c r="AM1302" s="15">
        <f>AE1302-AL1302</f>
        <v/>
      </c>
      <c r="AN1302" s="16">
        <f>AM1302/AE1302</f>
        <v/>
      </c>
      <c r="AO1302" s="15" t="inlineStr">
        <is>
          <t>60 mins</t>
        </is>
      </c>
      <c r="AP1302" s="15" t="n"/>
      <c r="AQ1302" s="15" t="inlineStr">
        <is>
          <t>Weight</t>
        </is>
      </c>
      <c r="AR1302" s="15" t="n"/>
      <c r="AS1302" s="15" t="n"/>
      <c r="AT1302" s="3" t="inlineStr">
        <is>
          <t>On Demand</t>
        </is>
      </c>
    </row>
    <row r="1303" ht="15.75" customHeight="1">
      <c r="A1303" s="15" t="inlineStr">
        <is>
          <t>PROD_0244</t>
        </is>
      </c>
      <c r="B1303" s="15" t="inlineStr">
        <is>
          <t>VAR_8</t>
        </is>
      </c>
      <c r="C1303" s="15" t="inlineStr">
        <is>
          <t>Electrical Material</t>
        </is>
      </c>
      <c r="D1303" s="15" t="inlineStr">
        <is>
          <t>Surface Light</t>
        </is>
      </c>
      <c r="E1303" s="15" t="inlineStr">
        <is>
          <t>Panasonic</t>
        </is>
      </c>
      <c r="F1303" s="15" t="inlineStr">
        <is>
          <t>LED PC Panel Light</t>
        </is>
      </c>
      <c r="G1303" s="15" t="n"/>
      <c r="H1303" s="15" t="inlineStr">
        <is>
          <t>Wattage</t>
        </is>
      </c>
      <c r="I1303" s="15" t="inlineStr">
        <is>
          <t>10 W</t>
        </is>
      </c>
      <c r="J1303" s="15" t="n"/>
      <c r="K1303" s="15" t="n"/>
      <c r="L1303" s="15" t="inlineStr">
        <is>
          <t>Color</t>
        </is>
      </c>
      <c r="M1303" s="15" t="inlineStr">
        <is>
          <t>Natural White</t>
        </is>
      </c>
      <c r="N1303" s="15" t="inlineStr">
        <is>
          <t>Shape</t>
        </is>
      </c>
      <c r="O1303" s="15" t="inlineStr">
        <is>
          <t>Round</t>
        </is>
      </c>
      <c r="P1303" s="15" t="n"/>
      <c r="Q1303" s="15" t="inlineStr">
        <is>
          <t>Manufacturer's Warranty</t>
        </is>
      </c>
      <c r="R1303" s="15" t="n"/>
      <c r="S1303" s="15" t="n"/>
      <c r="T1303" s="15" t="n"/>
      <c r="U1303" s="15" t="n"/>
      <c r="V1303" s="15" t="n"/>
      <c r="W1303" s="15" t="n"/>
      <c r="X1303" s="15" t="n"/>
      <c r="Y1303" s="15" t="inlineStr">
        <is>
          <t>SL_PS_LEDPC_RND_1, SL_PS_LEDPC_RND_2</t>
        </is>
      </c>
      <c r="Z1303" s="15" t="n">
        <v>9405</v>
      </c>
      <c r="AA1303" s="15" t="n"/>
      <c r="AB1303" s="15" t="n"/>
      <c r="AC1303" s="15" t="n"/>
      <c r="AD1303" s="15" t="n"/>
      <c r="AE1303" s="15" t="n">
        <v>600</v>
      </c>
      <c r="AF1303" s="16" t="n">
        <v>0.62</v>
      </c>
      <c r="AG1303" s="15">
        <f>ROUND(AE1303-(AE1303*AF1303),2)</f>
        <v/>
      </c>
      <c r="AH1303" s="16" t="n">
        <v>0.18</v>
      </c>
      <c r="AI1303" s="15">
        <f>ROUND(AG1303+(AG1303*AH1303),2)</f>
        <v/>
      </c>
      <c r="AJ1303" s="16" t="n">
        <v>0.2</v>
      </c>
      <c r="AK1303" s="15">
        <f>ROUND(AI1303*AJ1303,2)</f>
        <v/>
      </c>
      <c r="AL1303" s="15">
        <f>AI1303+AK1303</f>
        <v/>
      </c>
      <c r="AM1303" s="15">
        <f>AE1303-AL1303</f>
        <v/>
      </c>
      <c r="AN1303" s="16">
        <f>AM1303/AE1303</f>
        <v/>
      </c>
      <c r="AO1303" s="15" t="inlineStr">
        <is>
          <t>60 mins</t>
        </is>
      </c>
      <c r="AP1303" s="15" t="n"/>
      <c r="AQ1303" s="15" t="inlineStr">
        <is>
          <t>Weight</t>
        </is>
      </c>
      <c r="AR1303" s="15" t="n"/>
      <c r="AS1303" s="15" t="n"/>
      <c r="AT1303" s="3" t="inlineStr">
        <is>
          <t>On Demand</t>
        </is>
      </c>
    </row>
    <row r="1304" ht="15.75" customHeight="1">
      <c r="A1304" s="15" t="inlineStr">
        <is>
          <t>PROD_0244</t>
        </is>
      </c>
      <c r="B1304" s="15" t="inlineStr">
        <is>
          <t>VAR_9</t>
        </is>
      </c>
      <c r="C1304" s="15" t="inlineStr">
        <is>
          <t>Electrical Material</t>
        </is>
      </c>
      <c r="D1304" s="15" t="inlineStr">
        <is>
          <t>Surface Light</t>
        </is>
      </c>
      <c r="E1304" s="15" t="inlineStr">
        <is>
          <t>Panasonic</t>
        </is>
      </c>
      <c r="F1304" s="15" t="inlineStr">
        <is>
          <t>LED PC Panel Light</t>
        </is>
      </c>
      <c r="G1304" s="15" t="n"/>
      <c r="H1304" s="15" t="inlineStr">
        <is>
          <t>Wattage</t>
        </is>
      </c>
      <c r="I1304" s="15" t="inlineStr">
        <is>
          <t>10 W</t>
        </is>
      </c>
      <c r="J1304" s="15" t="n"/>
      <c r="K1304" s="15" t="n"/>
      <c r="L1304" s="15" t="inlineStr">
        <is>
          <t>Color</t>
        </is>
      </c>
      <c r="M1304" s="15" t="inlineStr">
        <is>
          <t>Cool White</t>
        </is>
      </c>
      <c r="N1304" s="15" t="inlineStr">
        <is>
          <t>Shape</t>
        </is>
      </c>
      <c r="O1304" s="15" t="inlineStr">
        <is>
          <t>Round</t>
        </is>
      </c>
      <c r="P1304" s="15" t="n"/>
      <c r="Q1304" s="15" t="inlineStr">
        <is>
          <t>Manufacturer's Warranty</t>
        </is>
      </c>
      <c r="R1304" s="15" t="n"/>
      <c r="S1304" s="15" t="n"/>
      <c r="T1304" s="15" t="n"/>
      <c r="U1304" s="15" t="n"/>
      <c r="V1304" s="15" t="n"/>
      <c r="W1304" s="15" t="n"/>
      <c r="X1304" s="15" t="n"/>
      <c r="Y1304" s="15" t="inlineStr">
        <is>
          <t>SL_PS_LEDPC_RND_1, SL_PS_LEDPC_RND_2</t>
        </is>
      </c>
      <c r="Z1304" s="15" t="n">
        <v>9405</v>
      </c>
      <c r="AA1304" s="15" t="n"/>
      <c r="AB1304" s="15" t="n"/>
      <c r="AC1304" s="15" t="n"/>
      <c r="AD1304" s="15" t="n"/>
      <c r="AE1304" s="15" t="n">
        <v>600</v>
      </c>
      <c r="AF1304" s="16" t="n">
        <v>0.62</v>
      </c>
      <c r="AG1304" s="15">
        <f>ROUND(AE1304-(AE1304*AF1304),2)</f>
        <v/>
      </c>
      <c r="AH1304" s="16" t="n">
        <v>0.18</v>
      </c>
      <c r="AI1304" s="15">
        <f>ROUND(AG1304+(AG1304*AH1304),2)</f>
        <v/>
      </c>
      <c r="AJ1304" s="16" t="n">
        <v>0.2</v>
      </c>
      <c r="AK1304" s="15">
        <f>ROUND(AI1304*AJ1304,2)</f>
        <v/>
      </c>
      <c r="AL1304" s="15">
        <f>AI1304+AK1304</f>
        <v/>
      </c>
      <c r="AM1304" s="15">
        <f>AE1304-AL1304</f>
        <v/>
      </c>
      <c r="AN1304" s="16">
        <f>AM1304/AE1304</f>
        <v/>
      </c>
      <c r="AO1304" s="15" t="inlineStr">
        <is>
          <t>60 mins</t>
        </is>
      </c>
      <c r="AP1304" s="15" t="n"/>
      <c r="AQ1304" s="15" t="inlineStr">
        <is>
          <t>Weight</t>
        </is>
      </c>
      <c r="AR1304" s="15" t="n"/>
      <c r="AS1304" s="15" t="n"/>
      <c r="AT1304" s="3" t="inlineStr">
        <is>
          <t>On Demand</t>
        </is>
      </c>
    </row>
    <row r="1305" ht="15.75" customHeight="1">
      <c r="A1305" s="15" t="inlineStr">
        <is>
          <t>PROD_0244</t>
        </is>
      </c>
      <c r="B1305" s="15" t="inlineStr">
        <is>
          <t>VAR_10</t>
        </is>
      </c>
      <c r="C1305" s="15" t="inlineStr">
        <is>
          <t>Electrical Material</t>
        </is>
      </c>
      <c r="D1305" s="15" t="inlineStr">
        <is>
          <t>Surface Light</t>
        </is>
      </c>
      <c r="E1305" s="15" t="inlineStr">
        <is>
          <t>Panasonic</t>
        </is>
      </c>
      <c r="F1305" s="15" t="inlineStr">
        <is>
          <t>LED PC Panel Light</t>
        </is>
      </c>
      <c r="G1305" s="15" t="n"/>
      <c r="H1305" s="15" t="inlineStr">
        <is>
          <t>Wattage</t>
        </is>
      </c>
      <c r="I1305" s="15" t="inlineStr">
        <is>
          <t>15 W</t>
        </is>
      </c>
      <c r="J1305" s="15" t="n"/>
      <c r="K1305" s="15" t="n"/>
      <c r="L1305" s="15" t="inlineStr">
        <is>
          <t>Color</t>
        </is>
      </c>
      <c r="M1305" s="15" t="inlineStr">
        <is>
          <t>Warm White</t>
        </is>
      </c>
      <c r="N1305" s="15" t="inlineStr">
        <is>
          <t>Shape</t>
        </is>
      </c>
      <c r="O1305" s="15" t="inlineStr">
        <is>
          <t>Round</t>
        </is>
      </c>
      <c r="P1305" s="15" t="n"/>
      <c r="Q1305" s="15" t="inlineStr">
        <is>
          <t>Manufacturer's Warranty</t>
        </is>
      </c>
      <c r="R1305" s="15" t="n"/>
      <c r="S1305" s="15" t="n"/>
      <c r="T1305" s="15" t="n"/>
      <c r="U1305" s="15" t="n"/>
      <c r="V1305" s="15" t="n"/>
      <c r="W1305" s="15" t="n"/>
      <c r="X1305" s="15" t="n"/>
      <c r="Y1305" s="15" t="inlineStr">
        <is>
          <t>SL_PS_LEDPC_RND_1, SL_PS_LEDPC_RND_2</t>
        </is>
      </c>
      <c r="Z1305" s="15" t="n">
        <v>9405</v>
      </c>
      <c r="AA1305" s="15" t="n"/>
      <c r="AB1305" s="15" t="n"/>
      <c r="AC1305" s="15" t="n"/>
      <c r="AD1305" s="15" t="n"/>
      <c r="AE1305" s="15" t="n">
        <v>950</v>
      </c>
      <c r="AF1305" s="16" t="n">
        <v>0.6</v>
      </c>
      <c r="AG1305" s="15">
        <f>ROUND(AE1305-(AE1305*AF1305),2)</f>
        <v/>
      </c>
      <c r="AH1305" s="16" t="n">
        <v>0.18</v>
      </c>
      <c r="AI1305" s="15">
        <f>ROUND(AG1305+(AG1305*AH1305),2)</f>
        <v/>
      </c>
      <c r="AJ1305" s="16" t="n">
        <v>0.2</v>
      </c>
      <c r="AK1305" s="15">
        <f>ROUND(AI1305*AJ1305,2)</f>
        <v/>
      </c>
      <c r="AL1305" s="15">
        <f>AI1305+AK1305</f>
        <v/>
      </c>
      <c r="AM1305" s="15">
        <f>AE1305-AL1305</f>
        <v/>
      </c>
      <c r="AN1305" s="16">
        <f>AM1305/AE1305</f>
        <v/>
      </c>
      <c r="AO1305" s="15" t="inlineStr">
        <is>
          <t>60 mins</t>
        </is>
      </c>
      <c r="AP1305" s="15" t="n"/>
      <c r="AQ1305" s="15" t="inlineStr">
        <is>
          <t>Weight</t>
        </is>
      </c>
      <c r="AR1305" s="15" t="n"/>
      <c r="AS1305" s="15" t="n"/>
      <c r="AT1305" s="3" t="inlineStr">
        <is>
          <t>On Demand</t>
        </is>
      </c>
    </row>
    <row r="1306" ht="15.75" customHeight="1">
      <c r="A1306" s="15" t="inlineStr">
        <is>
          <t>PROD_0244</t>
        </is>
      </c>
      <c r="B1306" s="15" t="inlineStr">
        <is>
          <t>VAR_11</t>
        </is>
      </c>
      <c r="C1306" s="15" t="inlineStr">
        <is>
          <t>Electrical Material</t>
        </is>
      </c>
      <c r="D1306" s="15" t="inlineStr">
        <is>
          <t>Surface Light</t>
        </is>
      </c>
      <c r="E1306" s="15" t="inlineStr">
        <is>
          <t>Panasonic</t>
        </is>
      </c>
      <c r="F1306" s="15" t="inlineStr">
        <is>
          <t>LED PC Panel Light</t>
        </is>
      </c>
      <c r="G1306" s="15" t="n"/>
      <c r="H1306" s="15" t="inlineStr">
        <is>
          <t>Wattage</t>
        </is>
      </c>
      <c r="I1306" s="15" t="inlineStr">
        <is>
          <t>15 W</t>
        </is>
      </c>
      <c r="J1306" s="15" t="n"/>
      <c r="K1306" s="15" t="n"/>
      <c r="L1306" s="15" t="inlineStr">
        <is>
          <t>Color</t>
        </is>
      </c>
      <c r="M1306" s="15" t="inlineStr">
        <is>
          <t>Natural White</t>
        </is>
      </c>
      <c r="N1306" s="15" t="inlineStr">
        <is>
          <t>Shape</t>
        </is>
      </c>
      <c r="O1306" s="15" t="inlineStr">
        <is>
          <t>Round</t>
        </is>
      </c>
      <c r="P1306" s="15" t="n"/>
      <c r="Q1306" s="15" t="inlineStr">
        <is>
          <t>Manufacturer's Warranty</t>
        </is>
      </c>
      <c r="R1306" s="15" t="n"/>
      <c r="S1306" s="15" t="n"/>
      <c r="T1306" s="15" t="n"/>
      <c r="U1306" s="15" t="n"/>
      <c r="V1306" s="15" t="n"/>
      <c r="W1306" s="15" t="n"/>
      <c r="X1306" s="15" t="n"/>
      <c r="Y1306" s="15" t="inlineStr">
        <is>
          <t>SL_PS_LEDPC_RND_1, SL_PS_LEDPC_RND_2</t>
        </is>
      </c>
      <c r="Z1306" s="15" t="n">
        <v>9405</v>
      </c>
      <c r="AA1306" s="15" t="n"/>
      <c r="AB1306" s="15" t="n"/>
      <c r="AC1306" s="15" t="n"/>
      <c r="AD1306" s="15" t="n"/>
      <c r="AE1306" s="15" t="n">
        <v>950</v>
      </c>
      <c r="AF1306" s="16" t="n">
        <v>0.6</v>
      </c>
      <c r="AG1306" s="15">
        <f>ROUND(AE1306-(AE1306*AF1306),2)</f>
        <v/>
      </c>
      <c r="AH1306" s="16" t="n">
        <v>0.18</v>
      </c>
      <c r="AI1306" s="15">
        <f>ROUND(AG1306+(AG1306*AH1306),2)</f>
        <v/>
      </c>
      <c r="AJ1306" s="16" t="n">
        <v>0.2</v>
      </c>
      <c r="AK1306" s="15">
        <f>ROUND(AI1306*AJ1306,2)</f>
        <v/>
      </c>
      <c r="AL1306" s="15">
        <f>AI1306+AK1306</f>
        <v/>
      </c>
      <c r="AM1306" s="15">
        <f>AE1306-AL1306</f>
        <v/>
      </c>
      <c r="AN1306" s="16">
        <f>AM1306/AE1306</f>
        <v/>
      </c>
      <c r="AO1306" s="15" t="inlineStr">
        <is>
          <t>60 mins</t>
        </is>
      </c>
      <c r="AP1306" s="15" t="n"/>
      <c r="AQ1306" s="15" t="inlineStr">
        <is>
          <t>Weight</t>
        </is>
      </c>
      <c r="AR1306" s="15" t="n"/>
      <c r="AS1306" s="15" t="n"/>
      <c r="AT1306" s="3" t="inlineStr">
        <is>
          <t>On Demand</t>
        </is>
      </c>
    </row>
    <row r="1307" ht="15.75" customHeight="1">
      <c r="A1307" s="15" t="inlineStr">
        <is>
          <t>PROD_0244</t>
        </is>
      </c>
      <c r="B1307" s="15" t="inlineStr">
        <is>
          <t>VAR_12</t>
        </is>
      </c>
      <c r="C1307" s="15" t="inlineStr">
        <is>
          <t>Electrical Material</t>
        </is>
      </c>
      <c r="D1307" s="15" t="inlineStr">
        <is>
          <t>Surface Light</t>
        </is>
      </c>
      <c r="E1307" s="15" t="inlineStr">
        <is>
          <t>Panasonic</t>
        </is>
      </c>
      <c r="F1307" s="15" t="inlineStr">
        <is>
          <t>LED PC Panel Light</t>
        </is>
      </c>
      <c r="G1307" s="15" t="n"/>
      <c r="H1307" s="15" t="inlineStr">
        <is>
          <t>Wattage</t>
        </is>
      </c>
      <c r="I1307" s="15" t="inlineStr">
        <is>
          <t>15 W</t>
        </is>
      </c>
      <c r="J1307" s="15" t="n"/>
      <c r="K1307" s="15" t="n"/>
      <c r="L1307" s="15" t="inlineStr">
        <is>
          <t>Color</t>
        </is>
      </c>
      <c r="M1307" s="15" t="inlineStr">
        <is>
          <t>Cool White</t>
        </is>
      </c>
      <c r="N1307" s="15" t="inlineStr">
        <is>
          <t>Shape</t>
        </is>
      </c>
      <c r="O1307" s="15" t="inlineStr">
        <is>
          <t>Round</t>
        </is>
      </c>
      <c r="P1307" s="15" t="n"/>
      <c r="Q1307" s="15" t="inlineStr">
        <is>
          <t>Manufacturer's Warranty</t>
        </is>
      </c>
      <c r="R1307" s="15" t="n"/>
      <c r="S1307" s="15" t="n"/>
      <c r="T1307" s="15" t="n"/>
      <c r="U1307" s="15" t="n"/>
      <c r="V1307" s="15" t="n"/>
      <c r="W1307" s="15" t="n"/>
      <c r="X1307" s="15" t="n"/>
      <c r="Y1307" s="15" t="inlineStr">
        <is>
          <t>SL_PS_LEDPC_RND_1, SL_PS_LEDPC_RND_2</t>
        </is>
      </c>
      <c r="Z1307" s="15" t="n">
        <v>9405</v>
      </c>
      <c r="AA1307" s="15" t="n"/>
      <c r="AB1307" s="15" t="n"/>
      <c r="AC1307" s="15" t="n"/>
      <c r="AD1307" s="15" t="n"/>
      <c r="AE1307" s="15" t="n">
        <v>950</v>
      </c>
      <c r="AF1307" s="16" t="n">
        <v>0.6</v>
      </c>
      <c r="AG1307" s="15">
        <f>ROUND(AE1307-(AE1307*AF1307),2)</f>
        <v/>
      </c>
      <c r="AH1307" s="16" t="n">
        <v>0.18</v>
      </c>
      <c r="AI1307" s="15">
        <f>ROUND(AG1307+(AG1307*AH1307),2)</f>
        <v/>
      </c>
      <c r="AJ1307" s="16" t="n">
        <v>0.2</v>
      </c>
      <c r="AK1307" s="15">
        <f>ROUND(AI1307*AJ1307,2)</f>
        <v/>
      </c>
      <c r="AL1307" s="15">
        <f>AI1307+AK1307</f>
        <v/>
      </c>
      <c r="AM1307" s="15">
        <f>AE1307-AL1307</f>
        <v/>
      </c>
      <c r="AN1307" s="16">
        <f>AM1307/AE1307</f>
        <v/>
      </c>
      <c r="AO1307" s="15" t="inlineStr">
        <is>
          <t>60 mins</t>
        </is>
      </c>
      <c r="AP1307" s="15" t="n"/>
      <c r="AQ1307" s="15" t="inlineStr">
        <is>
          <t>Weight</t>
        </is>
      </c>
      <c r="AR1307" s="15" t="n"/>
      <c r="AS1307" s="15" t="n"/>
      <c r="AT1307" s="3" t="inlineStr">
        <is>
          <t>On Demand</t>
        </is>
      </c>
    </row>
    <row r="1308" ht="15.75" customHeight="1">
      <c r="A1308" s="15" t="inlineStr">
        <is>
          <t>PROD_0244</t>
        </is>
      </c>
      <c r="B1308" s="15" t="inlineStr">
        <is>
          <t>VAR_13</t>
        </is>
      </c>
      <c r="C1308" s="15" t="inlineStr">
        <is>
          <t>Electrical Material</t>
        </is>
      </c>
      <c r="D1308" s="15" t="inlineStr">
        <is>
          <t>Surface Light</t>
        </is>
      </c>
      <c r="E1308" s="15" t="inlineStr">
        <is>
          <t>Panasonic</t>
        </is>
      </c>
      <c r="F1308" s="15" t="inlineStr">
        <is>
          <t>LED PC Panel Light</t>
        </is>
      </c>
      <c r="G1308" s="15" t="n"/>
      <c r="H1308" s="15" t="inlineStr">
        <is>
          <t>Wattage</t>
        </is>
      </c>
      <c r="I1308" s="15" t="inlineStr">
        <is>
          <t>20 W</t>
        </is>
      </c>
      <c r="J1308" s="15" t="n"/>
      <c r="K1308" s="15" t="n"/>
      <c r="L1308" s="15" t="inlineStr">
        <is>
          <t>Color</t>
        </is>
      </c>
      <c r="M1308" s="15" t="inlineStr">
        <is>
          <t>Warm White</t>
        </is>
      </c>
      <c r="N1308" s="15" t="inlineStr">
        <is>
          <t>Shape</t>
        </is>
      </c>
      <c r="O1308" s="15" t="inlineStr">
        <is>
          <t>Round</t>
        </is>
      </c>
      <c r="P1308" s="15" t="n"/>
      <c r="Q1308" s="15" t="inlineStr">
        <is>
          <t>Manufacturer's Warranty</t>
        </is>
      </c>
      <c r="R1308" s="15" t="n"/>
      <c r="S1308" s="15" t="n"/>
      <c r="T1308" s="15" t="n"/>
      <c r="U1308" s="15" t="n"/>
      <c r="V1308" s="15" t="n"/>
      <c r="W1308" s="15" t="n"/>
      <c r="X1308" s="15" t="n"/>
      <c r="Y1308" s="15" t="inlineStr">
        <is>
          <t>SL_PS_LEDPC_RND_1, SL_PS_LEDPC_RND_2</t>
        </is>
      </c>
      <c r="Z1308" s="15" t="n">
        <v>9405</v>
      </c>
      <c r="AA1308" s="15" t="n"/>
      <c r="AB1308" s="15" t="n"/>
      <c r="AC1308" s="15" t="n"/>
      <c r="AD1308" s="15" t="n"/>
      <c r="AE1308" s="15" t="n">
        <v>900</v>
      </c>
      <c r="AF1308" s="16" t="n">
        <v>0.6</v>
      </c>
      <c r="AG1308" s="15">
        <f>ROUND(AE1308-(AE1308*AF1308),2)</f>
        <v/>
      </c>
      <c r="AH1308" s="16" t="n">
        <v>0.18</v>
      </c>
      <c r="AI1308" s="15">
        <f>ROUND(AG1308+(AG1308*AH1308),2)</f>
        <v/>
      </c>
      <c r="AJ1308" s="16" t="n">
        <v>0.2</v>
      </c>
      <c r="AK1308" s="15">
        <f>ROUND(AI1308*AJ1308,2)</f>
        <v/>
      </c>
      <c r="AL1308" s="15">
        <f>AI1308+AK1308</f>
        <v/>
      </c>
      <c r="AM1308" s="15">
        <f>AE1308-AL1308</f>
        <v/>
      </c>
      <c r="AN1308" s="16">
        <f>AM1308/AE1308</f>
        <v/>
      </c>
      <c r="AO1308" s="15" t="inlineStr">
        <is>
          <t>60 mins</t>
        </is>
      </c>
      <c r="AP1308" s="15" t="n"/>
      <c r="AQ1308" s="15" t="inlineStr">
        <is>
          <t>Weight</t>
        </is>
      </c>
      <c r="AR1308" s="15" t="n"/>
      <c r="AS1308" s="15" t="n"/>
      <c r="AT1308" s="3" t="inlineStr">
        <is>
          <t>On Demand</t>
        </is>
      </c>
    </row>
    <row r="1309" ht="15.75" customHeight="1">
      <c r="A1309" s="15" t="inlineStr">
        <is>
          <t>PROD_0244</t>
        </is>
      </c>
      <c r="B1309" s="15" t="inlineStr">
        <is>
          <t>VAR_14</t>
        </is>
      </c>
      <c r="C1309" s="15" t="inlineStr">
        <is>
          <t>Electrical Material</t>
        </is>
      </c>
      <c r="D1309" s="15" t="inlineStr">
        <is>
          <t>Surface Light</t>
        </is>
      </c>
      <c r="E1309" s="15" t="inlineStr">
        <is>
          <t>Panasonic</t>
        </is>
      </c>
      <c r="F1309" s="15" t="inlineStr">
        <is>
          <t>LED PC Panel Light</t>
        </is>
      </c>
      <c r="G1309" s="15" t="n"/>
      <c r="H1309" s="15" t="inlineStr">
        <is>
          <t>Wattage</t>
        </is>
      </c>
      <c r="I1309" s="15" t="inlineStr">
        <is>
          <t>20 W</t>
        </is>
      </c>
      <c r="J1309" s="15" t="n"/>
      <c r="K1309" s="15" t="n"/>
      <c r="L1309" s="15" t="inlineStr">
        <is>
          <t>Color</t>
        </is>
      </c>
      <c r="M1309" s="15" t="inlineStr">
        <is>
          <t>Natural White</t>
        </is>
      </c>
      <c r="N1309" s="15" t="inlineStr">
        <is>
          <t>Shape</t>
        </is>
      </c>
      <c r="O1309" s="15" t="inlineStr">
        <is>
          <t>Round</t>
        </is>
      </c>
      <c r="P1309" s="15" t="n"/>
      <c r="Q1309" s="15" t="inlineStr">
        <is>
          <t>Manufacturer's Warranty</t>
        </is>
      </c>
      <c r="R1309" s="15" t="n"/>
      <c r="S1309" s="15" t="n"/>
      <c r="T1309" s="15" t="n"/>
      <c r="U1309" s="15" t="n"/>
      <c r="V1309" s="15" t="n"/>
      <c r="W1309" s="15" t="n"/>
      <c r="X1309" s="15" t="n"/>
      <c r="Y1309" s="15" t="inlineStr">
        <is>
          <t>SL_PS_LEDPC_RND_1, SL_PS_LEDPC_RND_2</t>
        </is>
      </c>
      <c r="Z1309" s="15" t="n">
        <v>9405</v>
      </c>
      <c r="AA1309" s="15" t="n"/>
      <c r="AB1309" s="15" t="n"/>
      <c r="AC1309" s="15" t="n"/>
      <c r="AD1309" s="15" t="n"/>
      <c r="AE1309" s="15" t="n">
        <v>900</v>
      </c>
      <c r="AF1309" s="16" t="n">
        <v>0.6</v>
      </c>
      <c r="AG1309" s="15">
        <f>ROUND(AE1309-(AE1309*AF1309),2)</f>
        <v/>
      </c>
      <c r="AH1309" s="16" t="n">
        <v>0.18</v>
      </c>
      <c r="AI1309" s="15">
        <f>ROUND(AG1309+(AG1309*AH1309),2)</f>
        <v/>
      </c>
      <c r="AJ1309" s="16" t="n">
        <v>0.2</v>
      </c>
      <c r="AK1309" s="15">
        <f>ROUND(AI1309*AJ1309,2)</f>
        <v/>
      </c>
      <c r="AL1309" s="15">
        <f>AI1309+AK1309</f>
        <v/>
      </c>
      <c r="AM1309" s="15">
        <f>AE1309-AL1309</f>
        <v/>
      </c>
      <c r="AN1309" s="16">
        <f>AM1309/AE1309</f>
        <v/>
      </c>
      <c r="AO1309" s="15" t="inlineStr">
        <is>
          <t>60 mins</t>
        </is>
      </c>
      <c r="AP1309" s="15" t="n"/>
      <c r="AQ1309" s="15" t="inlineStr">
        <is>
          <t>Weight</t>
        </is>
      </c>
      <c r="AR1309" s="15" t="n"/>
      <c r="AS1309" s="15" t="n"/>
      <c r="AT1309" s="3" t="inlineStr">
        <is>
          <t>On Demand</t>
        </is>
      </c>
    </row>
    <row r="1310" ht="15.75" customHeight="1">
      <c r="A1310" s="15" t="inlineStr">
        <is>
          <t>PROD_0244</t>
        </is>
      </c>
      <c r="B1310" s="15" t="inlineStr">
        <is>
          <t>VAR_15</t>
        </is>
      </c>
      <c r="C1310" s="15" t="inlineStr">
        <is>
          <t>Electrical Material</t>
        </is>
      </c>
      <c r="D1310" s="15" t="inlineStr">
        <is>
          <t>Surface Light</t>
        </is>
      </c>
      <c r="E1310" s="15" t="inlineStr">
        <is>
          <t>Panasonic</t>
        </is>
      </c>
      <c r="F1310" s="15" t="inlineStr">
        <is>
          <t>LED PC Panel Light</t>
        </is>
      </c>
      <c r="G1310" s="15" t="n"/>
      <c r="H1310" s="15" t="inlineStr">
        <is>
          <t>Wattage</t>
        </is>
      </c>
      <c r="I1310" s="15" t="inlineStr">
        <is>
          <t>20 W</t>
        </is>
      </c>
      <c r="J1310" s="15" t="n"/>
      <c r="K1310" s="15" t="n"/>
      <c r="L1310" s="15" t="inlineStr">
        <is>
          <t>Color</t>
        </is>
      </c>
      <c r="M1310" s="15" t="inlineStr">
        <is>
          <t>Cool White</t>
        </is>
      </c>
      <c r="N1310" s="15" t="inlineStr">
        <is>
          <t>Shape</t>
        </is>
      </c>
      <c r="O1310" s="15" t="inlineStr">
        <is>
          <t>Round</t>
        </is>
      </c>
      <c r="P1310" s="15" t="n"/>
      <c r="Q1310" s="15" t="inlineStr">
        <is>
          <t>Manufacturer's Warranty</t>
        </is>
      </c>
      <c r="R1310" s="15" t="n"/>
      <c r="S1310" s="15" t="n"/>
      <c r="T1310" s="15" t="n"/>
      <c r="U1310" s="15" t="n"/>
      <c r="V1310" s="15" t="n"/>
      <c r="W1310" s="15" t="n"/>
      <c r="X1310" s="15" t="n"/>
      <c r="Y1310" s="15" t="inlineStr">
        <is>
          <t>SL_PS_LEDPC_RND_1, SL_PS_LEDPC_RND_2</t>
        </is>
      </c>
      <c r="Z1310" s="15" t="n">
        <v>9405</v>
      </c>
      <c r="AA1310" s="15" t="n"/>
      <c r="AB1310" s="15" t="n"/>
      <c r="AC1310" s="15" t="n"/>
      <c r="AD1310" s="15" t="n"/>
      <c r="AE1310" s="15" t="n">
        <v>900</v>
      </c>
      <c r="AF1310" s="16" t="n">
        <v>0.6</v>
      </c>
      <c r="AG1310" s="15">
        <f>ROUND(AE1310-(AE1310*AF1310),2)</f>
        <v/>
      </c>
      <c r="AH1310" s="16" t="n">
        <v>0.18</v>
      </c>
      <c r="AI1310" s="15">
        <f>ROUND(AG1310+(AG1310*AH1310),2)</f>
        <v/>
      </c>
      <c r="AJ1310" s="16" t="n">
        <v>0.2</v>
      </c>
      <c r="AK1310" s="15">
        <f>ROUND(AI1310*AJ1310,2)</f>
        <v/>
      </c>
      <c r="AL1310" s="15">
        <f>AI1310+AK1310</f>
        <v/>
      </c>
      <c r="AM1310" s="15">
        <f>AE1310-AL1310</f>
        <v/>
      </c>
      <c r="AN1310" s="16">
        <f>AM1310/AE1310</f>
        <v/>
      </c>
      <c r="AO1310" s="15" t="inlineStr">
        <is>
          <t>60 mins</t>
        </is>
      </c>
      <c r="AP1310" s="15" t="n"/>
      <c r="AQ1310" s="15" t="inlineStr">
        <is>
          <t>Weight</t>
        </is>
      </c>
      <c r="AR1310" s="15" t="n"/>
      <c r="AS1310" s="15" t="n"/>
      <c r="AT1310" s="3" t="inlineStr">
        <is>
          <t>On Demand</t>
        </is>
      </c>
    </row>
    <row r="1311" ht="15.75" customHeight="1">
      <c r="A1311" s="15" t="inlineStr">
        <is>
          <t>PROD_0244</t>
        </is>
      </c>
      <c r="B1311" s="15" t="inlineStr">
        <is>
          <t>VAR_16</t>
        </is>
      </c>
      <c r="C1311" s="15" t="inlineStr">
        <is>
          <t>Electrical Material</t>
        </is>
      </c>
      <c r="D1311" s="15" t="inlineStr">
        <is>
          <t>Surface Light</t>
        </is>
      </c>
      <c r="E1311" s="15" t="inlineStr">
        <is>
          <t>Panasonic</t>
        </is>
      </c>
      <c r="F1311" s="15" t="inlineStr">
        <is>
          <t>LED PC Panel Light</t>
        </is>
      </c>
      <c r="G1311" s="15" t="n"/>
      <c r="H1311" s="15" t="inlineStr">
        <is>
          <t>Wattage</t>
        </is>
      </c>
      <c r="I1311" s="15" t="inlineStr">
        <is>
          <t>6 W</t>
        </is>
      </c>
      <c r="J1311" s="15" t="n"/>
      <c r="K1311" s="15" t="n"/>
      <c r="L1311" s="15" t="inlineStr">
        <is>
          <t>Color</t>
        </is>
      </c>
      <c r="M1311" s="15" t="inlineStr">
        <is>
          <t>Warm White</t>
        </is>
      </c>
      <c r="N1311" s="15" t="inlineStr">
        <is>
          <t>Shape</t>
        </is>
      </c>
      <c r="O1311" s="15" t="inlineStr">
        <is>
          <t>Square</t>
        </is>
      </c>
      <c r="P1311" s="15" t="n"/>
      <c r="Q1311" s="15" t="inlineStr">
        <is>
          <t>Manufacturer's Warranty</t>
        </is>
      </c>
      <c r="R1311" s="15" t="n"/>
      <c r="S1311" s="15" t="n"/>
      <c r="T1311" s="15" t="n"/>
      <c r="U1311" s="15" t="n"/>
      <c r="V1311" s="15" t="n"/>
      <c r="W1311" s="15" t="n"/>
      <c r="X1311" s="15" t="n"/>
      <c r="Y1311" s="15" t="inlineStr">
        <is>
          <t>SL_PS_LEDPC_SQ_1, SL_PS_LEDPC_SQ_2</t>
        </is>
      </c>
      <c r="Z1311" s="15" t="n">
        <v>9405</v>
      </c>
      <c r="AA1311" s="15" t="n"/>
      <c r="AB1311" s="15" t="n"/>
      <c r="AC1311" s="15" t="n"/>
      <c r="AD1311" s="15" t="n"/>
      <c r="AE1311" s="15" t="n">
        <v>400</v>
      </c>
      <c r="AF1311" s="16" t="n">
        <v>0.62</v>
      </c>
      <c r="AG1311" s="15">
        <f>ROUND(AE1311-(AE1311*AF1311),2)</f>
        <v/>
      </c>
      <c r="AH1311" s="16" t="n">
        <v>0.18</v>
      </c>
      <c r="AI1311" s="15">
        <f>ROUND(AG1311+(AG1311*AH1311),2)</f>
        <v/>
      </c>
      <c r="AJ1311" s="16" t="n">
        <v>0.2</v>
      </c>
      <c r="AK1311" s="15">
        <f>ROUND(AI1311*AJ1311,2)</f>
        <v/>
      </c>
      <c r="AL1311" s="15">
        <f>AI1311+AK1311</f>
        <v/>
      </c>
      <c r="AM1311" s="15">
        <f>AE1311-AL1311</f>
        <v/>
      </c>
      <c r="AN1311" s="16">
        <f>AM1311/AE1311</f>
        <v/>
      </c>
      <c r="AO1311" s="15" t="inlineStr">
        <is>
          <t>60 mins</t>
        </is>
      </c>
      <c r="AP1311" s="15" t="n"/>
      <c r="AQ1311" s="15" t="inlineStr">
        <is>
          <t>Weight</t>
        </is>
      </c>
      <c r="AR1311" s="15" t="n"/>
      <c r="AS1311" s="15" t="n"/>
      <c r="AT1311" s="3" t="inlineStr">
        <is>
          <t>On Demand</t>
        </is>
      </c>
    </row>
    <row r="1312" ht="15.75" customHeight="1">
      <c r="A1312" s="15" t="inlineStr">
        <is>
          <t>PROD_0244</t>
        </is>
      </c>
      <c r="B1312" s="15" t="inlineStr">
        <is>
          <t>VAR_17</t>
        </is>
      </c>
      <c r="C1312" s="15" t="inlineStr">
        <is>
          <t>Electrical Material</t>
        </is>
      </c>
      <c r="D1312" s="15" t="inlineStr">
        <is>
          <t>Surface Light</t>
        </is>
      </c>
      <c r="E1312" s="15" t="inlineStr">
        <is>
          <t>Panasonic</t>
        </is>
      </c>
      <c r="F1312" s="15" t="inlineStr">
        <is>
          <t>LED PC Panel Light</t>
        </is>
      </c>
      <c r="G1312" s="15" t="n"/>
      <c r="H1312" s="15" t="inlineStr">
        <is>
          <t>Wattage</t>
        </is>
      </c>
      <c r="I1312" s="15" t="inlineStr">
        <is>
          <t>6 W</t>
        </is>
      </c>
      <c r="J1312" s="15" t="n"/>
      <c r="K1312" s="15" t="n"/>
      <c r="L1312" s="15" t="inlineStr">
        <is>
          <t>Color</t>
        </is>
      </c>
      <c r="M1312" s="15" t="inlineStr">
        <is>
          <t>Natural White</t>
        </is>
      </c>
      <c r="N1312" s="15" t="inlineStr">
        <is>
          <t>Shape</t>
        </is>
      </c>
      <c r="O1312" s="15" t="inlineStr">
        <is>
          <t>Square</t>
        </is>
      </c>
      <c r="P1312" s="15" t="n"/>
      <c r="Q1312" s="15" t="inlineStr">
        <is>
          <t>Manufacturer's Warranty</t>
        </is>
      </c>
      <c r="R1312" s="15" t="n"/>
      <c r="S1312" s="15" t="n"/>
      <c r="T1312" s="15" t="n"/>
      <c r="U1312" s="15" t="n"/>
      <c r="V1312" s="15" t="n"/>
      <c r="W1312" s="15" t="n"/>
      <c r="X1312" s="15" t="n"/>
      <c r="Y1312" s="15" t="inlineStr">
        <is>
          <t>SL_PS_LEDPC_SQ_1, SL_PS_LEDPC_SQ_2</t>
        </is>
      </c>
      <c r="Z1312" s="15" t="n">
        <v>9405</v>
      </c>
      <c r="AA1312" s="15" t="n"/>
      <c r="AB1312" s="15" t="n"/>
      <c r="AC1312" s="15" t="n"/>
      <c r="AD1312" s="15" t="n"/>
      <c r="AE1312" s="15" t="n">
        <v>400</v>
      </c>
      <c r="AF1312" s="16" t="n">
        <v>0.62</v>
      </c>
      <c r="AG1312" s="15">
        <f>ROUND(AE1312-(AE1312*AF1312),2)</f>
        <v/>
      </c>
      <c r="AH1312" s="16" t="n">
        <v>0.18</v>
      </c>
      <c r="AI1312" s="15">
        <f>ROUND(AG1312+(AG1312*AH1312),2)</f>
        <v/>
      </c>
      <c r="AJ1312" s="16" t="n">
        <v>0.2</v>
      </c>
      <c r="AK1312" s="15">
        <f>ROUND(AI1312*AJ1312,2)</f>
        <v/>
      </c>
      <c r="AL1312" s="15">
        <f>AI1312+AK1312</f>
        <v/>
      </c>
      <c r="AM1312" s="15">
        <f>AE1312-AL1312</f>
        <v/>
      </c>
      <c r="AN1312" s="16">
        <f>AM1312/AE1312</f>
        <v/>
      </c>
      <c r="AO1312" s="15" t="inlineStr">
        <is>
          <t>60 mins</t>
        </is>
      </c>
      <c r="AP1312" s="15" t="n"/>
      <c r="AQ1312" s="15" t="inlineStr">
        <is>
          <t>Weight</t>
        </is>
      </c>
      <c r="AR1312" s="15" t="n"/>
      <c r="AS1312" s="15" t="n"/>
      <c r="AT1312" s="3" t="inlineStr">
        <is>
          <t>On Demand</t>
        </is>
      </c>
    </row>
    <row r="1313" ht="15.75" customHeight="1">
      <c r="A1313" s="15" t="inlineStr">
        <is>
          <t>PROD_0244</t>
        </is>
      </c>
      <c r="B1313" s="15" t="inlineStr">
        <is>
          <t>VAR_18</t>
        </is>
      </c>
      <c r="C1313" s="15" t="inlineStr">
        <is>
          <t>Electrical Material</t>
        </is>
      </c>
      <c r="D1313" s="15" t="inlineStr">
        <is>
          <t>Surface Light</t>
        </is>
      </c>
      <c r="E1313" s="15" t="inlineStr">
        <is>
          <t>Panasonic</t>
        </is>
      </c>
      <c r="F1313" s="15" t="inlineStr">
        <is>
          <t>LED PC Panel Light</t>
        </is>
      </c>
      <c r="G1313" s="15" t="n"/>
      <c r="H1313" s="15" t="inlineStr">
        <is>
          <t>Wattage</t>
        </is>
      </c>
      <c r="I1313" s="15" t="inlineStr">
        <is>
          <t>6 W</t>
        </is>
      </c>
      <c r="J1313" s="15" t="n"/>
      <c r="K1313" s="15" t="n"/>
      <c r="L1313" s="15" t="inlineStr">
        <is>
          <t>Color</t>
        </is>
      </c>
      <c r="M1313" s="15" t="inlineStr">
        <is>
          <t>Cool White</t>
        </is>
      </c>
      <c r="N1313" s="15" t="inlineStr">
        <is>
          <t>Shape</t>
        </is>
      </c>
      <c r="O1313" s="15" t="inlineStr">
        <is>
          <t>Square</t>
        </is>
      </c>
      <c r="P1313" s="15" t="n"/>
      <c r="Q1313" s="15" t="inlineStr">
        <is>
          <t>Manufacturer's Warranty</t>
        </is>
      </c>
      <c r="R1313" s="15" t="n"/>
      <c r="S1313" s="15" t="n"/>
      <c r="T1313" s="15" t="n"/>
      <c r="U1313" s="15" t="n"/>
      <c r="V1313" s="15" t="n"/>
      <c r="W1313" s="15" t="n"/>
      <c r="X1313" s="15" t="n"/>
      <c r="Y1313" s="15" t="inlineStr">
        <is>
          <t>SL_PS_LEDPC_SQ_1, SL_PS_LEDPC_SQ_2</t>
        </is>
      </c>
      <c r="Z1313" s="15" t="n">
        <v>9405</v>
      </c>
      <c r="AA1313" s="15" t="n"/>
      <c r="AB1313" s="15" t="n"/>
      <c r="AC1313" s="15" t="n"/>
      <c r="AD1313" s="15" t="n"/>
      <c r="AE1313" s="15" t="n">
        <v>400</v>
      </c>
      <c r="AF1313" s="16" t="n">
        <v>0.62</v>
      </c>
      <c r="AG1313" s="15">
        <f>ROUND(AE1313-(AE1313*AF1313),2)</f>
        <v/>
      </c>
      <c r="AH1313" s="16" t="n">
        <v>0.18</v>
      </c>
      <c r="AI1313" s="15">
        <f>ROUND(AG1313+(AG1313*AH1313),2)</f>
        <v/>
      </c>
      <c r="AJ1313" s="16" t="n">
        <v>0.2</v>
      </c>
      <c r="AK1313" s="15">
        <f>ROUND(AI1313*AJ1313,2)</f>
        <v/>
      </c>
      <c r="AL1313" s="15">
        <f>AI1313+AK1313</f>
        <v/>
      </c>
      <c r="AM1313" s="15">
        <f>AE1313-AL1313</f>
        <v/>
      </c>
      <c r="AN1313" s="16">
        <f>AM1313/AE1313</f>
        <v/>
      </c>
      <c r="AO1313" s="15" t="inlineStr">
        <is>
          <t>60 mins</t>
        </is>
      </c>
      <c r="AP1313" s="15" t="n"/>
      <c r="AQ1313" s="15" t="inlineStr">
        <is>
          <t>Weight</t>
        </is>
      </c>
      <c r="AR1313" s="15" t="n"/>
      <c r="AS1313" s="15" t="n"/>
      <c r="AT1313" s="3" t="inlineStr">
        <is>
          <t>On Demand</t>
        </is>
      </c>
    </row>
    <row r="1314" ht="15.75" customHeight="1">
      <c r="A1314" s="15" t="inlineStr">
        <is>
          <t>PROD_0244</t>
        </is>
      </c>
      <c r="B1314" s="15" t="inlineStr">
        <is>
          <t>VAR_19</t>
        </is>
      </c>
      <c r="C1314" s="15" t="inlineStr">
        <is>
          <t>Electrical Material</t>
        </is>
      </c>
      <c r="D1314" s="15" t="inlineStr">
        <is>
          <t>Surface Light</t>
        </is>
      </c>
      <c r="E1314" s="15" t="inlineStr">
        <is>
          <t>Panasonic</t>
        </is>
      </c>
      <c r="F1314" s="15" t="inlineStr">
        <is>
          <t>LED PC Panel Light</t>
        </is>
      </c>
      <c r="G1314" s="15" t="n"/>
      <c r="H1314" s="15" t="inlineStr">
        <is>
          <t>Wattage</t>
        </is>
      </c>
      <c r="I1314" s="15" t="inlineStr">
        <is>
          <t>10 W</t>
        </is>
      </c>
      <c r="J1314" s="15" t="n"/>
      <c r="K1314" s="15" t="n"/>
      <c r="L1314" s="15" t="inlineStr">
        <is>
          <t>Color</t>
        </is>
      </c>
      <c r="M1314" s="15" t="inlineStr">
        <is>
          <t>Warm White</t>
        </is>
      </c>
      <c r="N1314" s="15" t="inlineStr">
        <is>
          <t>Shape</t>
        </is>
      </c>
      <c r="O1314" s="15" t="inlineStr">
        <is>
          <t>Square</t>
        </is>
      </c>
      <c r="P1314" s="15" t="n"/>
      <c r="Q1314" s="15" t="inlineStr">
        <is>
          <t>Manufacturer's Warranty</t>
        </is>
      </c>
      <c r="R1314" s="15" t="n"/>
      <c r="S1314" s="15" t="n"/>
      <c r="T1314" s="15" t="n"/>
      <c r="U1314" s="15" t="n"/>
      <c r="V1314" s="15" t="n"/>
      <c r="W1314" s="15" t="n"/>
      <c r="X1314" s="15" t="n"/>
      <c r="Y1314" s="15" t="inlineStr">
        <is>
          <t>SL_PS_LEDPC_SQ_1, SL_PS_LEDPC_SQ_2</t>
        </is>
      </c>
      <c r="Z1314" s="15" t="n">
        <v>9405</v>
      </c>
      <c r="AA1314" s="15" t="n"/>
      <c r="AB1314" s="15" t="n"/>
      <c r="AC1314" s="15" t="n"/>
      <c r="AD1314" s="15" t="n"/>
      <c r="AE1314" s="15" t="n">
        <v>600</v>
      </c>
      <c r="AF1314" s="16" t="n">
        <v>0.62</v>
      </c>
      <c r="AG1314" s="15">
        <f>ROUND(AE1314-(AE1314*AF1314),2)</f>
        <v/>
      </c>
      <c r="AH1314" s="16" t="n">
        <v>0.18</v>
      </c>
      <c r="AI1314" s="15">
        <f>ROUND(AG1314+(AG1314*AH1314),2)</f>
        <v/>
      </c>
      <c r="AJ1314" s="16" t="n">
        <v>0.2</v>
      </c>
      <c r="AK1314" s="15">
        <f>ROUND(AI1314*AJ1314,2)</f>
        <v/>
      </c>
      <c r="AL1314" s="15">
        <f>AI1314+AK1314</f>
        <v/>
      </c>
      <c r="AM1314" s="15">
        <f>AE1314-AL1314</f>
        <v/>
      </c>
      <c r="AN1314" s="16">
        <f>AM1314/AE1314</f>
        <v/>
      </c>
      <c r="AO1314" s="15" t="inlineStr">
        <is>
          <t>60 mins</t>
        </is>
      </c>
      <c r="AP1314" s="15" t="n"/>
      <c r="AQ1314" s="15" t="inlineStr">
        <is>
          <t>Weight</t>
        </is>
      </c>
      <c r="AR1314" s="15" t="n"/>
      <c r="AS1314" s="15" t="n"/>
      <c r="AT1314" s="3" t="inlineStr">
        <is>
          <t>On Demand</t>
        </is>
      </c>
    </row>
    <row r="1315" ht="15.75" customHeight="1">
      <c r="A1315" s="15" t="inlineStr">
        <is>
          <t>PROD_0244</t>
        </is>
      </c>
      <c r="B1315" s="15" t="inlineStr">
        <is>
          <t>VAR_20</t>
        </is>
      </c>
      <c r="C1315" s="15" t="inlineStr">
        <is>
          <t>Electrical Material</t>
        </is>
      </c>
      <c r="D1315" s="15" t="inlineStr">
        <is>
          <t>Surface Light</t>
        </is>
      </c>
      <c r="E1315" s="15" t="inlineStr">
        <is>
          <t>Panasonic</t>
        </is>
      </c>
      <c r="F1315" s="15" t="inlineStr">
        <is>
          <t>LED PC Panel Light</t>
        </is>
      </c>
      <c r="G1315" s="15" t="n"/>
      <c r="H1315" s="15" t="inlineStr">
        <is>
          <t>Wattage</t>
        </is>
      </c>
      <c r="I1315" s="15" t="inlineStr">
        <is>
          <t>10 W</t>
        </is>
      </c>
      <c r="J1315" s="15" t="n"/>
      <c r="K1315" s="15" t="n"/>
      <c r="L1315" s="15" t="inlineStr">
        <is>
          <t>Color</t>
        </is>
      </c>
      <c r="M1315" s="15" t="inlineStr">
        <is>
          <t>Natural White</t>
        </is>
      </c>
      <c r="N1315" s="15" t="inlineStr">
        <is>
          <t>Shape</t>
        </is>
      </c>
      <c r="O1315" s="15" t="inlineStr">
        <is>
          <t>Square</t>
        </is>
      </c>
      <c r="P1315" s="15" t="n"/>
      <c r="Q1315" s="15" t="inlineStr">
        <is>
          <t>Manufacturer's Warranty</t>
        </is>
      </c>
      <c r="R1315" s="15" t="n"/>
      <c r="S1315" s="15" t="n"/>
      <c r="T1315" s="15" t="n"/>
      <c r="U1315" s="15" t="n"/>
      <c r="V1315" s="15" t="n"/>
      <c r="W1315" s="15" t="n"/>
      <c r="X1315" s="15" t="n"/>
      <c r="Y1315" s="15" t="inlineStr">
        <is>
          <t>SL_PS_LEDPC_SQ_1, SL_PS_LEDPC_SQ_2</t>
        </is>
      </c>
      <c r="Z1315" s="15" t="n">
        <v>9405</v>
      </c>
      <c r="AA1315" s="15" t="n"/>
      <c r="AB1315" s="15" t="n"/>
      <c r="AC1315" s="15" t="n"/>
      <c r="AD1315" s="15" t="n"/>
      <c r="AE1315" s="15" t="n">
        <v>600</v>
      </c>
      <c r="AF1315" s="16" t="n">
        <v>0.62</v>
      </c>
      <c r="AG1315" s="15">
        <f>ROUND(AE1315-(AE1315*AF1315),2)</f>
        <v/>
      </c>
      <c r="AH1315" s="16" t="n">
        <v>0.18</v>
      </c>
      <c r="AI1315" s="15">
        <f>ROUND(AG1315+(AG1315*AH1315),2)</f>
        <v/>
      </c>
      <c r="AJ1315" s="16" t="n">
        <v>0.2</v>
      </c>
      <c r="AK1315" s="15">
        <f>ROUND(AI1315*AJ1315,2)</f>
        <v/>
      </c>
      <c r="AL1315" s="15">
        <f>AI1315+AK1315</f>
        <v/>
      </c>
      <c r="AM1315" s="15">
        <f>AE1315-AL1315</f>
        <v/>
      </c>
      <c r="AN1315" s="16">
        <f>AM1315/AE1315</f>
        <v/>
      </c>
      <c r="AO1315" s="15" t="inlineStr">
        <is>
          <t>60 mins</t>
        </is>
      </c>
      <c r="AP1315" s="15" t="n"/>
      <c r="AQ1315" s="15" t="inlineStr">
        <is>
          <t>Weight</t>
        </is>
      </c>
      <c r="AR1315" s="15" t="n"/>
      <c r="AS1315" s="15" t="n"/>
      <c r="AT1315" s="3" t="inlineStr">
        <is>
          <t>On Demand</t>
        </is>
      </c>
    </row>
    <row r="1316" ht="15.75" customHeight="1">
      <c r="A1316" s="15" t="inlineStr">
        <is>
          <t>PROD_0244</t>
        </is>
      </c>
      <c r="B1316" s="15" t="inlineStr">
        <is>
          <t>VAR_21</t>
        </is>
      </c>
      <c r="C1316" s="15" t="inlineStr">
        <is>
          <t>Electrical Material</t>
        </is>
      </c>
      <c r="D1316" s="15" t="inlineStr">
        <is>
          <t>Surface Light</t>
        </is>
      </c>
      <c r="E1316" s="15" t="inlineStr">
        <is>
          <t>Panasonic</t>
        </is>
      </c>
      <c r="F1316" s="15" t="inlineStr">
        <is>
          <t>LED PC Panel Light</t>
        </is>
      </c>
      <c r="G1316" s="15" t="n"/>
      <c r="H1316" s="15" t="inlineStr">
        <is>
          <t>Wattage</t>
        </is>
      </c>
      <c r="I1316" s="15" t="inlineStr">
        <is>
          <t>10 W</t>
        </is>
      </c>
      <c r="J1316" s="15" t="n"/>
      <c r="K1316" s="15" t="n"/>
      <c r="L1316" s="15" t="inlineStr">
        <is>
          <t>Color</t>
        </is>
      </c>
      <c r="M1316" s="15" t="inlineStr">
        <is>
          <t>Cool White</t>
        </is>
      </c>
      <c r="N1316" s="15" t="inlineStr">
        <is>
          <t>Shape</t>
        </is>
      </c>
      <c r="O1316" s="15" t="inlineStr">
        <is>
          <t>Square</t>
        </is>
      </c>
      <c r="P1316" s="15" t="n"/>
      <c r="Q1316" s="15" t="inlineStr">
        <is>
          <t>Manufacturer's Warranty</t>
        </is>
      </c>
      <c r="R1316" s="15" t="n"/>
      <c r="S1316" s="15" t="n"/>
      <c r="T1316" s="15" t="n"/>
      <c r="U1316" s="15" t="n"/>
      <c r="V1316" s="15" t="n"/>
      <c r="W1316" s="15" t="n"/>
      <c r="X1316" s="15" t="n"/>
      <c r="Y1316" s="15" t="inlineStr">
        <is>
          <t>SL_PS_LEDPC_SQ_1, SL_PS_LEDPC_SQ_2</t>
        </is>
      </c>
      <c r="Z1316" s="15" t="n">
        <v>9405</v>
      </c>
      <c r="AA1316" s="15" t="n"/>
      <c r="AB1316" s="15" t="n"/>
      <c r="AC1316" s="15" t="n"/>
      <c r="AD1316" s="15" t="n"/>
      <c r="AE1316" s="15" t="n">
        <v>600</v>
      </c>
      <c r="AF1316" s="16" t="n">
        <v>0.62</v>
      </c>
      <c r="AG1316" s="15">
        <f>ROUND(AE1316-(AE1316*AF1316),2)</f>
        <v/>
      </c>
      <c r="AH1316" s="16" t="n">
        <v>0.18</v>
      </c>
      <c r="AI1316" s="15">
        <f>ROUND(AG1316+(AG1316*AH1316),2)</f>
        <v/>
      </c>
      <c r="AJ1316" s="16" t="n">
        <v>0.2</v>
      </c>
      <c r="AK1316" s="15">
        <f>ROUND(AI1316*AJ1316,2)</f>
        <v/>
      </c>
      <c r="AL1316" s="15">
        <f>AI1316+AK1316</f>
        <v/>
      </c>
      <c r="AM1316" s="15">
        <f>AE1316-AL1316</f>
        <v/>
      </c>
      <c r="AN1316" s="16">
        <f>AM1316/AE1316</f>
        <v/>
      </c>
      <c r="AO1316" s="15" t="inlineStr">
        <is>
          <t>60 mins</t>
        </is>
      </c>
      <c r="AP1316" s="15" t="n"/>
      <c r="AQ1316" s="15" t="inlineStr">
        <is>
          <t>Weight</t>
        </is>
      </c>
      <c r="AR1316" s="15" t="n"/>
      <c r="AS1316" s="15" t="n"/>
      <c r="AT1316" s="3" t="inlineStr">
        <is>
          <t>On Demand</t>
        </is>
      </c>
    </row>
    <row r="1317" ht="15.75" customHeight="1">
      <c r="A1317" s="15" t="inlineStr">
        <is>
          <t>PROD_0244</t>
        </is>
      </c>
      <c r="B1317" s="15" t="inlineStr">
        <is>
          <t>VAR_22</t>
        </is>
      </c>
      <c r="C1317" s="15" t="inlineStr">
        <is>
          <t>Electrical Material</t>
        </is>
      </c>
      <c r="D1317" s="15" t="inlineStr">
        <is>
          <t>Surface Light</t>
        </is>
      </c>
      <c r="E1317" s="15" t="inlineStr">
        <is>
          <t>Panasonic</t>
        </is>
      </c>
      <c r="F1317" s="15" t="inlineStr">
        <is>
          <t>LED PC Panel Light</t>
        </is>
      </c>
      <c r="G1317" s="15" t="n"/>
      <c r="H1317" s="15" t="inlineStr">
        <is>
          <t>Wattage</t>
        </is>
      </c>
      <c r="I1317" s="15" t="inlineStr">
        <is>
          <t>15 W</t>
        </is>
      </c>
      <c r="J1317" s="15" t="n"/>
      <c r="K1317" s="15" t="n"/>
      <c r="L1317" s="15" t="inlineStr">
        <is>
          <t>Color</t>
        </is>
      </c>
      <c r="M1317" s="15" t="inlineStr">
        <is>
          <t>Warm White</t>
        </is>
      </c>
      <c r="N1317" s="15" t="inlineStr">
        <is>
          <t>Shape</t>
        </is>
      </c>
      <c r="O1317" s="15" t="inlineStr">
        <is>
          <t>Square</t>
        </is>
      </c>
      <c r="P1317" s="15" t="n"/>
      <c r="Q1317" s="15" t="inlineStr">
        <is>
          <t>Manufacturer's Warranty</t>
        </is>
      </c>
      <c r="R1317" s="15" t="n"/>
      <c r="S1317" s="15" t="n"/>
      <c r="T1317" s="15" t="n"/>
      <c r="U1317" s="15" t="n"/>
      <c r="V1317" s="15" t="n"/>
      <c r="W1317" s="15" t="n"/>
      <c r="X1317" s="15" t="n"/>
      <c r="Y1317" s="15" t="inlineStr">
        <is>
          <t>SL_PS_LEDPC_SQ_1, SL_PS_LEDPC_SQ_2</t>
        </is>
      </c>
      <c r="Z1317" s="15" t="n">
        <v>9405</v>
      </c>
      <c r="AA1317" s="15" t="n"/>
      <c r="AB1317" s="15" t="n"/>
      <c r="AC1317" s="15" t="n"/>
      <c r="AD1317" s="15" t="n"/>
      <c r="AE1317" s="15" t="n">
        <v>950</v>
      </c>
      <c r="AF1317" s="16" t="n">
        <v>0.6</v>
      </c>
      <c r="AG1317" s="15">
        <f>ROUND(AE1317-(AE1317*AF1317),2)</f>
        <v/>
      </c>
      <c r="AH1317" s="16" t="n">
        <v>0.18</v>
      </c>
      <c r="AI1317" s="15">
        <f>ROUND(AG1317+(AG1317*AH1317),2)</f>
        <v/>
      </c>
      <c r="AJ1317" s="16" t="n">
        <v>0.2</v>
      </c>
      <c r="AK1317" s="15">
        <f>ROUND(AI1317*AJ1317,2)</f>
        <v/>
      </c>
      <c r="AL1317" s="15">
        <f>AI1317+AK1317</f>
        <v/>
      </c>
      <c r="AM1317" s="15">
        <f>AE1317-AL1317</f>
        <v/>
      </c>
      <c r="AN1317" s="16">
        <f>AM1317/AE1317</f>
        <v/>
      </c>
      <c r="AO1317" s="15" t="inlineStr">
        <is>
          <t>60 mins</t>
        </is>
      </c>
      <c r="AP1317" s="15" t="n"/>
      <c r="AQ1317" s="15" t="inlineStr">
        <is>
          <t>Weight</t>
        </is>
      </c>
      <c r="AR1317" s="15" t="n"/>
      <c r="AS1317" s="15" t="n"/>
      <c r="AT1317" s="3" t="inlineStr">
        <is>
          <t>On Demand</t>
        </is>
      </c>
    </row>
    <row r="1318" ht="15.75" customHeight="1">
      <c r="A1318" s="15" t="inlineStr">
        <is>
          <t>PROD_0244</t>
        </is>
      </c>
      <c r="B1318" s="15" t="inlineStr">
        <is>
          <t>VAR_23</t>
        </is>
      </c>
      <c r="C1318" s="15" t="inlineStr">
        <is>
          <t>Electrical Material</t>
        </is>
      </c>
      <c r="D1318" s="15" t="inlineStr">
        <is>
          <t>Surface Light</t>
        </is>
      </c>
      <c r="E1318" s="15" t="inlineStr">
        <is>
          <t>Panasonic</t>
        </is>
      </c>
      <c r="F1318" s="15" t="inlineStr">
        <is>
          <t>LED PC Panel Light</t>
        </is>
      </c>
      <c r="G1318" s="15" t="n"/>
      <c r="H1318" s="15" t="inlineStr">
        <is>
          <t>Wattage</t>
        </is>
      </c>
      <c r="I1318" s="15" t="inlineStr">
        <is>
          <t>15 W</t>
        </is>
      </c>
      <c r="J1318" s="15" t="n"/>
      <c r="K1318" s="15" t="n"/>
      <c r="L1318" s="15" t="inlineStr">
        <is>
          <t>Color</t>
        </is>
      </c>
      <c r="M1318" s="15" t="inlineStr">
        <is>
          <t>Natural White</t>
        </is>
      </c>
      <c r="N1318" s="15" t="inlineStr">
        <is>
          <t>Shape</t>
        </is>
      </c>
      <c r="O1318" s="15" t="inlineStr">
        <is>
          <t>Square</t>
        </is>
      </c>
      <c r="P1318" s="15" t="n"/>
      <c r="Q1318" s="15" t="inlineStr">
        <is>
          <t>Manufacturer's Warranty</t>
        </is>
      </c>
      <c r="R1318" s="15" t="n"/>
      <c r="S1318" s="15" t="n"/>
      <c r="T1318" s="15" t="n"/>
      <c r="U1318" s="15" t="n"/>
      <c r="V1318" s="15" t="n"/>
      <c r="W1318" s="15" t="n"/>
      <c r="X1318" s="15" t="n"/>
      <c r="Y1318" s="15" t="inlineStr">
        <is>
          <t>SL_PS_LEDPC_SQ_1, SL_PS_LEDPC_SQ_2</t>
        </is>
      </c>
      <c r="Z1318" s="15" t="n">
        <v>9405</v>
      </c>
      <c r="AA1318" s="15" t="n"/>
      <c r="AB1318" s="15" t="n"/>
      <c r="AC1318" s="15" t="n"/>
      <c r="AD1318" s="15" t="n"/>
      <c r="AE1318" s="15" t="n">
        <v>950</v>
      </c>
      <c r="AF1318" s="16" t="n">
        <v>0.6</v>
      </c>
      <c r="AG1318" s="15">
        <f>ROUND(AE1318-(AE1318*AF1318),2)</f>
        <v/>
      </c>
      <c r="AH1318" s="16" t="n">
        <v>0.18</v>
      </c>
      <c r="AI1318" s="15">
        <f>ROUND(AG1318+(AG1318*AH1318),2)</f>
        <v/>
      </c>
      <c r="AJ1318" s="16" t="n">
        <v>0.2</v>
      </c>
      <c r="AK1318" s="15">
        <f>ROUND(AI1318*AJ1318,2)</f>
        <v/>
      </c>
      <c r="AL1318" s="15">
        <f>AI1318+AK1318</f>
        <v/>
      </c>
      <c r="AM1318" s="15">
        <f>AE1318-AL1318</f>
        <v/>
      </c>
      <c r="AN1318" s="16">
        <f>AM1318/AE1318</f>
        <v/>
      </c>
      <c r="AO1318" s="15" t="inlineStr">
        <is>
          <t>60 mins</t>
        </is>
      </c>
      <c r="AP1318" s="15" t="n"/>
      <c r="AQ1318" s="15" t="inlineStr">
        <is>
          <t>Weight</t>
        </is>
      </c>
      <c r="AR1318" s="15" t="n"/>
      <c r="AS1318" s="15" t="n"/>
      <c r="AT1318" s="3" t="inlineStr">
        <is>
          <t>On Demand</t>
        </is>
      </c>
    </row>
    <row r="1319" ht="15.75" customHeight="1">
      <c r="A1319" s="15" t="inlineStr">
        <is>
          <t>PROD_0244</t>
        </is>
      </c>
      <c r="B1319" s="15" t="inlineStr">
        <is>
          <t>VAR_24</t>
        </is>
      </c>
      <c r="C1319" s="15" t="inlineStr">
        <is>
          <t>Electrical Material</t>
        </is>
      </c>
      <c r="D1319" s="15" t="inlineStr">
        <is>
          <t>Surface Light</t>
        </is>
      </c>
      <c r="E1319" s="15" t="inlineStr">
        <is>
          <t>Panasonic</t>
        </is>
      </c>
      <c r="F1319" s="15" t="inlineStr">
        <is>
          <t>LED PC Panel Light</t>
        </is>
      </c>
      <c r="G1319" s="15" t="n"/>
      <c r="H1319" s="15" t="inlineStr">
        <is>
          <t>Wattage</t>
        </is>
      </c>
      <c r="I1319" s="15" t="inlineStr">
        <is>
          <t>15 W</t>
        </is>
      </c>
      <c r="J1319" s="15" t="n"/>
      <c r="K1319" s="15" t="n"/>
      <c r="L1319" s="15" t="inlineStr">
        <is>
          <t>Color</t>
        </is>
      </c>
      <c r="M1319" s="15" t="inlineStr">
        <is>
          <t>Cool White</t>
        </is>
      </c>
      <c r="N1319" s="15" t="inlineStr">
        <is>
          <t>Shape</t>
        </is>
      </c>
      <c r="O1319" s="15" t="inlineStr">
        <is>
          <t>Square</t>
        </is>
      </c>
      <c r="P1319" s="15" t="n"/>
      <c r="Q1319" s="15" t="inlineStr">
        <is>
          <t>Manufacturer's Warranty</t>
        </is>
      </c>
      <c r="R1319" s="15" t="n"/>
      <c r="S1319" s="15" t="n"/>
      <c r="T1319" s="15" t="n"/>
      <c r="U1319" s="15" t="n"/>
      <c r="V1319" s="15" t="n"/>
      <c r="W1319" s="15" t="n"/>
      <c r="X1319" s="15" t="n"/>
      <c r="Y1319" s="15" t="inlineStr">
        <is>
          <t>SL_PS_LEDPC_SQ_1, SL_PS_LEDPC_SQ_2</t>
        </is>
      </c>
      <c r="Z1319" s="15" t="n">
        <v>9405</v>
      </c>
      <c r="AA1319" s="15" t="n"/>
      <c r="AB1319" s="15" t="n"/>
      <c r="AC1319" s="15" t="n"/>
      <c r="AD1319" s="15" t="n"/>
      <c r="AE1319" s="15" t="n">
        <v>950</v>
      </c>
      <c r="AF1319" s="16" t="n">
        <v>0.6</v>
      </c>
      <c r="AG1319" s="15">
        <f>ROUND(AE1319-(AE1319*AF1319),2)</f>
        <v/>
      </c>
      <c r="AH1319" s="16" t="n">
        <v>0.18</v>
      </c>
      <c r="AI1319" s="15">
        <f>ROUND(AG1319+(AG1319*AH1319),2)</f>
        <v/>
      </c>
      <c r="AJ1319" s="16" t="n">
        <v>0.2</v>
      </c>
      <c r="AK1319" s="15">
        <f>ROUND(AI1319*AJ1319,2)</f>
        <v/>
      </c>
      <c r="AL1319" s="15">
        <f>AI1319+AK1319</f>
        <v/>
      </c>
      <c r="AM1319" s="15">
        <f>AE1319-AL1319</f>
        <v/>
      </c>
      <c r="AN1319" s="16">
        <f>AM1319/AE1319</f>
        <v/>
      </c>
      <c r="AO1319" s="15" t="inlineStr">
        <is>
          <t>60 mins</t>
        </is>
      </c>
      <c r="AP1319" s="15" t="n"/>
      <c r="AQ1319" s="15" t="inlineStr">
        <is>
          <t>Weight</t>
        </is>
      </c>
      <c r="AR1319" s="15" t="n"/>
      <c r="AS1319" s="15" t="n"/>
      <c r="AT1319" s="3" t="inlineStr">
        <is>
          <t>On Demand</t>
        </is>
      </c>
    </row>
    <row r="1320" ht="15.75" customHeight="1">
      <c r="A1320" s="15" t="inlineStr">
        <is>
          <t>PROD_0244</t>
        </is>
      </c>
      <c r="B1320" s="15" t="inlineStr">
        <is>
          <t>VAR_25</t>
        </is>
      </c>
      <c r="C1320" s="15" t="inlineStr">
        <is>
          <t>Electrical Material</t>
        </is>
      </c>
      <c r="D1320" s="15" t="inlineStr">
        <is>
          <t>Surface Light</t>
        </is>
      </c>
      <c r="E1320" s="15" t="inlineStr">
        <is>
          <t>Panasonic</t>
        </is>
      </c>
      <c r="F1320" s="15" t="inlineStr">
        <is>
          <t>LED PC Panel Light</t>
        </is>
      </c>
      <c r="G1320" s="15" t="n"/>
      <c r="H1320" s="15" t="inlineStr">
        <is>
          <t>Wattage</t>
        </is>
      </c>
      <c r="I1320" s="15" t="inlineStr">
        <is>
          <t>20 W</t>
        </is>
      </c>
      <c r="J1320" s="15" t="n"/>
      <c r="K1320" s="15" t="n"/>
      <c r="L1320" s="15" t="inlineStr">
        <is>
          <t>Color</t>
        </is>
      </c>
      <c r="M1320" s="15" t="inlineStr">
        <is>
          <t>Warm White</t>
        </is>
      </c>
      <c r="N1320" s="15" t="inlineStr">
        <is>
          <t>Shape</t>
        </is>
      </c>
      <c r="O1320" s="15" t="inlineStr">
        <is>
          <t>Square</t>
        </is>
      </c>
      <c r="P1320" s="15" t="n"/>
      <c r="Q1320" s="15" t="inlineStr">
        <is>
          <t>Manufacturer's Warranty</t>
        </is>
      </c>
      <c r="R1320" s="15" t="n"/>
      <c r="S1320" s="15" t="n"/>
      <c r="T1320" s="15" t="n"/>
      <c r="U1320" s="15" t="n"/>
      <c r="V1320" s="15" t="n"/>
      <c r="W1320" s="15" t="n"/>
      <c r="X1320" s="15" t="n"/>
      <c r="Y1320" s="15" t="inlineStr">
        <is>
          <t>SL_PS_LEDPC_SQ_1, SL_PS_LEDPC_SQ_2</t>
        </is>
      </c>
      <c r="Z1320" s="15" t="n">
        <v>9405</v>
      </c>
      <c r="AA1320" s="15" t="n"/>
      <c r="AB1320" s="15" t="n"/>
      <c r="AC1320" s="15" t="n"/>
      <c r="AD1320" s="15" t="n"/>
      <c r="AE1320" s="15" t="n">
        <v>900</v>
      </c>
      <c r="AF1320" s="16" t="n">
        <v>0.5</v>
      </c>
      <c r="AG1320" s="15">
        <f>ROUND(AE1320-(AE1320*AF1320),2)</f>
        <v/>
      </c>
      <c r="AH1320" s="16" t="n">
        <v>0.18</v>
      </c>
      <c r="AI1320" s="15">
        <f>ROUND(AG1320+(AG1320*AH1320),2)</f>
        <v/>
      </c>
      <c r="AJ1320" s="16" t="n">
        <v>0.2</v>
      </c>
      <c r="AK1320" s="15">
        <f>ROUND(AI1320*AJ1320,2)</f>
        <v/>
      </c>
      <c r="AL1320" s="15">
        <f>AI1320+AK1320</f>
        <v/>
      </c>
      <c r="AM1320" s="15">
        <f>AE1320-AL1320</f>
        <v/>
      </c>
      <c r="AN1320" s="16">
        <f>AM1320/AE1320</f>
        <v/>
      </c>
      <c r="AO1320" s="15" t="inlineStr">
        <is>
          <t>60 mins</t>
        </is>
      </c>
      <c r="AP1320" s="15" t="n"/>
      <c r="AQ1320" s="15" t="inlineStr">
        <is>
          <t>Weight</t>
        </is>
      </c>
      <c r="AR1320" s="15" t="n"/>
      <c r="AS1320" s="15" t="n"/>
      <c r="AT1320" s="3" t="inlineStr">
        <is>
          <t>On Demand</t>
        </is>
      </c>
    </row>
    <row r="1321" ht="15.75" customHeight="1">
      <c r="A1321" s="15" t="inlineStr">
        <is>
          <t>PROD_0244</t>
        </is>
      </c>
      <c r="B1321" s="15" t="inlineStr">
        <is>
          <t>VAR_26</t>
        </is>
      </c>
      <c r="C1321" s="15" t="inlineStr">
        <is>
          <t>Electrical Material</t>
        </is>
      </c>
      <c r="D1321" s="15" t="inlineStr">
        <is>
          <t>Surface Light</t>
        </is>
      </c>
      <c r="E1321" s="15" t="inlineStr">
        <is>
          <t>Panasonic</t>
        </is>
      </c>
      <c r="F1321" s="15" t="inlineStr">
        <is>
          <t>LED PC Panel Light</t>
        </is>
      </c>
      <c r="G1321" s="15" t="n"/>
      <c r="H1321" s="15" t="inlineStr">
        <is>
          <t>Wattage</t>
        </is>
      </c>
      <c r="I1321" s="15" t="inlineStr">
        <is>
          <t>20 W</t>
        </is>
      </c>
      <c r="J1321" s="15" t="n"/>
      <c r="K1321" s="15" t="n"/>
      <c r="L1321" s="15" t="inlineStr">
        <is>
          <t>Color</t>
        </is>
      </c>
      <c r="M1321" s="15" t="inlineStr">
        <is>
          <t>Natural White</t>
        </is>
      </c>
      <c r="N1321" s="15" t="inlineStr">
        <is>
          <t>Shape</t>
        </is>
      </c>
      <c r="O1321" s="15" t="inlineStr">
        <is>
          <t>Square</t>
        </is>
      </c>
      <c r="P1321" s="15" t="n"/>
      <c r="Q1321" s="15" t="inlineStr">
        <is>
          <t>Manufacturer's Warranty</t>
        </is>
      </c>
      <c r="R1321" s="15" t="n"/>
      <c r="S1321" s="15" t="n"/>
      <c r="T1321" s="15" t="n"/>
      <c r="U1321" s="15" t="n"/>
      <c r="V1321" s="15" t="n"/>
      <c r="W1321" s="15" t="n"/>
      <c r="X1321" s="15" t="n"/>
      <c r="Y1321" s="15" t="inlineStr">
        <is>
          <t>SL_PS_LEDPC_SQ_1, SL_PS_LEDPC_SQ_2</t>
        </is>
      </c>
      <c r="Z1321" s="15" t="n">
        <v>9405</v>
      </c>
      <c r="AA1321" s="15" t="n"/>
      <c r="AB1321" s="15" t="n"/>
      <c r="AC1321" s="15" t="n"/>
      <c r="AD1321" s="15" t="n"/>
      <c r="AE1321" s="15" t="n">
        <v>900</v>
      </c>
      <c r="AF1321" s="16" t="n">
        <v>0.5</v>
      </c>
      <c r="AG1321" s="15">
        <f>ROUND(AE1321-(AE1321*AF1321),2)</f>
        <v/>
      </c>
      <c r="AH1321" s="16" t="n">
        <v>0.18</v>
      </c>
      <c r="AI1321" s="15">
        <f>ROUND(AG1321+(AG1321*AH1321),2)</f>
        <v/>
      </c>
      <c r="AJ1321" s="16" t="n">
        <v>0.2</v>
      </c>
      <c r="AK1321" s="15">
        <f>ROUND(AI1321*AJ1321,2)</f>
        <v/>
      </c>
      <c r="AL1321" s="15">
        <f>AI1321+AK1321</f>
        <v/>
      </c>
      <c r="AM1321" s="15">
        <f>AE1321-AL1321</f>
        <v/>
      </c>
      <c r="AN1321" s="16">
        <f>AM1321/AE1321</f>
        <v/>
      </c>
      <c r="AO1321" s="15" t="inlineStr">
        <is>
          <t>60 mins</t>
        </is>
      </c>
      <c r="AP1321" s="15" t="n"/>
      <c r="AQ1321" s="15" t="inlineStr">
        <is>
          <t>Weight</t>
        </is>
      </c>
      <c r="AR1321" s="15" t="n"/>
      <c r="AS1321" s="15" t="n"/>
      <c r="AT1321" s="3" t="inlineStr">
        <is>
          <t>On Demand</t>
        </is>
      </c>
    </row>
    <row r="1322" ht="15.75" customHeight="1">
      <c r="A1322" s="15" t="inlineStr">
        <is>
          <t>PROD_0244</t>
        </is>
      </c>
      <c r="B1322" s="15" t="inlineStr">
        <is>
          <t>VAR_27</t>
        </is>
      </c>
      <c r="C1322" s="15" t="inlineStr">
        <is>
          <t>Electrical Material</t>
        </is>
      </c>
      <c r="D1322" s="15" t="inlineStr">
        <is>
          <t>Surface Light</t>
        </is>
      </c>
      <c r="E1322" s="15" t="inlineStr">
        <is>
          <t>Panasonic</t>
        </is>
      </c>
      <c r="F1322" s="15" t="inlineStr">
        <is>
          <t>LED PC Panel Light</t>
        </is>
      </c>
      <c r="G1322" s="15" t="n"/>
      <c r="H1322" s="15" t="inlineStr">
        <is>
          <t>Wattage</t>
        </is>
      </c>
      <c r="I1322" s="15" t="inlineStr">
        <is>
          <t>20 W</t>
        </is>
      </c>
      <c r="J1322" s="15" t="n"/>
      <c r="K1322" s="15" t="n"/>
      <c r="L1322" s="15" t="inlineStr">
        <is>
          <t>Color</t>
        </is>
      </c>
      <c r="M1322" s="15" t="inlineStr">
        <is>
          <t>Cool White</t>
        </is>
      </c>
      <c r="N1322" s="15" t="inlineStr">
        <is>
          <t>Shape</t>
        </is>
      </c>
      <c r="O1322" s="15" t="inlineStr">
        <is>
          <t>Square</t>
        </is>
      </c>
      <c r="P1322" s="15" t="n"/>
      <c r="Q1322" s="15" t="inlineStr">
        <is>
          <t>Manufacturer's Warranty</t>
        </is>
      </c>
      <c r="R1322" s="15" t="n"/>
      <c r="S1322" s="15" t="n"/>
      <c r="T1322" s="15" t="n"/>
      <c r="U1322" s="15" t="n"/>
      <c r="V1322" s="15" t="n"/>
      <c r="W1322" s="15" t="n"/>
      <c r="X1322" s="15" t="n"/>
      <c r="Y1322" s="15" t="inlineStr">
        <is>
          <t>SL_PS_LEDPC_SQ_1, SL_PS_LEDPC_SQ_2</t>
        </is>
      </c>
      <c r="Z1322" s="15" t="n">
        <v>9405</v>
      </c>
      <c r="AA1322" s="15" t="n"/>
      <c r="AB1322" s="15" t="n"/>
      <c r="AC1322" s="15" t="n"/>
      <c r="AD1322" s="15" t="n"/>
      <c r="AE1322" s="15" t="n">
        <v>900</v>
      </c>
      <c r="AF1322" s="16" t="n">
        <v>0.5</v>
      </c>
      <c r="AG1322" s="15">
        <f>ROUND(AE1322-(AE1322*AF1322),2)</f>
        <v/>
      </c>
      <c r="AH1322" s="16" t="n">
        <v>0.18</v>
      </c>
      <c r="AI1322" s="15">
        <f>ROUND(AG1322+(AG1322*AH1322),2)</f>
        <v/>
      </c>
      <c r="AJ1322" s="16" t="n">
        <v>0.2</v>
      </c>
      <c r="AK1322" s="15">
        <f>ROUND(AI1322*AJ1322,2)</f>
        <v/>
      </c>
      <c r="AL1322" s="15">
        <f>AI1322+AK1322</f>
        <v/>
      </c>
      <c r="AM1322" s="15">
        <f>AE1322-AL1322</f>
        <v/>
      </c>
      <c r="AN1322" s="16">
        <f>AM1322/AE1322</f>
        <v/>
      </c>
      <c r="AO1322" s="15" t="inlineStr">
        <is>
          <t>60 mins</t>
        </is>
      </c>
      <c r="AP1322" s="15" t="n"/>
      <c r="AQ1322" s="15" t="inlineStr">
        <is>
          <t>Weight</t>
        </is>
      </c>
      <c r="AR1322" s="15" t="n"/>
      <c r="AS1322" s="15" t="n"/>
      <c r="AT1322" s="3" t="inlineStr">
        <is>
          <t>On Demand</t>
        </is>
      </c>
    </row>
    <row r="1323" ht="15.75" customHeight="1">
      <c r="A1323" s="3" t="inlineStr">
        <is>
          <t>PROD_0245</t>
        </is>
      </c>
      <c r="B1323" s="3" t="inlineStr">
        <is>
          <t>VAR_1</t>
        </is>
      </c>
      <c r="C1323" s="3" t="inlineStr">
        <is>
          <t>Electrical Material</t>
        </is>
      </c>
      <c r="D1323" s="3" t="inlineStr">
        <is>
          <t>COB Light</t>
        </is>
      </c>
      <c r="E1323" s="3" t="inlineStr">
        <is>
          <t>Philips</t>
        </is>
      </c>
      <c r="F1323" s="3" t="inlineStr">
        <is>
          <t>Astra Spot</t>
        </is>
      </c>
      <c r="H1323" s="3" t="inlineStr">
        <is>
          <t>Wattage</t>
        </is>
      </c>
      <c r="I1323" s="3" t="inlineStr">
        <is>
          <t>3 W</t>
        </is>
      </c>
      <c r="J1323" s="3" t="inlineStr">
        <is>
          <t>Cutting Size</t>
        </is>
      </c>
      <c r="K1323" s="3" t="inlineStr">
        <is>
          <t>52 mm</t>
        </is>
      </c>
      <c r="L1323" s="3" t="inlineStr">
        <is>
          <t>Color</t>
        </is>
      </c>
      <c r="M1323" s="3" t="inlineStr">
        <is>
          <t>Warm White</t>
        </is>
      </c>
      <c r="Q1323" s="3" t="inlineStr">
        <is>
          <t>Manufacturer's Warranty</t>
        </is>
      </c>
      <c r="Y1323" s="3" t="inlineStr">
        <is>
          <t>COB_PH_AST_1, COB_PH_AST_2</t>
        </is>
      </c>
      <c r="Z1323" s="3" t="n">
        <v>9405</v>
      </c>
      <c r="AE1323" s="3" t="n">
        <v>635</v>
      </c>
      <c r="AF1323" s="4" t="n">
        <v>0.5</v>
      </c>
      <c r="AG1323" s="3">
        <f>ROUND(AE1323-(AE1323*AF1323),2)</f>
        <v/>
      </c>
      <c r="AH1323" s="4" t="n">
        <v>0.18</v>
      </c>
      <c r="AI1323" s="3">
        <f>ROUND(AG1323+(AG1323*AH1323),2)</f>
        <v/>
      </c>
      <c r="AJ1323" s="4" t="n">
        <v>0.2</v>
      </c>
      <c r="AK1323" s="3">
        <f>ROUND(AI1323*AJ1323,2)</f>
        <v/>
      </c>
      <c r="AL1323" s="3">
        <f>AI1323+AK1323</f>
        <v/>
      </c>
      <c r="AM1323" s="3">
        <f>AE1323-AL1323</f>
        <v/>
      </c>
      <c r="AN1323" s="4">
        <f>AM1323/AE1323</f>
        <v/>
      </c>
      <c r="AO1323" s="3" t="inlineStr">
        <is>
          <t>3 hrs</t>
        </is>
      </c>
      <c r="AQ1323" s="3" t="inlineStr">
        <is>
          <t>Weight</t>
        </is>
      </c>
      <c r="AT1323" s="3" t="inlineStr">
        <is>
          <t>3 hrs</t>
        </is>
      </c>
    </row>
    <row r="1324" ht="15.75" customHeight="1">
      <c r="A1324" s="3" t="inlineStr">
        <is>
          <t>PROD_0245</t>
        </is>
      </c>
      <c r="B1324" s="3" t="inlineStr">
        <is>
          <t>VAR_2</t>
        </is>
      </c>
      <c r="C1324" s="3" t="inlineStr">
        <is>
          <t>Electrical Material</t>
        </is>
      </c>
      <c r="D1324" s="3" t="inlineStr">
        <is>
          <t>COB Light</t>
        </is>
      </c>
      <c r="E1324" s="3" t="inlineStr">
        <is>
          <t>Philips</t>
        </is>
      </c>
      <c r="F1324" s="3" t="inlineStr">
        <is>
          <t>Astra Spot</t>
        </is>
      </c>
      <c r="H1324" s="3" t="inlineStr">
        <is>
          <t>Wattage</t>
        </is>
      </c>
      <c r="I1324" s="3" t="inlineStr">
        <is>
          <t>3 W</t>
        </is>
      </c>
      <c r="J1324" s="3" t="inlineStr">
        <is>
          <t>Cutting Size</t>
        </is>
      </c>
      <c r="K1324" s="3" t="inlineStr">
        <is>
          <t>52 mm</t>
        </is>
      </c>
      <c r="L1324" s="3" t="inlineStr">
        <is>
          <t>Color</t>
        </is>
      </c>
      <c r="M1324" s="3" t="inlineStr">
        <is>
          <t>Cool White</t>
        </is>
      </c>
      <c r="Q1324" s="3" t="inlineStr">
        <is>
          <t>Manufacturer's Warranty</t>
        </is>
      </c>
      <c r="Y1324" s="3" t="inlineStr">
        <is>
          <t>COB_PH_AST_1, COB_PH_AST_2</t>
        </is>
      </c>
      <c r="Z1324" s="3" t="n">
        <v>9405</v>
      </c>
      <c r="AE1324" s="3" t="n">
        <v>635</v>
      </c>
      <c r="AF1324" s="4" t="n">
        <v>0.5</v>
      </c>
      <c r="AG1324" s="3">
        <f>ROUND(AE1324-(AE1324*AF1324),2)</f>
        <v/>
      </c>
      <c r="AH1324" s="4" t="n">
        <v>0.18</v>
      </c>
      <c r="AI1324" s="3">
        <f>ROUND(AG1324+(AG1324*AH1324),2)</f>
        <v/>
      </c>
      <c r="AJ1324" s="4" t="n">
        <v>0.2</v>
      </c>
      <c r="AK1324" s="3">
        <f>ROUND(AI1324*AJ1324,2)</f>
        <v/>
      </c>
      <c r="AL1324" s="3">
        <f>AI1324+AK1324</f>
        <v/>
      </c>
      <c r="AM1324" s="3">
        <f>AE1324-AL1324</f>
        <v/>
      </c>
      <c r="AN1324" s="4">
        <f>AM1324/AE1324</f>
        <v/>
      </c>
      <c r="AO1324" s="3" t="inlineStr">
        <is>
          <t>3 hrs</t>
        </is>
      </c>
      <c r="AQ1324" s="3" t="inlineStr">
        <is>
          <t>Weight</t>
        </is>
      </c>
      <c r="AT1324" s="3" t="inlineStr">
        <is>
          <t>3 hrs</t>
        </is>
      </c>
    </row>
    <row r="1325" ht="15.75" customHeight="1">
      <c r="A1325" s="3" t="inlineStr">
        <is>
          <t>PROD_0245</t>
        </is>
      </c>
      <c r="B1325" s="3" t="inlineStr">
        <is>
          <t>VAR_3</t>
        </is>
      </c>
      <c r="C1325" s="3" t="inlineStr">
        <is>
          <t>Electrical Material</t>
        </is>
      </c>
      <c r="D1325" s="3" t="inlineStr">
        <is>
          <t>COB Light</t>
        </is>
      </c>
      <c r="E1325" s="3" t="inlineStr">
        <is>
          <t>Philips</t>
        </is>
      </c>
      <c r="F1325" s="3" t="inlineStr">
        <is>
          <t>Astra Spot</t>
        </is>
      </c>
      <c r="H1325" s="3" t="inlineStr">
        <is>
          <t>Wattage</t>
        </is>
      </c>
      <c r="I1325" s="3" t="inlineStr">
        <is>
          <t>2 W</t>
        </is>
      </c>
      <c r="J1325" s="3" t="inlineStr">
        <is>
          <t>Cutting Size</t>
        </is>
      </c>
      <c r="K1325" s="3" t="inlineStr">
        <is>
          <t>35 mm</t>
        </is>
      </c>
      <c r="L1325" s="3" t="inlineStr">
        <is>
          <t>Color</t>
        </is>
      </c>
      <c r="M1325" s="3" t="inlineStr">
        <is>
          <t>Warm White</t>
        </is>
      </c>
      <c r="Q1325" s="3" t="inlineStr">
        <is>
          <t>Manufacturer's Warranty</t>
        </is>
      </c>
      <c r="Y1325" s="3" t="inlineStr">
        <is>
          <t>COB_PH_AST_1, COB_PH_AST_2</t>
        </is>
      </c>
      <c r="Z1325" s="3" t="n">
        <v>9405</v>
      </c>
      <c r="AE1325" s="3" t="n">
        <v>315</v>
      </c>
      <c r="AF1325" s="4" t="n">
        <v>0.68</v>
      </c>
      <c r="AG1325" s="3">
        <f>ROUND(AE1325-(AE1325*AF1325),2)</f>
        <v/>
      </c>
      <c r="AH1325" s="4" t="n">
        <v>0.18</v>
      </c>
      <c r="AI1325" s="3">
        <f>ROUND(AG1325+(AG1325*AH1325),2)</f>
        <v/>
      </c>
      <c r="AJ1325" s="4" t="n">
        <v>0.2</v>
      </c>
      <c r="AK1325" s="3">
        <f>ROUND(AI1325*AJ1325,2)</f>
        <v/>
      </c>
      <c r="AL1325" s="3">
        <f>AI1325+AK1325</f>
        <v/>
      </c>
      <c r="AM1325" s="3">
        <f>AE1325-AL1325</f>
        <v/>
      </c>
      <c r="AN1325" s="4">
        <f>AM1325/AE1325</f>
        <v/>
      </c>
      <c r="AO1325" s="3" t="inlineStr">
        <is>
          <t>3 hrs</t>
        </is>
      </c>
      <c r="AQ1325" s="3" t="inlineStr">
        <is>
          <t>Weight</t>
        </is>
      </c>
      <c r="AT1325" s="3" t="inlineStr">
        <is>
          <t>3 hrs</t>
        </is>
      </c>
    </row>
    <row r="1326" ht="15.75" customHeight="1">
      <c r="A1326" s="3" t="inlineStr">
        <is>
          <t>PROD_0245</t>
        </is>
      </c>
      <c r="B1326" s="3" t="inlineStr">
        <is>
          <t>VAR_4</t>
        </is>
      </c>
      <c r="C1326" s="3" t="inlineStr">
        <is>
          <t>Electrical Material</t>
        </is>
      </c>
      <c r="D1326" s="3" t="inlineStr">
        <is>
          <t>COB Light</t>
        </is>
      </c>
      <c r="E1326" s="3" t="inlineStr">
        <is>
          <t>Philips</t>
        </is>
      </c>
      <c r="F1326" s="3" t="inlineStr">
        <is>
          <t>Astra Spot</t>
        </is>
      </c>
      <c r="H1326" s="3" t="inlineStr">
        <is>
          <t>Wattage</t>
        </is>
      </c>
      <c r="I1326" s="3" t="inlineStr">
        <is>
          <t>2 W</t>
        </is>
      </c>
      <c r="J1326" s="3" t="inlineStr">
        <is>
          <t>Cutting Size</t>
        </is>
      </c>
      <c r="K1326" s="3" t="inlineStr">
        <is>
          <t>35 mm</t>
        </is>
      </c>
      <c r="L1326" s="3" t="inlineStr">
        <is>
          <t>Color</t>
        </is>
      </c>
      <c r="M1326" s="3" t="inlineStr">
        <is>
          <t>Cool White</t>
        </is>
      </c>
      <c r="Q1326" s="3" t="inlineStr">
        <is>
          <t>Manufacturer's Warranty</t>
        </is>
      </c>
      <c r="Y1326" s="3" t="inlineStr">
        <is>
          <t>COB_PH_AST_1, COB_PH_AST_2</t>
        </is>
      </c>
      <c r="Z1326" s="3" t="n">
        <v>9405</v>
      </c>
      <c r="AE1326" s="3" t="n">
        <v>315</v>
      </c>
      <c r="AF1326" s="4" t="n">
        <v>0.68</v>
      </c>
      <c r="AG1326" s="3">
        <f>ROUND(AE1326-(AE1326*AF1326),2)</f>
        <v/>
      </c>
      <c r="AH1326" s="4" t="n">
        <v>0.18</v>
      </c>
      <c r="AI1326" s="3">
        <f>ROUND(AG1326+(AG1326*AH1326),2)</f>
        <v/>
      </c>
      <c r="AJ1326" s="4" t="n">
        <v>0.2</v>
      </c>
      <c r="AK1326" s="3">
        <f>ROUND(AI1326*AJ1326,2)</f>
        <v/>
      </c>
      <c r="AL1326" s="3">
        <f>AI1326+AK1326</f>
        <v/>
      </c>
      <c r="AM1326" s="3">
        <f>AE1326-AL1326</f>
        <v/>
      </c>
      <c r="AN1326" s="4">
        <f>AM1326/AE1326</f>
        <v/>
      </c>
      <c r="AO1326" s="3" t="inlineStr">
        <is>
          <t>3 hrs</t>
        </is>
      </c>
      <c r="AQ1326" s="3" t="inlineStr">
        <is>
          <t>Weight</t>
        </is>
      </c>
      <c r="AT1326" s="3" t="inlineStr">
        <is>
          <t>3 hrs</t>
        </is>
      </c>
    </row>
    <row r="1327" ht="15.75" customHeight="1">
      <c r="A1327" s="3" t="inlineStr">
        <is>
          <t>PROD_0245</t>
        </is>
      </c>
      <c r="B1327" s="3" t="inlineStr">
        <is>
          <t>VAR_5</t>
        </is>
      </c>
      <c r="C1327" s="3" t="inlineStr">
        <is>
          <t>Electrical Material</t>
        </is>
      </c>
      <c r="D1327" s="3" t="inlineStr">
        <is>
          <t>COB Light</t>
        </is>
      </c>
      <c r="E1327" s="3" t="inlineStr">
        <is>
          <t>Philips</t>
        </is>
      </c>
      <c r="F1327" s="3" t="inlineStr">
        <is>
          <t>Astra Spot</t>
        </is>
      </c>
      <c r="H1327" s="3" t="inlineStr">
        <is>
          <t>Wattage</t>
        </is>
      </c>
      <c r="I1327" s="3" t="inlineStr">
        <is>
          <t>7 W</t>
        </is>
      </c>
      <c r="J1327" s="3" t="inlineStr">
        <is>
          <t>Cutting Size</t>
        </is>
      </c>
      <c r="K1327" s="3" t="inlineStr">
        <is>
          <t>77 mm</t>
        </is>
      </c>
      <c r="L1327" s="3" t="inlineStr">
        <is>
          <t>Color</t>
        </is>
      </c>
      <c r="M1327" s="3" t="inlineStr">
        <is>
          <t>Warm White</t>
        </is>
      </c>
      <c r="Q1327" s="3" t="inlineStr">
        <is>
          <t>Manufacturer's Warranty</t>
        </is>
      </c>
      <c r="Y1327" s="3" t="inlineStr">
        <is>
          <t>COB_PH_AST_1, COB_PH_AST_2</t>
        </is>
      </c>
      <c r="Z1327" s="3" t="n">
        <v>9405</v>
      </c>
      <c r="AE1327" s="3" t="n">
        <v>1400</v>
      </c>
      <c r="AF1327" s="4" t="n">
        <v>0.55</v>
      </c>
      <c r="AG1327" s="3">
        <f>ROUND(AE1327-(AE1327*AF1327),2)</f>
        <v/>
      </c>
      <c r="AH1327" s="4" t="n">
        <v>0.18</v>
      </c>
      <c r="AI1327" s="3">
        <f>ROUND(AG1327+(AG1327*AH1327),2)</f>
        <v/>
      </c>
      <c r="AJ1327" s="4" t="n">
        <v>0.2</v>
      </c>
      <c r="AK1327" s="3">
        <f>ROUND(AI1327*AJ1327,2)</f>
        <v/>
      </c>
      <c r="AL1327" s="3">
        <f>AI1327+AK1327</f>
        <v/>
      </c>
      <c r="AM1327" s="3">
        <f>AE1327-AL1327</f>
        <v/>
      </c>
      <c r="AN1327" s="4">
        <f>AM1327/AE1327</f>
        <v/>
      </c>
      <c r="AO1327" s="3" t="inlineStr">
        <is>
          <t>3 hrs</t>
        </is>
      </c>
      <c r="AQ1327" s="3" t="inlineStr">
        <is>
          <t>Weight</t>
        </is>
      </c>
      <c r="AT1327" s="3" t="inlineStr">
        <is>
          <t>3 hrs</t>
        </is>
      </c>
    </row>
    <row r="1328" ht="15.75" customHeight="1">
      <c r="A1328" s="3" t="inlineStr">
        <is>
          <t>PROD_0245</t>
        </is>
      </c>
      <c r="B1328" s="3" t="inlineStr">
        <is>
          <t>VAR_6</t>
        </is>
      </c>
      <c r="C1328" s="3" t="inlineStr">
        <is>
          <t>Electrical Material</t>
        </is>
      </c>
      <c r="D1328" s="3" t="inlineStr">
        <is>
          <t>COB Light</t>
        </is>
      </c>
      <c r="E1328" s="3" t="inlineStr">
        <is>
          <t>Philips</t>
        </is>
      </c>
      <c r="F1328" s="3" t="inlineStr">
        <is>
          <t>Astra Spot</t>
        </is>
      </c>
      <c r="H1328" s="3" t="inlineStr">
        <is>
          <t>Wattage</t>
        </is>
      </c>
      <c r="I1328" s="3" t="inlineStr">
        <is>
          <t>7 W</t>
        </is>
      </c>
      <c r="J1328" s="3" t="inlineStr">
        <is>
          <t>Cutting Size</t>
        </is>
      </c>
      <c r="K1328" s="3" t="inlineStr">
        <is>
          <t>77 mm</t>
        </is>
      </c>
      <c r="L1328" s="3" t="inlineStr">
        <is>
          <t>Color</t>
        </is>
      </c>
      <c r="M1328" s="3" t="inlineStr">
        <is>
          <t>Cool White</t>
        </is>
      </c>
      <c r="Q1328" s="3" t="inlineStr">
        <is>
          <t>Manufacturer's Warranty</t>
        </is>
      </c>
      <c r="Y1328" s="3" t="inlineStr">
        <is>
          <t>COB_PH_AST_1, COB_PH_AST_2</t>
        </is>
      </c>
      <c r="Z1328" s="3" t="n">
        <v>9405</v>
      </c>
      <c r="AE1328" s="3" t="n">
        <v>1400</v>
      </c>
      <c r="AF1328" s="4" t="n">
        <v>0.55</v>
      </c>
      <c r="AG1328" s="3">
        <f>ROUND(AE1328-(AE1328*AF1328),2)</f>
        <v/>
      </c>
      <c r="AH1328" s="4" t="n">
        <v>0.18</v>
      </c>
      <c r="AI1328" s="3">
        <f>ROUND(AG1328+(AG1328*AH1328),2)</f>
        <v/>
      </c>
      <c r="AJ1328" s="4" t="n">
        <v>0.2</v>
      </c>
      <c r="AK1328" s="3">
        <f>ROUND(AI1328*AJ1328,2)</f>
        <v/>
      </c>
      <c r="AL1328" s="3">
        <f>AI1328+AK1328</f>
        <v/>
      </c>
      <c r="AM1328" s="3">
        <f>AE1328-AL1328</f>
        <v/>
      </c>
      <c r="AN1328" s="4">
        <f>AM1328/AE1328</f>
        <v/>
      </c>
      <c r="AO1328" s="3" t="inlineStr">
        <is>
          <t>3 hrs</t>
        </is>
      </c>
      <c r="AQ1328" s="3" t="inlineStr">
        <is>
          <t>Weight</t>
        </is>
      </c>
      <c r="AT1328" s="3" t="inlineStr">
        <is>
          <t>3 hrs</t>
        </is>
      </c>
    </row>
    <row r="1329" ht="15.75" customHeight="1">
      <c r="A1329" s="3" t="inlineStr">
        <is>
          <t>PROD_0245</t>
        </is>
      </c>
      <c r="B1329" s="3" t="inlineStr">
        <is>
          <t>VAR_7</t>
        </is>
      </c>
      <c r="C1329" s="3" t="inlineStr">
        <is>
          <t>Electrical Material</t>
        </is>
      </c>
      <c r="D1329" s="3" t="inlineStr">
        <is>
          <t>COB Light</t>
        </is>
      </c>
      <c r="E1329" s="3" t="inlineStr">
        <is>
          <t>Philips</t>
        </is>
      </c>
      <c r="F1329" s="3" t="inlineStr">
        <is>
          <t>Astra Spot</t>
        </is>
      </c>
      <c r="H1329" s="3" t="inlineStr">
        <is>
          <t>Wattage</t>
        </is>
      </c>
      <c r="I1329" s="3" t="inlineStr">
        <is>
          <t>7 W</t>
        </is>
      </c>
      <c r="J1329" s="3" t="inlineStr">
        <is>
          <t>Cutting Size</t>
        </is>
      </c>
      <c r="K1329" s="3" t="inlineStr">
        <is>
          <t>77 mm</t>
        </is>
      </c>
      <c r="L1329" s="3" t="inlineStr">
        <is>
          <t>Color</t>
        </is>
      </c>
      <c r="M1329" s="3" t="inlineStr">
        <is>
          <t>Natural White</t>
        </is>
      </c>
      <c r="Q1329" s="3" t="inlineStr">
        <is>
          <t>Manufacturer's Warranty</t>
        </is>
      </c>
      <c r="Y1329" s="3" t="inlineStr">
        <is>
          <t>COB_PH_AST_1, COB_PH_AST_2</t>
        </is>
      </c>
      <c r="Z1329" s="3" t="n">
        <v>9405</v>
      </c>
      <c r="AE1329" s="3" t="n">
        <v>1400</v>
      </c>
      <c r="AF1329" s="4" t="n">
        <v>0.55</v>
      </c>
      <c r="AG1329" s="3">
        <f>ROUND(AE1329-(AE1329*AF1329),2)</f>
        <v/>
      </c>
      <c r="AH1329" s="4" t="n">
        <v>0.18</v>
      </c>
      <c r="AI1329" s="3">
        <f>ROUND(AG1329+(AG1329*AH1329),2)</f>
        <v/>
      </c>
      <c r="AJ1329" s="4" t="n">
        <v>0.2</v>
      </c>
      <c r="AK1329" s="3">
        <f>ROUND(AI1329*AJ1329,2)</f>
        <v/>
      </c>
      <c r="AL1329" s="3">
        <f>AI1329+AK1329</f>
        <v/>
      </c>
      <c r="AM1329" s="3">
        <f>AE1329-AL1329</f>
        <v/>
      </c>
      <c r="AN1329" s="4">
        <f>AM1329/AE1329</f>
        <v/>
      </c>
      <c r="AO1329" s="3" t="inlineStr">
        <is>
          <t>3 hrs</t>
        </is>
      </c>
      <c r="AQ1329" s="3" t="inlineStr">
        <is>
          <t>Weight</t>
        </is>
      </c>
      <c r="AT1329" s="3" t="inlineStr">
        <is>
          <t>3 hrs</t>
        </is>
      </c>
    </row>
    <row r="1330" ht="15.75" customHeight="1">
      <c r="A1330" s="3" t="inlineStr">
        <is>
          <t>PROD_0245</t>
        </is>
      </c>
      <c r="B1330" s="3" t="inlineStr">
        <is>
          <t>VAR_8</t>
        </is>
      </c>
      <c r="C1330" s="3" t="inlineStr">
        <is>
          <t>Electrical Material</t>
        </is>
      </c>
      <c r="D1330" s="3" t="inlineStr">
        <is>
          <t>COB Light</t>
        </is>
      </c>
      <c r="E1330" s="3" t="inlineStr">
        <is>
          <t>Philips</t>
        </is>
      </c>
      <c r="F1330" s="3" t="inlineStr">
        <is>
          <t>Astra Spot</t>
        </is>
      </c>
      <c r="H1330" s="3" t="inlineStr">
        <is>
          <t>Wattage</t>
        </is>
      </c>
      <c r="I1330" s="3" t="inlineStr">
        <is>
          <t>12 W</t>
        </is>
      </c>
      <c r="J1330" s="3" t="inlineStr">
        <is>
          <t>Cutting Size</t>
        </is>
      </c>
      <c r="K1330" s="3" t="inlineStr">
        <is>
          <t>92 mm</t>
        </is>
      </c>
      <c r="L1330" s="3" t="inlineStr">
        <is>
          <t>Color</t>
        </is>
      </c>
      <c r="M1330" s="3" t="inlineStr">
        <is>
          <t>Warm White</t>
        </is>
      </c>
      <c r="Q1330" s="3" t="inlineStr">
        <is>
          <t>Manufacturer's Warranty</t>
        </is>
      </c>
      <c r="Y1330" s="3" t="inlineStr">
        <is>
          <t>COB_PH_AST_1, COB_PH_AST_2</t>
        </is>
      </c>
      <c r="Z1330" s="3" t="n">
        <v>9405</v>
      </c>
      <c r="AE1330" s="3" t="n">
        <v>1850</v>
      </c>
      <c r="AF1330" s="4" t="n">
        <v>0.55</v>
      </c>
      <c r="AG1330" s="3">
        <f>ROUND(AE1330-(AE1330*AF1330),2)</f>
        <v/>
      </c>
      <c r="AH1330" s="4" t="n">
        <v>0.18</v>
      </c>
      <c r="AI1330" s="3">
        <f>ROUND(AG1330+(AG1330*AH1330),2)</f>
        <v/>
      </c>
      <c r="AJ1330" s="4" t="n">
        <v>0.2</v>
      </c>
      <c r="AK1330" s="3">
        <f>ROUND(AI1330*AJ1330,2)</f>
        <v/>
      </c>
      <c r="AL1330" s="3">
        <f>AI1330+AK1330</f>
        <v/>
      </c>
      <c r="AM1330" s="3">
        <f>AE1330-AL1330</f>
        <v/>
      </c>
      <c r="AN1330" s="4">
        <f>AM1330/AE1330</f>
        <v/>
      </c>
      <c r="AO1330" s="3" t="inlineStr">
        <is>
          <t>3 hrs</t>
        </is>
      </c>
      <c r="AQ1330" s="3" t="inlineStr">
        <is>
          <t>Weight</t>
        </is>
      </c>
      <c r="AT1330" s="3" t="inlineStr">
        <is>
          <t>3 hrs</t>
        </is>
      </c>
    </row>
    <row r="1331" ht="15.75" customHeight="1">
      <c r="A1331" s="3" t="inlineStr">
        <is>
          <t>PROD_0245</t>
        </is>
      </c>
      <c r="B1331" s="3" t="inlineStr">
        <is>
          <t>VAR_9</t>
        </is>
      </c>
      <c r="C1331" s="3" t="inlineStr">
        <is>
          <t>Electrical Material</t>
        </is>
      </c>
      <c r="D1331" s="3" t="inlineStr">
        <is>
          <t>COB Light</t>
        </is>
      </c>
      <c r="E1331" s="3" t="inlineStr">
        <is>
          <t>Philips</t>
        </is>
      </c>
      <c r="F1331" s="3" t="inlineStr">
        <is>
          <t>Astra Spot</t>
        </is>
      </c>
      <c r="H1331" s="3" t="inlineStr">
        <is>
          <t>Wattage</t>
        </is>
      </c>
      <c r="I1331" s="3" t="inlineStr">
        <is>
          <t>12 W</t>
        </is>
      </c>
      <c r="J1331" s="3" t="inlineStr">
        <is>
          <t>Cutting Size</t>
        </is>
      </c>
      <c r="K1331" s="3" t="inlineStr">
        <is>
          <t>92 mm</t>
        </is>
      </c>
      <c r="L1331" s="3" t="inlineStr">
        <is>
          <t>Color</t>
        </is>
      </c>
      <c r="M1331" s="3" t="inlineStr">
        <is>
          <t>Cool White</t>
        </is>
      </c>
      <c r="Q1331" s="3" t="inlineStr">
        <is>
          <t>Manufacturer's Warranty</t>
        </is>
      </c>
      <c r="Y1331" s="3" t="inlineStr">
        <is>
          <t>COB_PH_AST_1, COB_PH_AST_2</t>
        </is>
      </c>
      <c r="Z1331" s="3" t="n">
        <v>9405</v>
      </c>
      <c r="AE1331" s="3" t="n">
        <v>1850</v>
      </c>
      <c r="AF1331" s="4" t="n">
        <v>0.55</v>
      </c>
      <c r="AG1331" s="3">
        <f>ROUND(AE1331-(AE1331*AF1331),2)</f>
        <v/>
      </c>
      <c r="AH1331" s="4" t="n">
        <v>0.18</v>
      </c>
      <c r="AI1331" s="3">
        <f>ROUND(AG1331+(AG1331*AH1331),2)</f>
        <v/>
      </c>
      <c r="AJ1331" s="4" t="n">
        <v>0.2</v>
      </c>
      <c r="AK1331" s="3">
        <f>ROUND(AI1331*AJ1331,2)</f>
        <v/>
      </c>
      <c r="AL1331" s="3">
        <f>AI1331+AK1331</f>
        <v/>
      </c>
      <c r="AM1331" s="3">
        <f>AE1331-AL1331</f>
        <v/>
      </c>
      <c r="AN1331" s="4">
        <f>AM1331/AE1331</f>
        <v/>
      </c>
      <c r="AO1331" s="3" t="inlineStr">
        <is>
          <t>3 hrs</t>
        </is>
      </c>
      <c r="AQ1331" s="3" t="inlineStr">
        <is>
          <t>Weight</t>
        </is>
      </c>
      <c r="AT1331" s="3" t="inlineStr">
        <is>
          <t>3 hrs</t>
        </is>
      </c>
    </row>
    <row r="1332" ht="15.75" customHeight="1">
      <c r="A1332" s="3" t="inlineStr">
        <is>
          <t>PROD_0245</t>
        </is>
      </c>
      <c r="B1332" s="3" t="inlineStr">
        <is>
          <t>VAR_10</t>
        </is>
      </c>
      <c r="C1332" s="3" t="inlineStr">
        <is>
          <t>Electrical Material</t>
        </is>
      </c>
      <c r="D1332" s="3" t="inlineStr">
        <is>
          <t>COB Light</t>
        </is>
      </c>
      <c r="E1332" s="3" t="inlineStr">
        <is>
          <t>Philips</t>
        </is>
      </c>
      <c r="F1332" s="3" t="inlineStr">
        <is>
          <t>Astra Spot</t>
        </is>
      </c>
      <c r="H1332" s="3" t="inlineStr">
        <is>
          <t>Wattage</t>
        </is>
      </c>
      <c r="I1332" s="3" t="inlineStr">
        <is>
          <t>12 W</t>
        </is>
      </c>
      <c r="J1332" s="3" t="inlineStr">
        <is>
          <t>Cutting Size</t>
        </is>
      </c>
      <c r="K1332" s="3" t="inlineStr">
        <is>
          <t>92 mm</t>
        </is>
      </c>
      <c r="L1332" s="3" t="inlineStr">
        <is>
          <t>Color</t>
        </is>
      </c>
      <c r="M1332" s="3" t="inlineStr">
        <is>
          <t>Natural White</t>
        </is>
      </c>
      <c r="Q1332" s="3" t="inlineStr">
        <is>
          <t>Manufacturer's Warranty</t>
        </is>
      </c>
      <c r="Y1332" s="3" t="inlineStr">
        <is>
          <t>COB_PH_AST_1, COB_PH_AST_2</t>
        </is>
      </c>
      <c r="Z1332" s="3" t="n">
        <v>9405</v>
      </c>
      <c r="AE1332" s="3" t="n">
        <v>1850</v>
      </c>
      <c r="AF1332" s="4" t="n">
        <v>0.55</v>
      </c>
      <c r="AG1332" s="3">
        <f>ROUND(AE1332-(AE1332*AF1332),2)</f>
        <v/>
      </c>
      <c r="AH1332" s="4" t="n">
        <v>0.18</v>
      </c>
      <c r="AI1332" s="3">
        <f>ROUND(AG1332+(AG1332*AH1332),2)</f>
        <v/>
      </c>
      <c r="AJ1332" s="4" t="n">
        <v>0.2</v>
      </c>
      <c r="AK1332" s="3">
        <f>ROUND(AI1332*AJ1332,2)</f>
        <v/>
      </c>
      <c r="AL1332" s="3">
        <f>AI1332+AK1332</f>
        <v/>
      </c>
      <c r="AM1332" s="3">
        <f>AE1332-AL1332</f>
        <v/>
      </c>
      <c r="AN1332" s="4">
        <f>AM1332/AE1332</f>
        <v/>
      </c>
      <c r="AO1332" s="3" t="inlineStr">
        <is>
          <t>3 hrs</t>
        </is>
      </c>
      <c r="AQ1332" s="3" t="inlineStr">
        <is>
          <t>Weight</t>
        </is>
      </c>
      <c r="AT1332" s="3" t="inlineStr">
        <is>
          <t>3 hrs</t>
        </is>
      </c>
    </row>
    <row r="1333" ht="15.75" customHeight="1">
      <c r="A1333" s="3" t="inlineStr">
        <is>
          <t>PROD_0245</t>
        </is>
      </c>
      <c r="B1333" s="3" t="inlineStr">
        <is>
          <t>VAR_11</t>
        </is>
      </c>
      <c r="C1333" s="3" t="inlineStr">
        <is>
          <t>Electrical Material</t>
        </is>
      </c>
      <c r="D1333" s="3" t="inlineStr">
        <is>
          <t>COB Light</t>
        </is>
      </c>
      <c r="E1333" s="3" t="inlineStr">
        <is>
          <t>Philips</t>
        </is>
      </c>
      <c r="F1333" s="3" t="inlineStr">
        <is>
          <t>Astra Spot</t>
        </is>
      </c>
      <c r="H1333" s="3" t="inlineStr">
        <is>
          <t>Wattage</t>
        </is>
      </c>
      <c r="I1333" s="3" t="inlineStr">
        <is>
          <t>20 W</t>
        </is>
      </c>
      <c r="J1333" s="3" t="inlineStr">
        <is>
          <t>Cutting Size</t>
        </is>
      </c>
      <c r="K1333" s="3" t="inlineStr">
        <is>
          <t>110 mm</t>
        </is>
      </c>
      <c r="L1333" s="3" t="inlineStr">
        <is>
          <t>Color</t>
        </is>
      </c>
      <c r="M1333" s="3" t="inlineStr">
        <is>
          <t>Warm White</t>
        </is>
      </c>
      <c r="Q1333" s="3" t="inlineStr">
        <is>
          <t>Manufacturer's Warranty</t>
        </is>
      </c>
      <c r="Y1333" s="3" t="inlineStr">
        <is>
          <t>COB_PH_AST_1, COB_PH_AST_2</t>
        </is>
      </c>
      <c r="Z1333" s="3" t="n">
        <v>9405</v>
      </c>
      <c r="AE1333" s="3" t="n">
        <v>3620</v>
      </c>
      <c r="AF1333" s="4" t="n">
        <v>0.55</v>
      </c>
      <c r="AG1333" s="3">
        <f>ROUND(AE1333-(AE1333*AF1333),2)</f>
        <v/>
      </c>
      <c r="AH1333" s="4" t="n">
        <v>0.18</v>
      </c>
      <c r="AI1333" s="3">
        <f>ROUND(AG1333+(AG1333*AH1333),2)</f>
        <v/>
      </c>
      <c r="AJ1333" s="4" t="n">
        <v>0.2</v>
      </c>
      <c r="AK1333" s="3">
        <f>ROUND(AI1333*AJ1333,2)</f>
        <v/>
      </c>
      <c r="AL1333" s="3">
        <f>AI1333+AK1333</f>
        <v/>
      </c>
      <c r="AM1333" s="3">
        <f>AE1333-AL1333</f>
        <v/>
      </c>
      <c r="AN1333" s="4">
        <f>AM1333/AE1333</f>
        <v/>
      </c>
      <c r="AO1333" s="3" t="inlineStr">
        <is>
          <t>3 hrs</t>
        </is>
      </c>
      <c r="AQ1333" s="3" t="inlineStr">
        <is>
          <t>Weight</t>
        </is>
      </c>
      <c r="AT1333" s="3" t="inlineStr">
        <is>
          <t>3 hrs</t>
        </is>
      </c>
    </row>
    <row r="1334" ht="15.75" customHeight="1">
      <c r="A1334" s="3" t="inlineStr">
        <is>
          <t>PROD_0245</t>
        </is>
      </c>
      <c r="B1334" s="3" t="inlineStr">
        <is>
          <t>VAR_12</t>
        </is>
      </c>
      <c r="C1334" s="3" t="inlineStr">
        <is>
          <t>Electrical Material</t>
        </is>
      </c>
      <c r="D1334" s="3" t="inlineStr">
        <is>
          <t>COB Light</t>
        </is>
      </c>
      <c r="E1334" s="3" t="inlineStr">
        <is>
          <t>Philips</t>
        </is>
      </c>
      <c r="F1334" s="3" t="inlineStr">
        <is>
          <t>Astra Spot</t>
        </is>
      </c>
      <c r="H1334" s="3" t="inlineStr">
        <is>
          <t>Wattage</t>
        </is>
      </c>
      <c r="I1334" s="3" t="inlineStr">
        <is>
          <t>20 W</t>
        </is>
      </c>
      <c r="J1334" s="3" t="inlineStr">
        <is>
          <t>Cutting Size</t>
        </is>
      </c>
      <c r="K1334" s="3" t="inlineStr">
        <is>
          <t>110 mm</t>
        </is>
      </c>
      <c r="L1334" s="3" t="inlineStr">
        <is>
          <t>Color</t>
        </is>
      </c>
      <c r="M1334" s="3" t="inlineStr">
        <is>
          <t>Natural White</t>
        </is>
      </c>
      <c r="Q1334" s="3" t="inlineStr">
        <is>
          <t>Manufacturer's Warranty</t>
        </is>
      </c>
      <c r="Y1334" s="3" t="inlineStr">
        <is>
          <t>COB_PH_AST_1, COB_PH_AST_2</t>
        </is>
      </c>
      <c r="Z1334" s="3" t="n">
        <v>9405</v>
      </c>
      <c r="AE1334" s="3" t="n">
        <v>3620</v>
      </c>
      <c r="AF1334" s="4" t="n">
        <v>0.55</v>
      </c>
      <c r="AG1334" s="3">
        <f>ROUND(AE1334-(AE1334*AF1334),2)</f>
        <v/>
      </c>
      <c r="AH1334" s="4" t="n">
        <v>0.18</v>
      </c>
      <c r="AI1334" s="3">
        <f>ROUND(AG1334+(AG1334*AH1334),2)</f>
        <v/>
      </c>
      <c r="AJ1334" s="4" t="n">
        <v>0.2</v>
      </c>
      <c r="AK1334" s="3">
        <f>ROUND(AI1334*AJ1334,2)</f>
        <v/>
      </c>
      <c r="AL1334" s="3">
        <f>AI1334+AK1334</f>
        <v/>
      </c>
      <c r="AM1334" s="3">
        <f>AE1334-AL1334</f>
        <v/>
      </c>
      <c r="AN1334" s="4">
        <f>AM1334/AE1334</f>
        <v/>
      </c>
      <c r="AO1334" s="3" t="inlineStr">
        <is>
          <t>3 hrs</t>
        </is>
      </c>
      <c r="AQ1334" s="3" t="inlineStr">
        <is>
          <t>Weight</t>
        </is>
      </c>
      <c r="AT1334" s="3" t="inlineStr">
        <is>
          <t>3 hrs</t>
        </is>
      </c>
    </row>
    <row r="1335" ht="15.75" customHeight="1">
      <c r="A1335" s="3" t="inlineStr">
        <is>
          <t>PROD_0246</t>
        </is>
      </c>
      <c r="B1335" s="3" t="inlineStr">
        <is>
          <t>VAR_1</t>
        </is>
      </c>
      <c r="C1335" s="3" t="inlineStr">
        <is>
          <t>Electrical Material</t>
        </is>
      </c>
      <c r="D1335" s="3" t="inlineStr">
        <is>
          <t>COB Light</t>
        </is>
      </c>
      <c r="E1335" s="3" t="inlineStr">
        <is>
          <t>Philips</t>
        </is>
      </c>
      <c r="F1335" s="3" t="inlineStr">
        <is>
          <t>Astra Spot (Tilt)</t>
        </is>
      </c>
      <c r="H1335" s="3" t="inlineStr">
        <is>
          <t>Wattage</t>
        </is>
      </c>
      <c r="I1335" s="3" t="inlineStr">
        <is>
          <t>3 W</t>
        </is>
      </c>
      <c r="J1335" s="3" t="inlineStr">
        <is>
          <t>Cutting Size</t>
        </is>
      </c>
      <c r="K1335" s="3" t="inlineStr">
        <is>
          <t>64 mm</t>
        </is>
      </c>
      <c r="L1335" s="3" t="inlineStr">
        <is>
          <t>Color</t>
        </is>
      </c>
      <c r="M1335" s="3" t="inlineStr">
        <is>
          <t>Warm White</t>
        </is>
      </c>
      <c r="Q1335" s="3" t="inlineStr">
        <is>
          <t>Manufacturer's Warranty</t>
        </is>
      </c>
      <c r="Y1335" s="3" t="inlineStr">
        <is>
          <t>COB_PH_AST_1, COB_PH_AST_2</t>
        </is>
      </c>
      <c r="Z1335" s="3" t="n">
        <v>9405</v>
      </c>
      <c r="AE1335" s="3" t="n">
        <v>680</v>
      </c>
      <c r="AF1335" s="4" t="n">
        <v>0.5</v>
      </c>
      <c r="AG1335" s="3">
        <f>ROUND(AE1335-(AE1335*AF1335),2)</f>
        <v/>
      </c>
      <c r="AH1335" s="4" t="n">
        <v>0.18</v>
      </c>
      <c r="AI1335" s="3">
        <f>ROUND(AG1335+(AG1335*AH1335),2)</f>
        <v/>
      </c>
      <c r="AJ1335" s="4" t="n">
        <v>0.2</v>
      </c>
      <c r="AK1335" s="3">
        <f>ROUND(AI1335*AJ1335,2)</f>
        <v/>
      </c>
      <c r="AL1335" s="3">
        <f>AI1335+AK1335</f>
        <v/>
      </c>
      <c r="AM1335" s="3">
        <f>AE1335-AL1335</f>
        <v/>
      </c>
      <c r="AN1335" s="4">
        <f>AM1335/AE1335</f>
        <v/>
      </c>
      <c r="AO1335" s="3" t="inlineStr">
        <is>
          <t>3 hrs</t>
        </is>
      </c>
      <c r="AQ1335" s="3" t="inlineStr">
        <is>
          <t>Weight</t>
        </is>
      </c>
      <c r="AT1335" s="3" t="inlineStr">
        <is>
          <t>3 hrs</t>
        </is>
      </c>
    </row>
    <row r="1336" ht="15.75" customHeight="1">
      <c r="A1336" s="3" t="inlineStr">
        <is>
          <t>PROD_0246</t>
        </is>
      </c>
      <c r="B1336" s="3" t="inlineStr">
        <is>
          <t>VAR_2</t>
        </is>
      </c>
      <c r="C1336" s="3" t="inlineStr">
        <is>
          <t>Electrical Material</t>
        </is>
      </c>
      <c r="D1336" s="3" t="inlineStr">
        <is>
          <t>COB Light</t>
        </is>
      </c>
      <c r="E1336" s="3" t="inlineStr">
        <is>
          <t>Philips</t>
        </is>
      </c>
      <c r="F1336" s="3" t="inlineStr">
        <is>
          <t>Astra Spot (Tilt)</t>
        </is>
      </c>
      <c r="H1336" s="3" t="inlineStr">
        <is>
          <t>Wattage</t>
        </is>
      </c>
      <c r="I1336" s="3" t="inlineStr">
        <is>
          <t>3 W</t>
        </is>
      </c>
      <c r="J1336" s="3" t="inlineStr">
        <is>
          <t>Cutting Size</t>
        </is>
      </c>
      <c r="K1336" s="3" t="inlineStr">
        <is>
          <t>64 mm</t>
        </is>
      </c>
      <c r="L1336" s="3" t="inlineStr">
        <is>
          <t>Color</t>
        </is>
      </c>
      <c r="M1336" s="3" t="inlineStr">
        <is>
          <t>Cool White</t>
        </is>
      </c>
      <c r="Q1336" s="3" t="inlineStr">
        <is>
          <t>Manufacturer's Warranty</t>
        </is>
      </c>
      <c r="Y1336" s="3" t="inlineStr">
        <is>
          <t>COB_PH_AST_1, COB_PH_AST_2</t>
        </is>
      </c>
      <c r="Z1336" s="3" t="n">
        <v>9405</v>
      </c>
      <c r="AE1336" s="3" t="n">
        <v>680</v>
      </c>
      <c r="AF1336" s="4" t="n">
        <v>0.5</v>
      </c>
      <c r="AG1336" s="3">
        <f>ROUND(AE1336-(AE1336*AF1336),2)</f>
        <v/>
      </c>
      <c r="AH1336" s="4" t="n">
        <v>0.18</v>
      </c>
      <c r="AI1336" s="3">
        <f>ROUND(AG1336+(AG1336*AH1336),2)</f>
        <v/>
      </c>
      <c r="AJ1336" s="4" t="n">
        <v>0.2</v>
      </c>
      <c r="AK1336" s="3">
        <f>ROUND(AI1336*AJ1336,2)</f>
        <v/>
      </c>
      <c r="AL1336" s="3">
        <f>AI1336+AK1336</f>
        <v/>
      </c>
      <c r="AM1336" s="3">
        <f>AE1336-AL1336</f>
        <v/>
      </c>
      <c r="AN1336" s="4">
        <f>AM1336/AE1336</f>
        <v/>
      </c>
      <c r="AO1336" s="3" t="inlineStr">
        <is>
          <t>3 hrs</t>
        </is>
      </c>
      <c r="AQ1336" s="3" t="inlineStr">
        <is>
          <t>Weight</t>
        </is>
      </c>
      <c r="AT1336" s="3" t="inlineStr">
        <is>
          <t>3 hrs</t>
        </is>
      </c>
    </row>
    <row r="1337" ht="15.75" customHeight="1">
      <c r="A1337" s="3" t="inlineStr">
        <is>
          <t>PROD_0246</t>
        </is>
      </c>
      <c r="B1337" s="3" t="inlineStr">
        <is>
          <t>VAR_3</t>
        </is>
      </c>
      <c r="C1337" s="3" t="inlineStr">
        <is>
          <t>Electrical Material</t>
        </is>
      </c>
      <c r="D1337" s="3" t="inlineStr">
        <is>
          <t>COB Light</t>
        </is>
      </c>
      <c r="E1337" s="3" t="inlineStr">
        <is>
          <t>Philips</t>
        </is>
      </c>
      <c r="F1337" s="3" t="inlineStr">
        <is>
          <t>Astra Spot (Tilt)</t>
        </is>
      </c>
      <c r="H1337" s="3" t="inlineStr">
        <is>
          <t>Wattage</t>
        </is>
      </c>
      <c r="I1337" s="3" t="inlineStr">
        <is>
          <t>3 W</t>
        </is>
      </c>
      <c r="J1337" s="3" t="inlineStr">
        <is>
          <t>Cutting Size</t>
        </is>
      </c>
      <c r="K1337" s="3" t="inlineStr">
        <is>
          <t>64 mm</t>
        </is>
      </c>
      <c r="L1337" s="3" t="inlineStr">
        <is>
          <t>Color</t>
        </is>
      </c>
      <c r="M1337" s="3" t="inlineStr">
        <is>
          <t>Natural White</t>
        </is>
      </c>
      <c r="Q1337" s="3" t="inlineStr">
        <is>
          <t>Manufacturer's Warranty</t>
        </is>
      </c>
      <c r="Y1337" s="3" t="inlineStr">
        <is>
          <t>COB_PH_AST_1, COB_PH_AST_2</t>
        </is>
      </c>
      <c r="Z1337" s="3" t="n">
        <v>9405</v>
      </c>
      <c r="AE1337" s="3" t="n">
        <v>680</v>
      </c>
      <c r="AF1337" s="4" t="n">
        <v>0.5</v>
      </c>
      <c r="AG1337" s="3">
        <f>ROUND(AE1337-(AE1337*AF1337),2)</f>
        <v/>
      </c>
      <c r="AH1337" s="4" t="n">
        <v>0.18</v>
      </c>
      <c r="AI1337" s="3">
        <f>ROUND(AG1337+(AG1337*AH1337),2)</f>
        <v/>
      </c>
      <c r="AJ1337" s="4" t="n">
        <v>0.2</v>
      </c>
      <c r="AK1337" s="3">
        <f>ROUND(AI1337*AJ1337,2)</f>
        <v/>
      </c>
      <c r="AL1337" s="3">
        <f>AI1337+AK1337</f>
        <v/>
      </c>
      <c r="AM1337" s="3">
        <f>AE1337-AL1337</f>
        <v/>
      </c>
      <c r="AN1337" s="4">
        <f>AM1337/AE1337</f>
        <v/>
      </c>
      <c r="AO1337" s="3" t="inlineStr">
        <is>
          <t>3 hrs</t>
        </is>
      </c>
      <c r="AQ1337" s="3" t="inlineStr">
        <is>
          <t>Weight</t>
        </is>
      </c>
      <c r="AT1337" s="3" t="inlineStr">
        <is>
          <t>3 hrs</t>
        </is>
      </c>
    </row>
    <row r="1338" ht="15.75" customHeight="1">
      <c r="A1338" s="3" t="inlineStr">
        <is>
          <t>PROD_0247</t>
        </is>
      </c>
      <c r="B1338" s="3" t="inlineStr">
        <is>
          <t>VAR_1</t>
        </is>
      </c>
      <c r="C1338" s="3" t="inlineStr">
        <is>
          <t>Electrical Material</t>
        </is>
      </c>
      <c r="D1338" s="3" t="inlineStr">
        <is>
          <t>COB Light</t>
        </is>
      </c>
      <c r="E1338" s="3" t="inlineStr">
        <is>
          <t>Philips</t>
        </is>
      </c>
      <c r="F1338" s="3" t="inlineStr">
        <is>
          <t>Spot Plus</t>
        </is>
      </c>
      <c r="H1338" s="3" t="inlineStr">
        <is>
          <t>Wattage</t>
        </is>
      </c>
      <c r="I1338" s="3" t="inlineStr">
        <is>
          <t>2 W</t>
        </is>
      </c>
      <c r="J1338" s="3" t="inlineStr">
        <is>
          <t>Cutting Size</t>
        </is>
      </c>
      <c r="K1338" s="3" t="inlineStr">
        <is>
          <t>35 mm</t>
        </is>
      </c>
      <c r="L1338" s="3" t="inlineStr">
        <is>
          <t>Color</t>
        </is>
      </c>
      <c r="M1338" s="3" t="inlineStr">
        <is>
          <t>Warm White</t>
        </is>
      </c>
      <c r="Q1338" s="3" t="inlineStr">
        <is>
          <t>Manufacturer's Warranty</t>
        </is>
      </c>
      <c r="Y1338" s="3" t="inlineStr">
        <is>
          <t>COB_PH_ASTSPT+</t>
        </is>
      </c>
      <c r="Z1338" s="3" t="n">
        <v>9405</v>
      </c>
      <c r="AE1338" s="3" t="n">
        <v>290</v>
      </c>
      <c r="AF1338" s="4" t="n">
        <v>0.37</v>
      </c>
      <c r="AG1338" s="3">
        <f>ROUND(AE1338-(AE1338*AF1338),2)</f>
        <v/>
      </c>
      <c r="AH1338" s="4" t="n">
        <v>0.18</v>
      </c>
      <c r="AI1338" s="3">
        <f>ROUND(AG1338+(AG1338*AH1338),2)</f>
        <v/>
      </c>
      <c r="AJ1338" s="4" t="n">
        <v>0.2</v>
      </c>
      <c r="AK1338" s="3">
        <f>ROUND(AI1338*AJ1338,2)</f>
        <v/>
      </c>
      <c r="AL1338" s="3">
        <f>AI1338+AK1338</f>
        <v/>
      </c>
      <c r="AM1338" s="3">
        <f>AE1338-AL1338</f>
        <v/>
      </c>
      <c r="AN1338" s="4">
        <f>AM1338/AE1338</f>
        <v/>
      </c>
      <c r="AO1338" s="3" t="inlineStr">
        <is>
          <t>3 hrs</t>
        </is>
      </c>
      <c r="AQ1338" s="3" t="inlineStr">
        <is>
          <t>Weight</t>
        </is>
      </c>
      <c r="AT1338" s="3" t="inlineStr">
        <is>
          <t>3 hrs</t>
        </is>
      </c>
    </row>
    <row r="1339" ht="15.75" customHeight="1">
      <c r="A1339" s="3" t="inlineStr">
        <is>
          <t>PROD_0247</t>
        </is>
      </c>
      <c r="B1339" s="3" t="inlineStr">
        <is>
          <t>VAR_2</t>
        </is>
      </c>
      <c r="C1339" s="3" t="inlineStr">
        <is>
          <t>Electrical Material</t>
        </is>
      </c>
      <c r="D1339" s="3" t="inlineStr">
        <is>
          <t>COB Light</t>
        </is>
      </c>
      <c r="E1339" s="3" t="inlineStr">
        <is>
          <t>Philips</t>
        </is>
      </c>
      <c r="F1339" s="3" t="inlineStr">
        <is>
          <t>Spot Plus</t>
        </is>
      </c>
      <c r="H1339" s="3" t="inlineStr">
        <is>
          <t>Wattage</t>
        </is>
      </c>
      <c r="I1339" s="3" t="inlineStr">
        <is>
          <t>2 W</t>
        </is>
      </c>
      <c r="J1339" s="3" t="inlineStr">
        <is>
          <t>Cutting Size</t>
        </is>
      </c>
      <c r="K1339" s="3" t="inlineStr">
        <is>
          <t>35 mm</t>
        </is>
      </c>
      <c r="L1339" s="3" t="inlineStr">
        <is>
          <t>Color</t>
        </is>
      </c>
      <c r="M1339" s="3" t="inlineStr">
        <is>
          <t>Cool White</t>
        </is>
      </c>
      <c r="Q1339" s="3" t="inlineStr">
        <is>
          <t>Manufacturer's Warranty</t>
        </is>
      </c>
      <c r="Y1339" s="3" t="inlineStr">
        <is>
          <t>COB_PH_ASTSPT+</t>
        </is>
      </c>
      <c r="Z1339" s="3" t="n">
        <v>9405</v>
      </c>
      <c r="AE1339" s="3" t="n">
        <v>290</v>
      </c>
      <c r="AF1339" s="4" t="n">
        <v>0.37</v>
      </c>
      <c r="AG1339" s="3">
        <f>ROUND(AE1339-(AE1339*AF1339),2)</f>
        <v/>
      </c>
      <c r="AH1339" s="4" t="n">
        <v>0.18</v>
      </c>
      <c r="AI1339" s="3">
        <f>ROUND(AG1339+(AG1339*AH1339),2)</f>
        <v/>
      </c>
      <c r="AJ1339" s="4" t="n">
        <v>0.2</v>
      </c>
      <c r="AK1339" s="3">
        <f>ROUND(AI1339*AJ1339,2)</f>
        <v/>
      </c>
      <c r="AL1339" s="3">
        <f>AI1339+AK1339</f>
        <v/>
      </c>
      <c r="AM1339" s="3">
        <f>AE1339-AL1339</f>
        <v/>
      </c>
      <c r="AN1339" s="4">
        <f>AM1339/AE1339</f>
        <v/>
      </c>
      <c r="AO1339" s="3" t="inlineStr">
        <is>
          <t>3 hrs</t>
        </is>
      </c>
      <c r="AQ1339" s="3" t="inlineStr">
        <is>
          <t>Weight</t>
        </is>
      </c>
      <c r="AT1339" s="3" t="inlineStr">
        <is>
          <t>3 hrs</t>
        </is>
      </c>
    </row>
    <row r="1340" ht="15.75" customHeight="1">
      <c r="A1340" s="3" t="inlineStr">
        <is>
          <t>PROD_0248</t>
        </is>
      </c>
      <c r="B1340" s="3" t="inlineStr">
        <is>
          <t>VAR_1</t>
        </is>
      </c>
      <c r="C1340" s="3" t="inlineStr">
        <is>
          <t>Electrical Material</t>
        </is>
      </c>
      <c r="D1340" s="3" t="inlineStr">
        <is>
          <t>Strip Light</t>
        </is>
      </c>
      <c r="E1340" s="3" t="inlineStr">
        <is>
          <t>Philips</t>
        </is>
      </c>
      <c r="F1340" s="3" t="inlineStr">
        <is>
          <t>Linea Bright | 5 m</t>
        </is>
      </c>
      <c r="H1340" s="3" t="inlineStr">
        <is>
          <t>Wattage</t>
        </is>
      </c>
      <c r="I1340" s="3" t="inlineStr">
        <is>
          <t>28 W</t>
        </is>
      </c>
      <c r="J1340" s="3" t="inlineStr">
        <is>
          <t>Luminex (per meter)</t>
        </is>
      </c>
      <c r="K1340" s="3" t="inlineStr">
        <is>
          <t>480 LM</t>
        </is>
      </c>
      <c r="L1340" s="3" t="inlineStr">
        <is>
          <t>Color</t>
        </is>
      </c>
      <c r="M1340" s="3" t="inlineStr">
        <is>
          <t>Warm White</t>
        </is>
      </c>
      <c r="N1340" s="3" t="inlineStr">
        <is>
          <t>Bulb per meter</t>
        </is>
      </c>
      <c r="O1340" s="3" t="n">
        <v>60</v>
      </c>
      <c r="Q1340" s="3" t="inlineStr">
        <is>
          <t>Manufacturer's Warranty</t>
        </is>
      </c>
      <c r="Y1340" s="3" t="inlineStr">
        <is>
          <t>SL_PH_LIN</t>
        </is>
      </c>
      <c r="Z1340" s="3" t="n">
        <v>9405</v>
      </c>
      <c r="AE1340" s="3" t="n">
        <v>2980</v>
      </c>
      <c r="AF1340" s="4" t="n">
        <v>0.65</v>
      </c>
      <c r="AG1340" s="3">
        <f>ROUND(AE1340-(AE1340*AF1340),2)</f>
        <v/>
      </c>
      <c r="AH1340" s="4" t="n">
        <v>0.18</v>
      </c>
      <c r="AI1340" s="3">
        <f>ROUND(AG1340+(AG1340*AH1340),2)</f>
        <v/>
      </c>
      <c r="AJ1340" s="4" t="n">
        <v>0.2</v>
      </c>
      <c r="AK1340" s="3">
        <f>ROUND(AI1340*AJ1340,2)</f>
        <v/>
      </c>
      <c r="AL1340" s="3">
        <f>AI1340+AK1340</f>
        <v/>
      </c>
      <c r="AM1340" s="3">
        <f>AE1340-AL1340</f>
        <v/>
      </c>
      <c r="AN1340" s="4">
        <f>AM1340/AE1340</f>
        <v/>
      </c>
      <c r="AO1340" s="3" t="inlineStr">
        <is>
          <t>3 hrs</t>
        </is>
      </c>
      <c r="AQ1340" s="3" t="inlineStr">
        <is>
          <t>Weight</t>
        </is>
      </c>
      <c r="AT1340" s="3" t="inlineStr">
        <is>
          <t>3 hrs</t>
        </is>
      </c>
    </row>
    <row r="1341" ht="15.75" customHeight="1">
      <c r="A1341" s="3" t="inlineStr">
        <is>
          <t>PROD_0248</t>
        </is>
      </c>
      <c r="B1341" s="3" t="inlineStr">
        <is>
          <t>VAR_2</t>
        </is>
      </c>
      <c r="C1341" s="3" t="inlineStr">
        <is>
          <t>Electrical Material</t>
        </is>
      </c>
      <c r="D1341" s="3" t="inlineStr">
        <is>
          <t>Strip Light</t>
        </is>
      </c>
      <c r="E1341" s="3" t="inlineStr">
        <is>
          <t>Philips</t>
        </is>
      </c>
      <c r="F1341" s="3" t="inlineStr">
        <is>
          <t>Linea Bright | 5 m</t>
        </is>
      </c>
      <c r="H1341" s="3" t="inlineStr">
        <is>
          <t>Wattage</t>
        </is>
      </c>
      <c r="I1341" s="3" t="inlineStr">
        <is>
          <t>28 W</t>
        </is>
      </c>
      <c r="J1341" s="3" t="inlineStr">
        <is>
          <t>Luminex (per meter)</t>
        </is>
      </c>
      <c r="K1341" s="3" t="inlineStr">
        <is>
          <t>480 LM</t>
        </is>
      </c>
      <c r="L1341" s="3" t="inlineStr">
        <is>
          <t>Color</t>
        </is>
      </c>
      <c r="M1341" s="3" t="inlineStr">
        <is>
          <t>Natural White</t>
        </is>
      </c>
      <c r="N1341" s="3" t="inlineStr">
        <is>
          <t>Bulb per meter</t>
        </is>
      </c>
      <c r="O1341" s="3" t="n">
        <v>60</v>
      </c>
      <c r="Q1341" s="3" t="inlineStr">
        <is>
          <t>Manufacturer's Warranty</t>
        </is>
      </c>
      <c r="Y1341" s="3" t="inlineStr">
        <is>
          <t>SL_PH_LIN</t>
        </is>
      </c>
      <c r="Z1341" s="3" t="n">
        <v>9405</v>
      </c>
      <c r="AE1341" s="3" t="n">
        <v>2980</v>
      </c>
      <c r="AF1341" s="4" t="n">
        <v>0.65</v>
      </c>
      <c r="AG1341" s="3">
        <f>ROUND(AE1341-(AE1341*AF1341),2)</f>
        <v/>
      </c>
      <c r="AH1341" s="4" t="n">
        <v>0.18</v>
      </c>
      <c r="AI1341" s="3">
        <f>ROUND(AG1341+(AG1341*AH1341),2)</f>
        <v/>
      </c>
      <c r="AJ1341" s="4" t="n">
        <v>0.2</v>
      </c>
      <c r="AK1341" s="3">
        <f>ROUND(AI1341*AJ1341,2)</f>
        <v/>
      </c>
      <c r="AL1341" s="3">
        <f>AI1341+AK1341</f>
        <v/>
      </c>
      <c r="AM1341" s="3">
        <f>AE1341-AL1341</f>
        <v/>
      </c>
      <c r="AN1341" s="4">
        <f>AM1341/AE1341</f>
        <v/>
      </c>
      <c r="AO1341" s="3" t="inlineStr">
        <is>
          <t>3 hrs</t>
        </is>
      </c>
      <c r="AQ1341" s="3" t="inlineStr">
        <is>
          <t>Weight</t>
        </is>
      </c>
      <c r="AT1341" s="3" t="inlineStr">
        <is>
          <t>3 hrs</t>
        </is>
      </c>
    </row>
    <row r="1342" ht="15.75" customHeight="1">
      <c r="A1342" s="3" t="inlineStr">
        <is>
          <t>PROD_0248</t>
        </is>
      </c>
      <c r="B1342" s="3" t="inlineStr">
        <is>
          <t>VAR_3</t>
        </is>
      </c>
      <c r="C1342" s="3" t="inlineStr">
        <is>
          <t>Electrical Material</t>
        </is>
      </c>
      <c r="D1342" s="3" t="inlineStr">
        <is>
          <t>Strip Light</t>
        </is>
      </c>
      <c r="E1342" s="3" t="inlineStr">
        <is>
          <t>Philips</t>
        </is>
      </c>
      <c r="F1342" s="3" t="inlineStr">
        <is>
          <t>Linea Bright | 5 m</t>
        </is>
      </c>
      <c r="H1342" s="3" t="inlineStr">
        <is>
          <t>Wattage</t>
        </is>
      </c>
      <c r="I1342" s="3" t="inlineStr">
        <is>
          <t>28 W</t>
        </is>
      </c>
      <c r="J1342" s="3" t="inlineStr">
        <is>
          <t>Luminex (per meter)</t>
        </is>
      </c>
      <c r="K1342" s="3" t="inlineStr">
        <is>
          <t>480 LM</t>
        </is>
      </c>
      <c r="L1342" s="3" t="inlineStr">
        <is>
          <t>Color</t>
        </is>
      </c>
      <c r="M1342" s="3" t="inlineStr">
        <is>
          <t>Cool White</t>
        </is>
      </c>
      <c r="N1342" s="3" t="inlineStr">
        <is>
          <t>Bulb per meter</t>
        </is>
      </c>
      <c r="O1342" s="3" t="n">
        <v>60</v>
      </c>
      <c r="Q1342" s="3" t="inlineStr">
        <is>
          <t>Manufacturer's Warranty</t>
        </is>
      </c>
      <c r="Y1342" s="3" t="inlineStr">
        <is>
          <t>SL_PH_LIN</t>
        </is>
      </c>
      <c r="Z1342" s="3" t="n">
        <v>9405</v>
      </c>
      <c r="AE1342" s="3" t="n">
        <v>2980</v>
      </c>
      <c r="AF1342" s="4" t="n">
        <v>0.65</v>
      </c>
      <c r="AG1342" s="3">
        <f>ROUND(AE1342-(AE1342*AF1342),2)</f>
        <v/>
      </c>
      <c r="AH1342" s="4" t="n">
        <v>0.18</v>
      </c>
      <c r="AI1342" s="3">
        <f>ROUND(AG1342+(AG1342*AH1342),2)</f>
        <v/>
      </c>
      <c r="AJ1342" s="4" t="n">
        <v>0.2</v>
      </c>
      <c r="AK1342" s="3">
        <f>ROUND(AI1342*AJ1342,2)</f>
        <v/>
      </c>
      <c r="AL1342" s="3">
        <f>AI1342+AK1342</f>
        <v/>
      </c>
      <c r="AM1342" s="3">
        <f>AE1342-AL1342</f>
        <v/>
      </c>
      <c r="AN1342" s="4">
        <f>AM1342/AE1342</f>
        <v/>
      </c>
      <c r="AO1342" s="3" t="inlineStr">
        <is>
          <t>3 hrs</t>
        </is>
      </c>
      <c r="AQ1342" s="3" t="inlineStr">
        <is>
          <t>Weight</t>
        </is>
      </c>
      <c r="AT1342" s="3" t="inlineStr">
        <is>
          <t>3 hrs</t>
        </is>
      </c>
    </row>
    <row r="1343" ht="15.75" customHeight="1">
      <c r="A1343" s="3" t="inlineStr">
        <is>
          <t>PROD_0249</t>
        </is>
      </c>
      <c r="B1343" s="3" t="inlineStr">
        <is>
          <t>VAR_1</t>
        </is>
      </c>
      <c r="C1343" s="3" t="inlineStr">
        <is>
          <t>Electrical Material</t>
        </is>
      </c>
      <c r="D1343" s="3" t="inlineStr">
        <is>
          <t>Strip Light</t>
        </is>
      </c>
      <c r="E1343" s="3" t="inlineStr">
        <is>
          <t>Philips</t>
        </is>
      </c>
      <c r="F1343" s="3" t="inlineStr">
        <is>
          <t>Cove Glow | 5 m</t>
        </is>
      </c>
      <c r="H1343" s="3" t="inlineStr">
        <is>
          <t>Wattage</t>
        </is>
      </c>
      <c r="I1343" s="3" t="inlineStr">
        <is>
          <t>24 W</t>
        </is>
      </c>
      <c r="J1343" s="3" t="inlineStr">
        <is>
          <t>Luminex (per meter)</t>
        </is>
      </c>
      <c r="K1343" s="3" t="inlineStr">
        <is>
          <t>360 LM</t>
        </is>
      </c>
      <c r="L1343" s="3" t="inlineStr">
        <is>
          <t>Color</t>
        </is>
      </c>
      <c r="M1343" s="3" t="inlineStr">
        <is>
          <t>Warm White</t>
        </is>
      </c>
      <c r="N1343" s="3" t="inlineStr">
        <is>
          <t>Bulb per meter</t>
        </is>
      </c>
      <c r="O1343" s="3" t="n">
        <v>48</v>
      </c>
      <c r="Q1343" s="3" t="inlineStr">
        <is>
          <t>Manufacturer's Warranty</t>
        </is>
      </c>
      <c r="Y1343" s="3" t="inlineStr">
        <is>
          <t>SL_PH_CVGLW, SL_PH_CVGLW_WW</t>
        </is>
      </c>
      <c r="Z1343" s="3" t="n">
        <v>9405</v>
      </c>
      <c r="AE1343" s="3" t="n">
        <v>800</v>
      </c>
      <c r="AF1343" s="4" t="n">
        <v>0.55</v>
      </c>
      <c r="AG1343" s="3">
        <f>ROUND(AE1343-(AE1343*AF1343),2)</f>
        <v/>
      </c>
      <c r="AH1343" s="4" t="n">
        <v>0.18</v>
      </c>
      <c r="AI1343" s="3">
        <f>ROUND(AG1343+(AG1343*AH1343),2)</f>
        <v/>
      </c>
      <c r="AJ1343" s="4" t="n">
        <v>0.2</v>
      </c>
      <c r="AK1343" s="3">
        <f>ROUND(AI1343*AJ1343,2)</f>
        <v/>
      </c>
      <c r="AL1343" s="3">
        <f>AI1343+AK1343</f>
        <v/>
      </c>
      <c r="AM1343" s="3">
        <f>AE1343-AL1343</f>
        <v/>
      </c>
      <c r="AN1343" s="4">
        <f>AM1343/AE1343</f>
        <v/>
      </c>
      <c r="AO1343" s="3" t="inlineStr">
        <is>
          <t>3 hrs</t>
        </is>
      </c>
      <c r="AQ1343" s="3" t="inlineStr">
        <is>
          <t>Weight</t>
        </is>
      </c>
      <c r="AT1343" s="3" t="inlineStr">
        <is>
          <t>3 hrs</t>
        </is>
      </c>
    </row>
    <row r="1344" ht="15.75" customHeight="1">
      <c r="A1344" s="3" t="inlineStr">
        <is>
          <t>PROD_0249</t>
        </is>
      </c>
      <c r="B1344" s="3" t="inlineStr">
        <is>
          <t>VAR_2</t>
        </is>
      </c>
      <c r="C1344" s="3" t="inlineStr">
        <is>
          <t>Electrical Material</t>
        </is>
      </c>
      <c r="D1344" s="3" t="inlineStr">
        <is>
          <t>Strip Light</t>
        </is>
      </c>
      <c r="E1344" s="3" t="inlineStr">
        <is>
          <t>Philips</t>
        </is>
      </c>
      <c r="F1344" s="3" t="inlineStr">
        <is>
          <t>Cove Glow | 5 m</t>
        </is>
      </c>
      <c r="H1344" s="3" t="inlineStr">
        <is>
          <t>Wattage</t>
        </is>
      </c>
      <c r="I1344" s="3" t="inlineStr">
        <is>
          <t>24 W</t>
        </is>
      </c>
      <c r="J1344" s="3" t="inlineStr">
        <is>
          <t>Luminex (per meter)</t>
        </is>
      </c>
      <c r="K1344" s="3" t="inlineStr">
        <is>
          <t>360 LM</t>
        </is>
      </c>
      <c r="L1344" s="3" t="inlineStr">
        <is>
          <t>Color</t>
        </is>
      </c>
      <c r="M1344" s="3" t="inlineStr">
        <is>
          <t>Natural White</t>
        </is>
      </c>
      <c r="N1344" s="3" t="inlineStr">
        <is>
          <t>Bulb per meter</t>
        </is>
      </c>
      <c r="O1344" s="3" t="n">
        <v>48</v>
      </c>
      <c r="Q1344" s="3" t="inlineStr">
        <is>
          <t>Manufacturer's Warranty</t>
        </is>
      </c>
      <c r="Y1344" s="3" t="inlineStr">
        <is>
          <t>SL_PH_CVGLW, SL_PH_CVGLW_NW</t>
        </is>
      </c>
      <c r="Z1344" s="3" t="n">
        <v>9405</v>
      </c>
      <c r="AE1344" s="3" t="n">
        <v>800</v>
      </c>
      <c r="AF1344" s="4" t="n">
        <v>0.55</v>
      </c>
      <c r="AG1344" s="3">
        <f>ROUND(AE1344-(AE1344*AF1344),2)</f>
        <v/>
      </c>
      <c r="AH1344" s="4" t="n">
        <v>0.18</v>
      </c>
      <c r="AI1344" s="3">
        <f>ROUND(AG1344+(AG1344*AH1344),2)</f>
        <v/>
      </c>
      <c r="AJ1344" s="4" t="n">
        <v>0.2</v>
      </c>
      <c r="AK1344" s="3">
        <f>ROUND(AI1344*AJ1344,2)</f>
        <v/>
      </c>
      <c r="AL1344" s="3">
        <f>AI1344+AK1344</f>
        <v/>
      </c>
      <c r="AM1344" s="3">
        <f>AE1344-AL1344</f>
        <v/>
      </c>
      <c r="AN1344" s="4">
        <f>AM1344/AE1344</f>
        <v/>
      </c>
      <c r="AO1344" s="3" t="inlineStr">
        <is>
          <t>3 hrs</t>
        </is>
      </c>
      <c r="AQ1344" s="3" t="inlineStr">
        <is>
          <t>Weight</t>
        </is>
      </c>
      <c r="AT1344" s="3" t="inlineStr">
        <is>
          <t>3 hrs</t>
        </is>
      </c>
    </row>
    <row r="1345" ht="15.75" customHeight="1">
      <c r="A1345" s="3" t="inlineStr">
        <is>
          <t>PROD_0249</t>
        </is>
      </c>
      <c r="B1345" s="3" t="inlineStr">
        <is>
          <t>VAR_3</t>
        </is>
      </c>
      <c r="C1345" s="3" t="inlineStr">
        <is>
          <t>Electrical Material</t>
        </is>
      </c>
      <c r="D1345" s="3" t="inlineStr">
        <is>
          <t>Strip Light</t>
        </is>
      </c>
      <c r="E1345" s="3" t="inlineStr">
        <is>
          <t>Philips</t>
        </is>
      </c>
      <c r="F1345" s="3" t="inlineStr">
        <is>
          <t>Cove Glow | 5 m</t>
        </is>
      </c>
      <c r="H1345" s="3" t="inlineStr">
        <is>
          <t>Wattage</t>
        </is>
      </c>
      <c r="I1345" s="3" t="inlineStr">
        <is>
          <t>24 W</t>
        </is>
      </c>
      <c r="J1345" s="3" t="inlineStr">
        <is>
          <t>Luminex (per meter)</t>
        </is>
      </c>
      <c r="K1345" s="3" t="inlineStr">
        <is>
          <t>360 LM</t>
        </is>
      </c>
      <c r="L1345" s="3" t="inlineStr">
        <is>
          <t>Color</t>
        </is>
      </c>
      <c r="M1345" s="3" t="inlineStr">
        <is>
          <t>Cool White</t>
        </is>
      </c>
      <c r="N1345" s="3" t="inlineStr">
        <is>
          <t>Bulb per meter</t>
        </is>
      </c>
      <c r="O1345" s="3" t="n">
        <v>48</v>
      </c>
      <c r="Q1345" s="3" t="inlineStr">
        <is>
          <t>Manufacturer's Warranty</t>
        </is>
      </c>
      <c r="Y1345" s="3" t="inlineStr">
        <is>
          <t>SL_PH_CVGLW, SL_PH_CVGLW_CW</t>
        </is>
      </c>
      <c r="Z1345" s="3" t="n">
        <v>9405</v>
      </c>
      <c r="AE1345" s="3" t="n">
        <v>800</v>
      </c>
      <c r="AF1345" s="4" t="n">
        <v>0.55</v>
      </c>
      <c r="AG1345" s="3">
        <f>ROUND(AE1345-(AE1345*AF1345),2)</f>
        <v/>
      </c>
      <c r="AH1345" s="4" t="n">
        <v>0.18</v>
      </c>
      <c r="AI1345" s="3">
        <f>ROUND(AG1345+(AG1345*AH1345),2)</f>
        <v/>
      </c>
      <c r="AJ1345" s="4" t="n">
        <v>0.2</v>
      </c>
      <c r="AK1345" s="3">
        <f>ROUND(AI1345*AJ1345,2)</f>
        <v/>
      </c>
      <c r="AL1345" s="3">
        <f>AI1345+AK1345</f>
        <v/>
      </c>
      <c r="AM1345" s="3">
        <f>AE1345-AL1345</f>
        <v/>
      </c>
      <c r="AN1345" s="4">
        <f>AM1345/AE1345</f>
        <v/>
      </c>
      <c r="AO1345" s="3" t="inlineStr">
        <is>
          <t>3 hrs</t>
        </is>
      </c>
      <c r="AQ1345" s="3" t="inlineStr">
        <is>
          <t>Weight</t>
        </is>
      </c>
      <c r="AT1345" s="3" t="inlineStr">
        <is>
          <t>3 hrs</t>
        </is>
      </c>
    </row>
    <row r="1346" ht="15.75" customHeight="1">
      <c r="A1346" s="3" t="inlineStr">
        <is>
          <t>PROD_0250</t>
        </is>
      </c>
      <c r="B1346" s="3" t="inlineStr">
        <is>
          <t>VAR_1</t>
        </is>
      </c>
      <c r="C1346" s="3" t="inlineStr">
        <is>
          <t>Electrical Material</t>
        </is>
      </c>
      <c r="D1346" s="3" t="inlineStr">
        <is>
          <t>Strip Light</t>
        </is>
      </c>
      <c r="E1346" s="3" t="inlineStr">
        <is>
          <t>Philips</t>
        </is>
      </c>
      <c r="F1346" s="3" t="inlineStr">
        <is>
          <t>Even Glow | 5 m</t>
        </is>
      </c>
      <c r="H1346" s="3" t="inlineStr">
        <is>
          <t>Wattage</t>
        </is>
      </c>
      <c r="I1346" s="3" t="inlineStr">
        <is>
          <t>33 W</t>
        </is>
      </c>
      <c r="J1346" s="3" t="inlineStr">
        <is>
          <t>Luminex (per meter)</t>
        </is>
      </c>
      <c r="K1346" s="3" t="inlineStr">
        <is>
          <t>500 LM</t>
        </is>
      </c>
      <c r="L1346" s="3" t="inlineStr">
        <is>
          <t>Color</t>
        </is>
      </c>
      <c r="M1346" s="3" t="inlineStr">
        <is>
          <t>Warm White</t>
        </is>
      </c>
      <c r="N1346" s="3" t="inlineStr">
        <is>
          <t>Bulb per meter</t>
        </is>
      </c>
      <c r="O1346" s="3" t="n">
        <v>120</v>
      </c>
      <c r="Q1346" s="3" t="inlineStr">
        <is>
          <t>Manufacturer's Warranty</t>
        </is>
      </c>
      <c r="R1346" s="3" t="n">
        <v>929003605401</v>
      </c>
      <c r="V1346" s="3" t="inlineStr">
        <is>
          <t>Additional Adapter</t>
        </is>
      </c>
      <c r="Y1346" s="3" t="inlineStr">
        <is>
          <t>SL_PH_EVGLW</t>
        </is>
      </c>
      <c r="Z1346" s="3" t="n">
        <v>9405</v>
      </c>
      <c r="AE1346" s="3" t="n">
        <v>1600</v>
      </c>
      <c r="AF1346" s="4" t="n">
        <v>0.68</v>
      </c>
      <c r="AG1346" s="3">
        <f>ROUND(AE1346-(AE1346*AF1346),2)</f>
        <v/>
      </c>
      <c r="AH1346" s="4" t="n">
        <v>0.18</v>
      </c>
      <c r="AI1346" s="3">
        <f>ROUND(AG1346+(AG1346*AH1346),2)</f>
        <v/>
      </c>
      <c r="AJ1346" s="4" t="n">
        <v>0.2</v>
      </c>
      <c r="AK1346" s="3">
        <f>ROUND(AI1346*AJ1346,2)</f>
        <v/>
      </c>
      <c r="AL1346" s="3">
        <f>AI1346+AK1346</f>
        <v/>
      </c>
      <c r="AM1346" s="3">
        <f>AE1346-AL1346</f>
        <v/>
      </c>
      <c r="AN1346" s="4">
        <f>AM1346/AE1346</f>
        <v/>
      </c>
      <c r="AO1346" s="3" t="inlineStr">
        <is>
          <t>3 hrs</t>
        </is>
      </c>
      <c r="AQ1346" s="3" t="inlineStr">
        <is>
          <t>Weight</t>
        </is>
      </c>
      <c r="AT1346" s="3" t="inlineStr">
        <is>
          <t>3 hrs</t>
        </is>
      </c>
    </row>
    <row r="1347" ht="15.75" customHeight="1">
      <c r="A1347" s="3" t="inlineStr">
        <is>
          <t>PROD_0250</t>
        </is>
      </c>
      <c r="B1347" s="3" t="inlineStr">
        <is>
          <t>VAR_2</t>
        </is>
      </c>
      <c r="C1347" s="3" t="inlineStr">
        <is>
          <t>Electrical Material</t>
        </is>
      </c>
      <c r="D1347" s="3" t="inlineStr">
        <is>
          <t>Strip Light</t>
        </is>
      </c>
      <c r="E1347" s="3" t="inlineStr">
        <is>
          <t>Philips</t>
        </is>
      </c>
      <c r="F1347" s="3" t="inlineStr">
        <is>
          <t>Even Glow | 5 m</t>
        </is>
      </c>
      <c r="H1347" s="3" t="inlineStr">
        <is>
          <t>Wattage</t>
        </is>
      </c>
      <c r="I1347" s="3" t="inlineStr">
        <is>
          <t>33 W</t>
        </is>
      </c>
      <c r="J1347" s="3" t="inlineStr">
        <is>
          <t>Luminex (per meter)</t>
        </is>
      </c>
      <c r="K1347" s="3" t="inlineStr">
        <is>
          <t>500 LM</t>
        </is>
      </c>
      <c r="L1347" s="3" t="inlineStr">
        <is>
          <t>Color</t>
        </is>
      </c>
      <c r="M1347" s="3" t="inlineStr">
        <is>
          <t>Natural White</t>
        </is>
      </c>
      <c r="N1347" s="3" t="inlineStr">
        <is>
          <t>Bulb per meter</t>
        </is>
      </c>
      <c r="O1347" s="3" t="n">
        <v>120</v>
      </c>
      <c r="Q1347" s="3" t="inlineStr">
        <is>
          <t>Manufacturer's Warranty</t>
        </is>
      </c>
      <c r="R1347" s="3" t="n">
        <v>929003605501</v>
      </c>
      <c r="Y1347" s="3" t="inlineStr">
        <is>
          <t>SL_PH_EVGLW</t>
        </is>
      </c>
      <c r="Z1347" s="3" t="n">
        <v>9405</v>
      </c>
      <c r="AE1347" s="3" t="n">
        <v>1600</v>
      </c>
      <c r="AF1347" s="4" t="n">
        <v>0.68</v>
      </c>
      <c r="AG1347" s="3">
        <f>ROUND(AE1347-(AE1347*AF1347),2)</f>
        <v/>
      </c>
      <c r="AH1347" s="4" t="n">
        <v>0.18</v>
      </c>
      <c r="AI1347" s="3">
        <f>ROUND(AG1347+(AG1347*AH1347),2)</f>
        <v/>
      </c>
      <c r="AJ1347" s="4" t="n">
        <v>0.2</v>
      </c>
      <c r="AK1347" s="3">
        <f>ROUND(AI1347*AJ1347,2)</f>
        <v/>
      </c>
      <c r="AL1347" s="3">
        <f>AI1347+AK1347</f>
        <v/>
      </c>
      <c r="AM1347" s="3">
        <f>AE1347-AL1347</f>
        <v/>
      </c>
      <c r="AN1347" s="4">
        <f>AM1347/AE1347</f>
        <v/>
      </c>
      <c r="AO1347" s="3" t="inlineStr">
        <is>
          <t>3 hrs</t>
        </is>
      </c>
      <c r="AQ1347" s="3" t="inlineStr">
        <is>
          <t>Weight</t>
        </is>
      </c>
      <c r="AT1347" s="3" t="inlineStr">
        <is>
          <t>3 hrs</t>
        </is>
      </c>
    </row>
    <row r="1348" ht="15.75" customHeight="1">
      <c r="A1348" s="3" t="inlineStr">
        <is>
          <t>PROD_0250</t>
        </is>
      </c>
      <c r="B1348" s="3" t="inlineStr">
        <is>
          <t>VAR_3</t>
        </is>
      </c>
      <c r="C1348" s="3" t="inlineStr">
        <is>
          <t>Electrical Material</t>
        </is>
      </c>
      <c r="D1348" s="3" t="inlineStr">
        <is>
          <t>Strip Light</t>
        </is>
      </c>
      <c r="E1348" s="3" t="inlineStr">
        <is>
          <t>Philips</t>
        </is>
      </c>
      <c r="F1348" s="3" t="inlineStr">
        <is>
          <t>Even Glow | 5 m</t>
        </is>
      </c>
      <c r="H1348" s="3" t="inlineStr">
        <is>
          <t>Wattage</t>
        </is>
      </c>
      <c r="I1348" s="3" t="inlineStr">
        <is>
          <t>33 W</t>
        </is>
      </c>
      <c r="J1348" s="3" t="inlineStr">
        <is>
          <t>Luminex (per meter)</t>
        </is>
      </c>
      <c r="K1348" s="3" t="inlineStr">
        <is>
          <t>500 LM</t>
        </is>
      </c>
      <c r="L1348" s="3" t="inlineStr">
        <is>
          <t>Color</t>
        </is>
      </c>
      <c r="M1348" s="3" t="inlineStr">
        <is>
          <t>Cool Daily White</t>
        </is>
      </c>
      <c r="N1348" s="3" t="inlineStr">
        <is>
          <t>Bulb per meter</t>
        </is>
      </c>
      <c r="O1348" s="3" t="n">
        <v>120</v>
      </c>
      <c r="Q1348" s="3" t="inlineStr">
        <is>
          <t>Manufacturer's Warranty</t>
        </is>
      </c>
      <c r="R1348" s="3" t="n">
        <v>929003605601</v>
      </c>
      <c r="Y1348" s="3" t="inlineStr">
        <is>
          <t>SL_PH_EVGLW</t>
        </is>
      </c>
      <c r="Z1348" s="3" t="n">
        <v>9405</v>
      </c>
      <c r="AE1348" s="3" t="n">
        <v>1600</v>
      </c>
      <c r="AF1348" s="4" t="n">
        <v>0.68</v>
      </c>
      <c r="AG1348" s="3">
        <f>ROUND(AE1348-(AE1348*AF1348),2)</f>
        <v/>
      </c>
      <c r="AH1348" s="4" t="n">
        <v>0.18</v>
      </c>
      <c r="AI1348" s="3">
        <f>ROUND(AG1348+(AG1348*AH1348),2)</f>
        <v/>
      </c>
      <c r="AJ1348" s="4" t="n">
        <v>0.2</v>
      </c>
      <c r="AK1348" s="3">
        <f>ROUND(AI1348*AJ1348,2)</f>
        <v/>
      </c>
      <c r="AL1348" s="3">
        <f>AI1348+AK1348</f>
        <v/>
      </c>
      <c r="AM1348" s="3">
        <f>AE1348-AL1348</f>
        <v/>
      </c>
      <c r="AN1348" s="4">
        <f>AM1348/AE1348</f>
        <v/>
      </c>
      <c r="AO1348" s="3" t="inlineStr">
        <is>
          <t>3 hrs</t>
        </is>
      </c>
      <c r="AQ1348" s="3" t="inlineStr">
        <is>
          <t>Weight</t>
        </is>
      </c>
      <c r="AT1348" s="3" t="inlineStr">
        <is>
          <t>3 hrs</t>
        </is>
      </c>
    </row>
    <row r="1349" ht="15.75" customHeight="1">
      <c r="A1349" s="3" t="inlineStr">
        <is>
          <t>PROD_0251</t>
        </is>
      </c>
      <c r="B1349" s="3" t="inlineStr">
        <is>
          <t>VAR_1</t>
        </is>
      </c>
      <c r="C1349" s="3" t="inlineStr">
        <is>
          <t>Electrical Material</t>
        </is>
      </c>
      <c r="D1349" s="3" t="inlineStr">
        <is>
          <t>Strip Light</t>
        </is>
      </c>
      <c r="E1349" s="3" t="inlineStr">
        <is>
          <t>Polycab</t>
        </is>
      </c>
      <c r="F1349" s="3" t="inlineStr">
        <is>
          <t>320 LED Zuro  | 5 m</t>
        </is>
      </c>
      <c r="H1349" s="3" t="inlineStr">
        <is>
          <t>Wattage</t>
        </is>
      </c>
      <c r="I1349" s="3" t="inlineStr">
        <is>
          <t>45 W</t>
        </is>
      </c>
      <c r="J1349" s="3" t="inlineStr">
        <is>
          <t>Luminex</t>
        </is>
      </c>
      <c r="K1349" s="3" t="inlineStr">
        <is>
          <t>4500 LM</t>
        </is>
      </c>
      <c r="L1349" s="3" t="inlineStr">
        <is>
          <t>Color</t>
        </is>
      </c>
      <c r="M1349" s="3" t="inlineStr">
        <is>
          <t>Warm White</t>
        </is>
      </c>
      <c r="N1349" s="3" t="inlineStr">
        <is>
          <t>Bulb per meter</t>
        </is>
      </c>
      <c r="O1349" s="3" t="n">
        <v>64</v>
      </c>
      <c r="Q1349" s="3" t="inlineStr">
        <is>
          <t>Manufacturer's Warranty</t>
        </is>
      </c>
      <c r="R1349" s="3" t="inlineStr">
        <is>
          <t>P-54307</t>
        </is>
      </c>
      <c r="V1349" s="3" t="inlineStr">
        <is>
          <t>Additional Adapter</t>
        </is>
      </c>
      <c r="Y1349" s="3" t="inlineStr">
        <is>
          <t>SL_PLCB_ZU_COB_320</t>
        </is>
      </c>
      <c r="Z1349" s="3" t="n">
        <v>9405</v>
      </c>
      <c r="AE1349" s="3" t="n">
        <v>1995</v>
      </c>
      <c r="AF1349" s="4" t="n">
        <v>0.7</v>
      </c>
      <c r="AG1349" s="3">
        <f>ROUND(AE1349-(AE1349*AF1349),2)</f>
        <v/>
      </c>
      <c r="AH1349" s="4" t="n">
        <v>0.18</v>
      </c>
      <c r="AI1349" s="3">
        <f>ROUND(AG1349+(AG1349*AH1349),2)</f>
        <v/>
      </c>
      <c r="AJ1349" s="4" t="n">
        <v>0.2</v>
      </c>
      <c r="AK1349" s="3">
        <f>ROUND(AI1349*AJ1349,2)</f>
        <v/>
      </c>
      <c r="AL1349" s="3">
        <f>AI1349+AK1349</f>
        <v/>
      </c>
      <c r="AM1349" s="3">
        <f>AE1349-AL1349</f>
        <v/>
      </c>
      <c r="AN1349" s="4">
        <f>AM1349/AE1349</f>
        <v/>
      </c>
      <c r="AO1349" s="3" t="inlineStr">
        <is>
          <t>60 mins</t>
        </is>
      </c>
      <c r="AQ1349" s="3" t="inlineStr">
        <is>
          <t>Weight</t>
        </is>
      </c>
      <c r="AT1349" s="3" t="inlineStr">
        <is>
          <t>3 hrs</t>
        </is>
      </c>
    </row>
    <row r="1350" ht="15.75" customHeight="1">
      <c r="A1350" s="3" t="inlineStr">
        <is>
          <t>PROD_0251</t>
        </is>
      </c>
      <c r="B1350" s="3" t="inlineStr">
        <is>
          <t>VAR_2</t>
        </is>
      </c>
      <c r="C1350" s="3" t="inlineStr">
        <is>
          <t>Electrical Material</t>
        </is>
      </c>
      <c r="D1350" s="3" t="inlineStr">
        <is>
          <t>Strip Light</t>
        </is>
      </c>
      <c r="E1350" s="3" t="inlineStr">
        <is>
          <t>Polycab</t>
        </is>
      </c>
      <c r="F1350" s="3" t="inlineStr">
        <is>
          <t>320 LED Zuro  | 5 m</t>
        </is>
      </c>
      <c r="H1350" s="3" t="inlineStr">
        <is>
          <t>Wattage</t>
        </is>
      </c>
      <c r="I1350" s="3" t="inlineStr">
        <is>
          <t>45 W</t>
        </is>
      </c>
      <c r="J1350" s="3" t="inlineStr">
        <is>
          <t>Luminex</t>
        </is>
      </c>
      <c r="K1350" s="3" t="inlineStr">
        <is>
          <t>4500 LM</t>
        </is>
      </c>
      <c r="L1350" s="3" t="inlineStr">
        <is>
          <t>Color</t>
        </is>
      </c>
      <c r="M1350" s="3" t="inlineStr">
        <is>
          <t>Natural White</t>
        </is>
      </c>
      <c r="N1350" s="3" t="inlineStr">
        <is>
          <t>Bulb per meter</t>
        </is>
      </c>
      <c r="O1350" s="3" t="n">
        <v>64</v>
      </c>
      <c r="Q1350" s="3" t="inlineStr">
        <is>
          <t>Manufacturer's Warranty</t>
        </is>
      </c>
      <c r="R1350" s="3" t="inlineStr">
        <is>
          <t>P-54306</t>
        </is>
      </c>
      <c r="Y1350" s="3" t="inlineStr">
        <is>
          <t>SL_PLCB_ZU_COB_320</t>
        </is>
      </c>
      <c r="Z1350" s="3" t="n">
        <v>9405</v>
      </c>
      <c r="AE1350" s="3" t="n">
        <v>1995</v>
      </c>
      <c r="AF1350" s="4" t="n">
        <v>0.7</v>
      </c>
      <c r="AG1350" s="3">
        <f>ROUND(AE1350-(AE1350*AF1350),2)</f>
        <v/>
      </c>
      <c r="AH1350" s="4" t="n">
        <v>0.18</v>
      </c>
      <c r="AI1350" s="3">
        <f>ROUND(AG1350+(AG1350*AH1350),2)</f>
        <v/>
      </c>
      <c r="AJ1350" s="4" t="n">
        <v>0.2</v>
      </c>
      <c r="AK1350" s="3">
        <f>ROUND(AI1350*AJ1350,2)</f>
        <v/>
      </c>
      <c r="AL1350" s="3">
        <f>AI1350+AK1350</f>
        <v/>
      </c>
      <c r="AM1350" s="3">
        <f>AE1350-AL1350</f>
        <v/>
      </c>
      <c r="AN1350" s="4">
        <f>AM1350/AE1350</f>
        <v/>
      </c>
      <c r="AO1350" s="3" t="inlineStr">
        <is>
          <t>60 mins</t>
        </is>
      </c>
      <c r="AQ1350" s="3" t="inlineStr">
        <is>
          <t>Weight</t>
        </is>
      </c>
      <c r="AT1350" s="3" t="inlineStr">
        <is>
          <t>3 hrs</t>
        </is>
      </c>
    </row>
    <row r="1351" ht="15.75" customHeight="1">
      <c r="A1351" s="3" t="inlineStr">
        <is>
          <t>PROD_0251</t>
        </is>
      </c>
      <c r="B1351" s="3" t="inlineStr">
        <is>
          <t>VAR_3</t>
        </is>
      </c>
      <c r="C1351" s="3" t="inlineStr">
        <is>
          <t>Electrical Material</t>
        </is>
      </c>
      <c r="D1351" s="3" t="inlineStr">
        <is>
          <t>Strip Light</t>
        </is>
      </c>
      <c r="E1351" s="3" t="inlineStr">
        <is>
          <t>Polycab</t>
        </is>
      </c>
      <c r="F1351" s="3" t="inlineStr">
        <is>
          <t>320 LED Zuro  | 5 m</t>
        </is>
      </c>
      <c r="H1351" s="3" t="inlineStr">
        <is>
          <t>Wattage</t>
        </is>
      </c>
      <c r="I1351" s="3" t="inlineStr">
        <is>
          <t>45 W</t>
        </is>
      </c>
      <c r="J1351" s="3" t="inlineStr">
        <is>
          <t>Luminex</t>
        </is>
      </c>
      <c r="K1351" s="3" t="inlineStr">
        <is>
          <t>4500 LM</t>
        </is>
      </c>
      <c r="L1351" s="3" t="inlineStr">
        <is>
          <t>Color</t>
        </is>
      </c>
      <c r="M1351" s="3" t="inlineStr">
        <is>
          <t>Cool Daily White</t>
        </is>
      </c>
      <c r="N1351" s="3" t="inlineStr">
        <is>
          <t>Bulb per meter</t>
        </is>
      </c>
      <c r="O1351" s="3" t="n">
        <v>64</v>
      </c>
      <c r="Q1351" s="3" t="inlineStr">
        <is>
          <t>Manufacturer's Warranty</t>
        </is>
      </c>
      <c r="R1351" s="3" t="inlineStr">
        <is>
          <t>P-54303</t>
        </is>
      </c>
      <c r="Y1351" s="3" t="inlineStr">
        <is>
          <t>SL_PLCB_ZU_COB_320</t>
        </is>
      </c>
      <c r="Z1351" s="3" t="n">
        <v>9405</v>
      </c>
      <c r="AE1351" s="3" t="n">
        <v>1995</v>
      </c>
      <c r="AF1351" s="4" t="n">
        <v>0.7</v>
      </c>
      <c r="AG1351" s="3">
        <f>ROUND(AE1351-(AE1351*AF1351),2)</f>
        <v/>
      </c>
      <c r="AH1351" s="4" t="n">
        <v>0.18</v>
      </c>
      <c r="AI1351" s="3">
        <f>ROUND(AG1351+(AG1351*AH1351),2)</f>
        <v/>
      </c>
      <c r="AJ1351" s="4" t="n">
        <v>0.2</v>
      </c>
      <c r="AK1351" s="3">
        <f>ROUND(AI1351*AJ1351,2)</f>
        <v/>
      </c>
      <c r="AL1351" s="3">
        <f>AI1351+AK1351</f>
        <v/>
      </c>
      <c r="AM1351" s="3">
        <f>AE1351-AL1351</f>
        <v/>
      </c>
      <c r="AN1351" s="4">
        <f>AM1351/AE1351</f>
        <v/>
      </c>
      <c r="AO1351" s="3" t="inlineStr">
        <is>
          <t>60 mins</t>
        </is>
      </c>
      <c r="AQ1351" s="3" t="inlineStr">
        <is>
          <t>Weight</t>
        </is>
      </c>
      <c r="AT1351" s="3" t="inlineStr">
        <is>
          <t>3 hrs</t>
        </is>
      </c>
    </row>
    <row r="1352" ht="15.75" customHeight="1">
      <c r="A1352" s="3" t="inlineStr">
        <is>
          <t>PROD_0252</t>
        </is>
      </c>
      <c r="B1352" s="3" t="inlineStr">
        <is>
          <t>VAR_1</t>
        </is>
      </c>
      <c r="C1352" s="3" t="inlineStr">
        <is>
          <t>Electrical Material</t>
        </is>
      </c>
      <c r="D1352" s="3" t="inlineStr">
        <is>
          <t>Strip Light</t>
        </is>
      </c>
      <c r="E1352" s="3" t="inlineStr">
        <is>
          <t>Polycab</t>
        </is>
      </c>
      <c r="F1352" s="3" t="inlineStr">
        <is>
          <t>240 LED | 5 m</t>
        </is>
      </c>
      <c r="H1352" s="3" t="inlineStr">
        <is>
          <t>Wattage</t>
        </is>
      </c>
      <c r="I1352" s="3" t="inlineStr">
        <is>
          <t>60 W</t>
        </is>
      </c>
      <c r="J1352" s="3" t="inlineStr">
        <is>
          <t>Luminex</t>
        </is>
      </c>
      <c r="K1352" s="3" t="inlineStr">
        <is>
          <t>5400 LM</t>
        </is>
      </c>
      <c r="L1352" s="3" t="inlineStr">
        <is>
          <t>Color</t>
        </is>
      </c>
      <c r="M1352" s="3" t="inlineStr">
        <is>
          <t>Warm White</t>
        </is>
      </c>
      <c r="N1352" s="3" t="inlineStr">
        <is>
          <t>Bulb per meter</t>
        </is>
      </c>
      <c r="O1352" s="3" t="n">
        <v>48</v>
      </c>
      <c r="Q1352" s="3" t="inlineStr">
        <is>
          <t>Manufacturer's Warranty</t>
        </is>
      </c>
      <c r="R1352" s="3" t="inlineStr">
        <is>
          <t>P-54294</t>
        </is>
      </c>
      <c r="Y1352" s="3" t="inlineStr">
        <is>
          <t>SL_PLCB_ZU_COB_240</t>
        </is>
      </c>
      <c r="Z1352" s="3" t="n">
        <v>9405</v>
      </c>
      <c r="AE1352" s="3" t="n">
        <v>1900</v>
      </c>
      <c r="AF1352" s="4" t="n">
        <v>0.7</v>
      </c>
      <c r="AG1352" s="3">
        <f>ROUND(AE1352-(AE1352*AF1352),2)</f>
        <v/>
      </c>
      <c r="AH1352" s="4" t="n">
        <v>0.18</v>
      </c>
      <c r="AI1352" s="3">
        <f>ROUND(AG1352+(AG1352*AH1352),2)</f>
        <v/>
      </c>
      <c r="AJ1352" s="4" t="n">
        <v>0.2</v>
      </c>
      <c r="AK1352" s="3">
        <f>ROUND(AI1352*AJ1352,2)</f>
        <v/>
      </c>
      <c r="AL1352" s="3">
        <f>AI1352+AK1352</f>
        <v/>
      </c>
      <c r="AM1352" s="3">
        <f>AE1352-AL1352</f>
        <v/>
      </c>
      <c r="AN1352" s="4">
        <f>AM1352/AE1352</f>
        <v/>
      </c>
      <c r="AO1352" s="3" t="inlineStr">
        <is>
          <t>60 mins</t>
        </is>
      </c>
      <c r="AQ1352" s="3" t="inlineStr">
        <is>
          <t>Weight</t>
        </is>
      </c>
      <c r="AT1352" s="3" t="inlineStr">
        <is>
          <t>3 hrs</t>
        </is>
      </c>
    </row>
    <row r="1353" ht="15.75" customHeight="1">
      <c r="A1353" s="3" t="inlineStr">
        <is>
          <t>PROD_0252</t>
        </is>
      </c>
      <c r="B1353" s="3" t="inlineStr">
        <is>
          <t>VAR_2</t>
        </is>
      </c>
      <c r="C1353" s="3" t="inlineStr">
        <is>
          <t>Electrical Material</t>
        </is>
      </c>
      <c r="D1353" s="3" t="inlineStr">
        <is>
          <t>Strip Light</t>
        </is>
      </c>
      <c r="E1353" s="3" t="inlineStr">
        <is>
          <t>Polycab</t>
        </is>
      </c>
      <c r="F1353" s="3" t="inlineStr">
        <is>
          <t>240 LED | 5 m</t>
        </is>
      </c>
      <c r="H1353" s="3" t="inlineStr">
        <is>
          <t>Wattage</t>
        </is>
      </c>
      <c r="I1353" s="3" t="inlineStr">
        <is>
          <t>60 W</t>
        </is>
      </c>
      <c r="J1353" s="3" t="inlineStr">
        <is>
          <t>Luminex</t>
        </is>
      </c>
      <c r="K1353" s="3" t="inlineStr">
        <is>
          <t>5400 LM</t>
        </is>
      </c>
      <c r="L1353" s="3" t="inlineStr">
        <is>
          <t>Color</t>
        </is>
      </c>
      <c r="M1353" s="3" t="inlineStr">
        <is>
          <t>Natural White</t>
        </is>
      </c>
      <c r="N1353" s="3" t="inlineStr">
        <is>
          <t>Bulb per meter</t>
        </is>
      </c>
      <c r="O1353" s="3" t="n">
        <v>48</v>
      </c>
      <c r="Q1353" s="3" t="inlineStr">
        <is>
          <t>Manufacturer's Warranty</t>
        </is>
      </c>
      <c r="R1353" s="3" t="inlineStr">
        <is>
          <t>P-54293</t>
        </is>
      </c>
      <c r="Y1353" s="3" t="inlineStr">
        <is>
          <t>SL_PLCB_ZU_COB_240</t>
        </is>
      </c>
      <c r="Z1353" s="3" t="n">
        <v>9405</v>
      </c>
      <c r="AE1353" s="3" t="n">
        <v>1900</v>
      </c>
      <c r="AF1353" s="4" t="n">
        <v>0.7</v>
      </c>
      <c r="AG1353" s="3">
        <f>ROUND(AE1353-(AE1353*AF1353),2)</f>
        <v/>
      </c>
      <c r="AH1353" s="4" t="n">
        <v>0.18</v>
      </c>
      <c r="AI1353" s="3">
        <f>ROUND(AG1353+(AG1353*AH1353),2)</f>
        <v/>
      </c>
      <c r="AJ1353" s="4" t="n">
        <v>0.2</v>
      </c>
      <c r="AK1353" s="3">
        <f>ROUND(AI1353*AJ1353,2)</f>
        <v/>
      </c>
      <c r="AL1353" s="3">
        <f>AI1353+AK1353</f>
        <v/>
      </c>
      <c r="AM1353" s="3">
        <f>AE1353-AL1353</f>
        <v/>
      </c>
      <c r="AN1353" s="4">
        <f>AM1353/AE1353</f>
        <v/>
      </c>
      <c r="AO1353" s="3" t="inlineStr">
        <is>
          <t>60 mins</t>
        </is>
      </c>
      <c r="AQ1353" s="3" t="inlineStr">
        <is>
          <t>Weight</t>
        </is>
      </c>
      <c r="AT1353" s="3" t="inlineStr">
        <is>
          <t>3 hrs</t>
        </is>
      </c>
    </row>
    <row r="1354" ht="15.75" customHeight="1">
      <c r="A1354" s="3" t="inlineStr">
        <is>
          <t>PROD_0252</t>
        </is>
      </c>
      <c r="B1354" s="3" t="inlineStr">
        <is>
          <t>VAR_3</t>
        </is>
      </c>
      <c r="C1354" s="3" t="inlineStr">
        <is>
          <t>Electrical Material</t>
        </is>
      </c>
      <c r="D1354" s="3" t="inlineStr">
        <is>
          <t>Strip Light</t>
        </is>
      </c>
      <c r="E1354" s="3" t="inlineStr">
        <is>
          <t>Polycab</t>
        </is>
      </c>
      <c r="F1354" s="3" t="inlineStr">
        <is>
          <t>240 LED | 5 m</t>
        </is>
      </c>
      <c r="H1354" s="3" t="inlineStr">
        <is>
          <t>Wattage</t>
        </is>
      </c>
      <c r="I1354" s="3" t="inlineStr">
        <is>
          <t>60 W</t>
        </is>
      </c>
      <c r="J1354" s="3" t="inlineStr">
        <is>
          <t>Luminex</t>
        </is>
      </c>
      <c r="K1354" s="3" t="inlineStr">
        <is>
          <t>5400 LM</t>
        </is>
      </c>
      <c r="L1354" s="3" t="inlineStr">
        <is>
          <t>Color</t>
        </is>
      </c>
      <c r="M1354" s="3" t="inlineStr">
        <is>
          <t>Cool Daily White</t>
        </is>
      </c>
      <c r="N1354" s="3" t="inlineStr">
        <is>
          <t>Bulb per meter</t>
        </is>
      </c>
      <c r="O1354" s="3" t="n">
        <v>48</v>
      </c>
      <c r="Q1354" s="3" t="inlineStr">
        <is>
          <t>Manufacturer's Warranty</t>
        </is>
      </c>
      <c r="R1354" s="3" t="inlineStr">
        <is>
          <t>P-54293</t>
        </is>
      </c>
      <c r="Y1354" s="3" t="inlineStr">
        <is>
          <t>SL_PLCB_ZU_COB_240</t>
        </is>
      </c>
      <c r="Z1354" s="3" t="n">
        <v>9405</v>
      </c>
      <c r="AE1354" s="3" t="n">
        <v>1900</v>
      </c>
      <c r="AF1354" s="4" t="n">
        <v>0.7</v>
      </c>
      <c r="AG1354" s="3">
        <f>ROUND(AE1354-(AE1354*AF1354),2)</f>
        <v/>
      </c>
      <c r="AH1354" s="4" t="n">
        <v>0.18</v>
      </c>
      <c r="AI1354" s="3">
        <f>ROUND(AG1354+(AG1354*AH1354),2)</f>
        <v/>
      </c>
      <c r="AJ1354" s="4" t="n">
        <v>0.2</v>
      </c>
      <c r="AK1354" s="3">
        <f>ROUND(AI1354*AJ1354,2)</f>
        <v/>
      </c>
      <c r="AL1354" s="3">
        <f>AI1354+AK1354</f>
        <v/>
      </c>
      <c r="AM1354" s="3">
        <f>AE1354-AL1354</f>
        <v/>
      </c>
      <c r="AN1354" s="4">
        <f>AM1354/AE1354</f>
        <v/>
      </c>
      <c r="AO1354" s="3" t="inlineStr">
        <is>
          <t>60 mins</t>
        </is>
      </c>
      <c r="AQ1354" s="3" t="inlineStr">
        <is>
          <t>Weight</t>
        </is>
      </c>
      <c r="AT1354" s="3" t="inlineStr">
        <is>
          <t>3 hrs</t>
        </is>
      </c>
    </row>
    <row r="1355" ht="15.75" customHeight="1">
      <c r="A1355" s="3" t="inlineStr">
        <is>
          <t>PROD_0253</t>
        </is>
      </c>
      <c r="B1355" s="3" t="inlineStr">
        <is>
          <t>VAR_1</t>
        </is>
      </c>
      <c r="C1355" s="3" t="inlineStr">
        <is>
          <t>Electrical Material</t>
        </is>
      </c>
      <c r="D1355" s="3" t="inlineStr">
        <is>
          <t>Strip Light</t>
        </is>
      </c>
      <c r="E1355" s="3" t="inlineStr">
        <is>
          <t>Polycab</t>
        </is>
      </c>
      <c r="F1355" s="3" t="inlineStr">
        <is>
          <t>120 LED | 5 m</t>
        </is>
      </c>
      <c r="H1355" s="3" t="inlineStr">
        <is>
          <t>Wattage</t>
        </is>
      </c>
      <c r="I1355" s="3" t="inlineStr">
        <is>
          <t>60 W</t>
        </is>
      </c>
      <c r="J1355" s="3" t="inlineStr">
        <is>
          <t>Luminex</t>
        </is>
      </c>
      <c r="K1355" s="3" t="inlineStr">
        <is>
          <t>5400 LM</t>
        </is>
      </c>
      <c r="L1355" s="3" t="inlineStr">
        <is>
          <t>Color</t>
        </is>
      </c>
      <c r="M1355" s="3" t="inlineStr">
        <is>
          <t>Warm White</t>
        </is>
      </c>
      <c r="N1355" s="3" t="inlineStr">
        <is>
          <t>Bulb per meter</t>
        </is>
      </c>
      <c r="O1355" s="3" t="n">
        <v>48</v>
      </c>
      <c r="Q1355" s="3" t="inlineStr">
        <is>
          <t>Manufacturer's Warranty</t>
        </is>
      </c>
      <c r="R1355" s="3" t="inlineStr">
        <is>
          <t>P-54296</t>
        </is>
      </c>
      <c r="Y1355" s="3" t="inlineStr">
        <is>
          <t>SL_PLCB_ZU_COB_120</t>
        </is>
      </c>
      <c r="Z1355" s="3" t="n">
        <v>9405</v>
      </c>
      <c r="AE1355" s="3" t="n">
        <v>1680</v>
      </c>
      <c r="AF1355" s="4" t="n">
        <v>0.7</v>
      </c>
      <c r="AG1355" s="3">
        <f>ROUND(AE1355-(AE1355*AF1355),2)</f>
        <v/>
      </c>
      <c r="AH1355" s="4" t="n">
        <v>0.18</v>
      </c>
      <c r="AI1355" s="3">
        <f>ROUND(AG1355+(AG1355*AH1355),2)</f>
        <v/>
      </c>
      <c r="AJ1355" s="4" t="n">
        <v>0.2</v>
      </c>
      <c r="AK1355" s="3">
        <f>ROUND(AI1355*AJ1355,2)</f>
        <v/>
      </c>
      <c r="AL1355" s="3">
        <f>AI1355+AK1355</f>
        <v/>
      </c>
      <c r="AM1355" s="3">
        <f>AE1355-AL1355</f>
        <v/>
      </c>
      <c r="AN1355" s="4">
        <f>AM1355/AE1355</f>
        <v/>
      </c>
      <c r="AO1355" s="3" t="inlineStr">
        <is>
          <t>60 mins</t>
        </is>
      </c>
      <c r="AQ1355" s="3" t="inlineStr">
        <is>
          <t>Weight</t>
        </is>
      </c>
      <c r="AT1355" s="3" t="inlineStr">
        <is>
          <t>3 hrs</t>
        </is>
      </c>
    </row>
    <row r="1356" ht="15.75" customHeight="1">
      <c r="A1356" s="3" t="inlineStr">
        <is>
          <t>PROD_0253</t>
        </is>
      </c>
      <c r="B1356" s="3" t="inlineStr">
        <is>
          <t>VAR_2</t>
        </is>
      </c>
      <c r="C1356" s="3" t="inlineStr">
        <is>
          <t>Electrical Material</t>
        </is>
      </c>
      <c r="D1356" s="3" t="inlineStr">
        <is>
          <t>Strip Light</t>
        </is>
      </c>
      <c r="E1356" s="3" t="inlineStr">
        <is>
          <t>Polycab</t>
        </is>
      </c>
      <c r="F1356" s="3" t="inlineStr">
        <is>
          <t>120 LED | 5 m</t>
        </is>
      </c>
      <c r="H1356" s="3" t="inlineStr">
        <is>
          <t>Wattage</t>
        </is>
      </c>
      <c r="I1356" s="3" t="inlineStr">
        <is>
          <t>60 W</t>
        </is>
      </c>
      <c r="J1356" s="3" t="inlineStr">
        <is>
          <t>Luminex</t>
        </is>
      </c>
      <c r="K1356" s="3" t="inlineStr">
        <is>
          <t>5400 LM</t>
        </is>
      </c>
      <c r="L1356" s="3" t="inlineStr">
        <is>
          <t>Color</t>
        </is>
      </c>
      <c r="M1356" s="3" t="inlineStr">
        <is>
          <t>Natural White</t>
        </is>
      </c>
      <c r="N1356" s="3" t="inlineStr">
        <is>
          <t>Bulb per meter</t>
        </is>
      </c>
      <c r="O1356" s="3" t="n">
        <v>48</v>
      </c>
      <c r="Q1356" s="3" t="inlineStr">
        <is>
          <t>Manufacturer's Warranty</t>
        </is>
      </c>
      <c r="R1356" s="3" t="inlineStr">
        <is>
          <t>P-54297</t>
        </is>
      </c>
      <c r="Y1356" s="3" t="inlineStr">
        <is>
          <t>SL_PLCB_ZU_COB_120</t>
        </is>
      </c>
      <c r="Z1356" s="3" t="n">
        <v>9405</v>
      </c>
      <c r="AE1356" s="3" t="n">
        <v>1680</v>
      </c>
      <c r="AF1356" s="4" t="n">
        <v>0.7</v>
      </c>
      <c r="AG1356" s="3">
        <f>ROUND(AE1356-(AE1356*AF1356),2)</f>
        <v/>
      </c>
      <c r="AH1356" s="4" t="n">
        <v>0.18</v>
      </c>
      <c r="AI1356" s="3">
        <f>ROUND(AG1356+(AG1356*AH1356),2)</f>
        <v/>
      </c>
      <c r="AJ1356" s="4" t="n">
        <v>0.2</v>
      </c>
      <c r="AK1356" s="3">
        <f>ROUND(AI1356*AJ1356,2)</f>
        <v/>
      </c>
      <c r="AL1356" s="3">
        <f>AI1356+AK1356</f>
        <v/>
      </c>
      <c r="AM1356" s="3">
        <f>AE1356-AL1356</f>
        <v/>
      </c>
      <c r="AN1356" s="4">
        <f>AM1356/AE1356</f>
        <v/>
      </c>
      <c r="AO1356" s="3" t="inlineStr">
        <is>
          <t>60 mins</t>
        </is>
      </c>
      <c r="AQ1356" s="3" t="inlineStr">
        <is>
          <t>Weight</t>
        </is>
      </c>
      <c r="AT1356" s="3" t="inlineStr">
        <is>
          <t>3 hrs</t>
        </is>
      </c>
    </row>
    <row r="1357" ht="15.75" customHeight="1">
      <c r="A1357" s="3" t="inlineStr">
        <is>
          <t>PROD_0253</t>
        </is>
      </c>
      <c r="B1357" s="3" t="inlineStr">
        <is>
          <t>VAR_3</t>
        </is>
      </c>
      <c r="C1357" s="3" t="inlineStr">
        <is>
          <t>Electrical Material</t>
        </is>
      </c>
      <c r="D1357" s="3" t="inlineStr">
        <is>
          <t>Strip Light</t>
        </is>
      </c>
      <c r="E1357" s="3" t="inlineStr">
        <is>
          <t>Polycab</t>
        </is>
      </c>
      <c r="F1357" s="3" t="inlineStr">
        <is>
          <t>120 LED | 5 m</t>
        </is>
      </c>
      <c r="H1357" s="3" t="inlineStr">
        <is>
          <t>Wattage</t>
        </is>
      </c>
      <c r="I1357" s="3" t="inlineStr">
        <is>
          <t>60 W</t>
        </is>
      </c>
      <c r="J1357" s="3" t="inlineStr">
        <is>
          <t>Luminex</t>
        </is>
      </c>
      <c r="K1357" s="3" t="inlineStr">
        <is>
          <t>5400 LM</t>
        </is>
      </c>
      <c r="L1357" s="3" t="inlineStr">
        <is>
          <t>Color</t>
        </is>
      </c>
      <c r="M1357" s="3" t="inlineStr">
        <is>
          <t>Cool Daily White</t>
        </is>
      </c>
      <c r="N1357" s="3" t="inlineStr">
        <is>
          <t>Bulb per meter</t>
        </is>
      </c>
      <c r="O1357" s="3" t="n">
        <v>48</v>
      </c>
      <c r="Q1357" s="3" t="inlineStr">
        <is>
          <t>Manufacturer's Warranty</t>
        </is>
      </c>
      <c r="R1357" s="3" t="inlineStr">
        <is>
          <t>P-54297</t>
        </is>
      </c>
      <c r="Y1357" s="3" t="inlineStr">
        <is>
          <t>SL_PLCB_ZU_COB_120</t>
        </is>
      </c>
      <c r="Z1357" s="3" t="n">
        <v>9405</v>
      </c>
      <c r="AE1357" s="3" t="n">
        <v>1680</v>
      </c>
      <c r="AF1357" s="4" t="n">
        <v>0.7</v>
      </c>
      <c r="AG1357" s="3">
        <f>ROUND(AE1357-(AE1357*AF1357),2)</f>
        <v/>
      </c>
      <c r="AH1357" s="4" t="n">
        <v>0.18</v>
      </c>
      <c r="AI1357" s="3">
        <f>ROUND(AG1357+(AG1357*AH1357),2)</f>
        <v/>
      </c>
      <c r="AJ1357" s="4" t="n">
        <v>0.2</v>
      </c>
      <c r="AK1357" s="3">
        <f>ROUND(AI1357*AJ1357,2)</f>
        <v/>
      </c>
      <c r="AL1357" s="3">
        <f>AI1357+AK1357</f>
        <v/>
      </c>
      <c r="AM1357" s="3">
        <f>AE1357-AL1357</f>
        <v/>
      </c>
      <c r="AN1357" s="4">
        <f>AM1357/AE1357</f>
        <v/>
      </c>
      <c r="AO1357" s="3" t="inlineStr">
        <is>
          <t>60 mins</t>
        </is>
      </c>
      <c r="AQ1357" s="3" t="inlineStr">
        <is>
          <t>Weight</t>
        </is>
      </c>
      <c r="AT1357" s="3" t="inlineStr">
        <is>
          <t>3 hrs</t>
        </is>
      </c>
    </row>
    <row r="1358" ht="15.75" customHeight="1">
      <c r="A1358" s="3" t="inlineStr">
        <is>
          <t>PROD_0254</t>
        </is>
      </c>
      <c r="B1358" s="3" t="inlineStr">
        <is>
          <t>VAR_1</t>
        </is>
      </c>
      <c r="C1358" s="3" t="inlineStr">
        <is>
          <t>Electrical Material</t>
        </is>
      </c>
      <c r="D1358" s="3" t="inlineStr">
        <is>
          <t>Tube Light</t>
        </is>
      </c>
      <c r="E1358" s="3" t="inlineStr">
        <is>
          <t>Philips</t>
        </is>
      </c>
      <c r="F1358" s="3" t="inlineStr">
        <is>
          <t>Ultron | 5 m</t>
        </is>
      </c>
      <c r="H1358" s="3" t="inlineStr">
        <is>
          <t>Wattage</t>
        </is>
      </c>
      <c r="I1358" s="3" t="inlineStr">
        <is>
          <t>17 W</t>
        </is>
      </c>
      <c r="J1358" s="3" t="inlineStr">
        <is>
          <t>Luminex</t>
        </is>
      </c>
      <c r="K1358" s="3" t="inlineStr">
        <is>
          <t>1350 LM</t>
        </is>
      </c>
      <c r="L1358" s="3" t="inlineStr">
        <is>
          <t>Color</t>
        </is>
      </c>
      <c r="M1358" s="3" t="inlineStr">
        <is>
          <t>Warm White</t>
        </is>
      </c>
      <c r="O1358" s="3" t="inlineStr">
        <is>
          <t>93 mm</t>
        </is>
      </c>
      <c r="Q1358" s="3" t="inlineStr">
        <is>
          <t>Manufacturer's Warranty</t>
        </is>
      </c>
      <c r="R1358" s="3" t="n">
        <v>48027</v>
      </c>
      <c r="U1358" s="3" t="n">
        <v>400</v>
      </c>
      <c r="Y1358" s="3" t="inlineStr">
        <is>
          <t>TL_PH_ULT</t>
        </is>
      </c>
      <c r="Z1358" s="3" t="n">
        <v>9405</v>
      </c>
      <c r="AE1358" s="3" t="n">
        <v>1910</v>
      </c>
      <c r="AF1358" s="4" t="n">
        <v>0.55</v>
      </c>
      <c r="AG1358" s="3">
        <f>ROUND(AE1358-(AE1358*AF1358),2)</f>
        <v/>
      </c>
      <c r="AH1358" s="4" t="n">
        <v>0.18</v>
      </c>
      <c r="AI1358" s="3">
        <f>ROUND(AG1358+(AG1358*AH1358),2)</f>
        <v/>
      </c>
      <c r="AJ1358" s="4" t="n">
        <v>0.2</v>
      </c>
      <c r="AK1358" s="3">
        <f>ROUND(AI1358*AJ1358,2)</f>
        <v/>
      </c>
      <c r="AL1358" s="3">
        <f>AI1358+AK1358</f>
        <v/>
      </c>
      <c r="AM1358" s="3">
        <f>AE1358-AL1358</f>
        <v/>
      </c>
      <c r="AN1358" s="4">
        <f>AM1358/AE1358</f>
        <v/>
      </c>
      <c r="AO1358" s="3" t="inlineStr">
        <is>
          <t>3 hrs</t>
        </is>
      </c>
      <c r="AQ1358" s="3" t="inlineStr">
        <is>
          <t>Weight</t>
        </is>
      </c>
      <c r="AT1358" s="3" t="inlineStr">
        <is>
          <t>3 hrs</t>
        </is>
      </c>
    </row>
    <row r="1359" ht="15.75" customHeight="1">
      <c r="A1359" s="3" t="inlineStr">
        <is>
          <t>PROD_0254</t>
        </is>
      </c>
      <c r="B1359" s="3" t="inlineStr">
        <is>
          <t>VAR_2</t>
        </is>
      </c>
      <c r="C1359" s="3" t="inlineStr">
        <is>
          <t>Electrical Material</t>
        </is>
      </c>
      <c r="D1359" s="3" t="inlineStr">
        <is>
          <t>Tube Light</t>
        </is>
      </c>
      <c r="E1359" s="3" t="inlineStr">
        <is>
          <t>Philips</t>
        </is>
      </c>
      <c r="F1359" s="3" t="inlineStr">
        <is>
          <t>Ultron | 5 m</t>
        </is>
      </c>
      <c r="H1359" s="3" t="inlineStr">
        <is>
          <t>Wattage</t>
        </is>
      </c>
      <c r="I1359" s="3" t="inlineStr">
        <is>
          <t>24W</t>
        </is>
      </c>
      <c r="J1359" s="3" t="inlineStr">
        <is>
          <t>Luminex</t>
        </is>
      </c>
      <c r="K1359" s="3" t="inlineStr">
        <is>
          <t>1350 LM</t>
        </is>
      </c>
      <c r="L1359" s="3" t="inlineStr">
        <is>
          <t>Color</t>
        </is>
      </c>
      <c r="M1359" s="3" t="inlineStr">
        <is>
          <t>Cool Daily White</t>
        </is>
      </c>
      <c r="O1359" s="3" t="inlineStr">
        <is>
          <t>93 mm</t>
        </is>
      </c>
      <c r="Q1359" s="3" t="inlineStr">
        <is>
          <t>Manufacturer's Warranty</t>
        </is>
      </c>
      <c r="R1359" s="3" t="n">
        <v>48027</v>
      </c>
      <c r="Y1359" s="3" t="inlineStr">
        <is>
          <t>TL_PH_ULT</t>
        </is>
      </c>
      <c r="Z1359" s="3" t="n">
        <v>9405</v>
      </c>
      <c r="AE1359" s="3" t="n">
        <v>1910</v>
      </c>
      <c r="AF1359" s="4" t="n">
        <v>0.55</v>
      </c>
      <c r="AG1359" s="3">
        <f>ROUND(AE1359-(AE1359*AF1359),2)</f>
        <v/>
      </c>
      <c r="AH1359" s="4" t="n">
        <v>0.18</v>
      </c>
      <c r="AI1359" s="3">
        <f>ROUND(AG1359+(AG1359*AH1359),2)</f>
        <v/>
      </c>
      <c r="AJ1359" s="4" t="n">
        <v>0.2</v>
      </c>
      <c r="AK1359" s="3">
        <f>ROUND(AI1359*AJ1359,2)</f>
        <v/>
      </c>
      <c r="AL1359" s="3">
        <f>AI1359+AK1359</f>
        <v/>
      </c>
      <c r="AM1359" s="3">
        <f>AE1359-AL1359</f>
        <v/>
      </c>
      <c r="AN1359" s="4">
        <f>AM1359/AE1359</f>
        <v/>
      </c>
      <c r="AO1359" s="3" t="inlineStr">
        <is>
          <t>3 hrs</t>
        </is>
      </c>
      <c r="AQ1359" s="3" t="inlineStr">
        <is>
          <t>Weight</t>
        </is>
      </c>
      <c r="AT1359" s="3" t="inlineStr">
        <is>
          <t>3 hrs</t>
        </is>
      </c>
    </row>
    <row r="1360" ht="15.75" customHeight="1">
      <c r="A1360" s="3" t="inlineStr">
        <is>
          <t>PROD_0255</t>
        </is>
      </c>
      <c r="B1360" s="3" t="inlineStr">
        <is>
          <t>VAR_1</t>
        </is>
      </c>
      <c r="C1360" s="3" t="inlineStr">
        <is>
          <t>Electrical Material</t>
        </is>
      </c>
      <c r="D1360" s="3" t="inlineStr">
        <is>
          <t>Tube Light</t>
        </is>
      </c>
      <c r="E1360" s="3" t="inlineStr">
        <is>
          <t>Philips</t>
        </is>
      </c>
      <c r="F1360" s="3" t="inlineStr">
        <is>
          <t>Deco Bright | 5 m</t>
        </is>
      </c>
      <c r="H1360" s="3" t="inlineStr">
        <is>
          <t>Wattage</t>
        </is>
      </c>
      <c r="I1360" s="3" t="inlineStr">
        <is>
          <t>25 W</t>
        </is>
      </c>
      <c r="J1360" s="3" t="inlineStr">
        <is>
          <t>Luminex</t>
        </is>
      </c>
      <c r="K1360" s="3" t="inlineStr">
        <is>
          <t>2500 LM</t>
        </is>
      </c>
      <c r="L1360" s="3" t="inlineStr">
        <is>
          <t>Color</t>
        </is>
      </c>
      <c r="M1360" s="3" t="inlineStr">
        <is>
          <t>Warm White</t>
        </is>
      </c>
      <c r="O1360" s="3" t="inlineStr">
        <is>
          <t>25 mm</t>
        </is>
      </c>
      <c r="Q1360" s="3" t="inlineStr">
        <is>
          <t>Manufacturer's Warranty</t>
        </is>
      </c>
      <c r="Y1360" s="3" t="inlineStr">
        <is>
          <t>TL_PH_DECO</t>
        </is>
      </c>
      <c r="Z1360" s="3" t="n">
        <v>9405</v>
      </c>
      <c r="AE1360" s="3" t="n">
        <v>720</v>
      </c>
      <c r="AF1360" s="4" t="n">
        <v>0.3</v>
      </c>
      <c r="AG1360" s="3">
        <f>ROUND(AE1360-(AE1360*AF1360),2)</f>
        <v/>
      </c>
      <c r="AH1360" s="4" t="n">
        <v>0.18</v>
      </c>
      <c r="AI1360" s="3">
        <f>ROUND(AG1360+(AG1360*AH1360),2)</f>
        <v/>
      </c>
      <c r="AJ1360" s="4" t="n">
        <v>0.2</v>
      </c>
      <c r="AK1360" s="3">
        <f>ROUND(AI1360*AJ1360,2)</f>
        <v/>
      </c>
      <c r="AL1360" s="3">
        <f>AI1360+AK1360</f>
        <v/>
      </c>
      <c r="AM1360" s="3">
        <f>AE1360-AL1360</f>
        <v/>
      </c>
      <c r="AN1360" s="4">
        <f>AM1360/AE1360</f>
        <v/>
      </c>
      <c r="AO1360" s="3" t="inlineStr">
        <is>
          <t>3 hrs</t>
        </is>
      </c>
      <c r="AQ1360" s="3" t="inlineStr">
        <is>
          <t>Weight</t>
        </is>
      </c>
      <c r="AT1360" s="3" t="inlineStr">
        <is>
          <t>3 hrs</t>
        </is>
      </c>
    </row>
    <row r="1361" ht="15.75" customHeight="1">
      <c r="A1361" s="3" t="inlineStr">
        <is>
          <t>PROD_0255</t>
        </is>
      </c>
      <c r="B1361" s="3" t="inlineStr">
        <is>
          <t>VAR_2</t>
        </is>
      </c>
      <c r="C1361" s="3" t="inlineStr">
        <is>
          <t>Electrical Material</t>
        </is>
      </c>
      <c r="D1361" s="3" t="inlineStr">
        <is>
          <t>Tube Light</t>
        </is>
      </c>
      <c r="E1361" s="3" t="inlineStr">
        <is>
          <t>Philips</t>
        </is>
      </c>
      <c r="F1361" s="3" t="inlineStr">
        <is>
          <t>Deco Bright | 5 m</t>
        </is>
      </c>
      <c r="H1361" s="3" t="inlineStr">
        <is>
          <t>Wattage</t>
        </is>
      </c>
      <c r="I1361" s="3" t="inlineStr">
        <is>
          <t>25 W</t>
        </is>
      </c>
      <c r="J1361" s="3" t="inlineStr">
        <is>
          <t>Luminex</t>
        </is>
      </c>
      <c r="K1361" s="3" t="inlineStr">
        <is>
          <t>2500 LM</t>
        </is>
      </c>
      <c r="L1361" s="3" t="inlineStr">
        <is>
          <t>Color</t>
        </is>
      </c>
      <c r="M1361" s="3" t="inlineStr">
        <is>
          <t>Cool Daily White</t>
        </is>
      </c>
      <c r="O1361" s="3" t="inlineStr">
        <is>
          <t>25 mm</t>
        </is>
      </c>
      <c r="Q1361" s="3" t="inlineStr">
        <is>
          <t>Manufacturer's Warranty</t>
        </is>
      </c>
      <c r="Y1361" s="3" t="inlineStr">
        <is>
          <t>TL_PH_DECO</t>
        </is>
      </c>
      <c r="Z1361" s="3" t="n">
        <v>9405</v>
      </c>
      <c r="AE1361" s="3" t="n">
        <v>720</v>
      </c>
      <c r="AF1361" s="4" t="n">
        <v>0.3</v>
      </c>
      <c r="AG1361" s="3">
        <f>ROUND(AE1361-(AE1361*AF1361),2)</f>
        <v/>
      </c>
      <c r="AH1361" s="4" t="n">
        <v>0.18</v>
      </c>
      <c r="AI1361" s="3">
        <f>ROUND(AG1361+(AG1361*AH1361),2)</f>
        <v/>
      </c>
      <c r="AJ1361" s="4" t="n">
        <v>0.2</v>
      </c>
      <c r="AK1361" s="3">
        <f>ROUND(AI1361*AJ1361,2)</f>
        <v/>
      </c>
      <c r="AL1361" s="3">
        <f>AI1361+AK1361</f>
        <v/>
      </c>
      <c r="AM1361" s="3">
        <f>AE1361-AL1361</f>
        <v/>
      </c>
      <c r="AN1361" s="4">
        <f>AM1361/AE1361</f>
        <v/>
      </c>
      <c r="AO1361" s="3" t="inlineStr">
        <is>
          <t>3 hrs</t>
        </is>
      </c>
      <c r="AQ1361" s="3" t="inlineStr">
        <is>
          <t>Weight</t>
        </is>
      </c>
      <c r="AT1361" s="3" t="inlineStr">
        <is>
          <t>3 hrs</t>
        </is>
      </c>
    </row>
    <row r="1362" ht="15.75" customHeight="1">
      <c r="A1362" s="3" t="inlineStr">
        <is>
          <t>PROD_0256</t>
        </is>
      </c>
      <c r="B1362" s="3" t="inlineStr">
        <is>
          <t>VAR_1</t>
        </is>
      </c>
      <c r="C1362" s="3" t="inlineStr">
        <is>
          <t>Electrical Material</t>
        </is>
      </c>
      <c r="D1362" s="3" t="inlineStr">
        <is>
          <t>Tube Light</t>
        </is>
      </c>
      <c r="E1362" s="3" t="inlineStr">
        <is>
          <t>Philips</t>
        </is>
      </c>
      <c r="F1362" s="3" t="inlineStr">
        <is>
          <t>Slimline Super Bright | 5 m</t>
        </is>
      </c>
      <c r="H1362" s="3" t="inlineStr">
        <is>
          <t>Wattage</t>
        </is>
      </c>
      <c r="I1362" s="3" t="inlineStr">
        <is>
          <t>25 W</t>
        </is>
      </c>
      <c r="J1362" s="3" t="inlineStr">
        <is>
          <t>Luminex</t>
        </is>
      </c>
      <c r="K1362" s="3" t="inlineStr">
        <is>
          <t>2500 LM</t>
        </is>
      </c>
      <c r="L1362" s="3" t="inlineStr">
        <is>
          <t>Color</t>
        </is>
      </c>
      <c r="M1362" s="3" t="inlineStr">
        <is>
          <t>Warm White</t>
        </is>
      </c>
      <c r="O1362" s="3" t="inlineStr">
        <is>
          <t>22 mm</t>
        </is>
      </c>
      <c r="Q1362" s="3" t="inlineStr">
        <is>
          <t>Manufacturer's Warranty</t>
        </is>
      </c>
      <c r="R1362" s="3" t="n">
        <v>919415920162</v>
      </c>
      <c r="Y1362" s="3" t="inlineStr">
        <is>
          <t>TL_PH_SLMLN</t>
        </is>
      </c>
      <c r="Z1362" s="3" t="n">
        <v>9405</v>
      </c>
      <c r="AE1362" s="3" t="n">
        <v>550</v>
      </c>
      <c r="AF1362" s="4" t="n">
        <v>0.6</v>
      </c>
      <c r="AG1362" s="3">
        <f>ROUND(AE1362-(AE1362*AF1362),2)</f>
        <v/>
      </c>
      <c r="AH1362" s="4" t="n">
        <v>0.18</v>
      </c>
      <c r="AI1362" s="3">
        <f>ROUND(AG1362+(AG1362*AH1362),2)</f>
        <v/>
      </c>
      <c r="AJ1362" s="4" t="n">
        <v>0.2</v>
      </c>
      <c r="AK1362" s="3">
        <f>ROUND(AI1362*AJ1362,2)</f>
        <v/>
      </c>
      <c r="AL1362" s="3">
        <f>AI1362+AK1362</f>
        <v/>
      </c>
      <c r="AM1362" s="3">
        <f>AE1362-AL1362</f>
        <v/>
      </c>
      <c r="AN1362" s="4">
        <f>AM1362/AE1362</f>
        <v/>
      </c>
      <c r="AO1362" s="3" t="inlineStr">
        <is>
          <t>3 hrs</t>
        </is>
      </c>
      <c r="AQ1362" s="3" t="inlineStr">
        <is>
          <t>Weight</t>
        </is>
      </c>
      <c r="AT1362" s="3" t="inlineStr">
        <is>
          <t>3 hrs</t>
        </is>
      </c>
    </row>
    <row r="1363" ht="15.75" customHeight="1">
      <c r="A1363" s="3" t="inlineStr">
        <is>
          <t>PROD_0256</t>
        </is>
      </c>
      <c r="B1363" s="3" t="inlineStr">
        <is>
          <t>VAR_2</t>
        </is>
      </c>
      <c r="C1363" s="3" t="inlineStr">
        <is>
          <t>Electrical Material</t>
        </is>
      </c>
      <c r="D1363" s="3" t="inlineStr">
        <is>
          <t>Tube Light</t>
        </is>
      </c>
      <c r="E1363" s="3" t="inlineStr">
        <is>
          <t>Philips</t>
        </is>
      </c>
      <c r="F1363" s="3" t="inlineStr">
        <is>
          <t>Slimline Super Bright | 5 m</t>
        </is>
      </c>
      <c r="H1363" s="3" t="inlineStr">
        <is>
          <t>Wattage</t>
        </is>
      </c>
      <c r="I1363" s="3" t="inlineStr">
        <is>
          <t>25 W</t>
        </is>
      </c>
      <c r="J1363" s="3" t="inlineStr">
        <is>
          <t>Luminex</t>
        </is>
      </c>
      <c r="K1363" s="3" t="inlineStr">
        <is>
          <t>2500 LM</t>
        </is>
      </c>
      <c r="L1363" s="3" t="inlineStr">
        <is>
          <t>Color</t>
        </is>
      </c>
      <c r="M1363" s="3" t="inlineStr">
        <is>
          <t>Cool Daily White</t>
        </is>
      </c>
      <c r="O1363" s="3" t="inlineStr">
        <is>
          <t>22 mm</t>
        </is>
      </c>
      <c r="Q1363" s="3" t="inlineStr">
        <is>
          <t>Manufacturer's Warranty</t>
        </is>
      </c>
      <c r="R1363" s="3" t="n">
        <v>919415920162</v>
      </c>
      <c r="Y1363" s="3" t="inlineStr">
        <is>
          <t>TL_PH_SLMLN</t>
        </is>
      </c>
      <c r="Z1363" s="3" t="n">
        <v>9405</v>
      </c>
      <c r="AE1363" s="3" t="n">
        <v>550</v>
      </c>
      <c r="AF1363" s="4" t="n">
        <v>0.6</v>
      </c>
      <c r="AG1363" s="3">
        <f>ROUND(AE1363-(AE1363*AF1363),2)</f>
        <v/>
      </c>
      <c r="AH1363" s="4" t="n">
        <v>0.18</v>
      </c>
      <c r="AI1363" s="3">
        <f>ROUND(AG1363+(AG1363*AH1363),2)</f>
        <v/>
      </c>
      <c r="AJ1363" s="4" t="n">
        <v>0.2</v>
      </c>
      <c r="AK1363" s="3">
        <f>ROUND(AI1363*AJ1363,2)</f>
        <v/>
      </c>
      <c r="AL1363" s="3">
        <f>AI1363+AK1363</f>
        <v/>
      </c>
      <c r="AM1363" s="3">
        <f>AE1363-AL1363</f>
        <v/>
      </c>
      <c r="AN1363" s="4">
        <f>AM1363/AE1363</f>
        <v/>
      </c>
      <c r="AO1363" s="3" t="inlineStr">
        <is>
          <t>3 hrs</t>
        </is>
      </c>
      <c r="AQ1363" s="3" t="inlineStr">
        <is>
          <t>Weight</t>
        </is>
      </c>
      <c r="AT1363" s="3" t="inlineStr">
        <is>
          <t>3 hrs</t>
        </is>
      </c>
    </row>
    <row r="1364" ht="15.75" customHeight="1">
      <c r="A1364" s="3" t="inlineStr">
        <is>
          <t>PROD_0256</t>
        </is>
      </c>
      <c r="B1364" s="3" t="inlineStr">
        <is>
          <t>VAR_3</t>
        </is>
      </c>
      <c r="C1364" s="3" t="inlineStr">
        <is>
          <t>Electrical Material</t>
        </is>
      </c>
      <c r="D1364" s="3" t="inlineStr">
        <is>
          <t>Tube Light</t>
        </is>
      </c>
      <c r="E1364" s="3" t="inlineStr">
        <is>
          <t>Philips</t>
        </is>
      </c>
      <c r="F1364" s="3" t="inlineStr">
        <is>
          <t>Slimline Super Bright | 5 m</t>
        </is>
      </c>
      <c r="H1364" s="3" t="inlineStr">
        <is>
          <t>Wattage</t>
        </is>
      </c>
      <c r="I1364" s="3" t="inlineStr">
        <is>
          <t>30 W</t>
        </is>
      </c>
      <c r="J1364" s="3" t="inlineStr">
        <is>
          <t>Luminex</t>
        </is>
      </c>
      <c r="K1364" s="3" t="inlineStr">
        <is>
          <t>2500 LM</t>
        </is>
      </c>
      <c r="L1364" s="3" t="inlineStr">
        <is>
          <t>Color</t>
        </is>
      </c>
      <c r="M1364" s="3" t="inlineStr">
        <is>
          <t>Warm White</t>
        </is>
      </c>
      <c r="O1364" s="3" t="inlineStr">
        <is>
          <t>22 mm</t>
        </is>
      </c>
      <c r="Q1364" s="3" t="inlineStr">
        <is>
          <t>Manufacturer's Warranty</t>
        </is>
      </c>
      <c r="R1364" s="3" t="n">
        <v>919415920162</v>
      </c>
      <c r="Y1364" s="3" t="inlineStr">
        <is>
          <t>TL_PH_SLMLN</t>
        </is>
      </c>
      <c r="Z1364" s="3" t="n">
        <v>9405</v>
      </c>
      <c r="AE1364" s="3" t="n">
        <v>600</v>
      </c>
      <c r="AF1364" s="4" t="n">
        <v>0.5</v>
      </c>
      <c r="AG1364" s="3">
        <f>ROUND(AE1364-(AE1364*AF1364),2)</f>
        <v/>
      </c>
      <c r="AH1364" s="4" t="n">
        <v>0.18</v>
      </c>
      <c r="AI1364" s="3">
        <f>ROUND(AG1364+(AG1364*AH1364),2)</f>
        <v/>
      </c>
      <c r="AJ1364" s="4" t="n">
        <v>0.2</v>
      </c>
      <c r="AK1364" s="3">
        <f>ROUND(AI1364*AJ1364,2)</f>
        <v/>
      </c>
      <c r="AL1364" s="3">
        <f>AI1364+AK1364</f>
        <v/>
      </c>
      <c r="AM1364" s="3">
        <f>AE1364-AL1364</f>
        <v/>
      </c>
      <c r="AN1364" s="4">
        <f>AM1364/AE1364</f>
        <v/>
      </c>
      <c r="AO1364" s="3" t="inlineStr">
        <is>
          <t>3 hrs</t>
        </is>
      </c>
      <c r="AQ1364" s="3" t="inlineStr">
        <is>
          <t>Weight</t>
        </is>
      </c>
      <c r="AT1364" s="3" t="inlineStr">
        <is>
          <t>3 hrs</t>
        </is>
      </c>
    </row>
    <row r="1365" ht="15.75" customHeight="1">
      <c r="A1365" s="3" t="inlineStr">
        <is>
          <t>PROD_0256</t>
        </is>
      </c>
      <c r="B1365" s="3" t="inlineStr">
        <is>
          <t>VAR_4</t>
        </is>
      </c>
      <c r="C1365" s="3" t="inlineStr">
        <is>
          <t>Electrical Material</t>
        </is>
      </c>
      <c r="D1365" s="3" t="inlineStr">
        <is>
          <t>Tube Light</t>
        </is>
      </c>
      <c r="E1365" s="3" t="inlineStr">
        <is>
          <t>Philips</t>
        </is>
      </c>
      <c r="F1365" s="3" t="inlineStr">
        <is>
          <t>Slimline Super Bright | 5 m</t>
        </is>
      </c>
      <c r="H1365" s="3" t="inlineStr">
        <is>
          <t>Wattage</t>
        </is>
      </c>
      <c r="I1365" s="3" t="inlineStr">
        <is>
          <t>30 W</t>
        </is>
      </c>
      <c r="J1365" s="3" t="inlineStr">
        <is>
          <t>Luminex</t>
        </is>
      </c>
      <c r="K1365" s="3" t="inlineStr">
        <is>
          <t>2500 LM</t>
        </is>
      </c>
      <c r="L1365" s="3" t="inlineStr">
        <is>
          <t>Color</t>
        </is>
      </c>
      <c r="M1365" s="3" t="inlineStr">
        <is>
          <t>Cool Daily White</t>
        </is>
      </c>
      <c r="O1365" s="3" t="inlineStr">
        <is>
          <t>22 mm</t>
        </is>
      </c>
      <c r="Q1365" s="3" t="inlineStr">
        <is>
          <t>Manufacturer's Warranty</t>
        </is>
      </c>
      <c r="R1365" s="3" t="n">
        <v>919415920162</v>
      </c>
      <c r="Y1365" s="3" t="inlineStr">
        <is>
          <t>TL_PH_SLMLN</t>
        </is>
      </c>
      <c r="Z1365" s="3" t="n">
        <v>9405</v>
      </c>
      <c r="AE1365" s="3" t="n">
        <v>600</v>
      </c>
      <c r="AF1365" s="4" t="n">
        <v>0.5</v>
      </c>
      <c r="AG1365" s="3">
        <f>ROUND(AE1365-(AE1365*AF1365),2)</f>
        <v/>
      </c>
      <c r="AH1365" s="4" t="n">
        <v>0.18</v>
      </c>
      <c r="AI1365" s="3">
        <f>ROUND(AG1365+(AG1365*AH1365),2)</f>
        <v/>
      </c>
      <c r="AJ1365" s="4" t="n">
        <v>0.2</v>
      </c>
      <c r="AK1365" s="3">
        <f>ROUND(AI1365*AJ1365,2)</f>
        <v/>
      </c>
      <c r="AL1365" s="3">
        <f>AI1365+AK1365</f>
        <v/>
      </c>
      <c r="AM1365" s="3">
        <f>AE1365-AL1365</f>
        <v/>
      </c>
      <c r="AN1365" s="4">
        <f>AM1365/AE1365</f>
        <v/>
      </c>
      <c r="AO1365" s="3" t="inlineStr">
        <is>
          <t>3 hrs</t>
        </is>
      </c>
      <c r="AQ1365" s="3" t="inlineStr">
        <is>
          <t>Weight</t>
        </is>
      </c>
      <c r="AT1365" s="3" t="inlineStr">
        <is>
          <t>3 hrs</t>
        </is>
      </c>
    </row>
    <row r="1366" ht="15.75" customHeight="1">
      <c r="A1366" s="3" t="inlineStr">
        <is>
          <t>PROD_0256</t>
        </is>
      </c>
      <c r="B1366" s="3" t="inlineStr">
        <is>
          <t>VAR_5</t>
        </is>
      </c>
      <c r="C1366" s="3" t="inlineStr">
        <is>
          <t>Electrical Material</t>
        </is>
      </c>
      <c r="D1366" s="3" t="inlineStr">
        <is>
          <t>Tube Light</t>
        </is>
      </c>
      <c r="E1366" s="3" t="inlineStr">
        <is>
          <t>Philips</t>
        </is>
      </c>
      <c r="F1366" s="3" t="inlineStr">
        <is>
          <t>Slimline Super Bright | 5 m</t>
        </is>
      </c>
      <c r="H1366" s="3" t="inlineStr">
        <is>
          <t>Wattage</t>
        </is>
      </c>
      <c r="I1366" s="3" t="inlineStr">
        <is>
          <t>36 W</t>
        </is>
      </c>
      <c r="J1366" s="3" t="inlineStr">
        <is>
          <t>Luminex</t>
        </is>
      </c>
      <c r="K1366" s="3" t="inlineStr">
        <is>
          <t>2500 LM</t>
        </is>
      </c>
      <c r="L1366" s="3" t="inlineStr">
        <is>
          <t>Color</t>
        </is>
      </c>
      <c r="M1366" s="3" t="inlineStr">
        <is>
          <t>Warm White</t>
        </is>
      </c>
      <c r="O1366" s="3" t="inlineStr">
        <is>
          <t>22 mm</t>
        </is>
      </c>
      <c r="Q1366" s="3" t="inlineStr">
        <is>
          <t>Manufacturer's Warranty</t>
        </is>
      </c>
      <c r="R1366" s="3" t="n">
        <v>919415920162</v>
      </c>
      <c r="Y1366" s="3" t="inlineStr">
        <is>
          <t>TL_PH_SLMLN</t>
        </is>
      </c>
      <c r="Z1366" s="3" t="n">
        <v>9405</v>
      </c>
      <c r="AE1366" s="3" t="n">
        <v>750</v>
      </c>
      <c r="AF1366" s="4" t="n">
        <v>0.52</v>
      </c>
      <c r="AG1366" s="3">
        <f>ROUND(AE1366-(AE1366*AF1366),2)</f>
        <v/>
      </c>
      <c r="AH1366" s="4" t="n">
        <v>0.18</v>
      </c>
      <c r="AI1366" s="3">
        <f>ROUND(AG1366+(AG1366*AH1366),2)</f>
        <v/>
      </c>
      <c r="AJ1366" s="4" t="n">
        <v>0.2</v>
      </c>
      <c r="AK1366" s="3">
        <f>ROUND(AI1366*AJ1366,2)</f>
        <v/>
      </c>
      <c r="AL1366" s="3">
        <f>AI1366+AK1366</f>
        <v/>
      </c>
      <c r="AM1366" s="3">
        <f>AE1366-AL1366</f>
        <v/>
      </c>
      <c r="AN1366" s="4">
        <f>AM1366/AE1366</f>
        <v/>
      </c>
      <c r="AO1366" s="3" t="inlineStr">
        <is>
          <t>3 hrs</t>
        </is>
      </c>
      <c r="AQ1366" s="3" t="inlineStr">
        <is>
          <t>Weight</t>
        </is>
      </c>
      <c r="AT1366" s="3" t="inlineStr">
        <is>
          <t>3 hrs</t>
        </is>
      </c>
    </row>
    <row r="1367" ht="15.75" customHeight="1">
      <c r="A1367" s="3" t="inlineStr">
        <is>
          <t>PROD_0256</t>
        </is>
      </c>
      <c r="B1367" s="3" t="inlineStr">
        <is>
          <t>VAR_6</t>
        </is>
      </c>
      <c r="C1367" s="3" t="inlineStr">
        <is>
          <t>Electrical Material</t>
        </is>
      </c>
      <c r="D1367" s="3" t="inlineStr">
        <is>
          <t>Tube Light</t>
        </is>
      </c>
      <c r="E1367" s="3" t="inlineStr">
        <is>
          <t>Philips</t>
        </is>
      </c>
      <c r="F1367" s="3" t="inlineStr">
        <is>
          <t>Slimline Super Bright | 5 m</t>
        </is>
      </c>
      <c r="H1367" s="3" t="inlineStr">
        <is>
          <t>Wattage</t>
        </is>
      </c>
      <c r="I1367" s="3" t="inlineStr">
        <is>
          <t>36 W</t>
        </is>
      </c>
      <c r="J1367" s="3" t="inlineStr">
        <is>
          <t>Luminex</t>
        </is>
      </c>
      <c r="K1367" s="3" t="inlineStr">
        <is>
          <t>2500 LM</t>
        </is>
      </c>
      <c r="L1367" s="3" t="inlineStr">
        <is>
          <t>Color</t>
        </is>
      </c>
      <c r="M1367" s="3" t="inlineStr">
        <is>
          <t>Cool Daily White</t>
        </is>
      </c>
      <c r="O1367" s="3" t="inlineStr">
        <is>
          <t>22 mm</t>
        </is>
      </c>
      <c r="Q1367" s="3" t="inlineStr">
        <is>
          <t>Manufacturer's Warranty</t>
        </is>
      </c>
      <c r="R1367" s="3" t="n">
        <v>919415920162</v>
      </c>
      <c r="Y1367" s="3" t="inlineStr">
        <is>
          <t>TL_PH_SLMLN</t>
        </is>
      </c>
      <c r="Z1367" s="3" t="n">
        <v>9405</v>
      </c>
      <c r="AE1367" s="3" t="n">
        <v>750</v>
      </c>
      <c r="AF1367" s="4" t="n">
        <v>0.52</v>
      </c>
      <c r="AG1367" s="3">
        <f>ROUND(AE1367-(AE1367*AF1367),2)</f>
        <v/>
      </c>
      <c r="AH1367" s="4" t="n">
        <v>0.18</v>
      </c>
      <c r="AI1367" s="3">
        <f>ROUND(AG1367+(AG1367*AH1367),2)</f>
        <v/>
      </c>
      <c r="AJ1367" s="4" t="n">
        <v>0.2</v>
      </c>
      <c r="AK1367" s="3">
        <f>ROUND(AI1367*AJ1367,2)</f>
        <v/>
      </c>
      <c r="AL1367" s="3">
        <f>AI1367+AK1367</f>
        <v/>
      </c>
      <c r="AM1367" s="3">
        <f>AE1367-AL1367</f>
        <v/>
      </c>
      <c r="AN1367" s="4">
        <f>AM1367/AE1367</f>
        <v/>
      </c>
      <c r="AO1367" s="3" t="inlineStr">
        <is>
          <t>3 hrs</t>
        </is>
      </c>
      <c r="AQ1367" s="3" t="inlineStr">
        <is>
          <t>Weight</t>
        </is>
      </c>
      <c r="AT1367" s="3" t="inlineStr">
        <is>
          <t>3 hrs</t>
        </is>
      </c>
    </row>
    <row r="1368" ht="15.75" customHeight="1">
      <c r="A1368" s="3" t="inlineStr">
        <is>
          <t>PROD_0257</t>
        </is>
      </c>
      <c r="B1368" s="3" t="inlineStr">
        <is>
          <t>VAR_1</t>
        </is>
      </c>
      <c r="C1368" s="3" t="inlineStr">
        <is>
          <t>Electrical Material</t>
        </is>
      </c>
      <c r="D1368" s="3" t="inlineStr">
        <is>
          <t>Tube Light</t>
        </is>
      </c>
      <c r="E1368" s="3" t="inlineStr">
        <is>
          <t>Polycab</t>
        </is>
      </c>
      <c r="F1368" s="3" t="inlineStr">
        <is>
          <t>High Wattage Batten | 5 m</t>
        </is>
      </c>
      <c r="H1368" s="3" t="inlineStr">
        <is>
          <t>Wattage</t>
        </is>
      </c>
      <c r="I1368" s="3" t="inlineStr">
        <is>
          <t>24 W</t>
        </is>
      </c>
      <c r="J1368" s="3" t="inlineStr">
        <is>
          <t>Luminex</t>
        </is>
      </c>
      <c r="K1368" s="3" t="inlineStr">
        <is>
          <t>2500 LM</t>
        </is>
      </c>
      <c r="L1368" s="3" t="inlineStr">
        <is>
          <t>Color</t>
        </is>
      </c>
      <c r="M1368" s="3" t="inlineStr">
        <is>
          <t>Warm White</t>
        </is>
      </c>
      <c r="O1368" s="3" t="inlineStr">
        <is>
          <t>45 mm</t>
        </is>
      </c>
      <c r="Q1368" s="3" t="inlineStr">
        <is>
          <t>Manufacturer's Warranty</t>
        </is>
      </c>
      <c r="R1368" s="3" t="inlineStr">
        <is>
          <t>p-54159</t>
        </is>
      </c>
      <c r="Y1368" s="3" t="inlineStr">
        <is>
          <t>TL_PLCB_HIWTG</t>
        </is>
      </c>
      <c r="Z1368" s="3" t="n">
        <v>9405</v>
      </c>
      <c r="AE1368" s="3" t="n">
        <v>750</v>
      </c>
      <c r="AF1368" s="4" t="n">
        <v>0.5</v>
      </c>
      <c r="AG1368" s="3">
        <f>ROUND(AE1368-(AE1368*AF1368),2)</f>
        <v/>
      </c>
      <c r="AH1368" s="4" t="n">
        <v>0.18</v>
      </c>
      <c r="AI1368" s="3">
        <f>ROUND(AG1368+(AG1368*AH1368),2)</f>
        <v/>
      </c>
      <c r="AJ1368" s="4" t="n">
        <v>0.2</v>
      </c>
      <c r="AK1368" s="3">
        <f>ROUND(AI1368*AJ1368,2)</f>
        <v/>
      </c>
      <c r="AL1368" s="3">
        <f>AI1368+AK1368</f>
        <v/>
      </c>
      <c r="AM1368" s="3">
        <f>AE1368-AL1368</f>
        <v/>
      </c>
      <c r="AN1368" s="4">
        <f>AM1368/AE1368</f>
        <v/>
      </c>
      <c r="AO1368" s="3" t="inlineStr">
        <is>
          <t>60 mins</t>
        </is>
      </c>
      <c r="AQ1368" s="3" t="inlineStr">
        <is>
          <t>Weight</t>
        </is>
      </c>
      <c r="AT1368" s="3" t="inlineStr">
        <is>
          <t>60 mins</t>
        </is>
      </c>
    </row>
    <row r="1369" ht="15.75" customHeight="1">
      <c r="A1369" s="3" t="inlineStr">
        <is>
          <t>PROD_0257</t>
        </is>
      </c>
      <c r="B1369" s="3" t="inlineStr">
        <is>
          <t>VAR_2</t>
        </is>
      </c>
      <c r="C1369" s="3" t="inlineStr">
        <is>
          <t>Electrical Material</t>
        </is>
      </c>
      <c r="D1369" s="3" t="inlineStr">
        <is>
          <t>Tube Light</t>
        </is>
      </c>
      <c r="E1369" s="3" t="inlineStr">
        <is>
          <t>Polycab</t>
        </is>
      </c>
      <c r="F1369" s="3" t="inlineStr">
        <is>
          <t>High Wattage Batten | 5 m</t>
        </is>
      </c>
      <c r="H1369" s="3" t="inlineStr">
        <is>
          <t>Wattage</t>
        </is>
      </c>
      <c r="I1369" s="3" t="inlineStr">
        <is>
          <t>30 W</t>
        </is>
      </c>
      <c r="J1369" s="3" t="inlineStr">
        <is>
          <t>Luminex</t>
        </is>
      </c>
      <c r="K1369" s="3" t="inlineStr">
        <is>
          <t>2500 LM</t>
        </is>
      </c>
      <c r="L1369" s="3" t="inlineStr">
        <is>
          <t>Color</t>
        </is>
      </c>
      <c r="M1369" s="3" t="inlineStr">
        <is>
          <t>Cool Daily White</t>
        </is>
      </c>
      <c r="O1369" s="3" t="inlineStr">
        <is>
          <t>45 mm</t>
        </is>
      </c>
      <c r="Q1369" s="3" t="inlineStr">
        <is>
          <t>Manufacturer's Warranty</t>
        </is>
      </c>
      <c r="R1369" s="3" t="inlineStr">
        <is>
          <t>p-54160</t>
        </is>
      </c>
      <c r="Y1369" s="3" t="inlineStr">
        <is>
          <t>TL_PLCB_HIWTG</t>
        </is>
      </c>
      <c r="Z1369" s="3" t="n">
        <v>9405</v>
      </c>
      <c r="AE1369" s="3" t="n">
        <v>1000</v>
      </c>
      <c r="AF1369" s="4" t="n">
        <v>0.5</v>
      </c>
      <c r="AG1369" s="3">
        <f>ROUND(AE1369-(AE1369*AF1369),2)</f>
        <v/>
      </c>
      <c r="AH1369" s="4" t="n">
        <v>0.18</v>
      </c>
      <c r="AI1369" s="3">
        <f>ROUND(AG1369+(AG1369*AH1369),2)</f>
        <v/>
      </c>
      <c r="AJ1369" s="4" t="n">
        <v>0.2</v>
      </c>
      <c r="AK1369" s="3">
        <f>ROUND(AI1369*AJ1369,2)</f>
        <v/>
      </c>
      <c r="AL1369" s="3">
        <f>AI1369+AK1369</f>
        <v/>
      </c>
      <c r="AM1369" s="3">
        <f>AE1369-AL1369</f>
        <v/>
      </c>
      <c r="AN1369" s="4">
        <f>AM1369/AE1369</f>
        <v/>
      </c>
      <c r="AO1369" s="3" t="inlineStr">
        <is>
          <t>60 mins</t>
        </is>
      </c>
      <c r="AQ1369" s="3" t="inlineStr">
        <is>
          <t>Weight</t>
        </is>
      </c>
      <c r="AT1369" s="3" t="inlineStr">
        <is>
          <t>60 mins</t>
        </is>
      </c>
    </row>
    <row r="1370" ht="15.75" customHeight="1">
      <c r="A1370" s="3" t="inlineStr">
        <is>
          <t>PROD_0257</t>
        </is>
      </c>
      <c r="B1370" s="3" t="inlineStr">
        <is>
          <t>VAR_3</t>
        </is>
      </c>
      <c r="C1370" s="3" t="inlineStr">
        <is>
          <t>Electrical Material</t>
        </is>
      </c>
      <c r="D1370" s="3" t="inlineStr">
        <is>
          <t>Tube Light</t>
        </is>
      </c>
      <c r="E1370" s="3" t="inlineStr">
        <is>
          <t>Polycab</t>
        </is>
      </c>
      <c r="F1370" s="3" t="inlineStr">
        <is>
          <t>High Wattage Batten | 5 m</t>
        </is>
      </c>
      <c r="H1370" s="3" t="inlineStr">
        <is>
          <t>Wattage</t>
        </is>
      </c>
      <c r="I1370" s="3" t="inlineStr">
        <is>
          <t>40 W</t>
        </is>
      </c>
      <c r="J1370" s="3" t="inlineStr">
        <is>
          <t>Luminex</t>
        </is>
      </c>
      <c r="K1370" s="3" t="inlineStr">
        <is>
          <t>2500 LM</t>
        </is>
      </c>
      <c r="L1370" s="3" t="inlineStr">
        <is>
          <t>Color</t>
        </is>
      </c>
      <c r="O1370" s="3" t="inlineStr">
        <is>
          <t>45 mm</t>
        </is>
      </c>
      <c r="Q1370" s="3" t="inlineStr">
        <is>
          <t>Manufacturer's Warranty</t>
        </is>
      </c>
      <c r="R1370" s="3" t="inlineStr">
        <is>
          <t>p-54161</t>
        </is>
      </c>
      <c r="Y1370" s="3" t="inlineStr">
        <is>
          <t>TL_PLCB_HIWTG</t>
        </is>
      </c>
      <c r="Z1370" s="3" t="n">
        <v>9405</v>
      </c>
      <c r="AE1370" s="3" t="n">
        <v>1500</v>
      </c>
      <c r="AF1370" s="4" t="n">
        <v>0.5</v>
      </c>
      <c r="AG1370" s="3">
        <f>ROUND(AE1370-(AE1370*AF1370),2)</f>
        <v/>
      </c>
      <c r="AH1370" s="4" t="n">
        <v>0.18</v>
      </c>
      <c r="AI1370" s="3">
        <f>ROUND(AG1370+(AG1370*AH1370),2)</f>
        <v/>
      </c>
      <c r="AJ1370" s="4" t="n">
        <v>0.2</v>
      </c>
      <c r="AK1370" s="3">
        <f>ROUND(AI1370*AJ1370,2)</f>
        <v/>
      </c>
      <c r="AL1370" s="3">
        <f>AI1370+AK1370</f>
        <v/>
      </c>
      <c r="AM1370" s="3">
        <f>AE1370-AL1370</f>
        <v/>
      </c>
      <c r="AN1370" s="4">
        <f>AM1370/AE1370</f>
        <v/>
      </c>
      <c r="AO1370" s="3" t="inlineStr">
        <is>
          <t>60 mins</t>
        </is>
      </c>
      <c r="AQ1370" s="3" t="inlineStr">
        <is>
          <t>Weight</t>
        </is>
      </c>
      <c r="AT1370" s="3" t="inlineStr">
        <is>
          <t>60 mins</t>
        </is>
      </c>
    </row>
    <row r="1371" ht="15.75" customHeight="1">
      <c r="A1371" s="3" t="inlineStr">
        <is>
          <t>PROD_0258</t>
        </is>
      </c>
      <c r="B1371" s="3" t="inlineStr">
        <is>
          <t>VAR_1</t>
        </is>
      </c>
      <c r="C1371" s="3" t="inlineStr">
        <is>
          <t>Electrical Material</t>
        </is>
      </c>
      <c r="D1371" s="3" t="inlineStr">
        <is>
          <t>Rope Light</t>
        </is>
      </c>
      <c r="E1371" s="3" t="inlineStr">
        <is>
          <t>Philips</t>
        </is>
      </c>
      <c r="F1371" s="3" t="inlineStr">
        <is>
          <t>Ultra Marathon | 5 m</t>
        </is>
      </c>
      <c r="H1371" s="3" t="inlineStr">
        <is>
          <t>Wattage</t>
        </is>
      </c>
      <c r="I1371" s="3" t="inlineStr">
        <is>
          <t>1 W</t>
        </is>
      </c>
      <c r="J1371" s="3" t="inlineStr">
        <is>
          <t>Luminex</t>
        </is>
      </c>
      <c r="K1371" s="3" t="inlineStr">
        <is>
          <t>35000 LM</t>
        </is>
      </c>
      <c r="L1371" s="3" t="inlineStr">
        <is>
          <t>Color</t>
        </is>
      </c>
      <c r="M1371" s="3" t="inlineStr">
        <is>
          <t>Warm White</t>
        </is>
      </c>
      <c r="O1371" s="3" t="inlineStr">
        <is>
          <t>50 meter</t>
        </is>
      </c>
      <c r="Q1371" s="3" t="inlineStr">
        <is>
          <t>Manufacturer's Warranty</t>
        </is>
      </c>
      <c r="R1371" s="3" t="inlineStr">
        <is>
          <t>PH 1450</t>
        </is>
      </c>
      <c r="Y1371" s="3" t="inlineStr">
        <is>
          <t>RL_PH_UM_1, RL_PH_UM_2</t>
        </is>
      </c>
      <c r="Z1371" s="3" t="n">
        <v>9405</v>
      </c>
      <c r="AE1371" s="3" t="n">
        <v>9990</v>
      </c>
      <c r="AF1371" s="4" t="n">
        <v>0.57</v>
      </c>
      <c r="AG1371" s="3">
        <f>ROUND(AE1371-(AE1371*AF1371),2)</f>
        <v/>
      </c>
      <c r="AH1371" s="4" t="n">
        <v>0.18</v>
      </c>
      <c r="AI1371" s="3">
        <f>ROUND(AG1371+(AG1371*AH1371),2)</f>
        <v/>
      </c>
      <c r="AJ1371" s="4" t="n">
        <v>0.2</v>
      </c>
      <c r="AK1371" s="3">
        <f>ROUND(AI1371*AJ1371,2)</f>
        <v/>
      </c>
      <c r="AL1371" s="3">
        <f>AI1371+AK1371</f>
        <v/>
      </c>
      <c r="AM1371" s="3">
        <f>AE1371-AL1371</f>
        <v/>
      </c>
      <c r="AN1371" s="4">
        <f>AM1371/AE1371</f>
        <v/>
      </c>
      <c r="AO1371" s="3" t="inlineStr">
        <is>
          <t>3 hrs</t>
        </is>
      </c>
      <c r="AQ1371" s="3" t="inlineStr">
        <is>
          <t>Weight</t>
        </is>
      </c>
      <c r="AT1371" s="3" t="inlineStr">
        <is>
          <t>60 mins</t>
        </is>
      </c>
    </row>
    <row r="1372" ht="15.75" customHeight="1">
      <c r="A1372" s="3" t="inlineStr">
        <is>
          <t>PROD_0258</t>
        </is>
      </c>
      <c r="B1372" s="3" t="inlineStr">
        <is>
          <t>VAR_2</t>
        </is>
      </c>
      <c r="C1372" s="3" t="inlineStr">
        <is>
          <t>Electrical Material</t>
        </is>
      </c>
      <c r="D1372" s="3" t="inlineStr">
        <is>
          <t>Rope Light</t>
        </is>
      </c>
      <c r="E1372" s="3" t="inlineStr">
        <is>
          <t>Philips</t>
        </is>
      </c>
      <c r="F1372" s="3" t="inlineStr">
        <is>
          <t>Ultra Marathon | 5 m</t>
        </is>
      </c>
      <c r="H1372" s="3" t="inlineStr">
        <is>
          <t>Wattage</t>
        </is>
      </c>
      <c r="I1372" s="3" t="inlineStr">
        <is>
          <t>1 W</t>
        </is>
      </c>
      <c r="J1372" s="3" t="inlineStr">
        <is>
          <t>Luminex</t>
        </is>
      </c>
      <c r="K1372" s="3" t="inlineStr">
        <is>
          <t>35000 LM</t>
        </is>
      </c>
      <c r="L1372" s="3" t="inlineStr">
        <is>
          <t>Color</t>
        </is>
      </c>
      <c r="M1372" s="3" t="inlineStr">
        <is>
          <t>Cool Daily White</t>
        </is>
      </c>
      <c r="O1372" s="3" t="inlineStr">
        <is>
          <t>50 meter</t>
        </is>
      </c>
      <c r="Q1372" s="3" t="inlineStr">
        <is>
          <t>Manufacturer's Warranty</t>
        </is>
      </c>
      <c r="R1372" s="3" t="inlineStr">
        <is>
          <t>PH 1450</t>
        </is>
      </c>
      <c r="Y1372" s="3" t="inlineStr">
        <is>
          <t>RL_PH_UM_1, RL_PH_UM_2</t>
        </is>
      </c>
      <c r="Z1372" s="3" t="n">
        <v>9405</v>
      </c>
      <c r="AE1372" s="3" t="n">
        <v>9990</v>
      </c>
      <c r="AF1372" s="4" t="n">
        <v>0.57</v>
      </c>
      <c r="AG1372" s="3">
        <f>ROUND(AE1372-(AE1372*AF1372),2)</f>
        <v/>
      </c>
      <c r="AH1372" s="4" t="n">
        <v>0.18</v>
      </c>
      <c r="AI1372" s="3">
        <f>ROUND(AG1372+(AG1372*AH1372),2)</f>
        <v/>
      </c>
      <c r="AJ1372" s="4" t="n">
        <v>0.2</v>
      </c>
      <c r="AK1372" s="3">
        <f>ROUND(AI1372*AJ1372,2)</f>
        <v/>
      </c>
      <c r="AL1372" s="3">
        <f>AI1372+AK1372</f>
        <v/>
      </c>
      <c r="AM1372" s="3">
        <f>AE1372-AL1372</f>
        <v/>
      </c>
      <c r="AN1372" s="4">
        <f>AM1372/AE1372</f>
        <v/>
      </c>
      <c r="AO1372" s="3" t="inlineStr">
        <is>
          <t>3 hrs</t>
        </is>
      </c>
      <c r="AQ1372" s="3" t="inlineStr">
        <is>
          <t>Weight</t>
        </is>
      </c>
      <c r="AT1372" s="3" t="inlineStr">
        <is>
          <t>60 mins</t>
        </is>
      </c>
    </row>
    <row r="1373" ht="15.75" customHeight="1">
      <c r="A1373" s="3" t="inlineStr">
        <is>
          <t>PROD_0259</t>
        </is>
      </c>
      <c r="B1373" s="3" t="inlineStr">
        <is>
          <t>VAR_1</t>
        </is>
      </c>
      <c r="C1373" s="3" t="inlineStr">
        <is>
          <t>Electrical Material</t>
        </is>
      </c>
      <c r="D1373" s="3" t="inlineStr">
        <is>
          <t>Rope Light</t>
        </is>
      </c>
      <c r="E1373" s="3" t="inlineStr">
        <is>
          <t>Polycab</t>
        </is>
      </c>
      <c r="F1373" s="3" t="inlineStr">
        <is>
          <t>120 LED rope Light | 5 m</t>
        </is>
      </c>
      <c r="H1373" s="3" t="inlineStr">
        <is>
          <t>Wattage</t>
        </is>
      </c>
      <c r="I1373" s="3" t="inlineStr">
        <is>
          <t>360 W</t>
        </is>
      </c>
      <c r="J1373" s="3" t="inlineStr">
        <is>
          <t>Luminex</t>
        </is>
      </c>
      <c r="K1373" s="3" t="inlineStr">
        <is>
          <t>28800 LM</t>
        </is>
      </c>
      <c r="L1373" s="3" t="inlineStr">
        <is>
          <t>Color</t>
        </is>
      </c>
      <c r="M1373" s="3" t="inlineStr">
        <is>
          <t>Warm White</t>
        </is>
      </c>
      <c r="O1373" s="3" t="inlineStr">
        <is>
          <t>45 meter</t>
        </is>
      </c>
      <c r="Q1373" s="3" t="inlineStr">
        <is>
          <t>Manufacturer's Warranty</t>
        </is>
      </c>
      <c r="R1373" s="3" t="inlineStr">
        <is>
          <t>p-54279</t>
        </is>
      </c>
      <c r="Y1373" s="3" t="inlineStr">
        <is>
          <t>RL_PLCB_120</t>
        </is>
      </c>
      <c r="Z1373" s="3" t="n">
        <v>9405</v>
      </c>
      <c r="AE1373" s="3" t="n">
        <v>9995</v>
      </c>
      <c r="AF1373" s="4" t="n">
        <v>0.7</v>
      </c>
      <c r="AG1373" s="3">
        <f>ROUND(AE1373-(AE1373*AF1373),2)</f>
        <v/>
      </c>
      <c r="AH1373" s="4" t="n">
        <v>0.18</v>
      </c>
      <c r="AI1373" s="3">
        <f>ROUND(AG1373+(AG1373*AH1373),2)</f>
        <v/>
      </c>
      <c r="AJ1373" s="4" t="n">
        <v>0.2</v>
      </c>
      <c r="AK1373" s="3">
        <f>ROUND(AI1373*AJ1373,2)</f>
        <v/>
      </c>
      <c r="AL1373" s="3">
        <f>AI1373+AK1373</f>
        <v/>
      </c>
      <c r="AM1373" s="3">
        <f>AE1373-AL1373</f>
        <v/>
      </c>
      <c r="AN1373" s="4">
        <f>AM1373/AE1373</f>
        <v/>
      </c>
      <c r="AO1373" s="3" t="inlineStr">
        <is>
          <t>60 mins</t>
        </is>
      </c>
      <c r="AQ1373" s="3" t="inlineStr">
        <is>
          <t>Weight</t>
        </is>
      </c>
      <c r="AT1373" s="3" t="inlineStr">
        <is>
          <t>60 mins</t>
        </is>
      </c>
    </row>
    <row r="1374" ht="15.75" customHeight="1">
      <c r="A1374" s="3" t="inlineStr">
        <is>
          <t>PROD_0259</t>
        </is>
      </c>
      <c r="B1374" s="3" t="inlineStr">
        <is>
          <t>VAR_2</t>
        </is>
      </c>
      <c r="C1374" s="3" t="inlineStr">
        <is>
          <t>Electrical Material</t>
        </is>
      </c>
      <c r="D1374" s="3" t="inlineStr">
        <is>
          <t>Rope Light</t>
        </is>
      </c>
      <c r="E1374" s="3" t="inlineStr">
        <is>
          <t>Polycab</t>
        </is>
      </c>
      <c r="F1374" s="3" t="inlineStr">
        <is>
          <t>120 LED rope Light | 5 m</t>
        </is>
      </c>
      <c r="H1374" s="3" t="inlineStr">
        <is>
          <t>Wattage</t>
        </is>
      </c>
      <c r="I1374" s="3" t="inlineStr">
        <is>
          <t>360 W</t>
        </is>
      </c>
      <c r="J1374" s="3" t="inlineStr">
        <is>
          <t>Luminex</t>
        </is>
      </c>
      <c r="K1374" s="3" t="inlineStr">
        <is>
          <t>28800 LM</t>
        </is>
      </c>
      <c r="L1374" s="3" t="inlineStr">
        <is>
          <t>Color</t>
        </is>
      </c>
      <c r="M1374" s="3" t="inlineStr">
        <is>
          <t>Cool Daily White</t>
        </is>
      </c>
      <c r="O1374" s="3" t="inlineStr">
        <is>
          <t>45 meter</t>
        </is>
      </c>
      <c r="Q1374" s="3" t="inlineStr">
        <is>
          <t>Manufacturer's Warranty</t>
        </is>
      </c>
      <c r="R1374" s="3" t="inlineStr">
        <is>
          <t>p-54279</t>
        </is>
      </c>
      <c r="Y1374" s="3" t="inlineStr">
        <is>
          <t>RL_PLCB_120</t>
        </is>
      </c>
      <c r="Z1374" s="3" t="n">
        <v>9405</v>
      </c>
      <c r="AE1374" s="3" t="n">
        <v>9995</v>
      </c>
      <c r="AF1374" s="4" t="n">
        <v>0.7</v>
      </c>
      <c r="AG1374" s="3">
        <f>ROUND(AE1374-(AE1374*AF1374),2)</f>
        <v/>
      </c>
      <c r="AH1374" s="4" t="n">
        <v>0.18</v>
      </c>
      <c r="AI1374" s="3">
        <f>ROUND(AG1374+(AG1374*AH1374),2)</f>
        <v/>
      </c>
      <c r="AJ1374" s="4" t="n">
        <v>0.2</v>
      </c>
      <c r="AK1374" s="3">
        <f>ROUND(AI1374*AJ1374,2)</f>
        <v/>
      </c>
      <c r="AL1374" s="3">
        <f>AI1374+AK1374</f>
        <v/>
      </c>
      <c r="AM1374" s="3">
        <f>AE1374-AL1374</f>
        <v/>
      </c>
      <c r="AN1374" s="4">
        <f>AM1374/AE1374</f>
        <v/>
      </c>
      <c r="AO1374" s="3" t="inlineStr">
        <is>
          <t>60 mins</t>
        </is>
      </c>
      <c r="AQ1374" s="3" t="inlineStr">
        <is>
          <t>Weight</t>
        </is>
      </c>
      <c r="AT1374" s="3" t="inlineStr">
        <is>
          <t>60 mins</t>
        </is>
      </c>
    </row>
    <row r="1375" ht="15.75" customHeight="1">
      <c r="A1375" s="3" t="inlineStr">
        <is>
          <t>PROD_0260</t>
        </is>
      </c>
      <c r="B1375" s="3" t="inlineStr">
        <is>
          <t>VAR_1</t>
        </is>
      </c>
      <c r="C1375" s="3" t="inlineStr">
        <is>
          <t>Paint</t>
        </is>
      </c>
      <c r="D1375" s="3" t="inlineStr">
        <is>
          <t>Interior Paint</t>
        </is>
      </c>
      <c r="E1375" s="3" t="inlineStr">
        <is>
          <t>Asian Paint</t>
        </is>
      </c>
      <c r="F1375" s="3" t="inlineStr">
        <is>
          <t>Uno Acrylic Distemper</t>
        </is>
      </c>
      <c r="H1375" s="3" t="inlineStr">
        <is>
          <t>Volume</t>
        </is>
      </c>
      <c r="I1375" s="3" t="inlineStr">
        <is>
          <t>1 Ltr</t>
        </is>
      </c>
      <c r="J1375" s="3" t="inlineStr">
        <is>
          <t>Color</t>
        </is>
      </c>
      <c r="K1375" s="3" t="inlineStr">
        <is>
          <t>White</t>
        </is>
      </c>
      <c r="Q1375" s="3" t="inlineStr">
        <is>
          <t>Manufacturer's Warranty</t>
        </is>
      </c>
      <c r="Y1375" s="3" t="inlineStr">
        <is>
          <t>INTPNT_AP_DST_UNO</t>
        </is>
      </c>
      <c r="Z1375" s="3" t="n">
        <v>3209</v>
      </c>
      <c r="AE1375" s="3" t="n">
        <v>201</v>
      </c>
      <c r="AF1375" s="4" t="n">
        <v>0.41</v>
      </c>
      <c r="AG1375" s="3">
        <f>ROUND(AE1375-(AE1375*AF1375),2)</f>
        <v/>
      </c>
      <c r="AH1375" s="4" t="n">
        <v>0.18</v>
      </c>
      <c r="AI1375" s="3">
        <f>ROUND(AG1375+(AG1375*AH1375),2)</f>
        <v/>
      </c>
      <c r="AJ1375" s="4" t="n">
        <v>0.15</v>
      </c>
      <c r="AK1375" s="3">
        <f>ROUND(AI1375*AJ1375,2)</f>
        <v/>
      </c>
      <c r="AL1375" s="3">
        <f>AI1375+AK1375</f>
        <v/>
      </c>
      <c r="AM1375" s="3">
        <f>AE1375-AL1375</f>
        <v/>
      </c>
      <c r="AN1375" s="4">
        <f>AM1375/AE1375</f>
        <v/>
      </c>
      <c r="AO1375" s="3" t="inlineStr">
        <is>
          <t>60 mins</t>
        </is>
      </c>
      <c r="AQ1375" s="3" t="inlineStr">
        <is>
          <t>Weight</t>
        </is>
      </c>
    </row>
    <row r="1376" ht="15.75" customHeight="1">
      <c r="A1376" s="3" t="inlineStr">
        <is>
          <t>PROD_0260</t>
        </is>
      </c>
      <c r="B1376" s="3" t="inlineStr">
        <is>
          <t>VAR_2</t>
        </is>
      </c>
      <c r="C1376" s="3" t="inlineStr">
        <is>
          <t>Paint</t>
        </is>
      </c>
      <c r="D1376" s="3" t="inlineStr">
        <is>
          <t>Interior Paint</t>
        </is>
      </c>
      <c r="E1376" s="3" t="inlineStr">
        <is>
          <t>Asian Paint</t>
        </is>
      </c>
      <c r="F1376" s="3" t="inlineStr">
        <is>
          <t>Uno Acrylic Distemper</t>
        </is>
      </c>
      <c r="H1376" s="3" t="inlineStr">
        <is>
          <t>Volume</t>
        </is>
      </c>
      <c r="I1376" s="3" t="inlineStr">
        <is>
          <t>4 Ltr</t>
        </is>
      </c>
      <c r="J1376" s="3" t="inlineStr">
        <is>
          <t>Color</t>
        </is>
      </c>
      <c r="K1376" s="3" t="inlineStr">
        <is>
          <t>White</t>
        </is>
      </c>
      <c r="Q1376" s="3" t="inlineStr">
        <is>
          <t>Manufacturer's Warranty</t>
        </is>
      </c>
      <c r="Y1376" s="3" t="inlineStr">
        <is>
          <t>INTPNT_AP_DST_UNO</t>
        </is>
      </c>
      <c r="Z1376" s="3" t="n">
        <v>3209</v>
      </c>
      <c r="AE1376" s="3" t="n">
        <v>480</v>
      </c>
      <c r="AF1376" s="4" t="n">
        <v>0.37</v>
      </c>
      <c r="AG1376" s="3">
        <f>ROUND(AE1376-(AE1376*AF1376),2)</f>
        <v/>
      </c>
      <c r="AH1376" s="4" t="n">
        <v>0.18</v>
      </c>
      <c r="AI1376" s="3">
        <f>ROUND(AG1376+(AG1376*AH1376),2)</f>
        <v/>
      </c>
      <c r="AJ1376" s="4" t="n">
        <v>0.15</v>
      </c>
      <c r="AK1376" s="3">
        <f>ROUND(AI1376*AJ1376,2)</f>
        <v/>
      </c>
      <c r="AL1376" s="3">
        <f>AI1376+AK1376</f>
        <v/>
      </c>
      <c r="AM1376" s="3">
        <f>AE1376-AL1376</f>
        <v/>
      </c>
      <c r="AN1376" s="4">
        <f>AM1376/AE1376</f>
        <v/>
      </c>
      <c r="AO1376" s="3" t="inlineStr">
        <is>
          <t>60 mins</t>
        </is>
      </c>
      <c r="AQ1376" s="3" t="inlineStr">
        <is>
          <t>Weight</t>
        </is>
      </c>
    </row>
    <row r="1377" ht="15.75" customHeight="1">
      <c r="A1377" s="3" t="inlineStr">
        <is>
          <t>PROD_0260</t>
        </is>
      </c>
      <c r="B1377" s="3" t="inlineStr">
        <is>
          <t>VAR_3</t>
        </is>
      </c>
      <c r="C1377" s="3" t="inlineStr">
        <is>
          <t>Paint</t>
        </is>
      </c>
      <c r="D1377" s="3" t="inlineStr">
        <is>
          <t>Interior Paint</t>
        </is>
      </c>
      <c r="E1377" s="3" t="inlineStr">
        <is>
          <t>Asian Paint</t>
        </is>
      </c>
      <c r="F1377" s="3" t="inlineStr">
        <is>
          <t>Uno Acrylic Distemper</t>
        </is>
      </c>
      <c r="H1377" s="3" t="inlineStr">
        <is>
          <t>Volume</t>
        </is>
      </c>
      <c r="I1377" s="3" t="inlineStr">
        <is>
          <t>10 Ltr</t>
        </is>
      </c>
      <c r="J1377" s="3" t="inlineStr">
        <is>
          <t>Color</t>
        </is>
      </c>
      <c r="K1377" s="3" t="inlineStr">
        <is>
          <t>White</t>
        </is>
      </c>
      <c r="Q1377" s="3" t="inlineStr">
        <is>
          <t>Manufacturer's Warranty</t>
        </is>
      </c>
      <c r="Y1377" s="3" t="inlineStr">
        <is>
          <t>INTPNT_AP_DST_UNO</t>
        </is>
      </c>
      <c r="Z1377" s="3" t="n">
        <v>3209</v>
      </c>
      <c r="AE1377" s="3" t="n">
        <v>870</v>
      </c>
      <c r="AF1377" s="4" t="n">
        <v>0.35</v>
      </c>
      <c r="AG1377" s="3">
        <f>ROUND(AE1377-(AE1377*AF1377),2)</f>
        <v/>
      </c>
      <c r="AH1377" s="4" t="n">
        <v>0.18</v>
      </c>
      <c r="AI1377" s="3">
        <f>ROUND(AG1377+(AG1377*AH1377),2)</f>
        <v/>
      </c>
      <c r="AJ1377" s="4" t="n">
        <v>0.15</v>
      </c>
      <c r="AK1377" s="3">
        <f>ROUND(AI1377*AJ1377,2)</f>
        <v/>
      </c>
      <c r="AL1377" s="3">
        <f>AI1377+AK1377</f>
        <v/>
      </c>
      <c r="AM1377" s="3">
        <f>AE1377-AL1377</f>
        <v/>
      </c>
      <c r="AN1377" s="4">
        <f>AM1377/AE1377</f>
        <v/>
      </c>
      <c r="AO1377" s="3" t="inlineStr">
        <is>
          <t>60 mins</t>
        </is>
      </c>
      <c r="AQ1377" s="3" t="inlineStr">
        <is>
          <t>Weight</t>
        </is>
      </c>
    </row>
    <row r="1378" ht="15.75" customHeight="1">
      <c r="A1378" s="3" t="inlineStr">
        <is>
          <t>PROD_0260</t>
        </is>
      </c>
      <c r="B1378" s="3" t="inlineStr">
        <is>
          <t>VAR_4</t>
        </is>
      </c>
      <c r="C1378" s="3" t="inlineStr">
        <is>
          <t>Paint</t>
        </is>
      </c>
      <c r="D1378" s="3" t="inlineStr">
        <is>
          <t>Interior Paint</t>
        </is>
      </c>
      <c r="E1378" s="3" t="inlineStr">
        <is>
          <t>Asian Paint</t>
        </is>
      </c>
      <c r="F1378" s="3" t="inlineStr">
        <is>
          <t>Uno Acrylic Distemper</t>
        </is>
      </c>
      <c r="H1378" s="3" t="inlineStr">
        <is>
          <t>Volume</t>
        </is>
      </c>
      <c r="I1378" s="3" t="inlineStr">
        <is>
          <t>20 Ltr</t>
        </is>
      </c>
      <c r="J1378" s="3" t="inlineStr">
        <is>
          <t>Color</t>
        </is>
      </c>
      <c r="K1378" s="3" t="inlineStr">
        <is>
          <t>White</t>
        </is>
      </c>
      <c r="Q1378" s="3" t="inlineStr">
        <is>
          <t>Manufacturer's Warranty</t>
        </is>
      </c>
      <c r="Y1378" s="3" t="inlineStr">
        <is>
          <t>INTPNT_AP_DST_UNO</t>
        </is>
      </c>
      <c r="Z1378" s="3" t="n">
        <v>3209</v>
      </c>
      <c r="AE1378" s="3" t="n">
        <v>1580</v>
      </c>
      <c r="AF1378" s="4" t="n">
        <v>0.33</v>
      </c>
      <c r="AG1378" s="3">
        <f>ROUND(AE1378-(AE1378*AF1378),2)</f>
        <v/>
      </c>
      <c r="AH1378" s="4" t="n">
        <v>0.18</v>
      </c>
      <c r="AI1378" s="3">
        <f>ROUND(AG1378+(AG1378*AH1378),2)</f>
        <v/>
      </c>
      <c r="AJ1378" s="4" t="n">
        <v>0.15</v>
      </c>
      <c r="AK1378" s="3">
        <f>ROUND(AI1378*AJ1378,2)</f>
        <v/>
      </c>
      <c r="AL1378" s="3">
        <f>AI1378+AK1378</f>
        <v/>
      </c>
      <c r="AM1378" s="3">
        <f>AE1378-AL1378</f>
        <v/>
      </c>
      <c r="AN1378" s="4">
        <f>AM1378/AE1378</f>
        <v/>
      </c>
      <c r="AO1378" s="3" t="inlineStr">
        <is>
          <t>60 mins</t>
        </is>
      </c>
      <c r="AQ1378" s="3" t="inlineStr">
        <is>
          <t>Weight</t>
        </is>
      </c>
    </row>
    <row r="1379" ht="15.75" customHeight="1">
      <c r="A1379" s="3" t="inlineStr">
        <is>
          <t>PROD_0261</t>
        </is>
      </c>
      <c r="B1379" s="3" t="inlineStr">
        <is>
          <t>VAR_1</t>
        </is>
      </c>
      <c r="C1379" s="3" t="inlineStr">
        <is>
          <t>Paint</t>
        </is>
      </c>
      <c r="D1379" s="3" t="inlineStr">
        <is>
          <t>Interior Paint</t>
        </is>
      </c>
      <c r="E1379" s="3" t="inlineStr">
        <is>
          <t>Asian Paint</t>
        </is>
      </c>
      <c r="F1379" s="3" t="inlineStr">
        <is>
          <t>Synthetic Distemper</t>
        </is>
      </c>
      <c r="H1379" s="3" t="inlineStr">
        <is>
          <t>Volume</t>
        </is>
      </c>
      <c r="I1379" s="3" t="inlineStr">
        <is>
          <t>1 Ltr</t>
        </is>
      </c>
      <c r="J1379" s="3" t="inlineStr">
        <is>
          <t>Color</t>
        </is>
      </c>
      <c r="K1379" s="3" t="inlineStr">
        <is>
          <t>White</t>
        </is>
      </c>
      <c r="Q1379" s="3" t="inlineStr">
        <is>
          <t>Manufacturer's Warranty</t>
        </is>
      </c>
      <c r="Y1379" s="3" t="inlineStr">
        <is>
          <t>INTPNT_AP_DST_SYNTH</t>
        </is>
      </c>
      <c r="Z1379" s="3" t="n">
        <v>3209</v>
      </c>
      <c r="AE1379" s="3" t="n">
        <v>201</v>
      </c>
      <c r="AF1379" s="4" t="n">
        <v>0.41</v>
      </c>
      <c r="AG1379" s="3">
        <f>ROUND(AE1379-(AE1379*AF1379),2)</f>
        <v/>
      </c>
      <c r="AH1379" s="4" t="n">
        <v>0.18</v>
      </c>
      <c r="AI1379" s="3">
        <f>ROUND(AG1379+(AG1379*AH1379),2)</f>
        <v/>
      </c>
      <c r="AJ1379" s="4" t="n">
        <v>0.15</v>
      </c>
      <c r="AK1379" s="3">
        <f>ROUND(AI1379*AJ1379,2)</f>
        <v/>
      </c>
      <c r="AL1379" s="3">
        <f>AI1379+AK1379</f>
        <v/>
      </c>
      <c r="AM1379" s="3">
        <f>AE1379-AL1379</f>
        <v/>
      </c>
      <c r="AN1379" s="4">
        <f>AM1379/AE1379</f>
        <v/>
      </c>
      <c r="AO1379" s="3" t="inlineStr">
        <is>
          <t>60 mins</t>
        </is>
      </c>
      <c r="AQ1379" s="3" t="inlineStr">
        <is>
          <t>Weight</t>
        </is>
      </c>
    </row>
    <row r="1380" ht="15.75" customHeight="1">
      <c r="A1380" s="3" t="inlineStr">
        <is>
          <t>PROD_0261</t>
        </is>
      </c>
      <c r="B1380" s="3" t="inlineStr">
        <is>
          <t>VAR_2</t>
        </is>
      </c>
      <c r="C1380" s="3" t="inlineStr">
        <is>
          <t>Paint</t>
        </is>
      </c>
      <c r="D1380" s="3" t="inlineStr">
        <is>
          <t>Interior Paint</t>
        </is>
      </c>
      <c r="E1380" s="3" t="inlineStr">
        <is>
          <t>Asian Paint</t>
        </is>
      </c>
      <c r="F1380" s="3" t="inlineStr">
        <is>
          <t>Synthetic Distemper</t>
        </is>
      </c>
      <c r="H1380" s="3" t="inlineStr">
        <is>
          <t>Volume</t>
        </is>
      </c>
      <c r="I1380" s="3" t="inlineStr">
        <is>
          <t>4 Ltr</t>
        </is>
      </c>
      <c r="J1380" s="3" t="inlineStr">
        <is>
          <t>Color</t>
        </is>
      </c>
      <c r="K1380" s="3" t="inlineStr">
        <is>
          <t>White</t>
        </is>
      </c>
      <c r="Q1380" s="3" t="inlineStr">
        <is>
          <t>Manufacturer's Warranty</t>
        </is>
      </c>
      <c r="Y1380" s="3" t="inlineStr">
        <is>
          <t>INTPNT_AP_DST_SYNTH</t>
        </is>
      </c>
      <c r="Z1380" s="3" t="n">
        <v>3209</v>
      </c>
      <c r="AE1380" s="3" t="n">
        <v>480</v>
      </c>
      <c r="AF1380" s="4" t="n">
        <v>0.41</v>
      </c>
      <c r="AG1380" s="3">
        <f>ROUND(AE1380-(AE1380*AF1380),2)</f>
        <v/>
      </c>
      <c r="AH1380" s="4" t="n">
        <v>0.18</v>
      </c>
      <c r="AI1380" s="3">
        <f>ROUND(AG1380+(AG1380*AH1380),2)</f>
        <v/>
      </c>
      <c r="AJ1380" s="4" t="n">
        <v>0.15</v>
      </c>
      <c r="AK1380" s="3">
        <f>ROUND(AI1380*AJ1380,2)</f>
        <v/>
      </c>
      <c r="AL1380" s="3">
        <f>AI1380+AK1380</f>
        <v/>
      </c>
      <c r="AM1380" s="3">
        <f>AE1380-AL1380</f>
        <v/>
      </c>
      <c r="AN1380" s="4">
        <f>AM1380/AE1380</f>
        <v/>
      </c>
      <c r="AO1380" s="3" t="inlineStr">
        <is>
          <t>60 mins</t>
        </is>
      </c>
      <c r="AQ1380" s="3" t="inlineStr">
        <is>
          <t>Weight</t>
        </is>
      </c>
    </row>
    <row r="1381" ht="15.75" customHeight="1">
      <c r="A1381" s="3" t="inlineStr">
        <is>
          <t>PROD_0261</t>
        </is>
      </c>
      <c r="B1381" s="3" t="inlineStr">
        <is>
          <t>VAR_3</t>
        </is>
      </c>
      <c r="C1381" s="3" t="inlineStr">
        <is>
          <t>Paint</t>
        </is>
      </c>
      <c r="D1381" s="3" t="inlineStr">
        <is>
          <t>Interior Paint</t>
        </is>
      </c>
      <c r="E1381" s="3" t="inlineStr">
        <is>
          <t>Asian Paint</t>
        </is>
      </c>
      <c r="F1381" s="3" t="inlineStr">
        <is>
          <t>Synthetic Distemper</t>
        </is>
      </c>
      <c r="H1381" s="3" t="inlineStr">
        <is>
          <t>Volume</t>
        </is>
      </c>
      <c r="I1381" s="3" t="inlineStr">
        <is>
          <t>10 Ltr</t>
        </is>
      </c>
      <c r="J1381" s="3" t="inlineStr">
        <is>
          <t>Color</t>
        </is>
      </c>
      <c r="K1381" s="3" t="inlineStr">
        <is>
          <t>White</t>
        </is>
      </c>
      <c r="Q1381" s="3" t="inlineStr">
        <is>
          <t>Manufacturer's Warranty</t>
        </is>
      </c>
      <c r="Y1381" s="3" t="inlineStr">
        <is>
          <t>INTPNT_AP_DST_SYNTH</t>
        </is>
      </c>
      <c r="Z1381" s="3" t="n">
        <v>3209</v>
      </c>
      <c r="AE1381" s="3" t="n">
        <v>870</v>
      </c>
      <c r="AF1381" s="4" t="n">
        <v>0.41</v>
      </c>
      <c r="AG1381" s="3">
        <f>ROUND(AE1381-(AE1381*AF1381),2)</f>
        <v/>
      </c>
      <c r="AH1381" s="4" t="n">
        <v>0.18</v>
      </c>
      <c r="AI1381" s="3">
        <f>ROUND(AG1381+(AG1381*AH1381),2)</f>
        <v/>
      </c>
      <c r="AJ1381" s="4" t="n">
        <v>0.15</v>
      </c>
      <c r="AK1381" s="3">
        <f>ROUND(AI1381*AJ1381,2)</f>
        <v/>
      </c>
      <c r="AL1381" s="3">
        <f>AI1381+AK1381</f>
        <v/>
      </c>
      <c r="AM1381" s="3">
        <f>AE1381-AL1381</f>
        <v/>
      </c>
      <c r="AN1381" s="4">
        <f>AM1381/AE1381</f>
        <v/>
      </c>
      <c r="AO1381" s="3" t="inlineStr">
        <is>
          <t>60 mins</t>
        </is>
      </c>
      <c r="AQ1381" s="3" t="inlineStr">
        <is>
          <t>Weight</t>
        </is>
      </c>
    </row>
    <row r="1382" ht="15.75" customHeight="1">
      <c r="A1382" s="3" t="inlineStr">
        <is>
          <t>PROD_0261</t>
        </is>
      </c>
      <c r="B1382" s="3" t="inlineStr">
        <is>
          <t>VAR_4</t>
        </is>
      </c>
      <c r="C1382" s="3" t="inlineStr">
        <is>
          <t>Paint</t>
        </is>
      </c>
      <c r="D1382" s="3" t="inlineStr">
        <is>
          <t>Interior Paint</t>
        </is>
      </c>
      <c r="E1382" s="3" t="inlineStr">
        <is>
          <t>Asian Paint</t>
        </is>
      </c>
      <c r="F1382" s="3" t="inlineStr">
        <is>
          <t>Synthetic Distemper</t>
        </is>
      </c>
      <c r="H1382" s="3" t="inlineStr">
        <is>
          <t>Volume</t>
        </is>
      </c>
      <c r="I1382" s="3" t="inlineStr">
        <is>
          <t>20 Ltr</t>
        </is>
      </c>
      <c r="J1382" s="3" t="inlineStr">
        <is>
          <t>Color</t>
        </is>
      </c>
      <c r="K1382" s="3" t="inlineStr">
        <is>
          <t>White</t>
        </is>
      </c>
      <c r="Q1382" s="3" t="inlineStr">
        <is>
          <t>Manufacturer's Warranty</t>
        </is>
      </c>
      <c r="Y1382" s="3" t="inlineStr">
        <is>
          <t>INTPNT_AP_DST_SYNTH</t>
        </is>
      </c>
      <c r="Z1382" s="3" t="n">
        <v>3209</v>
      </c>
      <c r="AE1382" s="3" t="n">
        <v>1580</v>
      </c>
      <c r="AF1382" s="4" t="n">
        <v>0.41</v>
      </c>
      <c r="AG1382" s="3">
        <f>ROUND(AE1382-(AE1382*AF1382),2)</f>
        <v/>
      </c>
      <c r="AH1382" s="4" t="n">
        <v>0.18</v>
      </c>
      <c r="AI1382" s="3">
        <f>ROUND(AG1382+(AG1382*AH1382),2)</f>
        <v/>
      </c>
      <c r="AJ1382" s="4" t="n">
        <v>0.15</v>
      </c>
      <c r="AK1382" s="3">
        <f>ROUND(AI1382*AJ1382,2)</f>
        <v/>
      </c>
      <c r="AL1382" s="3">
        <f>AI1382+AK1382</f>
        <v/>
      </c>
      <c r="AM1382" s="3">
        <f>AE1382-AL1382</f>
        <v/>
      </c>
      <c r="AN1382" s="4">
        <f>AM1382/AE1382</f>
        <v/>
      </c>
      <c r="AO1382" s="3" t="inlineStr">
        <is>
          <t>60 mins</t>
        </is>
      </c>
      <c r="AQ1382" s="3" t="inlineStr">
        <is>
          <t>Weight</t>
        </is>
      </c>
    </row>
    <row r="1383" ht="15.75" customHeight="1">
      <c r="A1383" s="3" t="inlineStr">
        <is>
          <t>PROD_0262</t>
        </is>
      </c>
      <c r="B1383" s="3" t="inlineStr">
        <is>
          <t>VAR_1</t>
        </is>
      </c>
      <c r="C1383" s="3" t="inlineStr">
        <is>
          <t>Paint</t>
        </is>
      </c>
      <c r="D1383" s="3" t="inlineStr">
        <is>
          <t>Interior Paint</t>
        </is>
      </c>
      <c r="E1383" s="3" t="inlineStr">
        <is>
          <t>Asian Paint</t>
        </is>
      </c>
      <c r="F1383" s="3" t="inlineStr">
        <is>
          <t>Apcolite Advanced Emulsion</t>
        </is>
      </c>
      <c r="H1383" s="3" t="inlineStr">
        <is>
          <t>Volume</t>
        </is>
      </c>
      <c r="I1383" s="3" t="inlineStr">
        <is>
          <t>1 Ltr</t>
        </is>
      </c>
      <c r="J1383" s="3" t="inlineStr">
        <is>
          <t>Color</t>
        </is>
      </c>
      <c r="K1383" s="3" t="inlineStr">
        <is>
          <t>White</t>
        </is>
      </c>
      <c r="Q1383" s="3" t="inlineStr">
        <is>
          <t>Manufacturer's Warranty</t>
        </is>
      </c>
      <c r="Y1383" s="3" t="inlineStr">
        <is>
          <t>INTPNT_AP_EML_APCADV</t>
        </is>
      </c>
      <c r="Z1383" s="3" t="n">
        <v>3209</v>
      </c>
      <c r="AE1383" s="3" t="n">
        <v>557</v>
      </c>
      <c r="AF1383" s="4" t="n">
        <v>0.4</v>
      </c>
      <c r="AG1383" s="3">
        <f>ROUND(AE1383-(AE1383*AF1383),2)</f>
        <v/>
      </c>
      <c r="AH1383" s="4" t="n">
        <v>0.18</v>
      </c>
      <c r="AI1383" s="3">
        <f>ROUND(AG1383+(AG1383*AH1383),2)</f>
        <v/>
      </c>
      <c r="AJ1383" s="4" t="n">
        <v>0.15</v>
      </c>
      <c r="AK1383" s="3">
        <f>ROUND(AI1383*AJ1383,2)</f>
        <v/>
      </c>
      <c r="AL1383" s="3">
        <f>AI1383+AK1383</f>
        <v/>
      </c>
      <c r="AM1383" s="3">
        <f>AE1383-AL1383</f>
        <v/>
      </c>
      <c r="AN1383" s="4">
        <f>AM1383/AE1383</f>
        <v/>
      </c>
      <c r="AO1383" s="3" t="inlineStr">
        <is>
          <t>60 mins</t>
        </is>
      </c>
      <c r="AQ1383" s="3" t="inlineStr">
        <is>
          <t>Weight</t>
        </is>
      </c>
    </row>
    <row r="1384" ht="15.75" customHeight="1">
      <c r="A1384" s="3" t="inlineStr">
        <is>
          <t>PROD_0262</t>
        </is>
      </c>
      <c r="B1384" s="3" t="inlineStr">
        <is>
          <t>VAR_2</t>
        </is>
      </c>
      <c r="C1384" s="3" t="inlineStr">
        <is>
          <t>Paint</t>
        </is>
      </c>
      <c r="D1384" s="3" t="inlineStr">
        <is>
          <t>Interior Paint</t>
        </is>
      </c>
      <c r="E1384" s="3" t="inlineStr">
        <is>
          <t>Asian Paint</t>
        </is>
      </c>
      <c r="F1384" s="3" t="inlineStr">
        <is>
          <t>Apcolite Advanced Emulsion</t>
        </is>
      </c>
      <c r="H1384" s="3" t="inlineStr">
        <is>
          <t>Volume</t>
        </is>
      </c>
      <c r="I1384" s="3" t="inlineStr">
        <is>
          <t>4 Ltr</t>
        </is>
      </c>
      <c r="J1384" s="3" t="inlineStr">
        <is>
          <t>Color</t>
        </is>
      </c>
      <c r="K1384" s="3" t="inlineStr">
        <is>
          <t>White</t>
        </is>
      </c>
      <c r="Q1384" s="3" t="inlineStr">
        <is>
          <t>Manufacturer's Warranty</t>
        </is>
      </c>
      <c r="Y1384" s="3" t="inlineStr">
        <is>
          <t>INTPNT_AP_EML_APCADV</t>
        </is>
      </c>
      <c r="Z1384" s="3" t="n">
        <v>3209</v>
      </c>
      <c r="AE1384" s="3" t="n">
        <v>2162</v>
      </c>
      <c r="AF1384" s="4" t="n">
        <v>0.4</v>
      </c>
      <c r="AG1384" s="3">
        <f>ROUND(AE1384-(AE1384*AF1384),2)</f>
        <v/>
      </c>
      <c r="AH1384" s="4" t="n">
        <v>0.18</v>
      </c>
      <c r="AI1384" s="3">
        <f>ROUND(AG1384+(AG1384*AH1384),2)</f>
        <v/>
      </c>
      <c r="AJ1384" s="4" t="n">
        <v>0.15</v>
      </c>
      <c r="AK1384" s="3">
        <f>ROUND(AI1384*AJ1384,2)</f>
        <v/>
      </c>
      <c r="AL1384" s="3">
        <f>AI1384+AK1384</f>
        <v/>
      </c>
      <c r="AM1384" s="3">
        <f>AE1384-AL1384</f>
        <v/>
      </c>
      <c r="AN1384" s="4">
        <f>AM1384/AE1384</f>
        <v/>
      </c>
      <c r="AO1384" s="3" t="inlineStr">
        <is>
          <t>60 mins</t>
        </is>
      </c>
      <c r="AQ1384" s="3" t="inlineStr">
        <is>
          <t>Weight</t>
        </is>
      </c>
    </row>
    <row r="1385" ht="15.75" customHeight="1">
      <c r="A1385" s="3" t="inlineStr">
        <is>
          <t>PROD_0262</t>
        </is>
      </c>
      <c r="B1385" s="3" t="inlineStr">
        <is>
          <t>VAR_3</t>
        </is>
      </c>
      <c r="C1385" s="3" t="inlineStr">
        <is>
          <t>Paint</t>
        </is>
      </c>
      <c r="D1385" s="3" t="inlineStr">
        <is>
          <t>Interior Paint</t>
        </is>
      </c>
      <c r="E1385" s="3" t="inlineStr">
        <is>
          <t>Asian Paint</t>
        </is>
      </c>
      <c r="F1385" s="3" t="inlineStr">
        <is>
          <t>Apcolite Advanced Emulsion</t>
        </is>
      </c>
      <c r="H1385" s="3" t="inlineStr">
        <is>
          <t>Volume</t>
        </is>
      </c>
      <c r="I1385" s="3" t="inlineStr">
        <is>
          <t>10 Ltr</t>
        </is>
      </c>
      <c r="J1385" s="3" t="inlineStr">
        <is>
          <t>Color</t>
        </is>
      </c>
      <c r="K1385" s="3" t="inlineStr">
        <is>
          <t>White</t>
        </is>
      </c>
      <c r="Q1385" s="3" t="inlineStr">
        <is>
          <t>Manufacturer's Warranty</t>
        </is>
      </c>
      <c r="Y1385" s="3" t="inlineStr">
        <is>
          <t>INTPNT_AP_EML_APCADV</t>
        </is>
      </c>
      <c r="Z1385" s="3" t="n">
        <v>3209</v>
      </c>
      <c r="AE1385" s="3" t="n">
        <v>5219</v>
      </c>
      <c r="AF1385" s="4" t="n">
        <v>0.43</v>
      </c>
      <c r="AG1385" s="3">
        <f>ROUND(AE1385-(AE1385*AF1385),2)</f>
        <v/>
      </c>
      <c r="AH1385" s="4" t="n">
        <v>0.18</v>
      </c>
      <c r="AI1385" s="3">
        <f>ROUND(AG1385+(AG1385*AH1385),2)</f>
        <v/>
      </c>
      <c r="AJ1385" s="4" t="n">
        <v>0.15</v>
      </c>
      <c r="AK1385" s="3">
        <f>ROUND(AI1385*AJ1385,2)</f>
        <v/>
      </c>
      <c r="AL1385" s="3">
        <f>AI1385+AK1385</f>
        <v/>
      </c>
      <c r="AM1385" s="3">
        <f>AE1385-AL1385</f>
        <v/>
      </c>
      <c r="AN1385" s="4">
        <f>AM1385/AE1385</f>
        <v/>
      </c>
      <c r="AO1385" s="3" t="inlineStr">
        <is>
          <t>60 mins</t>
        </is>
      </c>
      <c r="AQ1385" s="3" t="inlineStr">
        <is>
          <t>Weight</t>
        </is>
      </c>
    </row>
    <row r="1386" ht="15.75" customHeight="1">
      <c r="A1386" s="3" t="inlineStr">
        <is>
          <t>PROD_0262</t>
        </is>
      </c>
      <c r="B1386" s="3" t="inlineStr">
        <is>
          <t>VAR_4</t>
        </is>
      </c>
      <c r="C1386" s="3" t="inlineStr">
        <is>
          <t>Paint</t>
        </is>
      </c>
      <c r="D1386" s="3" t="inlineStr">
        <is>
          <t>Interior Paint</t>
        </is>
      </c>
      <c r="E1386" s="3" t="inlineStr">
        <is>
          <t>Asian Paint</t>
        </is>
      </c>
      <c r="F1386" s="3" t="inlineStr">
        <is>
          <t>Apcolite Advanced Emulsion</t>
        </is>
      </c>
      <c r="H1386" s="3" t="inlineStr">
        <is>
          <t>Volume</t>
        </is>
      </c>
      <c r="I1386" s="3" t="inlineStr">
        <is>
          <t>20 Ltr</t>
        </is>
      </c>
      <c r="J1386" s="3" t="inlineStr">
        <is>
          <t>Color</t>
        </is>
      </c>
      <c r="K1386" s="3" t="inlineStr">
        <is>
          <t>White</t>
        </is>
      </c>
      <c r="Q1386" s="3" t="inlineStr">
        <is>
          <t>Manufacturer's Warranty</t>
        </is>
      </c>
      <c r="Y1386" s="3" t="inlineStr">
        <is>
          <t>INTPNT_AP_EML_APCADV</t>
        </is>
      </c>
      <c r="Z1386" s="3" t="n">
        <v>3209</v>
      </c>
      <c r="AE1386" s="3" t="n">
        <v>10002</v>
      </c>
      <c r="AF1386" s="4" t="n">
        <v>0.47</v>
      </c>
      <c r="AG1386" s="3">
        <f>ROUND(AE1386-(AE1386*AF1386),2)</f>
        <v/>
      </c>
      <c r="AH1386" s="4" t="n">
        <v>0.18</v>
      </c>
      <c r="AI1386" s="3">
        <f>ROUND(AG1386+(AG1386*AH1386),2)</f>
        <v/>
      </c>
      <c r="AJ1386" s="4" t="n">
        <v>0.15</v>
      </c>
      <c r="AK1386" s="3">
        <f>ROUND(AI1386*AJ1386,2)</f>
        <v/>
      </c>
      <c r="AL1386" s="3">
        <f>AI1386+AK1386</f>
        <v/>
      </c>
      <c r="AM1386" s="3">
        <f>AE1386-AL1386</f>
        <v/>
      </c>
      <c r="AN1386" s="4">
        <f>AM1386/AE1386</f>
        <v/>
      </c>
      <c r="AO1386" s="3" t="inlineStr">
        <is>
          <t>60 mins</t>
        </is>
      </c>
      <c r="AQ1386" s="3" t="inlineStr">
        <is>
          <t>Weight</t>
        </is>
      </c>
    </row>
    <row r="1387" ht="15.75" customHeight="1">
      <c r="A1387" s="3" t="inlineStr">
        <is>
          <t>PROD_0263</t>
        </is>
      </c>
      <c r="B1387" s="3" t="inlineStr">
        <is>
          <t>VAR_1</t>
        </is>
      </c>
      <c r="C1387" s="3" t="inlineStr">
        <is>
          <t>Paint</t>
        </is>
      </c>
      <c r="D1387" s="3" t="inlineStr">
        <is>
          <t>Interior Paint</t>
        </is>
      </c>
      <c r="E1387" s="3" t="inlineStr">
        <is>
          <t>Asian Paint</t>
        </is>
      </c>
      <c r="F1387" s="3" t="inlineStr">
        <is>
          <t>Apcolite Premium Emulsion</t>
        </is>
      </c>
      <c r="H1387" s="3" t="inlineStr">
        <is>
          <t>Volume</t>
        </is>
      </c>
      <c r="I1387" s="3" t="inlineStr">
        <is>
          <t>1 Ltr</t>
        </is>
      </c>
      <c r="J1387" s="3" t="inlineStr">
        <is>
          <t>Color</t>
        </is>
      </c>
      <c r="K1387" s="3" t="inlineStr">
        <is>
          <t>White</t>
        </is>
      </c>
      <c r="Q1387" s="3" t="inlineStr">
        <is>
          <t>Manufacturer's Warranty</t>
        </is>
      </c>
      <c r="Y1387" s="3" t="inlineStr">
        <is>
          <t>INTPNT_AP_EML_APCPRM</t>
        </is>
      </c>
      <c r="Z1387" s="3" t="n">
        <v>3209</v>
      </c>
      <c r="AE1387" s="3" t="n">
        <v>489</v>
      </c>
      <c r="AF1387" s="4" t="n">
        <v>0.4</v>
      </c>
      <c r="AG1387" s="3">
        <f>ROUND(AE1387-(AE1387*AF1387),2)</f>
        <v/>
      </c>
      <c r="AH1387" s="4" t="n">
        <v>0.18</v>
      </c>
      <c r="AI1387" s="3">
        <f>ROUND(AG1387+(AG1387*AH1387),2)</f>
        <v/>
      </c>
      <c r="AJ1387" s="4" t="n">
        <v>0.15</v>
      </c>
      <c r="AK1387" s="3">
        <f>ROUND(AI1387*AJ1387,2)</f>
        <v/>
      </c>
      <c r="AL1387" s="3">
        <f>AI1387+AK1387</f>
        <v/>
      </c>
      <c r="AM1387" s="3">
        <f>AE1387-AL1387</f>
        <v/>
      </c>
      <c r="AN1387" s="4">
        <f>AM1387/AE1387</f>
        <v/>
      </c>
      <c r="AO1387" s="3" t="inlineStr">
        <is>
          <t>60 mins</t>
        </is>
      </c>
      <c r="AQ1387" s="3" t="inlineStr">
        <is>
          <t>Weight</t>
        </is>
      </c>
    </row>
    <row r="1388" ht="15.75" customHeight="1">
      <c r="A1388" s="3" t="inlineStr">
        <is>
          <t>PROD_0263</t>
        </is>
      </c>
      <c r="B1388" s="3" t="inlineStr">
        <is>
          <t>VAR_2</t>
        </is>
      </c>
      <c r="C1388" s="3" t="inlineStr">
        <is>
          <t>Paint</t>
        </is>
      </c>
      <c r="D1388" s="3" t="inlineStr">
        <is>
          <t>Interior Paint</t>
        </is>
      </c>
      <c r="E1388" s="3" t="inlineStr">
        <is>
          <t>Asian Paint</t>
        </is>
      </c>
      <c r="F1388" s="3" t="inlineStr">
        <is>
          <t>Apcolite Premium Emulsion</t>
        </is>
      </c>
      <c r="H1388" s="3" t="inlineStr">
        <is>
          <t>Volume</t>
        </is>
      </c>
      <c r="I1388" s="3" t="inlineStr">
        <is>
          <t>4 Ltr</t>
        </is>
      </c>
      <c r="J1388" s="3" t="inlineStr">
        <is>
          <t>Color</t>
        </is>
      </c>
      <c r="K1388" s="3" t="inlineStr">
        <is>
          <t>White</t>
        </is>
      </c>
      <c r="Q1388" s="3" t="inlineStr">
        <is>
          <t>Manufacturer's Warranty</t>
        </is>
      </c>
      <c r="Y1388" s="3" t="inlineStr">
        <is>
          <t>INTPNT_AP_EML_APCPRM</t>
        </is>
      </c>
      <c r="Z1388" s="3" t="n">
        <v>3209</v>
      </c>
      <c r="AE1388" s="3" t="n">
        <v>1885</v>
      </c>
      <c r="AF1388" s="4" t="n">
        <v>0.4</v>
      </c>
      <c r="AG1388" s="3">
        <f>ROUND(AE1388-(AE1388*AF1388),2)</f>
        <v/>
      </c>
      <c r="AH1388" s="4" t="n">
        <v>0.18</v>
      </c>
      <c r="AI1388" s="3">
        <f>ROUND(AG1388+(AG1388*AH1388),2)</f>
        <v/>
      </c>
      <c r="AJ1388" s="4" t="n">
        <v>0.15</v>
      </c>
      <c r="AK1388" s="3">
        <f>ROUND(AI1388*AJ1388,2)</f>
        <v/>
      </c>
      <c r="AL1388" s="3">
        <f>AI1388+AK1388</f>
        <v/>
      </c>
      <c r="AM1388" s="3">
        <f>AE1388-AL1388</f>
        <v/>
      </c>
      <c r="AN1388" s="4">
        <f>AM1388/AE1388</f>
        <v/>
      </c>
      <c r="AO1388" s="3" t="inlineStr">
        <is>
          <t>60 mins</t>
        </is>
      </c>
      <c r="AQ1388" s="3" t="inlineStr">
        <is>
          <t>Weight</t>
        </is>
      </c>
    </row>
    <row r="1389" ht="15.75" customHeight="1">
      <c r="A1389" s="3" t="inlineStr">
        <is>
          <t>PROD_0263</t>
        </is>
      </c>
      <c r="B1389" s="3" t="inlineStr">
        <is>
          <t>VAR_3</t>
        </is>
      </c>
      <c r="C1389" s="3" t="inlineStr">
        <is>
          <t>Paint</t>
        </is>
      </c>
      <c r="D1389" s="3" t="inlineStr">
        <is>
          <t>Interior Paint</t>
        </is>
      </c>
      <c r="E1389" s="3" t="inlineStr">
        <is>
          <t>Asian Paint</t>
        </is>
      </c>
      <c r="F1389" s="3" t="inlineStr">
        <is>
          <t>Apcolite Premium Emulsion</t>
        </is>
      </c>
      <c r="H1389" s="3" t="inlineStr">
        <is>
          <t>Volume</t>
        </is>
      </c>
      <c r="I1389" s="3" t="inlineStr">
        <is>
          <t>10 Ltr</t>
        </is>
      </c>
      <c r="J1389" s="3" t="inlineStr">
        <is>
          <t>Color</t>
        </is>
      </c>
      <c r="K1389" s="3" t="inlineStr">
        <is>
          <t>White</t>
        </is>
      </c>
      <c r="Q1389" s="3" t="inlineStr">
        <is>
          <t>Manufacturer's Warranty</t>
        </is>
      </c>
      <c r="Y1389" s="3" t="inlineStr">
        <is>
          <t>INTPNT_AP_EML_APCPRM</t>
        </is>
      </c>
      <c r="Z1389" s="3" t="n">
        <v>3209</v>
      </c>
      <c r="AE1389" s="3" t="n">
        <v>4550</v>
      </c>
      <c r="AF1389" s="4" t="n">
        <v>0.4</v>
      </c>
      <c r="AG1389" s="3">
        <f>ROUND(AE1389-(AE1389*AF1389),2)</f>
        <v/>
      </c>
      <c r="AH1389" s="4" t="n">
        <v>0.18</v>
      </c>
      <c r="AI1389" s="3">
        <f>ROUND(AG1389+(AG1389*AH1389),2)</f>
        <v/>
      </c>
      <c r="AJ1389" s="4" t="n">
        <v>0.15</v>
      </c>
      <c r="AK1389" s="3">
        <f>ROUND(AI1389*AJ1389,2)</f>
        <v/>
      </c>
      <c r="AL1389" s="3">
        <f>AI1389+AK1389</f>
        <v/>
      </c>
      <c r="AM1389" s="3">
        <f>AE1389-AL1389</f>
        <v/>
      </c>
      <c r="AN1389" s="4">
        <f>AM1389/AE1389</f>
        <v/>
      </c>
      <c r="AO1389" s="3" t="inlineStr">
        <is>
          <t>60 mins</t>
        </is>
      </c>
      <c r="AQ1389" s="3" t="inlineStr">
        <is>
          <t>Weight</t>
        </is>
      </c>
    </row>
    <row r="1390" ht="15.75" customHeight="1">
      <c r="A1390" s="3" t="inlineStr">
        <is>
          <t>PROD_0263</t>
        </is>
      </c>
      <c r="B1390" s="3" t="inlineStr">
        <is>
          <t>VAR_4</t>
        </is>
      </c>
      <c r="C1390" s="3" t="inlineStr">
        <is>
          <t>Paint</t>
        </is>
      </c>
      <c r="D1390" s="3" t="inlineStr">
        <is>
          <t>Interior Paint</t>
        </is>
      </c>
      <c r="E1390" s="3" t="inlineStr">
        <is>
          <t>Asian Paint</t>
        </is>
      </c>
      <c r="F1390" s="3" t="inlineStr">
        <is>
          <t>Apcolite Premium Emulsion</t>
        </is>
      </c>
      <c r="H1390" s="3" t="inlineStr">
        <is>
          <t>Volume</t>
        </is>
      </c>
      <c r="I1390" s="3" t="inlineStr">
        <is>
          <t>20 Ltr</t>
        </is>
      </c>
      <c r="J1390" s="3" t="inlineStr">
        <is>
          <t>Color</t>
        </is>
      </c>
      <c r="K1390" s="3" t="inlineStr">
        <is>
          <t>White</t>
        </is>
      </c>
      <c r="Q1390" s="3" t="inlineStr">
        <is>
          <t>Manufacturer's Warranty</t>
        </is>
      </c>
      <c r="Y1390" s="3" t="inlineStr">
        <is>
          <t>INTPNT_AP_EML_APCPRM</t>
        </is>
      </c>
      <c r="Z1390" s="3" t="n">
        <v>3209</v>
      </c>
      <c r="AE1390" s="3" t="n">
        <v>8750</v>
      </c>
      <c r="AF1390" s="4" t="n">
        <v>0.4</v>
      </c>
      <c r="AG1390" s="3">
        <f>ROUND(AE1390-(AE1390*AF1390),2)</f>
        <v/>
      </c>
      <c r="AH1390" s="4" t="n">
        <v>0.18</v>
      </c>
      <c r="AI1390" s="3">
        <f>ROUND(AG1390+(AG1390*AH1390),2)</f>
        <v/>
      </c>
      <c r="AJ1390" s="4" t="n">
        <v>0.15</v>
      </c>
      <c r="AK1390" s="3">
        <f>ROUND(AI1390*AJ1390,2)</f>
        <v/>
      </c>
      <c r="AL1390" s="3">
        <f>AI1390+AK1390</f>
        <v/>
      </c>
      <c r="AM1390" s="3">
        <f>AE1390-AL1390</f>
        <v/>
      </c>
      <c r="AN1390" s="4">
        <f>AM1390/AE1390</f>
        <v/>
      </c>
      <c r="AO1390" s="3" t="inlineStr">
        <is>
          <t>60 mins</t>
        </is>
      </c>
      <c r="AQ1390" s="3" t="inlineStr">
        <is>
          <t>Weight</t>
        </is>
      </c>
    </row>
    <row r="1391" ht="15.75" customHeight="1">
      <c r="A1391" s="3" t="inlineStr">
        <is>
          <t>PROD_0264</t>
        </is>
      </c>
      <c r="B1391" s="3" t="inlineStr">
        <is>
          <t>VAR_1</t>
        </is>
      </c>
      <c r="C1391" s="3" t="inlineStr">
        <is>
          <t>Paint</t>
        </is>
      </c>
      <c r="D1391" s="3" t="inlineStr">
        <is>
          <t>Interior Paint</t>
        </is>
      </c>
      <c r="E1391" s="3" t="inlineStr">
        <is>
          <t>Asian Paint</t>
        </is>
      </c>
      <c r="F1391" s="3" t="inlineStr">
        <is>
          <t>Apcolite Premium Satin Emulsion</t>
        </is>
      </c>
      <c r="H1391" s="3" t="inlineStr">
        <is>
          <t>Volume</t>
        </is>
      </c>
      <c r="I1391" s="3" t="inlineStr">
        <is>
          <t>1 Ltr</t>
        </is>
      </c>
      <c r="J1391" s="3" t="inlineStr">
        <is>
          <t>Color</t>
        </is>
      </c>
      <c r="K1391" s="3" t="inlineStr">
        <is>
          <t>White</t>
        </is>
      </c>
      <c r="Q1391" s="3" t="inlineStr">
        <is>
          <t>Manufacturer's Warranty</t>
        </is>
      </c>
      <c r="Y1391" s="3" t="inlineStr">
        <is>
          <t>INTPNT_AP_EML_APCPRMSTN</t>
        </is>
      </c>
      <c r="Z1391" s="3" t="n">
        <v>3209</v>
      </c>
      <c r="AE1391" s="3" t="n">
        <v>564</v>
      </c>
      <c r="AF1391" s="4" t="n">
        <v>0.35</v>
      </c>
      <c r="AG1391" s="3">
        <f>ROUND(AE1391-(AE1391*AF1391),2)</f>
        <v/>
      </c>
      <c r="AH1391" s="4" t="n">
        <v>0.18</v>
      </c>
      <c r="AI1391" s="3">
        <f>ROUND(AG1391+(AG1391*AH1391),2)</f>
        <v/>
      </c>
      <c r="AJ1391" s="4" t="n">
        <v>0.15</v>
      </c>
      <c r="AK1391" s="3">
        <f>ROUND(AI1391*AJ1391,2)</f>
        <v/>
      </c>
      <c r="AL1391" s="3">
        <f>AI1391+AK1391</f>
        <v/>
      </c>
      <c r="AM1391" s="3">
        <f>AE1391-AL1391</f>
        <v/>
      </c>
      <c r="AN1391" s="4">
        <f>AM1391/AE1391</f>
        <v/>
      </c>
      <c r="AO1391" s="3" t="inlineStr">
        <is>
          <t>60 mins</t>
        </is>
      </c>
      <c r="AQ1391" s="3" t="inlineStr">
        <is>
          <t>Weight</t>
        </is>
      </c>
    </row>
    <row r="1392" ht="15.75" customHeight="1">
      <c r="A1392" s="3" t="inlineStr">
        <is>
          <t>PROD_0264</t>
        </is>
      </c>
      <c r="B1392" s="3" t="inlineStr">
        <is>
          <t>VAR_2</t>
        </is>
      </c>
      <c r="C1392" s="3" t="inlineStr">
        <is>
          <t>Paint</t>
        </is>
      </c>
      <c r="D1392" s="3" t="inlineStr">
        <is>
          <t>Interior Paint</t>
        </is>
      </c>
      <c r="E1392" s="3" t="inlineStr">
        <is>
          <t>Asian Paint</t>
        </is>
      </c>
      <c r="F1392" s="3" t="inlineStr">
        <is>
          <t>Apcolite Premium Satin Emulsion</t>
        </is>
      </c>
      <c r="H1392" s="3" t="inlineStr">
        <is>
          <t>Volume</t>
        </is>
      </c>
      <c r="I1392" s="3" t="inlineStr">
        <is>
          <t>4 Ltr</t>
        </is>
      </c>
      <c r="J1392" s="3" t="inlineStr">
        <is>
          <t>Color</t>
        </is>
      </c>
      <c r="K1392" s="3" t="inlineStr">
        <is>
          <t>White</t>
        </is>
      </c>
      <c r="Q1392" s="3" t="inlineStr">
        <is>
          <t>Manufacturer's Warranty</t>
        </is>
      </c>
      <c r="Y1392" s="3" t="inlineStr">
        <is>
          <t>INTPNT_AP_EML_APCPRMSTN</t>
        </is>
      </c>
      <c r="Z1392" s="3" t="n">
        <v>3209</v>
      </c>
      <c r="AE1392" s="3" t="n">
        <v>2180</v>
      </c>
      <c r="AF1392" s="4" t="n">
        <v>0.35</v>
      </c>
      <c r="AG1392" s="3">
        <f>ROUND(AE1392-(AE1392*AF1392),2)</f>
        <v/>
      </c>
      <c r="AH1392" s="4" t="n">
        <v>0.18</v>
      </c>
      <c r="AI1392" s="3">
        <f>ROUND(AG1392+(AG1392*AH1392),2)</f>
        <v/>
      </c>
      <c r="AJ1392" s="4" t="n">
        <v>0.15</v>
      </c>
      <c r="AK1392" s="3">
        <f>ROUND(AI1392*AJ1392,2)</f>
        <v/>
      </c>
      <c r="AL1392" s="3">
        <f>AI1392+AK1392</f>
        <v/>
      </c>
      <c r="AM1392" s="3">
        <f>AE1392-AL1392</f>
        <v/>
      </c>
      <c r="AN1392" s="4">
        <f>AM1392/AE1392</f>
        <v/>
      </c>
      <c r="AO1392" s="3" t="inlineStr">
        <is>
          <t>60 mins</t>
        </is>
      </c>
      <c r="AQ1392" s="3" t="inlineStr">
        <is>
          <t>Weight</t>
        </is>
      </c>
    </row>
    <row r="1393" ht="15.75" customHeight="1">
      <c r="A1393" s="3" t="inlineStr">
        <is>
          <t>PROD_0264</t>
        </is>
      </c>
      <c r="B1393" s="3" t="inlineStr">
        <is>
          <t>VAR_3</t>
        </is>
      </c>
      <c r="C1393" s="3" t="inlineStr">
        <is>
          <t>Paint</t>
        </is>
      </c>
      <c r="D1393" s="3" t="inlineStr">
        <is>
          <t>Interior Paint</t>
        </is>
      </c>
      <c r="E1393" s="3" t="inlineStr">
        <is>
          <t>Asian Paint</t>
        </is>
      </c>
      <c r="F1393" s="3" t="inlineStr">
        <is>
          <t>Apcolite Premium Satin Emulsion</t>
        </is>
      </c>
      <c r="H1393" s="3" t="inlineStr">
        <is>
          <t>Volume</t>
        </is>
      </c>
      <c r="I1393" s="3" t="inlineStr">
        <is>
          <t>20 Ltr</t>
        </is>
      </c>
      <c r="J1393" s="3" t="inlineStr">
        <is>
          <t>Color</t>
        </is>
      </c>
      <c r="K1393" s="3" t="inlineStr">
        <is>
          <t>White</t>
        </is>
      </c>
      <c r="Q1393" s="3" t="inlineStr">
        <is>
          <t>Manufacturer's Warranty</t>
        </is>
      </c>
      <c r="Y1393" s="3" t="inlineStr">
        <is>
          <t>INTPNT_AP_EML_APCPRMSTN</t>
        </is>
      </c>
      <c r="Z1393" s="3" t="n">
        <v>3209</v>
      </c>
      <c r="AE1393" s="3" t="n">
        <v>10060</v>
      </c>
      <c r="AF1393" s="4" t="n">
        <v>0.33</v>
      </c>
      <c r="AG1393" s="3">
        <f>ROUND(AE1393-(AE1393*AF1393),2)</f>
        <v/>
      </c>
      <c r="AH1393" s="4" t="n">
        <v>0.18</v>
      </c>
      <c r="AI1393" s="3">
        <f>ROUND(AG1393+(AG1393*AH1393),2)</f>
        <v/>
      </c>
      <c r="AJ1393" s="4" t="n">
        <v>0.15</v>
      </c>
      <c r="AK1393" s="3">
        <f>ROUND(AI1393*AJ1393,2)</f>
        <v/>
      </c>
      <c r="AL1393" s="3">
        <f>AI1393+AK1393</f>
        <v/>
      </c>
      <c r="AM1393" s="3">
        <f>AE1393-AL1393</f>
        <v/>
      </c>
      <c r="AN1393" s="4">
        <f>AM1393/AE1393</f>
        <v/>
      </c>
      <c r="AO1393" s="3" t="inlineStr">
        <is>
          <t>60 mins</t>
        </is>
      </c>
      <c r="AQ1393" s="3" t="inlineStr">
        <is>
          <t>Weight</t>
        </is>
      </c>
    </row>
    <row r="1394" ht="15.75" customHeight="1">
      <c r="A1394" s="3" t="inlineStr">
        <is>
          <t>PROD_0265</t>
        </is>
      </c>
      <c r="B1394" s="3" t="inlineStr">
        <is>
          <t>VAR_1</t>
        </is>
      </c>
      <c r="C1394" s="3" t="inlineStr">
        <is>
          <t>Paint</t>
        </is>
      </c>
      <c r="D1394" s="3" t="inlineStr">
        <is>
          <t>Interior Paint</t>
        </is>
      </c>
      <c r="E1394" s="3" t="inlineStr">
        <is>
          <t>Asian Paint</t>
        </is>
      </c>
      <c r="F1394" s="3" t="inlineStr">
        <is>
          <t xml:space="preserve">Luxury Royale </t>
        </is>
      </c>
      <c r="H1394" s="3" t="inlineStr">
        <is>
          <t>Volume</t>
        </is>
      </c>
      <c r="I1394" s="3" t="inlineStr">
        <is>
          <t>Sample (200 ml)</t>
        </is>
      </c>
      <c r="J1394" s="3" t="inlineStr">
        <is>
          <t>Color</t>
        </is>
      </c>
      <c r="K1394" s="3" t="inlineStr">
        <is>
          <t>White</t>
        </is>
      </c>
      <c r="Q1394" s="3" t="inlineStr">
        <is>
          <t>Manufacturer's Warranty</t>
        </is>
      </c>
      <c r="Y1394" s="3" t="inlineStr">
        <is>
          <t>INTPNT_AP_RYL_LXRY</t>
        </is>
      </c>
      <c r="Z1394" s="3" t="n">
        <v>3209</v>
      </c>
      <c r="AE1394" s="3" t="n">
        <v>300</v>
      </c>
      <c r="AF1394" s="4" t="n">
        <v>0.37</v>
      </c>
      <c r="AG1394" s="3">
        <f>ROUND(AE1394-(AE1394*AF1394),2)</f>
        <v/>
      </c>
      <c r="AH1394" s="4" t="n">
        <v>0.18</v>
      </c>
      <c r="AI1394" s="3">
        <f>ROUND(AG1394+(AG1394*AH1394),2)</f>
        <v/>
      </c>
      <c r="AJ1394" s="4" t="n">
        <v>0.15</v>
      </c>
      <c r="AK1394" s="3">
        <f>ROUND(AI1394*AJ1394,2)</f>
        <v/>
      </c>
      <c r="AL1394" s="3">
        <f>AI1394+AK1394</f>
        <v/>
      </c>
      <c r="AM1394" s="3">
        <f>AE1394-AL1394</f>
        <v/>
      </c>
      <c r="AN1394" s="4">
        <f>AM1394/AE1394</f>
        <v/>
      </c>
      <c r="AO1394" s="3" t="inlineStr">
        <is>
          <t>60 mins</t>
        </is>
      </c>
      <c r="AQ1394" s="3" t="inlineStr">
        <is>
          <t>Weight</t>
        </is>
      </c>
    </row>
    <row r="1395" ht="15.75" customHeight="1">
      <c r="A1395" s="3" t="inlineStr">
        <is>
          <t>PROD_0265</t>
        </is>
      </c>
      <c r="B1395" s="3" t="inlineStr">
        <is>
          <t>VAR_2</t>
        </is>
      </c>
      <c r="C1395" s="3" t="inlineStr">
        <is>
          <t>Paint</t>
        </is>
      </c>
      <c r="D1395" s="3" t="inlineStr">
        <is>
          <t>Interior Paint</t>
        </is>
      </c>
      <c r="E1395" s="3" t="inlineStr">
        <is>
          <t>Asian Paint</t>
        </is>
      </c>
      <c r="F1395" s="3" t="inlineStr">
        <is>
          <t xml:space="preserve">Luxury Royale </t>
        </is>
      </c>
      <c r="H1395" s="3" t="inlineStr">
        <is>
          <t>Volume</t>
        </is>
      </c>
      <c r="I1395" s="3" t="inlineStr">
        <is>
          <t>1 Ltr</t>
        </is>
      </c>
      <c r="J1395" s="3" t="inlineStr">
        <is>
          <t>Color</t>
        </is>
      </c>
      <c r="K1395" s="3" t="inlineStr">
        <is>
          <t>White</t>
        </is>
      </c>
      <c r="Q1395" s="3" t="inlineStr">
        <is>
          <t>Manufacturer's Warranty</t>
        </is>
      </c>
      <c r="Y1395" s="3" t="inlineStr">
        <is>
          <t>INTPNT_AP_RYL_LXRY</t>
        </is>
      </c>
      <c r="Z1395" s="3" t="n">
        <v>3209</v>
      </c>
      <c r="AE1395" s="3" t="n">
        <v>850</v>
      </c>
      <c r="AF1395" s="4" t="n">
        <v>0.41</v>
      </c>
      <c r="AG1395" s="3">
        <f>ROUND(AE1395-(AE1395*AF1395),2)</f>
        <v/>
      </c>
      <c r="AH1395" s="4" t="n">
        <v>0.18</v>
      </c>
      <c r="AI1395" s="3">
        <f>ROUND(AG1395+(AG1395*AH1395),2)</f>
        <v/>
      </c>
      <c r="AJ1395" s="4" t="n">
        <v>0.15</v>
      </c>
      <c r="AK1395" s="3">
        <f>ROUND(AI1395*AJ1395,2)</f>
        <v/>
      </c>
      <c r="AL1395" s="3">
        <f>AI1395+AK1395</f>
        <v/>
      </c>
      <c r="AM1395" s="3">
        <f>AE1395-AL1395</f>
        <v/>
      </c>
      <c r="AN1395" s="4">
        <f>AM1395/AE1395</f>
        <v/>
      </c>
      <c r="AO1395" s="3" t="inlineStr">
        <is>
          <t>60 mins</t>
        </is>
      </c>
      <c r="AQ1395" s="3" t="inlineStr">
        <is>
          <t>Weight</t>
        </is>
      </c>
    </row>
    <row r="1396" ht="15.75" customHeight="1">
      <c r="A1396" s="3" t="inlineStr">
        <is>
          <t>PROD_0265</t>
        </is>
      </c>
      <c r="B1396" s="3" t="inlineStr">
        <is>
          <t>VAR_3</t>
        </is>
      </c>
      <c r="C1396" s="3" t="inlineStr">
        <is>
          <t>Paint</t>
        </is>
      </c>
      <c r="D1396" s="3" t="inlineStr">
        <is>
          <t>Interior Paint</t>
        </is>
      </c>
      <c r="E1396" s="3" t="inlineStr">
        <is>
          <t>Asian Paint</t>
        </is>
      </c>
      <c r="F1396" s="3" t="inlineStr">
        <is>
          <t xml:space="preserve">Luxury Royale </t>
        </is>
      </c>
      <c r="H1396" s="3" t="inlineStr">
        <is>
          <t>Volume</t>
        </is>
      </c>
      <c r="I1396" s="3" t="inlineStr">
        <is>
          <t>4 Ltr</t>
        </is>
      </c>
      <c r="J1396" s="3" t="inlineStr">
        <is>
          <t>Color</t>
        </is>
      </c>
      <c r="K1396" s="3" t="inlineStr">
        <is>
          <t>White</t>
        </is>
      </c>
      <c r="Q1396" s="3" t="inlineStr">
        <is>
          <t>Manufacturer's Warranty</t>
        </is>
      </c>
      <c r="Y1396" s="3" t="inlineStr">
        <is>
          <t>INTPNT_AP_RYL_LXRY</t>
        </is>
      </c>
      <c r="Z1396" s="3" t="n">
        <v>3209</v>
      </c>
      <c r="AE1396" s="3" t="n">
        <v>3170</v>
      </c>
      <c r="AF1396" s="4" t="n">
        <v>0.4</v>
      </c>
      <c r="AG1396" s="3">
        <f>ROUND(AE1396-(AE1396*AF1396),2)</f>
        <v/>
      </c>
      <c r="AH1396" s="4" t="n">
        <v>0.18</v>
      </c>
      <c r="AI1396" s="3">
        <f>ROUND(AG1396+(AG1396*AH1396),2)</f>
        <v/>
      </c>
      <c r="AJ1396" s="4" t="n">
        <v>0.15</v>
      </c>
      <c r="AK1396" s="3">
        <f>ROUND(AI1396*AJ1396,2)</f>
        <v/>
      </c>
      <c r="AL1396" s="3">
        <f>AI1396+AK1396</f>
        <v/>
      </c>
      <c r="AM1396" s="3">
        <f>AE1396-AL1396</f>
        <v/>
      </c>
      <c r="AN1396" s="4">
        <f>AM1396/AE1396</f>
        <v/>
      </c>
      <c r="AO1396" s="3" t="inlineStr">
        <is>
          <t>60 mins</t>
        </is>
      </c>
      <c r="AQ1396" s="3" t="inlineStr">
        <is>
          <t>Weight</t>
        </is>
      </c>
    </row>
    <row r="1397" ht="15.75" customHeight="1">
      <c r="A1397" s="3" t="inlineStr">
        <is>
          <t>PROD_0265</t>
        </is>
      </c>
      <c r="B1397" s="3" t="inlineStr">
        <is>
          <t>VAR_4</t>
        </is>
      </c>
      <c r="C1397" s="3" t="inlineStr">
        <is>
          <t>Paint</t>
        </is>
      </c>
      <c r="D1397" s="3" t="inlineStr">
        <is>
          <t>Interior Paint</t>
        </is>
      </c>
      <c r="E1397" s="3" t="inlineStr">
        <is>
          <t>Asian Paint</t>
        </is>
      </c>
      <c r="F1397" s="3" t="inlineStr">
        <is>
          <t xml:space="preserve">Luxury Royale </t>
        </is>
      </c>
      <c r="H1397" s="3" t="inlineStr">
        <is>
          <t>Volume</t>
        </is>
      </c>
      <c r="I1397" s="3" t="inlineStr">
        <is>
          <t>10 Ltr</t>
        </is>
      </c>
      <c r="J1397" s="3" t="inlineStr">
        <is>
          <t>Color</t>
        </is>
      </c>
      <c r="K1397" s="3" t="inlineStr">
        <is>
          <t>White</t>
        </is>
      </c>
      <c r="Q1397" s="3" t="inlineStr">
        <is>
          <t>Manufacturer's Warranty</t>
        </is>
      </c>
      <c r="Y1397" s="3" t="inlineStr">
        <is>
          <t>INTPNT_AP_RYL_LXRY</t>
        </is>
      </c>
      <c r="Z1397" s="3" t="n">
        <v>3209</v>
      </c>
      <c r="AE1397" s="3" t="n">
        <v>7750</v>
      </c>
      <c r="AF1397" s="4" t="n">
        <v>0.42</v>
      </c>
      <c r="AG1397" s="3">
        <f>ROUND(AE1397-(AE1397*AF1397),2)</f>
        <v/>
      </c>
      <c r="AH1397" s="4" t="n">
        <v>0.18</v>
      </c>
      <c r="AI1397" s="3">
        <f>ROUND(AG1397+(AG1397*AH1397),2)</f>
        <v/>
      </c>
      <c r="AJ1397" s="4" t="n">
        <v>0.15</v>
      </c>
      <c r="AK1397" s="3">
        <f>ROUND(AI1397*AJ1397,2)</f>
        <v/>
      </c>
      <c r="AL1397" s="3">
        <f>AI1397+AK1397</f>
        <v/>
      </c>
      <c r="AM1397" s="3">
        <f>AE1397-AL1397</f>
        <v/>
      </c>
      <c r="AN1397" s="4">
        <f>AM1397/AE1397</f>
        <v/>
      </c>
      <c r="AO1397" s="3" t="inlineStr">
        <is>
          <t>60 mins</t>
        </is>
      </c>
      <c r="AQ1397" s="3" t="inlineStr">
        <is>
          <t>Weight</t>
        </is>
      </c>
    </row>
    <row r="1398" ht="15.75" customHeight="1">
      <c r="A1398" s="3" t="inlineStr">
        <is>
          <t>PROD_0265</t>
        </is>
      </c>
      <c r="B1398" s="3" t="inlineStr">
        <is>
          <t>VAR_5</t>
        </is>
      </c>
      <c r="C1398" s="3" t="inlineStr">
        <is>
          <t>Paint</t>
        </is>
      </c>
      <c r="D1398" s="3" t="inlineStr">
        <is>
          <t>Interior Paint</t>
        </is>
      </c>
      <c r="E1398" s="3" t="inlineStr">
        <is>
          <t>Asian Paint</t>
        </is>
      </c>
      <c r="F1398" s="3" t="inlineStr">
        <is>
          <t xml:space="preserve">Luxury Royale </t>
        </is>
      </c>
      <c r="H1398" s="3" t="inlineStr">
        <is>
          <t>Volume</t>
        </is>
      </c>
      <c r="I1398" s="3" t="inlineStr">
        <is>
          <t>20 Ltr</t>
        </is>
      </c>
      <c r="J1398" s="3" t="inlineStr">
        <is>
          <t>Color</t>
        </is>
      </c>
      <c r="K1398" s="3" t="inlineStr">
        <is>
          <t>White</t>
        </is>
      </c>
      <c r="Q1398" s="3" t="inlineStr">
        <is>
          <t>Manufacturer's Warranty</t>
        </is>
      </c>
      <c r="Y1398" s="3" t="inlineStr">
        <is>
          <t>INTPNT_AP_RYL_LXRY</t>
        </is>
      </c>
      <c r="Z1398" s="3" t="n">
        <v>3209</v>
      </c>
      <c r="AE1398" s="3" t="n">
        <v>15210</v>
      </c>
      <c r="AF1398" s="4" t="n">
        <v>0.42</v>
      </c>
      <c r="AG1398" s="3">
        <f>ROUND(AE1398-(AE1398*AF1398),2)</f>
        <v/>
      </c>
      <c r="AH1398" s="4" t="n">
        <v>0.18</v>
      </c>
      <c r="AI1398" s="3">
        <f>ROUND(AG1398+(AG1398*AH1398),2)</f>
        <v/>
      </c>
      <c r="AJ1398" s="4" t="n">
        <v>0.15</v>
      </c>
      <c r="AK1398" s="3">
        <f>ROUND(AI1398*AJ1398,2)</f>
        <v/>
      </c>
      <c r="AL1398" s="3">
        <f>AI1398+AK1398</f>
        <v/>
      </c>
      <c r="AM1398" s="3">
        <f>AE1398-AL1398</f>
        <v/>
      </c>
      <c r="AN1398" s="4">
        <f>AM1398/AE1398</f>
        <v/>
      </c>
      <c r="AO1398" s="3" t="inlineStr">
        <is>
          <t>60 mins</t>
        </is>
      </c>
      <c r="AQ1398" s="3" t="inlineStr">
        <is>
          <t>Weight</t>
        </is>
      </c>
    </row>
    <row r="1399" ht="15.75" customHeight="1">
      <c r="A1399" s="3" t="inlineStr">
        <is>
          <t>PROD_0266</t>
        </is>
      </c>
      <c r="B1399" s="3" t="inlineStr">
        <is>
          <t>VAR_1</t>
        </is>
      </c>
      <c r="C1399" s="3" t="inlineStr">
        <is>
          <t>Paint</t>
        </is>
      </c>
      <c r="D1399" s="3" t="inlineStr">
        <is>
          <t>Interior Paint</t>
        </is>
      </c>
      <c r="E1399" s="3" t="inlineStr">
        <is>
          <t>Asian Paint</t>
        </is>
      </c>
      <c r="F1399" s="3" t="inlineStr">
        <is>
          <t xml:space="preserve">Matt Royale </t>
        </is>
      </c>
      <c r="H1399" s="3" t="inlineStr">
        <is>
          <t>Volume</t>
        </is>
      </c>
      <c r="I1399" s="3" t="inlineStr">
        <is>
          <t>1 Ltr</t>
        </is>
      </c>
      <c r="J1399" s="3" t="inlineStr">
        <is>
          <t>Color</t>
        </is>
      </c>
      <c r="K1399" s="3" t="inlineStr">
        <is>
          <t>White</t>
        </is>
      </c>
      <c r="Q1399" s="3" t="inlineStr">
        <is>
          <t>Manufacturer's Warranty</t>
        </is>
      </c>
      <c r="Y1399" s="3" t="inlineStr">
        <is>
          <t>INTPNT_AP_RYL_MAT</t>
        </is>
      </c>
      <c r="Z1399" s="3" t="n">
        <v>3209</v>
      </c>
      <c r="AE1399" s="3" t="n">
        <v>889</v>
      </c>
      <c r="AF1399" s="4" t="n">
        <v>0.3</v>
      </c>
      <c r="AG1399" s="3">
        <f>ROUND(AE1399-(AE1399*AF1399),2)</f>
        <v/>
      </c>
      <c r="AH1399" s="4" t="n">
        <v>0.18</v>
      </c>
      <c r="AI1399" s="3">
        <f>ROUND(AG1399+(AG1399*AH1399),2)</f>
        <v/>
      </c>
      <c r="AJ1399" s="4" t="n">
        <v>0.15</v>
      </c>
      <c r="AK1399" s="3">
        <f>ROUND(AI1399*AJ1399,2)</f>
        <v/>
      </c>
      <c r="AL1399" s="3">
        <f>AI1399+AK1399</f>
        <v/>
      </c>
      <c r="AM1399" s="3">
        <f>AE1399-AL1399</f>
        <v/>
      </c>
      <c r="AN1399" s="4">
        <f>AM1399/AE1399</f>
        <v/>
      </c>
      <c r="AO1399" s="3" t="inlineStr">
        <is>
          <t>60 mins</t>
        </is>
      </c>
      <c r="AQ1399" s="3" t="inlineStr">
        <is>
          <t>Weight</t>
        </is>
      </c>
    </row>
    <row r="1400" ht="15.75" customHeight="1">
      <c r="A1400" s="3" t="inlineStr">
        <is>
          <t>PROD_0266</t>
        </is>
      </c>
      <c r="B1400" s="3" t="inlineStr">
        <is>
          <t>VAR_2</t>
        </is>
      </c>
      <c r="C1400" s="3" t="inlineStr">
        <is>
          <t>Paint</t>
        </is>
      </c>
      <c r="D1400" s="3" t="inlineStr">
        <is>
          <t>Interior Paint</t>
        </is>
      </c>
      <c r="E1400" s="3" t="inlineStr">
        <is>
          <t>Asian Paint</t>
        </is>
      </c>
      <c r="F1400" s="3" t="inlineStr">
        <is>
          <t xml:space="preserve">Matt Royale </t>
        </is>
      </c>
      <c r="H1400" s="3" t="inlineStr">
        <is>
          <t>Volume</t>
        </is>
      </c>
      <c r="I1400" s="3" t="inlineStr">
        <is>
          <t>4 Ltr</t>
        </is>
      </c>
      <c r="J1400" s="3" t="inlineStr">
        <is>
          <t>Color</t>
        </is>
      </c>
      <c r="K1400" s="3" t="inlineStr">
        <is>
          <t>White</t>
        </is>
      </c>
      <c r="Q1400" s="3" t="inlineStr">
        <is>
          <t>Manufacturer's Warranty</t>
        </is>
      </c>
      <c r="Y1400" s="3" t="inlineStr">
        <is>
          <t>INTPNT_AP_RYL_MAT</t>
        </is>
      </c>
      <c r="Z1400" s="3" t="n">
        <v>3209</v>
      </c>
      <c r="AE1400" s="3" t="n">
        <v>3480</v>
      </c>
      <c r="AF1400" s="4" t="n">
        <v>0.28</v>
      </c>
      <c r="AG1400" s="3">
        <f>ROUND(AE1400-(AE1400*AF1400),2)</f>
        <v/>
      </c>
      <c r="AH1400" s="4" t="n">
        <v>0.18</v>
      </c>
      <c r="AI1400" s="3">
        <f>ROUND(AG1400+(AG1400*AH1400),2)</f>
        <v/>
      </c>
      <c r="AJ1400" s="4" t="n">
        <v>0.15</v>
      </c>
      <c r="AK1400" s="3">
        <f>ROUND(AI1400*AJ1400,2)</f>
        <v/>
      </c>
      <c r="AL1400" s="3">
        <f>AI1400+AK1400</f>
        <v/>
      </c>
      <c r="AM1400" s="3">
        <f>AE1400-AL1400</f>
        <v/>
      </c>
      <c r="AN1400" s="4">
        <f>AM1400/AE1400</f>
        <v/>
      </c>
      <c r="AO1400" s="3" t="inlineStr">
        <is>
          <t>60 mins</t>
        </is>
      </c>
      <c r="AQ1400" s="3" t="inlineStr">
        <is>
          <t>Weight</t>
        </is>
      </c>
    </row>
    <row r="1401" ht="15.75" customHeight="1">
      <c r="A1401" s="3" t="inlineStr">
        <is>
          <t>PROD_0266</t>
        </is>
      </c>
      <c r="B1401" s="3" t="inlineStr">
        <is>
          <t>VAR_3</t>
        </is>
      </c>
      <c r="C1401" s="3" t="inlineStr">
        <is>
          <t>Paint</t>
        </is>
      </c>
      <c r="D1401" s="3" t="inlineStr">
        <is>
          <t>Interior Paint</t>
        </is>
      </c>
      <c r="E1401" s="3" t="inlineStr">
        <is>
          <t>Asian Paint</t>
        </is>
      </c>
      <c r="F1401" s="3" t="inlineStr">
        <is>
          <t xml:space="preserve">Matt Royale </t>
        </is>
      </c>
      <c r="H1401" s="3" t="inlineStr">
        <is>
          <t>Volume</t>
        </is>
      </c>
      <c r="I1401" s="3" t="inlineStr">
        <is>
          <t>10 Ltr</t>
        </is>
      </c>
      <c r="J1401" s="3" t="inlineStr">
        <is>
          <t>Color</t>
        </is>
      </c>
      <c r="K1401" s="3" t="inlineStr">
        <is>
          <t>White</t>
        </is>
      </c>
      <c r="Q1401" s="3" t="inlineStr">
        <is>
          <t>Manufacturer's Warranty</t>
        </is>
      </c>
      <c r="Y1401" s="3" t="inlineStr">
        <is>
          <t>INTPNT_AP_RYL_MAT</t>
        </is>
      </c>
      <c r="Z1401" s="3" t="n">
        <v>3209</v>
      </c>
      <c r="AE1401" s="3" t="n">
        <v>8530</v>
      </c>
      <c r="AF1401" s="4" t="n">
        <v>0.28</v>
      </c>
      <c r="AG1401" s="3">
        <f>ROUND(AE1401-(AE1401*AF1401),2)</f>
        <v/>
      </c>
      <c r="AH1401" s="4" t="n">
        <v>0.18</v>
      </c>
      <c r="AI1401" s="3">
        <f>ROUND(AG1401+(AG1401*AH1401),2)</f>
        <v/>
      </c>
      <c r="AJ1401" s="4" t="n">
        <v>0.15</v>
      </c>
      <c r="AK1401" s="3">
        <f>ROUND(AI1401*AJ1401,2)</f>
        <v/>
      </c>
      <c r="AL1401" s="3">
        <f>AI1401+AK1401</f>
        <v/>
      </c>
      <c r="AM1401" s="3">
        <f>AE1401-AL1401</f>
        <v/>
      </c>
      <c r="AN1401" s="4">
        <f>AM1401/AE1401</f>
        <v/>
      </c>
      <c r="AO1401" s="3" t="inlineStr">
        <is>
          <t>60 mins</t>
        </is>
      </c>
      <c r="AQ1401" s="3" t="inlineStr">
        <is>
          <t>Weight</t>
        </is>
      </c>
    </row>
    <row r="1402" ht="15.75" customHeight="1">
      <c r="A1402" s="3" t="inlineStr">
        <is>
          <t>PROD_0266</t>
        </is>
      </c>
      <c r="B1402" s="3" t="inlineStr">
        <is>
          <t>VAR_4</t>
        </is>
      </c>
      <c r="C1402" s="3" t="inlineStr">
        <is>
          <t>Paint</t>
        </is>
      </c>
      <c r="D1402" s="3" t="inlineStr">
        <is>
          <t>Interior Paint</t>
        </is>
      </c>
      <c r="E1402" s="3" t="inlineStr">
        <is>
          <t>Asian Paint</t>
        </is>
      </c>
      <c r="F1402" s="3" t="inlineStr">
        <is>
          <t xml:space="preserve">Matt Royale </t>
        </is>
      </c>
      <c r="H1402" s="3" t="inlineStr">
        <is>
          <t>Volume</t>
        </is>
      </c>
      <c r="I1402" s="3" t="inlineStr">
        <is>
          <t>20 Ltr</t>
        </is>
      </c>
      <c r="J1402" s="3" t="inlineStr">
        <is>
          <t>Color</t>
        </is>
      </c>
      <c r="K1402" s="3" t="inlineStr">
        <is>
          <t>White</t>
        </is>
      </c>
      <c r="Q1402" s="3" t="inlineStr">
        <is>
          <t>Manufacturer's Warranty</t>
        </is>
      </c>
      <c r="Y1402" s="3" t="inlineStr">
        <is>
          <t>INTPNT_AP_RYL_MAT</t>
        </is>
      </c>
      <c r="Z1402" s="3" t="n">
        <v>3209</v>
      </c>
      <c r="AE1402" s="3" t="n">
        <v>16730</v>
      </c>
      <c r="AF1402" s="4" t="n">
        <v>0.28</v>
      </c>
      <c r="AG1402" s="3">
        <f>ROUND(AE1402-(AE1402*AF1402),2)</f>
        <v/>
      </c>
      <c r="AH1402" s="4" t="n">
        <v>0.18</v>
      </c>
      <c r="AI1402" s="3">
        <f>ROUND(AG1402+(AG1402*AH1402),2)</f>
        <v/>
      </c>
      <c r="AJ1402" s="4" t="n">
        <v>0.15</v>
      </c>
      <c r="AK1402" s="3">
        <f>ROUND(AI1402*AJ1402,2)</f>
        <v/>
      </c>
      <c r="AL1402" s="3">
        <f>AI1402+AK1402</f>
        <v/>
      </c>
      <c r="AM1402" s="3">
        <f>AE1402-AL1402</f>
        <v/>
      </c>
      <c r="AN1402" s="4">
        <f>AM1402/AE1402</f>
        <v/>
      </c>
      <c r="AO1402" s="3" t="inlineStr">
        <is>
          <t>60 mins</t>
        </is>
      </c>
      <c r="AQ1402" s="3" t="inlineStr">
        <is>
          <t>Weight</t>
        </is>
      </c>
    </row>
    <row r="1403" ht="15.75" customHeight="1">
      <c r="A1403" s="3" t="inlineStr">
        <is>
          <t>PROD_0267</t>
        </is>
      </c>
      <c r="B1403" s="3" t="inlineStr">
        <is>
          <t>VAR_1</t>
        </is>
      </c>
      <c r="C1403" s="3" t="inlineStr">
        <is>
          <t>Paint</t>
        </is>
      </c>
      <c r="D1403" s="3" t="inlineStr">
        <is>
          <t>Interior Paint</t>
        </is>
      </c>
      <c r="E1403" s="3" t="inlineStr">
        <is>
          <t>Asian Paint</t>
        </is>
      </c>
      <c r="F1403" s="3" t="inlineStr">
        <is>
          <t xml:space="preserve">Shyne Royale </t>
        </is>
      </c>
      <c r="H1403" s="3" t="inlineStr">
        <is>
          <t>Volume</t>
        </is>
      </c>
      <c r="I1403" s="3" t="inlineStr">
        <is>
          <t>1 Ltr</t>
        </is>
      </c>
      <c r="J1403" s="3" t="inlineStr">
        <is>
          <t>Color</t>
        </is>
      </c>
      <c r="K1403" s="3" t="inlineStr">
        <is>
          <t>White</t>
        </is>
      </c>
      <c r="Q1403" s="3" t="inlineStr">
        <is>
          <t>Manufacturer's Warranty</t>
        </is>
      </c>
      <c r="Y1403" s="3" t="inlineStr">
        <is>
          <t>INTPNT_AP_RYL_SHYN</t>
        </is>
      </c>
      <c r="Z1403" s="3" t="n">
        <v>3209</v>
      </c>
      <c r="AE1403" s="3" t="n">
        <v>879</v>
      </c>
      <c r="AF1403" s="4" t="n">
        <v>0.33</v>
      </c>
      <c r="AG1403" s="3">
        <f>ROUND(AE1403-(AE1403*AF1403),2)</f>
        <v/>
      </c>
      <c r="AH1403" s="4" t="n">
        <v>0.18</v>
      </c>
      <c r="AI1403" s="3">
        <f>ROUND(AG1403+(AG1403*AH1403),2)</f>
        <v/>
      </c>
      <c r="AJ1403" s="4" t="n">
        <v>0.15</v>
      </c>
      <c r="AK1403" s="3">
        <f>ROUND(AI1403*AJ1403,2)</f>
        <v/>
      </c>
      <c r="AL1403" s="3">
        <f>AI1403+AK1403</f>
        <v/>
      </c>
      <c r="AM1403" s="3">
        <f>AE1403-AL1403</f>
        <v/>
      </c>
      <c r="AN1403" s="4">
        <f>AM1403/AE1403</f>
        <v/>
      </c>
      <c r="AO1403" s="3" t="inlineStr">
        <is>
          <t>60 mins</t>
        </is>
      </c>
      <c r="AQ1403" s="3" t="inlineStr">
        <is>
          <t>Weight</t>
        </is>
      </c>
    </row>
    <row r="1404" ht="15.75" customHeight="1">
      <c r="A1404" s="3" t="inlineStr">
        <is>
          <t>PROD_0267</t>
        </is>
      </c>
      <c r="B1404" s="3" t="inlineStr">
        <is>
          <t>VAR_2</t>
        </is>
      </c>
      <c r="C1404" s="3" t="inlineStr">
        <is>
          <t>Paint</t>
        </is>
      </c>
      <c r="D1404" s="3" t="inlineStr">
        <is>
          <t>Interior Paint</t>
        </is>
      </c>
      <c r="E1404" s="3" t="inlineStr">
        <is>
          <t>Asian Paint</t>
        </is>
      </c>
      <c r="F1404" s="3" t="inlineStr">
        <is>
          <t xml:space="preserve">Shyne Royale </t>
        </is>
      </c>
      <c r="H1404" s="3" t="inlineStr">
        <is>
          <t>Volume</t>
        </is>
      </c>
      <c r="I1404" s="3" t="inlineStr">
        <is>
          <t>4 Ltr</t>
        </is>
      </c>
      <c r="J1404" s="3" t="inlineStr">
        <is>
          <t>Color</t>
        </is>
      </c>
      <c r="K1404" s="3" t="inlineStr">
        <is>
          <t>White</t>
        </is>
      </c>
      <c r="Q1404" s="3" t="inlineStr">
        <is>
          <t>Manufacturer's Warranty</t>
        </is>
      </c>
      <c r="Y1404" s="3" t="inlineStr">
        <is>
          <t>INTPNT_AP_RYL_SHYN</t>
        </is>
      </c>
      <c r="Z1404" s="3" t="n">
        <v>3209</v>
      </c>
      <c r="AE1404" s="3" t="n">
        <v>3455</v>
      </c>
      <c r="AF1404" s="4" t="n">
        <v>0.28</v>
      </c>
      <c r="AG1404" s="3">
        <f>ROUND(AE1404-(AE1404*AF1404),2)</f>
        <v/>
      </c>
      <c r="AH1404" s="4" t="n">
        <v>0.18</v>
      </c>
      <c r="AI1404" s="3">
        <f>ROUND(AG1404+(AG1404*AH1404),2)</f>
        <v/>
      </c>
      <c r="AJ1404" s="4" t="n">
        <v>0.15</v>
      </c>
      <c r="AK1404" s="3">
        <f>ROUND(AI1404*AJ1404,2)</f>
        <v/>
      </c>
      <c r="AL1404" s="3">
        <f>AI1404+AK1404</f>
        <v/>
      </c>
      <c r="AM1404" s="3">
        <f>AE1404-AL1404</f>
        <v/>
      </c>
      <c r="AN1404" s="4">
        <f>AM1404/AE1404</f>
        <v/>
      </c>
      <c r="AO1404" s="3" t="inlineStr">
        <is>
          <t>60 mins</t>
        </is>
      </c>
      <c r="AQ1404" s="3" t="inlineStr">
        <is>
          <t>Weight</t>
        </is>
      </c>
    </row>
    <row r="1405" ht="15.75" customHeight="1">
      <c r="A1405" s="3" t="inlineStr">
        <is>
          <t>PROD_0267</t>
        </is>
      </c>
      <c r="B1405" s="3" t="inlineStr">
        <is>
          <t>VAR_3</t>
        </is>
      </c>
      <c r="C1405" s="3" t="inlineStr">
        <is>
          <t>Paint</t>
        </is>
      </c>
      <c r="D1405" s="3" t="inlineStr">
        <is>
          <t>Interior Paint</t>
        </is>
      </c>
      <c r="E1405" s="3" t="inlineStr">
        <is>
          <t>Asian Paint</t>
        </is>
      </c>
      <c r="F1405" s="3" t="inlineStr">
        <is>
          <t xml:space="preserve">Shyne Royale </t>
        </is>
      </c>
      <c r="H1405" s="3" t="inlineStr">
        <is>
          <t>Volume</t>
        </is>
      </c>
      <c r="I1405" s="3" t="inlineStr">
        <is>
          <t>10 Ltr</t>
        </is>
      </c>
      <c r="J1405" s="3" t="inlineStr">
        <is>
          <t>Color</t>
        </is>
      </c>
      <c r="K1405" s="3" t="inlineStr">
        <is>
          <t>White</t>
        </is>
      </c>
      <c r="Q1405" s="3" t="inlineStr">
        <is>
          <t>Manufacturer's Warranty</t>
        </is>
      </c>
      <c r="Y1405" s="3" t="inlineStr">
        <is>
          <t>INTPNT_AP_RYL_SHYN</t>
        </is>
      </c>
      <c r="Z1405" s="3" t="n">
        <v>3209</v>
      </c>
      <c r="AE1405" s="3" t="n">
        <v>8440</v>
      </c>
      <c r="AF1405" s="4" t="n">
        <v>0.28</v>
      </c>
      <c r="AG1405" s="3">
        <f>ROUND(AE1405-(AE1405*AF1405),2)</f>
        <v/>
      </c>
      <c r="AH1405" s="4" t="n">
        <v>0.18</v>
      </c>
      <c r="AI1405" s="3">
        <f>ROUND(AG1405+(AG1405*AH1405),2)</f>
        <v/>
      </c>
      <c r="AJ1405" s="4" t="n">
        <v>0.15</v>
      </c>
      <c r="AK1405" s="3">
        <f>ROUND(AI1405*AJ1405,2)</f>
        <v/>
      </c>
      <c r="AL1405" s="3">
        <f>AI1405+AK1405</f>
        <v/>
      </c>
      <c r="AM1405" s="3">
        <f>AE1405-AL1405</f>
        <v/>
      </c>
      <c r="AN1405" s="4">
        <f>AM1405/AE1405</f>
        <v/>
      </c>
      <c r="AO1405" s="3" t="inlineStr">
        <is>
          <t>60 mins</t>
        </is>
      </c>
      <c r="AQ1405" s="3" t="inlineStr">
        <is>
          <t>Weight</t>
        </is>
      </c>
    </row>
    <row r="1406" ht="15.75" customHeight="1">
      <c r="A1406" s="3" t="inlineStr">
        <is>
          <t>PROD_0267</t>
        </is>
      </c>
      <c r="B1406" s="3" t="inlineStr">
        <is>
          <t>VAR_4</t>
        </is>
      </c>
      <c r="C1406" s="3" t="inlineStr">
        <is>
          <t>Paint</t>
        </is>
      </c>
      <c r="D1406" s="3" t="inlineStr">
        <is>
          <t>Interior Paint</t>
        </is>
      </c>
      <c r="E1406" s="3" t="inlineStr">
        <is>
          <t>Asian Paint</t>
        </is>
      </c>
      <c r="F1406" s="3" t="inlineStr">
        <is>
          <t xml:space="preserve">Shyne Royale </t>
        </is>
      </c>
      <c r="H1406" s="3" t="inlineStr">
        <is>
          <t>Volume</t>
        </is>
      </c>
      <c r="I1406" s="3" t="inlineStr">
        <is>
          <t>20 Ltr</t>
        </is>
      </c>
      <c r="J1406" s="3" t="inlineStr">
        <is>
          <t>Color</t>
        </is>
      </c>
      <c r="K1406" s="3" t="inlineStr">
        <is>
          <t>White</t>
        </is>
      </c>
      <c r="Q1406" s="3" t="inlineStr">
        <is>
          <t>Manufacturer's Warranty</t>
        </is>
      </c>
      <c r="Y1406" s="3" t="inlineStr">
        <is>
          <t>INTPNT_AP_RYL_SHYN</t>
        </is>
      </c>
      <c r="Z1406" s="3" t="n">
        <v>3209</v>
      </c>
      <c r="AE1406" s="3" t="n">
        <v>16570</v>
      </c>
      <c r="AF1406" s="4" t="n">
        <v>0.28</v>
      </c>
      <c r="AG1406" s="3">
        <f>ROUND(AE1406-(AE1406*AF1406),2)</f>
        <v/>
      </c>
      <c r="AH1406" s="4" t="n">
        <v>0.18</v>
      </c>
      <c r="AI1406" s="3">
        <f>ROUND(AG1406+(AG1406*AH1406),2)</f>
        <v/>
      </c>
      <c r="AJ1406" s="4" t="n">
        <v>0.15</v>
      </c>
      <c r="AK1406" s="3">
        <f>ROUND(AI1406*AJ1406,2)</f>
        <v/>
      </c>
      <c r="AL1406" s="3">
        <f>AI1406+AK1406</f>
        <v/>
      </c>
      <c r="AM1406" s="3">
        <f>AE1406-AL1406</f>
        <v/>
      </c>
      <c r="AN1406" s="4">
        <f>AM1406/AE1406</f>
        <v/>
      </c>
      <c r="AO1406" s="3" t="inlineStr">
        <is>
          <t>60 mins</t>
        </is>
      </c>
      <c r="AQ1406" s="3" t="inlineStr">
        <is>
          <t>Weight</t>
        </is>
      </c>
    </row>
    <row r="1407" ht="15.75" customHeight="1">
      <c r="A1407" s="3" t="inlineStr">
        <is>
          <t>PROD_0268</t>
        </is>
      </c>
      <c r="B1407" s="3" t="inlineStr">
        <is>
          <t>VAR_1</t>
        </is>
      </c>
      <c r="C1407" s="3" t="inlineStr">
        <is>
          <t>Paint</t>
        </is>
      </c>
      <c r="D1407" s="3" t="inlineStr">
        <is>
          <t>Interior Paint</t>
        </is>
      </c>
      <c r="E1407" s="3" t="inlineStr">
        <is>
          <t>Birla Opus</t>
        </is>
      </c>
      <c r="F1407" s="3" t="inlineStr">
        <is>
          <t>Style Color Fresh Distemper</t>
        </is>
      </c>
      <c r="H1407" s="3" t="inlineStr">
        <is>
          <t>Volume</t>
        </is>
      </c>
      <c r="I1407" s="3" t="inlineStr">
        <is>
          <t>1 Ltr</t>
        </is>
      </c>
      <c r="J1407" s="3" t="inlineStr">
        <is>
          <t>Color</t>
        </is>
      </c>
      <c r="K1407" s="3" t="inlineStr">
        <is>
          <t>White</t>
        </is>
      </c>
      <c r="Q1407" s="3" t="inlineStr">
        <is>
          <t>Manufacturer's Warranty</t>
        </is>
      </c>
      <c r="Y1407" s="3" t="inlineStr">
        <is>
          <t>INTPNT_BRLOP_DSTM_STLCLR</t>
        </is>
      </c>
      <c r="Z1407" s="3" t="n">
        <v>3209</v>
      </c>
      <c r="AE1407" s="3" t="n">
        <v>690</v>
      </c>
      <c r="AF1407" s="4" t="n">
        <v>0.32</v>
      </c>
      <c r="AG1407" s="3">
        <f>ROUND(AE1407-(AE1407*AF1407),2)</f>
        <v/>
      </c>
      <c r="AH1407" s="4" t="n">
        <v>0.18</v>
      </c>
      <c r="AI1407" s="3">
        <f>ROUND(AG1407+(AG1407*AH1407),2)</f>
        <v/>
      </c>
      <c r="AJ1407" s="4" t="n">
        <v>0.15</v>
      </c>
      <c r="AK1407" s="3">
        <f>ROUND(AI1407*AJ1407,2)</f>
        <v/>
      </c>
      <c r="AL1407" s="3">
        <f>AI1407+AK1407</f>
        <v/>
      </c>
      <c r="AM1407" s="3">
        <f>AE1407-AL1407</f>
        <v/>
      </c>
      <c r="AN1407" s="4">
        <f>AM1407/AE1407</f>
        <v/>
      </c>
      <c r="AO1407" s="3" t="inlineStr">
        <is>
          <t>60 mins</t>
        </is>
      </c>
      <c r="AQ1407" s="3" t="inlineStr">
        <is>
          <t>Weight</t>
        </is>
      </c>
    </row>
    <row r="1408" ht="15.75" customHeight="1">
      <c r="A1408" s="3" t="inlineStr">
        <is>
          <t>PROD_0268</t>
        </is>
      </c>
      <c r="B1408" s="3" t="inlineStr">
        <is>
          <t>VAR_2</t>
        </is>
      </c>
      <c r="C1408" s="3" t="inlineStr">
        <is>
          <t>Paint</t>
        </is>
      </c>
      <c r="D1408" s="3" t="inlineStr">
        <is>
          <t>Interior Paint</t>
        </is>
      </c>
      <c r="E1408" s="3" t="inlineStr">
        <is>
          <t>Birla Opus</t>
        </is>
      </c>
      <c r="F1408" s="3" t="inlineStr">
        <is>
          <t>Style Color Fresh Distemper</t>
        </is>
      </c>
      <c r="H1408" s="3" t="inlineStr">
        <is>
          <t>Volume</t>
        </is>
      </c>
      <c r="I1408" s="3" t="inlineStr">
        <is>
          <t>4 Ltr</t>
        </is>
      </c>
      <c r="J1408" s="3" t="inlineStr">
        <is>
          <t>Color</t>
        </is>
      </c>
      <c r="K1408" s="3" t="inlineStr">
        <is>
          <t>White</t>
        </is>
      </c>
      <c r="Q1408" s="3" t="inlineStr">
        <is>
          <t>Manufacturer's Warranty</t>
        </is>
      </c>
      <c r="Y1408" s="3" t="inlineStr">
        <is>
          <t>INTPNT_BRLOP_DSTM_STLCLR</t>
        </is>
      </c>
      <c r="Z1408" s="3" t="n">
        <v>3209</v>
      </c>
      <c r="AE1408" s="3" t="n">
        <v>690</v>
      </c>
      <c r="AF1408" s="4" t="n">
        <v>0.32</v>
      </c>
      <c r="AG1408" s="3">
        <f>ROUND(AE1408-(AE1408*AF1408),2)</f>
        <v/>
      </c>
      <c r="AH1408" s="4" t="n">
        <v>0.18</v>
      </c>
      <c r="AI1408" s="3">
        <f>ROUND(AG1408+(AG1408*AH1408),2)</f>
        <v/>
      </c>
      <c r="AJ1408" s="4" t="n">
        <v>0.15</v>
      </c>
      <c r="AK1408" s="3">
        <f>ROUND(AI1408*AJ1408,2)</f>
        <v/>
      </c>
      <c r="AL1408" s="3">
        <f>AI1408+AK1408</f>
        <v/>
      </c>
      <c r="AM1408" s="3">
        <f>AE1408-AL1408</f>
        <v/>
      </c>
      <c r="AN1408" s="4">
        <f>AM1408/AE1408</f>
        <v/>
      </c>
      <c r="AO1408" s="3" t="inlineStr">
        <is>
          <t>60 mins</t>
        </is>
      </c>
      <c r="AQ1408" s="3" t="inlineStr">
        <is>
          <t>Weight</t>
        </is>
      </c>
    </row>
    <row r="1409" ht="15.75" customHeight="1">
      <c r="A1409" s="3" t="inlineStr">
        <is>
          <t>PROD_0268</t>
        </is>
      </c>
      <c r="B1409" s="3" t="inlineStr">
        <is>
          <t>VAR_3</t>
        </is>
      </c>
      <c r="C1409" s="3" t="inlineStr">
        <is>
          <t>Paint</t>
        </is>
      </c>
      <c r="D1409" s="3" t="inlineStr">
        <is>
          <t>Interior Paint</t>
        </is>
      </c>
      <c r="E1409" s="3" t="inlineStr">
        <is>
          <t>Birla Opus</t>
        </is>
      </c>
      <c r="F1409" s="3" t="inlineStr">
        <is>
          <t>Style Color Fresh Distemper</t>
        </is>
      </c>
      <c r="H1409" s="3" t="inlineStr">
        <is>
          <t>Volume</t>
        </is>
      </c>
      <c r="I1409" s="3" t="inlineStr">
        <is>
          <t>10 Ltr</t>
        </is>
      </c>
      <c r="J1409" s="3" t="inlineStr">
        <is>
          <t>Color</t>
        </is>
      </c>
      <c r="K1409" s="3" t="inlineStr">
        <is>
          <t>White</t>
        </is>
      </c>
      <c r="Q1409" s="3" t="inlineStr">
        <is>
          <t>Manufacturer's Warranty</t>
        </is>
      </c>
      <c r="Y1409" s="3" t="inlineStr">
        <is>
          <t>INTPNT_BRLOP_DSTM_STLCLR</t>
        </is>
      </c>
      <c r="Z1409" s="3" t="n">
        <v>3209</v>
      </c>
      <c r="AF1409" s="4" t="n">
        <v>0.33</v>
      </c>
      <c r="AG1409" s="3">
        <f>ROUND(AE1409-(AE1409*AF1409),2)</f>
        <v/>
      </c>
      <c r="AH1409" s="4" t="n">
        <v>0.18</v>
      </c>
      <c r="AI1409" s="3">
        <f>ROUND(AG1409+(AG1409*AH1409),2)</f>
        <v/>
      </c>
      <c r="AJ1409" s="4" t="n">
        <v>0.15</v>
      </c>
      <c r="AK1409" s="3">
        <f>ROUND(AI1409*AJ1409,2)</f>
        <v/>
      </c>
      <c r="AL1409" s="3">
        <f>AI1409+AK1409</f>
        <v/>
      </c>
      <c r="AM1409" s="3">
        <f>AE1409-AL1409</f>
        <v/>
      </c>
      <c r="AN1409" s="4">
        <f>AM1409/AE1409</f>
        <v/>
      </c>
      <c r="AO1409" s="3" t="inlineStr">
        <is>
          <t>60 mins</t>
        </is>
      </c>
      <c r="AQ1409" s="3" t="inlineStr">
        <is>
          <t>Weight</t>
        </is>
      </c>
    </row>
    <row r="1410" ht="15.75" customHeight="1">
      <c r="A1410" s="3" t="inlineStr">
        <is>
          <t>PROD_0268</t>
        </is>
      </c>
      <c r="B1410" s="3" t="inlineStr">
        <is>
          <t>VAR_4</t>
        </is>
      </c>
      <c r="C1410" s="3" t="inlineStr">
        <is>
          <t>Paint</t>
        </is>
      </c>
      <c r="D1410" s="3" t="inlineStr">
        <is>
          <t>Interior Paint</t>
        </is>
      </c>
      <c r="E1410" s="3" t="inlineStr">
        <is>
          <t>Birla Opus</t>
        </is>
      </c>
      <c r="F1410" s="3" t="inlineStr">
        <is>
          <t>Style Color Fresh Distemper</t>
        </is>
      </c>
      <c r="H1410" s="3" t="inlineStr">
        <is>
          <t>Volume</t>
        </is>
      </c>
      <c r="I1410" s="3" t="inlineStr">
        <is>
          <t>20 Ltr</t>
        </is>
      </c>
      <c r="J1410" s="3" t="inlineStr">
        <is>
          <t>Color</t>
        </is>
      </c>
      <c r="K1410" s="3" t="inlineStr">
        <is>
          <t>White</t>
        </is>
      </c>
      <c r="Q1410" s="3" t="inlineStr">
        <is>
          <t>Manufacturer's Warranty</t>
        </is>
      </c>
      <c r="Y1410" s="3" t="inlineStr">
        <is>
          <t>INTPNT_BRLOP_DSTM_STLCLR</t>
        </is>
      </c>
      <c r="Z1410" s="3" t="n">
        <v>3209</v>
      </c>
      <c r="AF1410" s="4" t="n">
        <v>0.39</v>
      </c>
      <c r="AG1410" s="3">
        <f>ROUND(AE1410-(AE1410*AF1410),2)</f>
        <v/>
      </c>
      <c r="AH1410" s="4" t="n">
        <v>0.18</v>
      </c>
      <c r="AI1410" s="3">
        <f>ROUND(AG1410+(AG1410*AH1410),2)</f>
        <v/>
      </c>
      <c r="AJ1410" s="4" t="n">
        <v>0.15</v>
      </c>
      <c r="AK1410" s="3">
        <f>ROUND(AI1410*AJ1410,2)</f>
        <v/>
      </c>
      <c r="AL1410" s="3">
        <f>AI1410+AK1410</f>
        <v/>
      </c>
      <c r="AM1410" s="3">
        <f>AE1410-AL1410</f>
        <v/>
      </c>
      <c r="AN1410" s="4">
        <f>AM1410/AE1410</f>
        <v/>
      </c>
      <c r="AO1410" s="3" t="inlineStr">
        <is>
          <t>60 mins</t>
        </is>
      </c>
      <c r="AQ1410" s="3" t="inlineStr">
        <is>
          <t>Weight</t>
        </is>
      </c>
    </row>
    <row r="1411" ht="15.75" customHeight="1">
      <c r="A1411" s="3" t="inlineStr">
        <is>
          <t>PROD_0269</t>
        </is>
      </c>
      <c r="B1411" s="3" t="inlineStr">
        <is>
          <t>VAR_1</t>
        </is>
      </c>
      <c r="C1411" s="3" t="inlineStr">
        <is>
          <t>Paint</t>
        </is>
      </c>
      <c r="D1411" s="3" t="inlineStr">
        <is>
          <t>Interior Paint</t>
        </is>
      </c>
      <c r="E1411" s="3" t="inlineStr">
        <is>
          <t>Birla Opus</t>
        </is>
      </c>
      <c r="F1411" s="3" t="inlineStr">
        <is>
          <t>Style Super Smooth Distemper</t>
        </is>
      </c>
      <c r="H1411" s="3" t="inlineStr">
        <is>
          <t>Volume</t>
        </is>
      </c>
      <c r="I1411" s="3" t="inlineStr">
        <is>
          <t>1 Ltr</t>
        </is>
      </c>
      <c r="J1411" s="3" t="inlineStr">
        <is>
          <t>Color</t>
        </is>
      </c>
      <c r="K1411" s="3" t="inlineStr">
        <is>
          <t>White</t>
        </is>
      </c>
      <c r="Q1411" s="3" t="inlineStr">
        <is>
          <t>Manufacturer's Warranty</t>
        </is>
      </c>
      <c r="Y1411" s="3" t="inlineStr">
        <is>
          <t>INTPNT_BRLOP_DSTM_STLSPRSM</t>
        </is>
      </c>
      <c r="Z1411" s="3" t="n">
        <v>3209</v>
      </c>
      <c r="AE1411" s="3" t="n">
        <v>312</v>
      </c>
      <c r="AF1411" s="4" t="n">
        <v>0.33</v>
      </c>
      <c r="AG1411" s="3">
        <f>ROUND(AE1411-(AE1411*AF1411),2)</f>
        <v/>
      </c>
      <c r="AH1411" s="4" t="n">
        <v>0.18</v>
      </c>
      <c r="AI1411" s="3">
        <f>ROUND(AG1411+(AG1411*AH1411),2)</f>
        <v/>
      </c>
      <c r="AJ1411" s="4" t="n">
        <v>0.15</v>
      </c>
      <c r="AK1411" s="3">
        <f>ROUND(AI1411*AJ1411,2)</f>
        <v/>
      </c>
      <c r="AL1411" s="3">
        <f>AI1411+AK1411</f>
        <v/>
      </c>
      <c r="AM1411" s="3">
        <f>AE1411-AL1411</f>
        <v/>
      </c>
      <c r="AN1411" s="4">
        <f>AM1411/AE1411</f>
        <v/>
      </c>
      <c r="AO1411" s="3" t="inlineStr">
        <is>
          <t>60 mins</t>
        </is>
      </c>
      <c r="AQ1411" s="3" t="inlineStr">
        <is>
          <t>Weight</t>
        </is>
      </c>
    </row>
    <row r="1412" ht="15.75" customHeight="1">
      <c r="A1412" s="3" t="inlineStr">
        <is>
          <t>PROD_0269</t>
        </is>
      </c>
      <c r="B1412" s="3" t="inlineStr">
        <is>
          <t>VAR_2</t>
        </is>
      </c>
      <c r="C1412" s="3" t="inlineStr">
        <is>
          <t>Paint</t>
        </is>
      </c>
      <c r="D1412" s="3" t="inlineStr">
        <is>
          <t>Interior Paint</t>
        </is>
      </c>
      <c r="E1412" s="3" t="inlineStr">
        <is>
          <t>Birla Opus</t>
        </is>
      </c>
      <c r="F1412" s="3" t="inlineStr">
        <is>
          <t>Style Super Smooth Distemper</t>
        </is>
      </c>
      <c r="H1412" s="3" t="inlineStr">
        <is>
          <t>Volume</t>
        </is>
      </c>
      <c r="I1412" s="3" t="inlineStr">
        <is>
          <t>5 Ltr</t>
        </is>
      </c>
      <c r="J1412" s="3" t="inlineStr">
        <is>
          <t>Color</t>
        </is>
      </c>
      <c r="K1412" s="3" t="inlineStr">
        <is>
          <t>White</t>
        </is>
      </c>
      <c r="Q1412" s="3" t="inlineStr">
        <is>
          <t>Manufacturer's Warranty</t>
        </is>
      </c>
      <c r="Y1412" s="3" t="inlineStr">
        <is>
          <t>INTPNT_BRLOP_DSTM_STLSPRSM</t>
        </is>
      </c>
      <c r="Z1412" s="3" t="n">
        <v>3209</v>
      </c>
      <c r="AE1412" s="3" t="n">
        <v>706</v>
      </c>
      <c r="AF1412" s="4" t="n">
        <v>0.4</v>
      </c>
      <c r="AG1412" s="3">
        <f>ROUND(AE1412-(AE1412*AF1412),2)</f>
        <v/>
      </c>
      <c r="AH1412" s="4" t="n">
        <v>0.18</v>
      </c>
      <c r="AI1412" s="3">
        <f>ROUND(AG1412+(AG1412*AH1412),2)</f>
        <v/>
      </c>
      <c r="AJ1412" s="4" t="n">
        <v>0.15</v>
      </c>
      <c r="AK1412" s="3">
        <f>ROUND(AI1412*AJ1412,2)</f>
        <v/>
      </c>
      <c r="AL1412" s="3">
        <f>AI1412+AK1412</f>
        <v/>
      </c>
      <c r="AM1412" s="3">
        <f>AE1412-AL1412</f>
        <v/>
      </c>
      <c r="AN1412" s="4">
        <f>AM1412/AE1412</f>
        <v/>
      </c>
      <c r="AO1412" s="3" t="inlineStr">
        <is>
          <t>60 mins</t>
        </is>
      </c>
      <c r="AQ1412" s="3" t="inlineStr">
        <is>
          <t>Weight</t>
        </is>
      </c>
    </row>
    <row r="1413" ht="15.75" customHeight="1">
      <c r="A1413" s="3" t="inlineStr">
        <is>
          <t>PROD_0269</t>
        </is>
      </c>
      <c r="B1413" s="3" t="inlineStr">
        <is>
          <t>VAR_3</t>
        </is>
      </c>
      <c r="C1413" s="3" t="inlineStr">
        <is>
          <t>Paint</t>
        </is>
      </c>
      <c r="D1413" s="3" t="inlineStr">
        <is>
          <t>Interior Paint</t>
        </is>
      </c>
      <c r="E1413" s="3" t="inlineStr">
        <is>
          <t>Birla Opus</t>
        </is>
      </c>
      <c r="F1413" s="3" t="inlineStr">
        <is>
          <t>Style Super Smooth Distemper</t>
        </is>
      </c>
      <c r="H1413" s="3" t="inlineStr">
        <is>
          <t>Volume</t>
        </is>
      </c>
      <c r="I1413" s="3" t="inlineStr">
        <is>
          <t>10 Ltr</t>
        </is>
      </c>
      <c r="J1413" s="3" t="inlineStr">
        <is>
          <t>Color</t>
        </is>
      </c>
      <c r="K1413" s="3" t="inlineStr">
        <is>
          <t>White</t>
        </is>
      </c>
      <c r="Q1413" s="3" t="inlineStr">
        <is>
          <t>Manufacturer's Warranty</t>
        </is>
      </c>
      <c r="Y1413" s="3" t="inlineStr">
        <is>
          <t>INTPNT_BRLOP_DSTM_STLSPRSM</t>
        </is>
      </c>
      <c r="Z1413" s="3" t="n">
        <v>3209</v>
      </c>
      <c r="AE1413" s="3" t="n">
        <v>1369</v>
      </c>
      <c r="AF1413" s="4" t="n">
        <v>0.4</v>
      </c>
      <c r="AG1413" s="3">
        <f>ROUND(AE1413-(AE1413*AF1413),2)</f>
        <v/>
      </c>
      <c r="AH1413" s="4" t="n">
        <v>0.18</v>
      </c>
      <c r="AI1413" s="3">
        <f>ROUND(AG1413+(AG1413*AH1413),2)</f>
        <v/>
      </c>
      <c r="AJ1413" s="4" t="n">
        <v>0.15</v>
      </c>
      <c r="AK1413" s="3">
        <f>ROUND(AI1413*AJ1413,2)</f>
        <v/>
      </c>
      <c r="AL1413" s="3">
        <f>AI1413+AK1413</f>
        <v/>
      </c>
      <c r="AM1413" s="3">
        <f>AE1413-AL1413</f>
        <v/>
      </c>
      <c r="AN1413" s="4">
        <f>AM1413/AE1413</f>
        <v/>
      </c>
      <c r="AO1413" s="3" t="inlineStr">
        <is>
          <t>60 mins</t>
        </is>
      </c>
      <c r="AQ1413" s="3" t="inlineStr">
        <is>
          <t>Weight</t>
        </is>
      </c>
    </row>
    <row r="1414" ht="15.75" customHeight="1">
      <c r="A1414" s="3" t="inlineStr">
        <is>
          <t>PROD_0269</t>
        </is>
      </c>
      <c r="B1414" s="3" t="inlineStr">
        <is>
          <t>VAR_4</t>
        </is>
      </c>
      <c r="C1414" s="3" t="inlineStr">
        <is>
          <t>Paint</t>
        </is>
      </c>
      <c r="D1414" s="3" t="inlineStr">
        <is>
          <t>Interior Paint</t>
        </is>
      </c>
      <c r="E1414" s="3" t="inlineStr">
        <is>
          <t>Birla Opus</t>
        </is>
      </c>
      <c r="F1414" s="3" t="inlineStr">
        <is>
          <t>Style Super Smooth Distemper</t>
        </is>
      </c>
      <c r="H1414" s="3" t="inlineStr">
        <is>
          <t>Volume</t>
        </is>
      </c>
      <c r="I1414" s="3" t="inlineStr">
        <is>
          <t>20 Ltr</t>
        </is>
      </c>
      <c r="J1414" s="3" t="inlineStr">
        <is>
          <t>Color</t>
        </is>
      </c>
      <c r="K1414" s="3" t="inlineStr">
        <is>
          <t>White</t>
        </is>
      </c>
      <c r="Q1414" s="3" t="inlineStr">
        <is>
          <t>Manufacturer's Warranty</t>
        </is>
      </c>
      <c r="Y1414" s="3" t="inlineStr">
        <is>
          <t>INTPNT_BRLOP_DSTM_STLSPRSM</t>
        </is>
      </c>
      <c r="Z1414" s="3" t="n">
        <v>3209</v>
      </c>
      <c r="AE1414" s="3" t="n">
        <v>2528</v>
      </c>
      <c r="AF1414" s="4" t="n">
        <v>0.39</v>
      </c>
      <c r="AG1414" s="3">
        <f>ROUND(AE1414-(AE1414*AF1414),2)</f>
        <v/>
      </c>
      <c r="AH1414" s="4" t="n">
        <v>0.18</v>
      </c>
      <c r="AI1414" s="3">
        <f>ROUND(AG1414+(AG1414*AH1414),2)</f>
        <v/>
      </c>
      <c r="AJ1414" s="4" t="n">
        <v>0.15</v>
      </c>
      <c r="AK1414" s="3">
        <f>ROUND(AI1414*AJ1414,2)</f>
        <v/>
      </c>
      <c r="AL1414" s="3">
        <f>AI1414+AK1414</f>
        <v/>
      </c>
      <c r="AM1414" s="3">
        <f>AE1414-AL1414</f>
        <v/>
      </c>
      <c r="AN1414" s="4">
        <f>AM1414/AE1414</f>
        <v/>
      </c>
      <c r="AO1414" s="3" t="inlineStr">
        <is>
          <t>60 mins</t>
        </is>
      </c>
      <c r="AQ1414" s="3" t="inlineStr">
        <is>
          <t>Weight</t>
        </is>
      </c>
    </row>
    <row r="1415" ht="15.75" customHeight="1">
      <c r="A1415" s="3" t="inlineStr">
        <is>
          <t>PROD_0270</t>
        </is>
      </c>
      <c r="B1415" s="3" t="inlineStr">
        <is>
          <t>VAR_1</t>
        </is>
      </c>
      <c r="C1415" s="3" t="inlineStr">
        <is>
          <t>Paint</t>
        </is>
      </c>
      <c r="D1415" s="3" t="inlineStr">
        <is>
          <t>Interior Paint</t>
        </is>
      </c>
      <c r="E1415" s="3" t="inlineStr">
        <is>
          <t>Birla Opus</t>
        </is>
      </c>
      <c r="F1415" s="3" t="inlineStr">
        <is>
          <t>Style Super Bright Distemper</t>
        </is>
      </c>
      <c r="H1415" s="3" t="inlineStr">
        <is>
          <t>Volume</t>
        </is>
      </c>
      <c r="I1415" s="3" t="inlineStr">
        <is>
          <t>1 Ltr</t>
        </is>
      </c>
      <c r="J1415" s="3" t="inlineStr">
        <is>
          <t>Color</t>
        </is>
      </c>
      <c r="K1415" s="3" t="inlineStr">
        <is>
          <t>White</t>
        </is>
      </c>
      <c r="Q1415" s="3" t="inlineStr">
        <is>
          <t>Manufacturer's Warranty</t>
        </is>
      </c>
      <c r="Y1415" s="3" t="inlineStr">
        <is>
          <t>INTPNT_BRLOP_DSTM_STLSPRBR</t>
        </is>
      </c>
      <c r="Z1415" s="3" t="n">
        <v>3209</v>
      </c>
      <c r="AE1415" s="3" t="n">
        <v>252</v>
      </c>
      <c r="AF1415" s="4" t="n">
        <v>0.33</v>
      </c>
      <c r="AG1415" s="3">
        <f>ROUND(AE1415-(AE1415*AF1415),2)</f>
        <v/>
      </c>
      <c r="AH1415" s="4" t="n">
        <v>0.18</v>
      </c>
      <c r="AI1415" s="3">
        <f>ROUND(AG1415+(AG1415*AH1415),2)</f>
        <v/>
      </c>
      <c r="AJ1415" s="4" t="n">
        <v>0.15</v>
      </c>
      <c r="AK1415" s="3">
        <f>ROUND(AI1415*AJ1415,2)</f>
        <v/>
      </c>
      <c r="AL1415" s="3">
        <f>AI1415+AK1415</f>
        <v/>
      </c>
      <c r="AM1415" s="3">
        <f>AE1415-AL1415</f>
        <v/>
      </c>
      <c r="AN1415" s="4">
        <f>AM1415/AE1415</f>
        <v/>
      </c>
      <c r="AO1415" s="3" t="inlineStr">
        <is>
          <t>60 mins</t>
        </is>
      </c>
      <c r="AQ1415" s="3" t="inlineStr">
        <is>
          <t>Weight</t>
        </is>
      </c>
    </row>
    <row r="1416" ht="15.75" customHeight="1">
      <c r="A1416" s="3" t="inlineStr">
        <is>
          <t>PROD_0270</t>
        </is>
      </c>
      <c r="B1416" s="3" t="inlineStr">
        <is>
          <t>VAR_2</t>
        </is>
      </c>
      <c r="C1416" s="3" t="inlineStr">
        <is>
          <t>Paint</t>
        </is>
      </c>
      <c r="D1416" s="3" t="inlineStr">
        <is>
          <t>Interior Paint</t>
        </is>
      </c>
      <c r="E1416" s="3" t="inlineStr">
        <is>
          <t>Birla Opus</t>
        </is>
      </c>
      <c r="F1416" s="3" t="inlineStr">
        <is>
          <t>Style Super Bright Distemper</t>
        </is>
      </c>
      <c r="H1416" s="3" t="inlineStr">
        <is>
          <t>Volume</t>
        </is>
      </c>
      <c r="I1416" s="3" t="inlineStr">
        <is>
          <t>5 Ltr</t>
        </is>
      </c>
      <c r="J1416" s="3" t="inlineStr">
        <is>
          <t>Color</t>
        </is>
      </c>
      <c r="K1416" s="3" t="inlineStr">
        <is>
          <t>White</t>
        </is>
      </c>
      <c r="Q1416" s="3" t="inlineStr">
        <is>
          <t>Manufacturer's Warranty</t>
        </is>
      </c>
      <c r="Y1416" s="3" t="inlineStr">
        <is>
          <t>INTPNT_BRLOP_DSTM_STLSPRBR</t>
        </is>
      </c>
      <c r="Z1416" s="3" t="n">
        <v>3209</v>
      </c>
      <c r="AE1416" s="3" t="n">
        <v>543</v>
      </c>
      <c r="AF1416" s="4" t="n">
        <v>0.38</v>
      </c>
      <c r="AG1416" s="3">
        <f>ROUND(AE1416-(AE1416*AF1416),2)</f>
        <v/>
      </c>
      <c r="AH1416" s="4" t="n">
        <v>0.18</v>
      </c>
      <c r="AI1416" s="3">
        <f>ROUND(AG1416+(AG1416*AH1416),2)</f>
        <v/>
      </c>
      <c r="AJ1416" s="4" t="n">
        <v>0.15</v>
      </c>
      <c r="AK1416" s="3">
        <f>ROUND(AI1416*AJ1416,2)</f>
        <v/>
      </c>
      <c r="AL1416" s="3">
        <f>AI1416+AK1416</f>
        <v/>
      </c>
      <c r="AM1416" s="3">
        <f>AE1416-AL1416</f>
        <v/>
      </c>
      <c r="AN1416" s="4">
        <f>AM1416/AE1416</f>
        <v/>
      </c>
      <c r="AO1416" s="3" t="inlineStr">
        <is>
          <t>60 mins</t>
        </is>
      </c>
      <c r="AQ1416" s="3" t="inlineStr">
        <is>
          <t>Weight</t>
        </is>
      </c>
    </row>
    <row r="1417" ht="15.75" customHeight="1">
      <c r="A1417" s="3" t="inlineStr">
        <is>
          <t>PROD_0270</t>
        </is>
      </c>
      <c r="B1417" s="3" t="inlineStr">
        <is>
          <t>VAR_3</t>
        </is>
      </c>
      <c r="C1417" s="3" t="inlineStr">
        <is>
          <t>Paint</t>
        </is>
      </c>
      <c r="D1417" s="3" t="inlineStr">
        <is>
          <t>Interior Paint</t>
        </is>
      </c>
      <c r="E1417" s="3" t="inlineStr">
        <is>
          <t>Birla Opus</t>
        </is>
      </c>
      <c r="F1417" s="3" t="inlineStr">
        <is>
          <t>Style Super Bright Distemper</t>
        </is>
      </c>
      <c r="H1417" s="3" t="inlineStr">
        <is>
          <t>Volume</t>
        </is>
      </c>
      <c r="I1417" s="3" t="inlineStr">
        <is>
          <t>10 Ltr</t>
        </is>
      </c>
      <c r="J1417" s="3" t="inlineStr">
        <is>
          <t>Color</t>
        </is>
      </c>
      <c r="K1417" s="3" t="inlineStr">
        <is>
          <t>White</t>
        </is>
      </c>
      <c r="Q1417" s="3" t="inlineStr">
        <is>
          <t>Manufacturer's Warranty</t>
        </is>
      </c>
      <c r="Y1417" s="3" t="inlineStr">
        <is>
          <t>INTPNT_BRLOP_DSTM_STLSPRBR</t>
        </is>
      </c>
      <c r="Z1417" s="3" t="n">
        <v>3209</v>
      </c>
      <c r="AE1417" s="3" t="n">
        <v>1055</v>
      </c>
      <c r="AF1417" s="4" t="n">
        <v>0.38</v>
      </c>
      <c r="AG1417" s="3">
        <f>ROUND(AE1417-(AE1417*AF1417),2)</f>
        <v/>
      </c>
      <c r="AH1417" s="4" t="n">
        <v>0.18</v>
      </c>
      <c r="AI1417" s="3">
        <f>ROUND(AG1417+(AG1417*AH1417),2)</f>
        <v/>
      </c>
      <c r="AJ1417" s="4" t="n">
        <v>0.15</v>
      </c>
      <c r="AK1417" s="3">
        <f>ROUND(AI1417*AJ1417,2)</f>
        <v/>
      </c>
      <c r="AL1417" s="3">
        <f>AI1417+AK1417</f>
        <v/>
      </c>
      <c r="AM1417" s="3">
        <f>AE1417-AL1417</f>
        <v/>
      </c>
      <c r="AN1417" s="4">
        <f>AM1417/AE1417</f>
        <v/>
      </c>
      <c r="AO1417" s="3" t="inlineStr">
        <is>
          <t>60 mins</t>
        </is>
      </c>
      <c r="AQ1417" s="3" t="inlineStr">
        <is>
          <t>Weight</t>
        </is>
      </c>
    </row>
    <row r="1418" ht="15.75" customHeight="1">
      <c r="A1418" s="3" t="inlineStr">
        <is>
          <t>PROD_0270</t>
        </is>
      </c>
      <c r="B1418" s="3" t="inlineStr">
        <is>
          <t>VAR_4</t>
        </is>
      </c>
      <c r="C1418" s="3" t="inlineStr">
        <is>
          <t>Paint</t>
        </is>
      </c>
      <c r="D1418" s="3" t="inlineStr">
        <is>
          <t>Interior Paint</t>
        </is>
      </c>
      <c r="E1418" s="3" t="inlineStr">
        <is>
          <t>Birla Opus</t>
        </is>
      </c>
      <c r="F1418" s="3" t="inlineStr">
        <is>
          <t>Style Super Bright Distemper</t>
        </is>
      </c>
      <c r="H1418" s="3" t="inlineStr">
        <is>
          <t>Volume</t>
        </is>
      </c>
      <c r="I1418" s="3" t="inlineStr">
        <is>
          <t>20 Ltr</t>
        </is>
      </c>
      <c r="J1418" s="3" t="inlineStr">
        <is>
          <t>Color</t>
        </is>
      </c>
      <c r="K1418" s="3" t="inlineStr">
        <is>
          <t>White</t>
        </is>
      </c>
      <c r="Q1418" s="3" t="inlineStr">
        <is>
          <t>Manufacturer's Warranty</t>
        </is>
      </c>
      <c r="Y1418" s="3" t="inlineStr">
        <is>
          <t>INTPNT_BRLOP_DSTM_STLSPRBR</t>
        </is>
      </c>
      <c r="Z1418" s="3" t="n">
        <v>3209</v>
      </c>
      <c r="AE1418" s="3" t="n">
        <v>1907</v>
      </c>
      <c r="AF1418" s="4" t="n">
        <v>0.34</v>
      </c>
      <c r="AG1418" s="3">
        <f>ROUND(AE1418-(AE1418*AF1418),2)</f>
        <v/>
      </c>
      <c r="AH1418" s="4" t="n">
        <v>0.18</v>
      </c>
      <c r="AI1418" s="3">
        <f>ROUND(AG1418+(AG1418*AH1418),2)</f>
        <v/>
      </c>
      <c r="AJ1418" s="4" t="n">
        <v>0.15</v>
      </c>
      <c r="AK1418" s="3">
        <f>ROUND(AI1418*AJ1418,2)</f>
        <v/>
      </c>
      <c r="AL1418" s="3">
        <f>AI1418+AK1418</f>
        <v/>
      </c>
      <c r="AM1418" s="3">
        <f>AE1418-AL1418</f>
        <v/>
      </c>
      <c r="AN1418" s="4">
        <f>AM1418/AE1418</f>
        <v/>
      </c>
      <c r="AO1418" s="3" t="inlineStr">
        <is>
          <t>60 mins</t>
        </is>
      </c>
      <c r="AQ1418" s="3" t="inlineStr">
        <is>
          <t>Weight</t>
        </is>
      </c>
    </row>
    <row r="1419" ht="15.75" customHeight="1">
      <c r="A1419" s="3" t="inlineStr">
        <is>
          <t>PROD_0271</t>
        </is>
      </c>
      <c r="B1419" s="3" t="inlineStr">
        <is>
          <t>VAR_1</t>
        </is>
      </c>
      <c r="C1419" s="3" t="inlineStr">
        <is>
          <t>Paint</t>
        </is>
      </c>
      <c r="D1419" s="3" t="inlineStr">
        <is>
          <t>Interior Paint</t>
        </is>
      </c>
      <c r="E1419" s="3" t="inlineStr">
        <is>
          <t>Birla Opus</t>
        </is>
      </c>
      <c r="F1419" s="3" t="inlineStr">
        <is>
          <t>One Pure Elegance Emulsion</t>
        </is>
      </c>
      <c r="H1419" s="3" t="inlineStr">
        <is>
          <t>Volume</t>
        </is>
      </c>
      <c r="I1419" s="3" t="inlineStr">
        <is>
          <t>1 Ltr</t>
        </is>
      </c>
      <c r="J1419" s="3" t="inlineStr">
        <is>
          <t>Color</t>
        </is>
      </c>
      <c r="K1419" s="3" t="inlineStr">
        <is>
          <t>White</t>
        </is>
      </c>
      <c r="Q1419" s="3" t="inlineStr">
        <is>
          <t>Manufacturer's Warranty</t>
        </is>
      </c>
      <c r="Y1419" s="3" t="inlineStr">
        <is>
          <t>INTPNT_BRLOP_EML_ONPRELG</t>
        </is>
      </c>
      <c r="Z1419" s="3" t="n">
        <v>3209</v>
      </c>
      <c r="AE1419" s="3" t="n">
        <v>2000</v>
      </c>
      <c r="AF1419" s="4" t="n">
        <v>0.37</v>
      </c>
      <c r="AG1419" s="3">
        <f>ROUND(AE1419-(AE1419*AF1419),2)</f>
        <v/>
      </c>
      <c r="AH1419" s="4" t="n">
        <v>0.18</v>
      </c>
      <c r="AI1419" s="3">
        <f>ROUND(AG1419+(AG1419*AH1419),2)</f>
        <v/>
      </c>
      <c r="AJ1419" s="4" t="n">
        <v>0.15</v>
      </c>
      <c r="AK1419" s="3">
        <f>ROUND(AI1419*AJ1419,2)</f>
        <v/>
      </c>
      <c r="AL1419" s="3">
        <f>AI1419+AK1419</f>
        <v/>
      </c>
      <c r="AM1419" s="3">
        <f>AE1419-AL1419</f>
        <v/>
      </c>
      <c r="AN1419" s="4">
        <f>AM1419/AE1419</f>
        <v/>
      </c>
      <c r="AO1419" s="3" t="inlineStr">
        <is>
          <t>60 mins</t>
        </is>
      </c>
      <c r="AQ1419" s="3" t="inlineStr">
        <is>
          <t>Weight</t>
        </is>
      </c>
    </row>
    <row r="1420" ht="15.75" customHeight="1">
      <c r="A1420" s="3" t="inlineStr">
        <is>
          <t>PROD_0271</t>
        </is>
      </c>
      <c r="B1420" s="3" t="inlineStr">
        <is>
          <t>VAR_2</t>
        </is>
      </c>
      <c r="C1420" s="3" t="inlineStr">
        <is>
          <t>Paint</t>
        </is>
      </c>
      <c r="D1420" s="3" t="inlineStr">
        <is>
          <t>Interior Paint</t>
        </is>
      </c>
      <c r="E1420" s="3" t="inlineStr">
        <is>
          <t>Birla Opus</t>
        </is>
      </c>
      <c r="F1420" s="3" t="inlineStr">
        <is>
          <t>One Pure Elegance Emulsion</t>
        </is>
      </c>
      <c r="H1420" s="3" t="inlineStr">
        <is>
          <t>Volume</t>
        </is>
      </c>
      <c r="I1420" s="3" t="inlineStr">
        <is>
          <t>4 Ltr</t>
        </is>
      </c>
      <c r="J1420" s="3" t="inlineStr">
        <is>
          <t>Color</t>
        </is>
      </c>
      <c r="K1420" s="3" t="inlineStr">
        <is>
          <t>White</t>
        </is>
      </c>
      <c r="Q1420" s="3" t="inlineStr">
        <is>
          <t>Manufacturer's Warranty</t>
        </is>
      </c>
      <c r="Y1420" s="3" t="inlineStr">
        <is>
          <t>INTPNT_BRLOP_EML_ONPRELG</t>
        </is>
      </c>
      <c r="Z1420" s="3" t="n">
        <v>3209</v>
      </c>
      <c r="AE1420" s="3" t="n">
        <v>2000</v>
      </c>
      <c r="AF1420" s="4" t="n">
        <v>0.37</v>
      </c>
      <c r="AG1420" s="3">
        <f>ROUND(AE1420-(AE1420*AF1420),2)</f>
        <v/>
      </c>
      <c r="AH1420" s="4" t="n">
        <v>0.18</v>
      </c>
      <c r="AI1420" s="3">
        <f>ROUND(AG1420+(AG1420*AH1420),2)</f>
        <v/>
      </c>
      <c r="AJ1420" s="4" t="n">
        <v>0.15</v>
      </c>
      <c r="AK1420" s="3">
        <f>ROUND(AI1420*AJ1420,2)</f>
        <v/>
      </c>
      <c r="AL1420" s="3">
        <f>AI1420+AK1420</f>
        <v/>
      </c>
      <c r="AM1420" s="3">
        <f>AE1420-AL1420</f>
        <v/>
      </c>
      <c r="AN1420" s="4">
        <f>AM1420/AE1420</f>
        <v/>
      </c>
      <c r="AO1420" s="3" t="inlineStr">
        <is>
          <t>60 mins</t>
        </is>
      </c>
      <c r="AQ1420" s="3" t="inlineStr">
        <is>
          <t>Weight</t>
        </is>
      </c>
    </row>
    <row r="1421" ht="15.75" customHeight="1">
      <c r="A1421" s="3" t="inlineStr">
        <is>
          <t>PROD_0271</t>
        </is>
      </c>
      <c r="B1421" s="3" t="inlineStr">
        <is>
          <t>VAR_3</t>
        </is>
      </c>
      <c r="C1421" s="3" t="inlineStr">
        <is>
          <t>Paint</t>
        </is>
      </c>
      <c r="D1421" s="3" t="inlineStr">
        <is>
          <t>Interior Paint</t>
        </is>
      </c>
      <c r="E1421" s="3" t="inlineStr">
        <is>
          <t>Birla Opus</t>
        </is>
      </c>
      <c r="F1421" s="3" t="inlineStr">
        <is>
          <t>One Pure Elegance Emulsion</t>
        </is>
      </c>
      <c r="H1421" s="3" t="inlineStr">
        <is>
          <t>Volume</t>
        </is>
      </c>
      <c r="I1421" s="3" t="inlineStr">
        <is>
          <t>10 Ltr</t>
        </is>
      </c>
      <c r="J1421" s="3" t="inlineStr">
        <is>
          <t>Color</t>
        </is>
      </c>
      <c r="K1421" s="3" t="inlineStr">
        <is>
          <t>White</t>
        </is>
      </c>
      <c r="Q1421" s="3" t="inlineStr">
        <is>
          <t>Manufacturer's Warranty</t>
        </is>
      </c>
      <c r="Y1421" s="3" t="inlineStr">
        <is>
          <t>INTPNT_BRLOP_EML_ONPRELG</t>
        </is>
      </c>
      <c r="Z1421" s="3" t="n">
        <v>3209</v>
      </c>
      <c r="AE1421" s="3" t="n">
        <v>2000</v>
      </c>
      <c r="AF1421" s="4" t="n">
        <v>0.37</v>
      </c>
      <c r="AG1421" s="3">
        <f>ROUND(AE1421-(AE1421*AF1421),2)</f>
        <v/>
      </c>
      <c r="AH1421" s="4" t="n">
        <v>0.18</v>
      </c>
      <c r="AI1421" s="3">
        <f>ROUND(AG1421+(AG1421*AH1421),2)</f>
        <v/>
      </c>
      <c r="AJ1421" s="4" t="n">
        <v>0.15</v>
      </c>
      <c r="AK1421" s="3">
        <f>ROUND(AI1421*AJ1421,2)</f>
        <v/>
      </c>
      <c r="AL1421" s="3">
        <f>AI1421+AK1421</f>
        <v/>
      </c>
      <c r="AM1421" s="3">
        <f>AE1421-AL1421</f>
        <v/>
      </c>
      <c r="AN1421" s="4">
        <f>AM1421/AE1421</f>
        <v/>
      </c>
      <c r="AO1421" s="3" t="inlineStr">
        <is>
          <t>60 mins</t>
        </is>
      </c>
      <c r="AQ1421" s="3" t="inlineStr">
        <is>
          <t>Weight</t>
        </is>
      </c>
    </row>
    <row r="1422" ht="15.75" customHeight="1">
      <c r="A1422" s="3" t="inlineStr">
        <is>
          <t>PROD_0271</t>
        </is>
      </c>
      <c r="B1422" s="3" t="inlineStr">
        <is>
          <t>VAR_4</t>
        </is>
      </c>
      <c r="C1422" s="3" t="inlineStr">
        <is>
          <t>Paint</t>
        </is>
      </c>
      <c r="D1422" s="3" t="inlineStr">
        <is>
          <t>Interior Paint</t>
        </is>
      </c>
      <c r="E1422" s="3" t="inlineStr">
        <is>
          <t>Birla Opus</t>
        </is>
      </c>
      <c r="F1422" s="3" t="inlineStr">
        <is>
          <t>One Pure Elegance Emulsion</t>
        </is>
      </c>
      <c r="H1422" s="3" t="inlineStr">
        <is>
          <t>Volume</t>
        </is>
      </c>
      <c r="I1422" s="3" t="inlineStr">
        <is>
          <t>20 Ltr</t>
        </is>
      </c>
      <c r="J1422" s="3" t="inlineStr">
        <is>
          <t>Color</t>
        </is>
      </c>
      <c r="K1422" s="3" t="inlineStr">
        <is>
          <t>White</t>
        </is>
      </c>
      <c r="Q1422" s="3" t="inlineStr">
        <is>
          <t>Manufacturer's Warranty</t>
        </is>
      </c>
      <c r="Y1422" s="3" t="inlineStr">
        <is>
          <t>INTPNT_BRLOP_EML_ONPRELG</t>
        </is>
      </c>
      <c r="Z1422" s="3" t="n">
        <v>3209</v>
      </c>
      <c r="AE1422" s="3" t="n">
        <v>2000</v>
      </c>
      <c r="AF1422" s="4" t="n">
        <v>0.37</v>
      </c>
      <c r="AG1422" s="3">
        <f>ROUND(AE1422-(AE1422*AF1422),2)</f>
        <v/>
      </c>
      <c r="AH1422" s="4" t="n">
        <v>0.18</v>
      </c>
      <c r="AI1422" s="3">
        <f>ROUND(AG1422+(AG1422*AH1422),2)</f>
        <v/>
      </c>
      <c r="AJ1422" s="4" t="n">
        <v>0.15</v>
      </c>
      <c r="AK1422" s="3">
        <f>ROUND(AI1422*AJ1422,2)</f>
        <v/>
      </c>
      <c r="AL1422" s="3">
        <f>AI1422+AK1422</f>
        <v/>
      </c>
      <c r="AM1422" s="3">
        <f>AE1422-AL1422</f>
        <v/>
      </c>
      <c r="AN1422" s="4">
        <f>AM1422/AE1422</f>
        <v/>
      </c>
      <c r="AO1422" s="3" t="inlineStr">
        <is>
          <t>60 mins</t>
        </is>
      </c>
      <c r="AQ1422" s="3" t="inlineStr">
        <is>
          <t>Weight</t>
        </is>
      </c>
    </row>
    <row r="1423" ht="15.75" customHeight="1">
      <c r="A1423" s="3" t="inlineStr">
        <is>
          <t>PROD_0272</t>
        </is>
      </c>
      <c r="B1423" s="3" t="inlineStr">
        <is>
          <t>VAR_1</t>
        </is>
      </c>
      <c r="C1423" s="3" t="inlineStr">
        <is>
          <t>Paint</t>
        </is>
      </c>
      <c r="D1423" s="3" t="inlineStr">
        <is>
          <t>Interior Paint</t>
        </is>
      </c>
      <c r="E1423" s="3" t="inlineStr">
        <is>
          <t>Birla Opus</t>
        </is>
      </c>
      <c r="F1423" s="3" t="inlineStr">
        <is>
          <t>Calista Ever Wash Emulsion</t>
        </is>
      </c>
      <c r="H1423" s="3" t="inlineStr">
        <is>
          <t>Volume</t>
        </is>
      </c>
      <c r="I1423" s="3" t="inlineStr">
        <is>
          <t>1 Ltr</t>
        </is>
      </c>
      <c r="J1423" s="3" t="inlineStr">
        <is>
          <t>Color</t>
        </is>
      </c>
      <c r="K1423" s="3" t="inlineStr">
        <is>
          <t>White</t>
        </is>
      </c>
      <c r="Q1423" s="3" t="inlineStr">
        <is>
          <t>Manufacturer's Warranty</t>
        </is>
      </c>
      <c r="Y1423" s="3" t="inlineStr">
        <is>
          <t>INTPNT_BRLOP_EML_CLSEVWS</t>
        </is>
      </c>
      <c r="Z1423" s="3" t="n">
        <v>3209</v>
      </c>
      <c r="AE1423" s="3" t="n">
        <v>2000</v>
      </c>
      <c r="AF1423" s="4" t="n">
        <v>0.37</v>
      </c>
      <c r="AG1423" s="3">
        <f>ROUND(AE1423-(AE1423*AF1423),2)</f>
        <v/>
      </c>
      <c r="AH1423" s="4" t="n">
        <v>0.18</v>
      </c>
      <c r="AI1423" s="3">
        <f>ROUND(AG1423+(AG1423*AH1423),2)</f>
        <v/>
      </c>
      <c r="AJ1423" s="4" t="n">
        <v>0.15</v>
      </c>
      <c r="AK1423" s="3">
        <f>ROUND(AI1423*AJ1423,2)</f>
        <v/>
      </c>
      <c r="AL1423" s="3">
        <f>AI1423+AK1423</f>
        <v/>
      </c>
      <c r="AM1423" s="3">
        <f>AE1423-AL1423</f>
        <v/>
      </c>
      <c r="AN1423" s="4">
        <f>AM1423/AE1423</f>
        <v/>
      </c>
      <c r="AO1423" s="3" t="inlineStr">
        <is>
          <t>60 mins</t>
        </is>
      </c>
      <c r="AQ1423" s="3" t="inlineStr">
        <is>
          <t>Weight</t>
        </is>
      </c>
    </row>
    <row r="1424" ht="15.75" customHeight="1">
      <c r="A1424" s="3" t="inlineStr">
        <is>
          <t>PROD_0272</t>
        </is>
      </c>
      <c r="B1424" s="3" t="inlineStr">
        <is>
          <t>VAR_2</t>
        </is>
      </c>
      <c r="C1424" s="3" t="inlineStr">
        <is>
          <t>Paint</t>
        </is>
      </c>
      <c r="D1424" s="3" t="inlineStr">
        <is>
          <t>Interior Paint</t>
        </is>
      </c>
      <c r="E1424" s="3" t="inlineStr">
        <is>
          <t>Birla Opus</t>
        </is>
      </c>
      <c r="F1424" s="3" t="inlineStr">
        <is>
          <t>Calista Ever Wash Emulsion</t>
        </is>
      </c>
      <c r="H1424" s="3" t="inlineStr">
        <is>
          <t>Volume</t>
        </is>
      </c>
      <c r="I1424" s="3" t="inlineStr">
        <is>
          <t>4 Ltr</t>
        </is>
      </c>
      <c r="J1424" s="3" t="inlineStr">
        <is>
          <t>Color</t>
        </is>
      </c>
      <c r="K1424" s="3" t="inlineStr">
        <is>
          <t>White</t>
        </is>
      </c>
      <c r="Q1424" s="3" t="inlineStr">
        <is>
          <t>Manufacturer's Warranty</t>
        </is>
      </c>
      <c r="Y1424" s="3" t="inlineStr">
        <is>
          <t>INTPNT_BRLOP_EML_CLSEVWS</t>
        </is>
      </c>
      <c r="Z1424" s="3" t="n">
        <v>3209</v>
      </c>
      <c r="AE1424" s="3" t="n">
        <v>2000</v>
      </c>
      <c r="AF1424" s="4" t="n">
        <v>0.37</v>
      </c>
      <c r="AG1424" s="3">
        <f>ROUND(AE1424-(AE1424*AF1424),2)</f>
        <v/>
      </c>
      <c r="AH1424" s="4" t="n">
        <v>0.18</v>
      </c>
      <c r="AI1424" s="3">
        <f>ROUND(AG1424+(AG1424*AH1424),2)</f>
        <v/>
      </c>
      <c r="AJ1424" s="4" t="n">
        <v>0.15</v>
      </c>
      <c r="AK1424" s="3">
        <f>ROUND(AI1424*AJ1424,2)</f>
        <v/>
      </c>
      <c r="AL1424" s="3">
        <f>AI1424+AK1424</f>
        <v/>
      </c>
      <c r="AM1424" s="3">
        <f>AE1424-AL1424</f>
        <v/>
      </c>
      <c r="AN1424" s="4">
        <f>AM1424/AE1424</f>
        <v/>
      </c>
      <c r="AO1424" s="3" t="inlineStr">
        <is>
          <t>60 mins</t>
        </is>
      </c>
      <c r="AQ1424" s="3" t="inlineStr">
        <is>
          <t>Weight</t>
        </is>
      </c>
    </row>
    <row r="1425" ht="15.75" customHeight="1">
      <c r="A1425" s="3" t="inlineStr">
        <is>
          <t>PROD_0272</t>
        </is>
      </c>
      <c r="B1425" s="3" t="inlineStr">
        <is>
          <t>VAR_3</t>
        </is>
      </c>
      <c r="C1425" s="3" t="inlineStr">
        <is>
          <t>Paint</t>
        </is>
      </c>
      <c r="D1425" s="3" t="inlineStr">
        <is>
          <t>Interior Paint</t>
        </is>
      </c>
      <c r="E1425" s="3" t="inlineStr">
        <is>
          <t>Birla Opus</t>
        </is>
      </c>
      <c r="F1425" s="3" t="inlineStr">
        <is>
          <t>Calista Ever Wash Emulsion</t>
        </is>
      </c>
      <c r="H1425" s="3" t="inlineStr">
        <is>
          <t>Volume</t>
        </is>
      </c>
      <c r="I1425" s="3" t="inlineStr">
        <is>
          <t>10 Ltr</t>
        </is>
      </c>
      <c r="J1425" s="3" t="inlineStr">
        <is>
          <t>Color</t>
        </is>
      </c>
      <c r="K1425" s="3" t="inlineStr">
        <is>
          <t>White</t>
        </is>
      </c>
      <c r="Q1425" s="3" t="inlineStr">
        <is>
          <t>Manufacturer's Warranty</t>
        </is>
      </c>
      <c r="Y1425" s="3" t="inlineStr">
        <is>
          <t>INTPNT_BRLOP_EML_CLSEVWS</t>
        </is>
      </c>
      <c r="Z1425" s="3" t="n">
        <v>3209</v>
      </c>
      <c r="AE1425" s="3" t="n">
        <v>2000</v>
      </c>
      <c r="AF1425" s="4" t="n">
        <v>0.37</v>
      </c>
      <c r="AG1425" s="3">
        <f>ROUND(AE1425-(AE1425*AF1425),2)</f>
        <v/>
      </c>
      <c r="AH1425" s="4" t="n">
        <v>0.18</v>
      </c>
      <c r="AI1425" s="3">
        <f>ROUND(AG1425+(AG1425*AH1425),2)</f>
        <v/>
      </c>
      <c r="AJ1425" s="4" t="n">
        <v>0.15</v>
      </c>
      <c r="AK1425" s="3">
        <f>ROUND(AI1425*AJ1425,2)</f>
        <v/>
      </c>
      <c r="AL1425" s="3">
        <f>AI1425+AK1425</f>
        <v/>
      </c>
      <c r="AM1425" s="3">
        <f>AE1425-AL1425</f>
        <v/>
      </c>
      <c r="AN1425" s="4">
        <f>AM1425/AE1425</f>
        <v/>
      </c>
      <c r="AO1425" s="3" t="inlineStr">
        <is>
          <t>60 mins</t>
        </is>
      </c>
      <c r="AQ1425" s="3" t="inlineStr">
        <is>
          <t>Weight</t>
        </is>
      </c>
    </row>
    <row r="1426" ht="15.75" customHeight="1">
      <c r="A1426" s="3" t="inlineStr">
        <is>
          <t>PROD_0272</t>
        </is>
      </c>
      <c r="B1426" s="3" t="inlineStr">
        <is>
          <t>VAR_4</t>
        </is>
      </c>
      <c r="C1426" s="3" t="inlineStr">
        <is>
          <t>Paint</t>
        </is>
      </c>
      <c r="D1426" s="3" t="inlineStr">
        <is>
          <t>Interior Paint</t>
        </is>
      </c>
      <c r="E1426" s="3" t="inlineStr">
        <is>
          <t>Birla Opus</t>
        </is>
      </c>
      <c r="F1426" s="3" t="inlineStr">
        <is>
          <t>Calista Ever Wash Emulsion</t>
        </is>
      </c>
      <c r="H1426" s="3" t="inlineStr">
        <is>
          <t>Volume</t>
        </is>
      </c>
      <c r="I1426" s="3" t="inlineStr">
        <is>
          <t>20 Ltr</t>
        </is>
      </c>
      <c r="J1426" s="3" t="inlineStr">
        <is>
          <t>Color</t>
        </is>
      </c>
      <c r="K1426" s="3" t="inlineStr">
        <is>
          <t>White</t>
        </is>
      </c>
      <c r="Q1426" s="3" t="inlineStr">
        <is>
          <t>Manufacturer's Warranty</t>
        </is>
      </c>
      <c r="Y1426" s="3" t="inlineStr">
        <is>
          <t>INTPNT_BRLOP_EML_CLSEVWS</t>
        </is>
      </c>
      <c r="Z1426" s="3" t="n">
        <v>3209</v>
      </c>
      <c r="AE1426" s="3" t="n">
        <v>2000</v>
      </c>
      <c r="AF1426" s="4" t="n">
        <v>0.37</v>
      </c>
      <c r="AG1426" s="3">
        <f>ROUND(AE1426-(AE1426*AF1426),2)</f>
        <v/>
      </c>
      <c r="AH1426" s="4" t="n">
        <v>0.18</v>
      </c>
      <c r="AI1426" s="3">
        <f>ROUND(AG1426+(AG1426*AH1426),2)</f>
        <v/>
      </c>
      <c r="AJ1426" s="4" t="n">
        <v>0.15</v>
      </c>
      <c r="AK1426" s="3">
        <f>ROUND(AI1426*AJ1426,2)</f>
        <v/>
      </c>
      <c r="AL1426" s="3">
        <f>AI1426+AK1426</f>
        <v/>
      </c>
      <c r="AM1426" s="3">
        <f>AE1426-AL1426</f>
        <v/>
      </c>
      <c r="AN1426" s="4">
        <f>AM1426/AE1426</f>
        <v/>
      </c>
      <c r="AO1426" s="3" t="inlineStr">
        <is>
          <t>60 mins</t>
        </is>
      </c>
      <c r="AQ1426" s="3" t="inlineStr">
        <is>
          <t>Weight</t>
        </is>
      </c>
    </row>
    <row r="1427" ht="15.75" customHeight="1">
      <c r="A1427" s="3" t="inlineStr">
        <is>
          <t>PROD_0273</t>
        </is>
      </c>
      <c r="B1427" s="3" t="inlineStr">
        <is>
          <t>VAR_1</t>
        </is>
      </c>
      <c r="C1427" s="3" t="inlineStr">
        <is>
          <t>Paint</t>
        </is>
      </c>
      <c r="D1427" s="3" t="inlineStr">
        <is>
          <t>Interior Paint</t>
        </is>
      </c>
      <c r="E1427" s="3" t="inlineStr">
        <is>
          <t>Birla Opus</t>
        </is>
      </c>
      <c r="F1427" s="3" t="inlineStr">
        <is>
          <t>Style Color Fresh Emulsion</t>
        </is>
      </c>
      <c r="H1427" s="3" t="inlineStr">
        <is>
          <t>Volume</t>
        </is>
      </c>
      <c r="I1427" s="3" t="inlineStr">
        <is>
          <t>1 Ltr</t>
        </is>
      </c>
      <c r="J1427" s="3" t="inlineStr">
        <is>
          <t>Color</t>
        </is>
      </c>
      <c r="K1427" s="3" t="inlineStr">
        <is>
          <t>White</t>
        </is>
      </c>
      <c r="Q1427" s="3" t="inlineStr">
        <is>
          <t>Manufacturer's Warranty</t>
        </is>
      </c>
      <c r="Y1427" s="3" t="inlineStr">
        <is>
          <t>INTPNT_BRLOP_EML_STLCLRFRS</t>
        </is>
      </c>
      <c r="Z1427" s="3" t="n">
        <v>3209</v>
      </c>
      <c r="AE1427" s="3" t="n">
        <v>219</v>
      </c>
      <c r="AF1427" s="4" t="n">
        <v>0.25</v>
      </c>
      <c r="AG1427" s="3">
        <f>ROUND(AE1427-(AE1427*AF1427),2)</f>
        <v/>
      </c>
      <c r="AH1427" s="4" t="n">
        <v>0.18</v>
      </c>
      <c r="AI1427" s="3">
        <f>ROUND(AG1427+(AG1427*AH1427),2)</f>
        <v/>
      </c>
      <c r="AJ1427" s="4" t="n">
        <v>0.15</v>
      </c>
      <c r="AK1427" s="3">
        <f>ROUND(AI1427*AJ1427,2)</f>
        <v/>
      </c>
      <c r="AL1427" s="3">
        <f>AI1427+AK1427</f>
        <v/>
      </c>
      <c r="AM1427" s="3">
        <f>AE1427-AL1427</f>
        <v/>
      </c>
      <c r="AN1427" s="4">
        <f>AM1427/AE1427</f>
        <v/>
      </c>
      <c r="AO1427" s="3" t="inlineStr">
        <is>
          <t>60 mins</t>
        </is>
      </c>
      <c r="AQ1427" s="3" t="inlineStr">
        <is>
          <t>Weight</t>
        </is>
      </c>
    </row>
    <row r="1428" ht="15.75" customHeight="1">
      <c r="A1428" s="3" t="inlineStr">
        <is>
          <t>PROD_0273</t>
        </is>
      </c>
      <c r="B1428" s="3" t="inlineStr">
        <is>
          <t>VAR_2</t>
        </is>
      </c>
      <c r="C1428" s="3" t="inlineStr">
        <is>
          <t>Paint</t>
        </is>
      </c>
      <c r="D1428" s="3" t="inlineStr">
        <is>
          <t>Interior Paint</t>
        </is>
      </c>
      <c r="E1428" s="3" t="inlineStr">
        <is>
          <t>Birla Opus</t>
        </is>
      </c>
      <c r="F1428" s="3" t="inlineStr">
        <is>
          <t>Style Color Fresh Emulsion</t>
        </is>
      </c>
      <c r="H1428" s="3" t="inlineStr">
        <is>
          <t>Volume</t>
        </is>
      </c>
      <c r="I1428" s="3" t="inlineStr">
        <is>
          <t>4 Ltr</t>
        </is>
      </c>
      <c r="J1428" s="3" t="inlineStr">
        <is>
          <t>Color</t>
        </is>
      </c>
      <c r="K1428" s="3" t="inlineStr">
        <is>
          <t>White</t>
        </is>
      </c>
      <c r="Q1428" s="3" t="inlineStr">
        <is>
          <t>Manufacturer's Warranty</t>
        </is>
      </c>
      <c r="Y1428" s="3" t="inlineStr">
        <is>
          <t>INTPNT_BRLOP_EML_STLCLRFRS</t>
        </is>
      </c>
      <c r="Z1428" s="3" t="n">
        <v>3209</v>
      </c>
      <c r="AE1428" s="3" t="n">
        <v>864</v>
      </c>
      <c r="AF1428" s="4" t="n">
        <v>0.35</v>
      </c>
      <c r="AG1428" s="3">
        <f>ROUND(AE1428-(AE1428*AF1428),2)</f>
        <v/>
      </c>
      <c r="AH1428" s="4" t="n">
        <v>0.18</v>
      </c>
      <c r="AI1428" s="3">
        <f>ROUND(AG1428+(AG1428*AH1428),2)</f>
        <v/>
      </c>
      <c r="AJ1428" s="4" t="n">
        <v>0.15</v>
      </c>
      <c r="AK1428" s="3">
        <f>ROUND(AI1428*AJ1428,2)</f>
        <v/>
      </c>
      <c r="AL1428" s="3">
        <f>AI1428+AK1428</f>
        <v/>
      </c>
      <c r="AM1428" s="3">
        <f>AE1428-AL1428</f>
        <v/>
      </c>
      <c r="AN1428" s="4">
        <f>AM1428/AE1428</f>
        <v/>
      </c>
      <c r="AO1428" s="3" t="inlineStr">
        <is>
          <t>60 mins</t>
        </is>
      </c>
      <c r="AQ1428" s="3" t="inlineStr">
        <is>
          <t>Weight</t>
        </is>
      </c>
    </row>
    <row r="1429" ht="15.75" customHeight="1">
      <c r="A1429" s="3" t="inlineStr">
        <is>
          <t>PROD_0273</t>
        </is>
      </c>
      <c r="B1429" s="3" t="inlineStr">
        <is>
          <t>VAR_3</t>
        </is>
      </c>
      <c r="C1429" s="3" t="inlineStr">
        <is>
          <t>Paint</t>
        </is>
      </c>
      <c r="D1429" s="3" t="inlineStr">
        <is>
          <t>Interior Paint</t>
        </is>
      </c>
      <c r="E1429" s="3" t="inlineStr">
        <is>
          <t>Birla Opus</t>
        </is>
      </c>
      <c r="F1429" s="3" t="inlineStr">
        <is>
          <t>Style Color Fresh Emulsion</t>
        </is>
      </c>
      <c r="H1429" s="3" t="inlineStr">
        <is>
          <t>Volume</t>
        </is>
      </c>
      <c r="I1429" s="3" t="inlineStr">
        <is>
          <t>10 Ltr</t>
        </is>
      </c>
      <c r="J1429" s="3" t="inlineStr">
        <is>
          <t>Color</t>
        </is>
      </c>
      <c r="K1429" s="3" t="inlineStr">
        <is>
          <t>White</t>
        </is>
      </c>
      <c r="Q1429" s="3" t="inlineStr">
        <is>
          <t>Manufacturer's Warranty</t>
        </is>
      </c>
      <c r="Y1429" s="3" t="inlineStr">
        <is>
          <t>INTPNT_BRLOP_EML_STLCLRFRS</t>
        </is>
      </c>
      <c r="Z1429" s="3" t="n">
        <v>3209</v>
      </c>
      <c r="AE1429" s="3" t="n">
        <v>1981</v>
      </c>
      <c r="AF1429" s="4" t="n">
        <v>0.33</v>
      </c>
      <c r="AG1429" s="3">
        <f>ROUND(AE1429-(AE1429*AF1429),2)</f>
        <v/>
      </c>
      <c r="AH1429" s="4" t="n">
        <v>0.18</v>
      </c>
      <c r="AI1429" s="3">
        <f>ROUND(AG1429+(AG1429*AH1429),2)</f>
        <v/>
      </c>
      <c r="AJ1429" s="4" t="n">
        <v>0.15</v>
      </c>
      <c r="AK1429" s="3">
        <f>ROUND(AI1429*AJ1429,2)</f>
        <v/>
      </c>
      <c r="AL1429" s="3">
        <f>AI1429+AK1429</f>
        <v/>
      </c>
      <c r="AM1429" s="3">
        <f>AE1429-AL1429</f>
        <v/>
      </c>
      <c r="AN1429" s="4">
        <f>AM1429/AE1429</f>
        <v/>
      </c>
      <c r="AO1429" s="3" t="inlineStr">
        <is>
          <t>60 mins</t>
        </is>
      </c>
      <c r="AQ1429" s="3" t="inlineStr">
        <is>
          <t>Weight</t>
        </is>
      </c>
    </row>
    <row r="1430" ht="15.75" customHeight="1">
      <c r="A1430" s="3" t="inlineStr">
        <is>
          <t>PROD_0273</t>
        </is>
      </c>
      <c r="B1430" s="3" t="inlineStr">
        <is>
          <t>VAR_4</t>
        </is>
      </c>
      <c r="C1430" s="3" t="inlineStr">
        <is>
          <t>Paint</t>
        </is>
      </c>
      <c r="D1430" s="3" t="inlineStr">
        <is>
          <t>Interior Paint</t>
        </is>
      </c>
      <c r="E1430" s="3" t="inlineStr">
        <is>
          <t>Birla Opus</t>
        </is>
      </c>
      <c r="F1430" s="3" t="inlineStr">
        <is>
          <t>Style Color Fresh Emulsion</t>
        </is>
      </c>
      <c r="H1430" s="3" t="inlineStr">
        <is>
          <t>Volume</t>
        </is>
      </c>
      <c r="I1430" s="3" t="inlineStr">
        <is>
          <t>20 Ltr</t>
        </is>
      </c>
      <c r="J1430" s="3" t="inlineStr">
        <is>
          <t>Color</t>
        </is>
      </c>
      <c r="K1430" s="3" t="inlineStr">
        <is>
          <t>White</t>
        </is>
      </c>
      <c r="Q1430" s="3" t="inlineStr">
        <is>
          <t>Manufacturer's Warranty</t>
        </is>
      </c>
      <c r="Y1430" s="3" t="inlineStr">
        <is>
          <t>INTPNT_BRLOP_EML_STLCLRFRS</t>
        </is>
      </c>
      <c r="Z1430" s="3" t="n">
        <v>3209</v>
      </c>
      <c r="AE1430" s="3" t="n">
        <v>3788</v>
      </c>
      <c r="AF1430" s="4" t="n">
        <v>0.39</v>
      </c>
      <c r="AG1430" s="3">
        <f>ROUND(AE1430-(AE1430*AF1430),2)</f>
        <v/>
      </c>
      <c r="AH1430" s="4" t="n">
        <v>0.18</v>
      </c>
      <c r="AI1430" s="3">
        <f>ROUND(AG1430+(AG1430*AH1430),2)</f>
        <v/>
      </c>
      <c r="AJ1430" s="4" t="n">
        <v>0.15</v>
      </c>
      <c r="AK1430" s="3">
        <f>ROUND(AI1430*AJ1430,2)</f>
        <v/>
      </c>
      <c r="AL1430" s="3">
        <f>AI1430+AK1430</f>
        <v/>
      </c>
      <c r="AM1430" s="3">
        <f>AE1430-AL1430</f>
        <v/>
      </c>
      <c r="AN1430" s="4">
        <f>AM1430/AE1430</f>
        <v/>
      </c>
      <c r="AO1430" s="3" t="inlineStr">
        <is>
          <t>60 mins</t>
        </is>
      </c>
      <c r="AQ1430" s="3" t="inlineStr">
        <is>
          <t>Weight</t>
        </is>
      </c>
    </row>
    <row r="1431" ht="15.75" customHeight="1">
      <c r="A1431" s="3" t="inlineStr">
        <is>
          <t>PROD_0274</t>
        </is>
      </c>
      <c r="B1431" s="3" t="inlineStr">
        <is>
          <t>VAR_1</t>
        </is>
      </c>
      <c r="C1431" s="3" t="inlineStr">
        <is>
          <t>Paint</t>
        </is>
      </c>
      <c r="D1431" s="3" t="inlineStr">
        <is>
          <t>Exterior Paint</t>
        </is>
      </c>
      <c r="E1431" s="3" t="inlineStr">
        <is>
          <t>Asian Paint</t>
        </is>
      </c>
      <c r="F1431" s="3" t="inlineStr">
        <is>
          <t>Dust Proof Apex</t>
        </is>
      </c>
      <c r="H1431" s="3" t="inlineStr">
        <is>
          <t>Volume</t>
        </is>
      </c>
      <c r="I1431" s="3" t="inlineStr">
        <is>
          <t>1 Ltr</t>
        </is>
      </c>
      <c r="J1431" s="3" t="inlineStr">
        <is>
          <t>Color</t>
        </is>
      </c>
      <c r="K1431" s="3" t="inlineStr">
        <is>
          <t>White</t>
        </is>
      </c>
      <c r="Q1431" s="3" t="inlineStr">
        <is>
          <t>Manufacturer's Warranty</t>
        </is>
      </c>
      <c r="Y1431" s="3" t="inlineStr">
        <is>
          <t>EXTPNT_AP_APX_DSTPRF</t>
        </is>
      </c>
      <c r="Z1431" s="3" t="n">
        <v>3209</v>
      </c>
      <c r="AE1431" s="3" t="n">
        <v>494</v>
      </c>
      <c r="AF1431" s="4" t="n">
        <v>0.25</v>
      </c>
      <c r="AG1431" s="3">
        <f>ROUND(AE1431-(AE1431*AF1431),2)</f>
        <v/>
      </c>
      <c r="AH1431" s="4" t="n">
        <v>0.18</v>
      </c>
      <c r="AI1431" s="3">
        <f>ROUND(AG1431+(AG1431*AH1431),2)</f>
        <v/>
      </c>
      <c r="AJ1431" s="4" t="n">
        <v>0.15</v>
      </c>
      <c r="AK1431" s="3">
        <f>ROUND(AI1431*AJ1431,2)</f>
        <v/>
      </c>
      <c r="AL1431" s="3">
        <f>AI1431+AK1431</f>
        <v/>
      </c>
      <c r="AM1431" s="3">
        <f>AE1431-AL1431</f>
        <v/>
      </c>
      <c r="AN1431" s="4">
        <f>AM1431/AE1431</f>
        <v/>
      </c>
      <c r="AO1431" s="3" t="inlineStr">
        <is>
          <t>60 mins</t>
        </is>
      </c>
      <c r="AQ1431" s="3" t="inlineStr">
        <is>
          <t>Weight</t>
        </is>
      </c>
    </row>
    <row r="1432" ht="15.75" customHeight="1">
      <c r="A1432" s="3" t="inlineStr">
        <is>
          <t>PROD_0274</t>
        </is>
      </c>
      <c r="B1432" s="3" t="inlineStr">
        <is>
          <t>VAR_2</t>
        </is>
      </c>
      <c r="C1432" s="3" t="inlineStr">
        <is>
          <t>Paint</t>
        </is>
      </c>
      <c r="D1432" s="3" t="inlineStr">
        <is>
          <t>Exterior Paint</t>
        </is>
      </c>
      <c r="E1432" s="3" t="inlineStr">
        <is>
          <t>Asian Paint</t>
        </is>
      </c>
      <c r="F1432" s="3" t="inlineStr">
        <is>
          <t>Dust Proof Apex</t>
        </is>
      </c>
      <c r="H1432" s="3" t="inlineStr">
        <is>
          <t>Volume</t>
        </is>
      </c>
      <c r="I1432" s="3" t="inlineStr">
        <is>
          <t>4 Ltr</t>
        </is>
      </c>
      <c r="J1432" s="3" t="inlineStr">
        <is>
          <t>Color</t>
        </is>
      </c>
      <c r="K1432" s="3" t="inlineStr">
        <is>
          <t>White</t>
        </is>
      </c>
      <c r="Q1432" s="3" t="inlineStr">
        <is>
          <t>Manufacturer's Warranty</t>
        </is>
      </c>
      <c r="Y1432" s="3" t="inlineStr">
        <is>
          <t>EXTPNT_AP_APX_DSTPRF</t>
        </is>
      </c>
      <c r="Z1432" s="3" t="n">
        <v>3209</v>
      </c>
      <c r="AE1432" s="3" t="n">
        <v>1895</v>
      </c>
      <c r="AF1432" s="4" t="n">
        <v>0.35</v>
      </c>
      <c r="AG1432" s="3">
        <f>ROUND(AE1432-(AE1432*AF1432),2)</f>
        <v/>
      </c>
      <c r="AH1432" s="4" t="n">
        <v>0.18</v>
      </c>
      <c r="AI1432" s="3">
        <f>ROUND(AG1432+(AG1432*AH1432),2)</f>
        <v/>
      </c>
      <c r="AJ1432" s="4" t="n">
        <v>0.15</v>
      </c>
      <c r="AK1432" s="3">
        <f>ROUND(AI1432*AJ1432,2)</f>
        <v/>
      </c>
      <c r="AL1432" s="3">
        <f>AI1432+AK1432</f>
        <v/>
      </c>
      <c r="AM1432" s="3">
        <f>AE1432-AL1432</f>
        <v/>
      </c>
      <c r="AN1432" s="4">
        <f>AM1432/AE1432</f>
        <v/>
      </c>
      <c r="AO1432" s="3" t="inlineStr">
        <is>
          <t>60 mins</t>
        </is>
      </c>
      <c r="AQ1432" s="3" t="inlineStr">
        <is>
          <t>Weight</t>
        </is>
      </c>
    </row>
    <row r="1433" ht="15.75" customHeight="1">
      <c r="A1433" s="3" t="inlineStr">
        <is>
          <t>PROD_0274</t>
        </is>
      </c>
      <c r="B1433" s="3" t="inlineStr">
        <is>
          <t>VAR_3</t>
        </is>
      </c>
      <c r="C1433" s="3" t="inlineStr">
        <is>
          <t>Paint</t>
        </is>
      </c>
      <c r="D1433" s="3" t="inlineStr">
        <is>
          <t>Exterior Paint</t>
        </is>
      </c>
      <c r="E1433" s="3" t="inlineStr">
        <is>
          <t>Asian Paint</t>
        </is>
      </c>
      <c r="F1433" s="3" t="inlineStr">
        <is>
          <t>Dust Proof Apex</t>
        </is>
      </c>
      <c r="H1433" s="3" t="inlineStr">
        <is>
          <t>Volume</t>
        </is>
      </c>
      <c r="I1433" s="3" t="inlineStr">
        <is>
          <t>10 Ltr</t>
        </is>
      </c>
      <c r="J1433" s="3" t="inlineStr">
        <is>
          <t>Color</t>
        </is>
      </c>
      <c r="K1433" s="3" t="inlineStr">
        <is>
          <t>White</t>
        </is>
      </c>
      <c r="Q1433" s="3" t="inlineStr">
        <is>
          <t>Manufacturer's Warranty</t>
        </is>
      </c>
      <c r="Y1433" s="3" t="inlineStr">
        <is>
          <t>EXTPNT_AP_APX_DSTPRF</t>
        </is>
      </c>
      <c r="Z1433" s="3" t="n">
        <v>3209</v>
      </c>
      <c r="AE1433" s="3" t="n">
        <v>4470</v>
      </c>
      <c r="AF1433" s="4" t="n">
        <v>0.33</v>
      </c>
      <c r="AG1433" s="3">
        <f>ROUND(AE1433-(AE1433*AF1433),2)</f>
        <v/>
      </c>
      <c r="AH1433" s="4" t="n">
        <v>0.18</v>
      </c>
      <c r="AI1433" s="3">
        <f>ROUND(AG1433+(AG1433*AH1433),2)</f>
        <v/>
      </c>
      <c r="AJ1433" s="4" t="n">
        <v>0.15</v>
      </c>
      <c r="AK1433" s="3">
        <f>ROUND(AI1433*AJ1433,2)</f>
        <v/>
      </c>
      <c r="AL1433" s="3">
        <f>AI1433+AK1433</f>
        <v/>
      </c>
      <c r="AM1433" s="3">
        <f>AE1433-AL1433</f>
        <v/>
      </c>
      <c r="AN1433" s="4">
        <f>AM1433/AE1433</f>
        <v/>
      </c>
      <c r="AO1433" s="3" t="inlineStr">
        <is>
          <t>60 mins</t>
        </is>
      </c>
      <c r="AQ1433" s="3" t="inlineStr">
        <is>
          <t>Weight</t>
        </is>
      </c>
    </row>
    <row r="1434" ht="15.75" customHeight="1">
      <c r="A1434" s="3" t="inlineStr">
        <is>
          <t>PROD_0274</t>
        </is>
      </c>
      <c r="B1434" s="3" t="inlineStr">
        <is>
          <t>VAR_4</t>
        </is>
      </c>
      <c r="C1434" s="3" t="inlineStr">
        <is>
          <t>Paint</t>
        </is>
      </c>
      <c r="D1434" s="3" t="inlineStr">
        <is>
          <t>Exterior Paint</t>
        </is>
      </c>
      <c r="E1434" s="3" t="inlineStr">
        <is>
          <t>Asian Paint</t>
        </is>
      </c>
      <c r="F1434" s="3" t="inlineStr">
        <is>
          <t>Dust Proof Apex</t>
        </is>
      </c>
      <c r="H1434" s="3" t="inlineStr">
        <is>
          <t>Volume</t>
        </is>
      </c>
      <c r="I1434" s="3" t="inlineStr">
        <is>
          <t>20 Ltr</t>
        </is>
      </c>
      <c r="J1434" s="3" t="inlineStr">
        <is>
          <t>Color</t>
        </is>
      </c>
      <c r="K1434" s="3" t="inlineStr">
        <is>
          <t>White</t>
        </is>
      </c>
      <c r="Q1434" s="3" t="inlineStr">
        <is>
          <t>Manufacturer's Warranty</t>
        </is>
      </c>
      <c r="Y1434" s="3" t="inlineStr">
        <is>
          <t>EXTPNT_AP_APX_DSTPRF</t>
        </is>
      </c>
      <c r="Z1434" s="3" t="n">
        <v>3209</v>
      </c>
      <c r="AE1434" s="3" t="n">
        <v>8510</v>
      </c>
      <c r="AF1434" s="4" t="n">
        <v>0.39</v>
      </c>
      <c r="AG1434" s="3">
        <f>ROUND(AE1434-(AE1434*AF1434),2)</f>
        <v/>
      </c>
      <c r="AH1434" s="4" t="n">
        <v>0.18</v>
      </c>
      <c r="AI1434" s="3">
        <f>ROUND(AG1434+(AG1434*AH1434),2)</f>
        <v/>
      </c>
      <c r="AJ1434" s="4" t="n">
        <v>0.15</v>
      </c>
      <c r="AK1434" s="3">
        <f>ROUND(AI1434*AJ1434,2)</f>
        <v/>
      </c>
      <c r="AL1434" s="3">
        <f>AI1434+AK1434</f>
        <v/>
      </c>
      <c r="AM1434" s="3">
        <f>AE1434-AL1434</f>
        <v/>
      </c>
      <c r="AN1434" s="4">
        <f>AM1434/AE1434</f>
        <v/>
      </c>
      <c r="AO1434" s="3" t="inlineStr">
        <is>
          <t>60 mins</t>
        </is>
      </c>
      <c r="AQ1434" s="3" t="inlineStr">
        <is>
          <t>Weight</t>
        </is>
      </c>
    </row>
    <row r="1435" ht="15.75" customHeight="1">
      <c r="A1435" s="3" t="inlineStr">
        <is>
          <t>PROD_0275</t>
        </is>
      </c>
      <c r="B1435" s="3" t="inlineStr">
        <is>
          <t>VAR_1</t>
        </is>
      </c>
      <c r="C1435" s="3" t="inlineStr">
        <is>
          <t>Paint</t>
        </is>
      </c>
      <c r="D1435" s="3" t="inlineStr">
        <is>
          <t>Exterior Paint</t>
        </is>
      </c>
      <c r="E1435" s="3" t="inlineStr">
        <is>
          <t>Asian Paint</t>
        </is>
      </c>
      <c r="F1435" s="3" t="inlineStr">
        <is>
          <t>Advanced Dust Proof Apex</t>
        </is>
      </c>
      <c r="H1435" s="3" t="inlineStr">
        <is>
          <t>Volume</t>
        </is>
      </c>
      <c r="I1435" s="3" t="inlineStr">
        <is>
          <t>1 Ltr</t>
        </is>
      </c>
      <c r="J1435" s="3" t="inlineStr">
        <is>
          <t>Color</t>
        </is>
      </c>
      <c r="K1435" s="3" t="inlineStr">
        <is>
          <t>White</t>
        </is>
      </c>
      <c r="Q1435" s="3" t="inlineStr">
        <is>
          <t>Manufacturer's Warranty</t>
        </is>
      </c>
      <c r="Y1435" s="3" t="inlineStr">
        <is>
          <t>EXTPNT_AP_APX_ADVDSTPRF</t>
        </is>
      </c>
      <c r="Z1435" s="3" t="n">
        <v>3209</v>
      </c>
      <c r="AE1435" s="3" t="n">
        <v>500</v>
      </c>
      <c r="AF1435" s="4" t="n">
        <v>0.25</v>
      </c>
      <c r="AG1435" s="3">
        <f>ROUND(AE1435-(AE1435*AF1435),2)</f>
        <v/>
      </c>
      <c r="AH1435" s="4" t="n">
        <v>0.18</v>
      </c>
      <c r="AI1435" s="3">
        <f>ROUND(AG1435+(AG1435*AH1435),2)</f>
        <v/>
      </c>
      <c r="AJ1435" s="4" t="n">
        <v>0.15</v>
      </c>
      <c r="AK1435" s="3">
        <f>ROUND(AI1435*AJ1435,2)</f>
        <v/>
      </c>
      <c r="AL1435" s="3">
        <f>AI1435+AK1435</f>
        <v/>
      </c>
      <c r="AM1435" s="3">
        <f>AE1435-AL1435</f>
        <v/>
      </c>
      <c r="AN1435" s="4">
        <f>AM1435/AE1435</f>
        <v/>
      </c>
      <c r="AO1435" s="3" t="inlineStr">
        <is>
          <t>60 mins</t>
        </is>
      </c>
      <c r="AQ1435" s="3" t="inlineStr">
        <is>
          <t>Weight</t>
        </is>
      </c>
    </row>
    <row r="1436" ht="15.75" customHeight="1">
      <c r="A1436" s="3" t="inlineStr">
        <is>
          <t>PROD_0275</t>
        </is>
      </c>
      <c r="B1436" s="3" t="inlineStr">
        <is>
          <t>VAR_2</t>
        </is>
      </c>
      <c r="C1436" s="3" t="inlineStr">
        <is>
          <t>Paint</t>
        </is>
      </c>
      <c r="D1436" s="3" t="inlineStr">
        <is>
          <t>Exterior Paint</t>
        </is>
      </c>
      <c r="E1436" s="3" t="inlineStr">
        <is>
          <t>Asian Paint</t>
        </is>
      </c>
      <c r="F1436" s="3" t="inlineStr">
        <is>
          <t>Advanced Dust Proof Apex</t>
        </is>
      </c>
      <c r="H1436" s="3" t="inlineStr">
        <is>
          <t>Volume</t>
        </is>
      </c>
      <c r="I1436" s="3" t="inlineStr">
        <is>
          <t>4 Ltr</t>
        </is>
      </c>
      <c r="J1436" s="3" t="inlineStr">
        <is>
          <t>Color</t>
        </is>
      </c>
      <c r="K1436" s="3" t="inlineStr">
        <is>
          <t>White</t>
        </is>
      </c>
      <c r="Q1436" s="3" t="inlineStr">
        <is>
          <t>Manufacturer's Warranty</t>
        </is>
      </c>
      <c r="Y1436" s="3" t="inlineStr">
        <is>
          <t>EXTPNT_AP_APX_ADVDSTPRF</t>
        </is>
      </c>
      <c r="Z1436" s="3" t="n">
        <v>3209</v>
      </c>
      <c r="AE1436" s="3" t="n">
        <v>1930</v>
      </c>
      <c r="AF1436" s="4" t="n">
        <v>0.35</v>
      </c>
      <c r="AG1436" s="3">
        <f>ROUND(AE1436-(AE1436*AF1436),2)</f>
        <v/>
      </c>
      <c r="AH1436" s="4" t="n">
        <v>0.18</v>
      </c>
      <c r="AI1436" s="3">
        <f>ROUND(AG1436+(AG1436*AH1436),2)</f>
        <v/>
      </c>
      <c r="AJ1436" s="4" t="n">
        <v>0.15</v>
      </c>
      <c r="AK1436" s="3">
        <f>ROUND(AI1436*AJ1436,2)</f>
        <v/>
      </c>
      <c r="AL1436" s="3">
        <f>AI1436+AK1436</f>
        <v/>
      </c>
      <c r="AM1436" s="3">
        <f>AE1436-AL1436</f>
        <v/>
      </c>
      <c r="AN1436" s="4">
        <f>AM1436/AE1436</f>
        <v/>
      </c>
      <c r="AO1436" s="3" t="inlineStr">
        <is>
          <t>60 mins</t>
        </is>
      </c>
      <c r="AQ1436" s="3" t="inlineStr">
        <is>
          <t>Weight</t>
        </is>
      </c>
    </row>
    <row r="1437" ht="15.75" customHeight="1">
      <c r="A1437" s="3" t="inlineStr">
        <is>
          <t>PROD_0275</t>
        </is>
      </c>
      <c r="B1437" s="3" t="inlineStr">
        <is>
          <t>VAR_3</t>
        </is>
      </c>
      <c r="C1437" s="3" t="inlineStr">
        <is>
          <t>Paint</t>
        </is>
      </c>
      <c r="D1437" s="3" t="inlineStr">
        <is>
          <t>Exterior Paint</t>
        </is>
      </c>
      <c r="E1437" s="3" t="inlineStr">
        <is>
          <t>Asian Paint</t>
        </is>
      </c>
      <c r="F1437" s="3" t="inlineStr">
        <is>
          <t>Advanced Dust Proof Apex</t>
        </is>
      </c>
      <c r="H1437" s="3" t="inlineStr">
        <is>
          <t>Volume</t>
        </is>
      </c>
      <c r="I1437" s="3" t="inlineStr">
        <is>
          <t>10 Ltr</t>
        </is>
      </c>
      <c r="J1437" s="3" t="inlineStr">
        <is>
          <t>Color</t>
        </is>
      </c>
      <c r="K1437" s="3" t="inlineStr">
        <is>
          <t>White</t>
        </is>
      </c>
      <c r="Q1437" s="3" t="inlineStr">
        <is>
          <t>Manufacturer's Warranty</t>
        </is>
      </c>
      <c r="Y1437" s="3" t="inlineStr">
        <is>
          <t>EXTPNT_AP_APX_ADVDSTPRF</t>
        </is>
      </c>
      <c r="Z1437" s="3" t="n">
        <v>3209</v>
      </c>
      <c r="AE1437" s="3" t="n">
        <v>4509</v>
      </c>
      <c r="AF1437" s="4" t="n">
        <v>0.33</v>
      </c>
      <c r="AG1437" s="3">
        <f>ROUND(AE1437-(AE1437*AF1437),2)</f>
        <v/>
      </c>
      <c r="AH1437" s="4" t="n">
        <v>0.18</v>
      </c>
      <c r="AI1437" s="3">
        <f>ROUND(AG1437+(AG1437*AH1437),2)</f>
        <v/>
      </c>
      <c r="AJ1437" s="4" t="n">
        <v>0.15</v>
      </c>
      <c r="AK1437" s="3">
        <f>ROUND(AI1437*AJ1437,2)</f>
        <v/>
      </c>
      <c r="AL1437" s="3">
        <f>AI1437+AK1437</f>
        <v/>
      </c>
      <c r="AM1437" s="3">
        <f>AE1437-AL1437</f>
        <v/>
      </c>
      <c r="AN1437" s="4">
        <f>AM1437/AE1437</f>
        <v/>
      </c>
      <c r="AO1437" s="3" t="inlineStr">
        <is>
          <t>60 mins</t>
        </is>
      </c>
      <c r="AQ1437" s="3" t="inlineStr">
        <is>
          <t>Weight</t>
        </is>
      </c>
    </row>
    <row r="1438" ht="15.75" customHeight="1">
      <c r="A1438" s="3" t="inlineStr">
        <is>
          <t>PROD_0275</t>
        </is>
      </c>
      <c r="B1438" s="3" t="inlineStr">
        <is>
          <t>VAR_4</t>
        </is>
      </c>
      <c r="C1438" s="3" t="inlineStr">
        <is>
          <t>Paint</t>
        </is>
      </c>
      <c r="D1438" s="3" t="inlineStr">
        <is>
          <t>Exterior Paint</t>
        </is>
      </c>
      <c r="E1438" s="3" t="inlineStr">
        <is>
          <t>Asian Paint</t>
        </is>
      </c>
      <c r="F1438" s="3" t="inlineStr">
        <is>
          <t>Advanced Dust Proof Apex</t>
        </is>
      </c>
      <c r="H1438" s="3" t="inlineStr">
        <is>
          <t>Volume</t>
        </is>
      </c>
      <c r="I1438" s="3" t="inlineStr">
        <is>
          <t>20 Ltr</t>
        </is>
      </c>
      <c r="J1438" s="3" t="inlineStr">
        <is>
          <t>Color</t>
        </is>
      </c>
      <c r="K1438" s="3" t="inlineStr">
        <is>
          <t>White</t>
        </is>
      </c>
      <c r="Q1438" s="3" t="inlineStr">
        <is>
          <t>Manufacturer's Warranty</t>
        </is>
      </c>
      <c r="Y1438" s="3" t="inlineStr">
        <is>
          <t>EXTPNT_AP_APX_ADVDSTPRF</t>
        </is>
      </c>
      <c r="Z1438" s="3" t="n">
        <v>3209</v>
      </c>
      <c r="AE1438" s="3" t="n">
        <v>8600</v>
      </c>
      <c r="AF1438" s="4" t="n">
        <v>0.39</v>
      </c>
      <c r="AG1438" s="3">
        <f>ROUND(AE1438-(AE1438*AF1438),2)</f>
        <v/>
      </c>
      <c r="AH1438" s="4" t="n">
        <v>0.18</v>
      </c>
      <c r="AI1438" s="3">
        <f>ROUND(AG1438+(AG1438*AH1438),2)</f>
        <v/>
      </c>
      <c r="AJ1438" s="4" t="n">
        <v>0.15</v>
      </c>
      <c r="AK1438" s="3">
        <f>ROUND(AI1438*AJ1438,2)</f>
        <v/>
      </c>
      <c r="AL1438" s="3">
        <f>AI1438+AK1438</f>
        <v/>
      </c>
      <c r="AM1438" s="3">
        <f>AE1438-AL1438</f>
        <v/>
      </c>
      <c r="AN1438" s="4">
        <f>AM1438/AE1438</f>
        <v/>
      </c>
      <c r="AO1438" s="3" t="inlineStr">
        <is>
          <t>60 mins</t>
        </is>
      </c>
      <c r="AQ1438" s="3" t="inlineStr">
        <is>
          <t>Weight</t>
        </is>
      </c>
    </row>
    <row r="1439" ht="15.75" customHeight="1">
      <c r="A1439" s="3" t="inlineStr">
        <is>
          <t>PROD_0276</t>
        </is>
      </c>
      <c r="B1439" s="3" t="inlineStr">
        <is>
          <t>VAR_1</t>
        </is>
      </c>
      <c r="C1439" s="3" t="inlineStr">
        <is>
          <t>Paint</t>
        </is>
      </c>
      <c r="D1439" s="3" t="inlineStr">
        <is>
          <t>Exterior Paint</t>
        </is>
      </c>
      <c r="E1439" s="3" t="inlineStr">
        <is>
          <t>Asian Paint</t>
        </is>
      </c>
      <c r="F1439" s="3" t="inlineStr">
        <is>
          <t>Shyne Dust Proof Apex</t>
        </is>
      </c>
      <c r="H1439" s="3" t="inlineStr">
        <is>
          <t>Volume</t>
        </is>
      </c>
      <c r="I1439" s="3" t="inlineStr">
        <is>
          <t>1 Ltr</t>
        </is>
      </c>
      <c r="J1439" s="3" t="inlineStr">
        <is>
          <t>Color</t>
        </is>
      </c>
      <c r="K1439" s="3" t="inlineStr">
        <is>
          <t>White</t>
        </is>
      </c>
      <c r="Q1439" s="3" t="inlineStr">
        <is>
          <t>Manufacturer's Warranty</t>
        </is>
      </c>
      <c r="Y1439" s="3" t="inlineStr">
        <is>
          <t>EXTPNT_AP_APX_SHNDSTPRF</t>
        </is>
      </c>
      <c r="Z1439" s="3" t="n">
        <v>3209</v>
      </c>
      <c r="AE1439" s="3" t="n">
        <v>509</v>
      </c>
      <c r="AF1439" s="4" t="n">
        <v>0.25</v>
      </c>
      <c r="AG1439" s="3">
        <f>ROUND(AE1439-(AE1439*AF1439),2)</f>
        <v/>
      </c>
      <c r="AH1439" s="4" t="n">
        <v>0.18</v>
      </c>
      <c r="AI1439" s="3">
        <f>ROUND(AG1439+(AG1439*AH1439),2)</f>
        <v/>
      </c>
      <c r="AJ1439" s="4" t="n">
        <v>0.15</v>
      </c>
      <c r="AK1439" s="3">
        <f>ROUND(AI1439*AJ1439,2)</f>
        <v/>
      </c>
      <c r="AL1439" s="3">
        <f>AI1439+AK1439</f>
        <v/>
      </c>
      <c r="AM1439" s="3">
        <f>AE1439-AL1439</f>
        <v/>
      </c>
      <c r="AN1439" s="4">
        <f>AM1439/AE1439</f>
        <v/>
      </c>
      <c r="AO1439" s="3" t="inlineStr">
        <is>
          <t>60 mins</t>
        </is>
      </c>
      <c r="AQ1439" s="3" t="inlineStr">
        <is>
          <t>Weight</t>
        </is>
      </c>
    </row>
    <row r="1440" ht="15.75" customHeight="1">
      <c r="A1440" s="3" t="inlineStr">
        <is>
          <t>PROD_0276</t>
        </is>
      </c>
      <c r="B1440" s="3" t="inlineStr">
        <is>
          <t>VAR_2</t>
        </is>
      </c>
      <c r="C1440" s="3" t="inlineStr">
        <is>
          <t>Paint</t>
        </is>
      </c>
      <c r="D1440" s="3" t="inlineStr">
        <is>
          <t>Exterior Paint</t>
        </is>
      </c>
      <c r="E1440" s="3" t="inlineStr">
        <is>
          <t>Asian Paint</t>
        </is>
      </c>
      <c r="F1440" s="3" t="inlineStr">
        <is>
          <t>Shyne Dust Proof Apex</t>
        </is>
      </c>
      <c r="H1440" s="3" t="inlineStr">
        <is>
          <t>Volume</t>
        </is>
      </c>
      <c r="I1440" s="3" t="inlineStr">
        <is>
          <t>4 Ltr</t>
        </is>
      </c>
      <c r="J1440" s="3" t="inlineStr">
        <is>
          <t>Color</t>
        </is>
      </c>
      <c r="K1440" s="3" t="inlineStr">
        <is>
          <t>White</t>
        </is>
      </c>
      <c r="Q1440" s="3" t="inlineStr">
        <is>
          <t>Manufacturer's Warranty</t>
        </is>
      </c>
      <c r="Y1440" s="3" t="inlineStr">
        <is>
          <t>EXTPNT_AP_APX_SHNDSTPRF</t>
        </is>
      </c>
      <c r="Z1440" s="3" t="n">
        <v>3209</v>
      </c>
      <c r="AE1440" s="3" t="n">
        <v>1924</v>
      </c>
      <c r="AF1440" s="4" t="n">
        <v>0.35</v>
      </c>
      <c r="AG1440" s="3">
        <f>ROUND(AE1440-(AE1440*AF1440),2)</f>
        <v/>
      </c>
      <c r="AH1440" s="4" t="n">
        <v>0.18</v>
      </c>
      <c r="AI1440" s="3">
        <f>ROUND(AG1440+(AG1440*AH1440),2)</f>
        <v/>
      </c>
      <c r="AJ1440" s="4" t="n">
        <v>0.15</v>
      </c>
      <c r="AK1440" s="3">
        <f>ROUND(AI1440*AJ1440,2)</f>
        <v/>
      </c>
      <c r="AL1440" s="3">
        <f>AI1440+AK1440</f>
        <v/>
      </c>
      <c r="AM1440" s="3">
        <f>AE1440-AL1440</f>
        <v/>
      </c>
      <c r="AN1440" s="4">
        <f>AM1440/AE1440</f>
        <v/>
      </c>
      <c r="AO1440" s="3" t="inlineStr">
        <is>
          <t>60 mins</t>
        </is>
      </c>
      <c r="AQ1440" s="3" t="inlineStr">
        <is>
          <t>Weight</t>
        </is>
      </c>
    </row>
    <row r="1441" ht="15.75" customHeight="1">
      <c r="A1441" s="3" t="inlineStr">
        <is>
          <t>PROD_0276</t>
        </is>
      </c>
      <c r="B1441" s="3" t="inlineStr">
        <is>
          <t>VAR_3</t>
        </is>
      </c>
      <c r="C1441" s="3" t="inlineStr">
        <is>
          <t>Paint</t>
        </is>
      </c>
      <c r="D1441" s="3" t="inlineStr">
        <is>
          <t>Exterior Paint</t>
        </is>
      </c>
      <c r="E1441" s="3" t="inlineStr">
        <is>
          <t>Asian Paint</t>
        </is>
      </c>
      <c r="F1441" s="3" t="inlineStr">
        <is>
          <t>Shyne Dust Proof Apex</t>
        </is>
      </c>
      <c r="H1441" s="3" t="inlineStr">
        <is>
          <t>Volume</t>
        </is>
      </c>
      <c r="I1441" s="3" t="inlineStr">
        <is>
          <t>10 Ltr</t>
        </is>
      </c>
      <c r="J1441" s="3" t="inlineStr">
        <is>
          <t>Color</t>
        </is>
      </c>
      <c r="K1441" s="3" t="inlineStr">
        <is>
          <t>White</t>
        </is>
      </c>
      <c r="Q1441" s="3" t="inlineStr">
        <is>
          <t>Manufacturer's Warranty</t>
        </is>
      </c>
      <c r="Y1441" s="3" t="inlineStr">
        <is>
          <t>EXTPNT_AP_APX_SHNDSTPRF</t>
        </is>
      </c>
      <c r="Z1441" s="3" t="n">
        <v>3209</v>
      </c>
      <c r="AE1441" s="3" t="n">
        <v>4600</v>
      </c>
      <c r="AF1441" s="4" t="n">
        <v>0.33</v>
      </c>
      <c r="AG1441" s="3">
        <f>ROUND(AE1441-(AE1441*AF1441),2)</f>
        <v/>
      </c>
      <c r="AH1441" s="4" t="n">
        <v>0.18</v>
      </c>
      <c r="AI1441" s="3">
        <f>ROUND(AG1441+(AG1441*AH1441),2)</f>
        <v/>
      </c>
      <c r="AJ1441" s="4" t="n">
        <v>0.15</v>
      </c>
      <c r="AK1441" s="3">
        <f>ROUND(AI1441*AJ1441,2)</f>
        <v/>
      </c>
      <c r="AL1441" s="3">
        <f>AI1441+AK1441</f>
        <v/>
      </c>
      <c r="AM1441" s="3">
        <f>AE1441-AL1441</f>
        <v/>
      </c>
      <c r="AN1441" s="4">
        <f>AM1441/AE1441</f>
        <v/>
      </c>
      <c r="AO1441" s="3" t="inlineStr">
        <is>
          <t>60 mins</t>
        </is>
      </c>
      <c r="AQ1441" s="3" t="inlineStr">
        <is>
          <t>Weight</t>
        </is>
      </c>
    </row>
    <row r="1442" ht="15.75" customHeight="1">
      <c r="A1442" s="3" t="inlineStr">
        <is>
          <t>PROD_0276</t>
        </is>
      </c>
      <c r="B1442" s="3" t="inlineStr">
        <is>
          <t>VAR_4</t>
        </is>
      </c>
      <c r="C1442" s="3" t="inlineStr">
        <is>
          <t>Paint</t>
        </is>
      </c>
      <c r="D1442" s="3" t="inlineStr">
        <is>
          <t>Exterior Paint</t>
        </is>
      </c>
      <c r="E1442" s="3" t="inlineStr">
        <is>
          <t>Asian Paint</t>
        </is>
      </c>
      <c r="F1442" s="3" t="inlineStr">
        <is>
          <t>Shyne Dust Proof Apex</t>
        </is>
      </c>
      <c r="H1442" s="3" t="inlineStr">
        <is>
          <t>Volume</t>
        </is>
      </c>
      <c r="I1442" s="3" t="inlineStr">
        <is>
          <t>20 Ltr</t>
        </is>
      </c>
      <c r="J1442" s="3" t="inlineStr">
        <is>
          <t>Color</t>
        </is>
      </c>
      <c r="K1442" s="3" t="inlineStr">
        <is>
          <t>White</t>
        </is>
      </c>
      <c r="Q1442" s="3" t="inlineStr">
        <is>
          <t>Manufacturer's Warranty</t>
        </is>
      </c>
      <c r="Y1442" s="3" t="inlineStr">
        <is>
          <t>EXTPNT_AP_APX_SHNDSTPRF</t>
        </is>
      </c>
      <c r="Z1442" s="3" t="n">
        <v>3209</v>
      </c>
      <c r="AE1442" s="3" t="n">
        <v>8710</v>
      </c>
      <c r="AF1442" s="4" t="n">
        <v>0.39</v>
      </c>
      <c r="AG1442" s="3">
        <f>ROUND(AE1442-(AE1442*AF1442),2)</f>
        <v/>
      </c>
      <c r="AH1442" s="4" t="n">
        <v>0.18</v>
      </c>
      <c r="AI1442" s="3">
        <f>ROUND(AG1442+(AG1442*AH1442),2)</f>
        <v/>
      </c>
      <c r="AJ1442" s="4" t="n">
        <v>0.15</v>
      </c>
      <c r="AK1442" s="3">
        <f>ROUND(AI1442*AJ1442,2)</f>
        <v/>
      </c>
      <c r="AL1442" s="3">
        <f>AI1442+AK1442</f>
        <v/>
      </c>
      <c r="AM1442" s="3">
        <f>AE1442-AL1442</f>
        <v/>
      </c>
      <c r="AN1442" s="4">
        <f>AM1442/AE1442</f>
        <v/>
      </c>
      <c r="AO1442" s="3" t="inlineStr">
        <is>
          <t>60 mins</t>
        </is>
      </c>
      <c r="AQ1442" s="3" t="inlineStr">
        <is>
          <t>Weight</t>
        </is>
      </c>
    </row>
    <row r="1443" ht="15.75" customHeight="1">
      <c r="A1443" s="3" t="inlineStr">
        <is>
          <t>PROD_0277</t>
        </is>
      </c>
      <c r="B1443" s="3" t="inlineStr">
        <is>
          <t>VAR_1</t>
        </is>
      </c>
      <c r="C1443" s="3" t="inlineStr">
        <is>
          <t>Paint</t>
        </is>
      </c>
      <c r="D1443" s="3" t="inlineStr">
        <is>
          <t>Exterior Paint</t>
        </is>
      </c>
      <c r="E1443" s="3" t="inlineStr">
        <is>
          <t>Asian Paint</t>
        </is>
      </c>
      <c r="F1443" s="3" t="inlineStr">
        <is>
          <t>Protek Advanced Ultima</t>
        </is>
      </c>
      <c r="H1443" s="3" t="inlineStr">
        <is>
          <t>Volume</t>
        </is>
      </c>
      <c r="I1443" s="3" t="inlineStr">
        <is>
          <t>1 Ltr</t>
        </is>
      </c>
      <c r="J1443" s="3" t="inlineStr">
        <is>
          <t>Color</t>
        </is>
      </c>
      <c r="K1443" s="3" t="inlineStr">
        <is>
          <t>White</t>
        </is>
      </c>
      <c r="Q1443" s="3" t="inlineStr">
        <is>
          <t>Manufacturer's Warranty</t>
        </is>
      </c>
      <c r="Y1443" s="3" t="inlineStr">
        <is>
          <t>EXTPNT_AP_ULT_PRTKADV</t>
        </is>
      </c>
      <c r="Z1443" s="3" t="n">
        <v>3209</v>
      </c>
      <c r="AE1443" s="3" t="n">
        <v>844</v>
      </c>
      <c r="AF1443" s="4" t="n">
        <v>0.25</v>
      </c>
      <c r="AG1443" s="3">
        <f>ROUND(AE1443-(AE1443*AF1443),2)</f>
        <v/>
      </c>
      <c r="AH1443" s="4" t="n">
        <v>0.18</v>
      </c>
      <c r="AI1443" s="3">
        <f>ROUND(AG1443+(AG1443*AH1443),2)</f>
        <v/>
      </c>
      <c r="AJ1443" s="4" t="n">
        <v>0.15</v>
      </c>
      <c r="AK1443" s="3">
        <f>ROUND(AI1443*AJ1443,2)</f>
        <v/>
      </c>
      <c r="AL1443" s="3">
        <f>AI1443+AK1443</f>
        <v/>
      </c>
      <c r="AM1443" s="3">
        <f>AE1443-AL1443</f>
        <v/>
      </c>
      <c r="AN1443" s="4">
        <f>AM1443/AE1443</f>
        <v/>
      </c>
      <c r="AO1443" s="3" t="inlineStr">
        <is>
          <t>60 mins</t>
        </is>
      </c>
      <c r="AQ1443" s="3" t="inlineStr">
        <is>
          <t>Weight</t>
        </is>
      </c>
    </row>
    <row r="1444" ht="15.75" customHeight="1">
      <c r="A1444" s="3" t="inlineStr">
        <is>
          <t>PROD_0277</t>
        </is>
      </c>
      <c r="B1444" s="3" t="inlineStr">
        <is>
          <t>VAR_2</t>
        </is>
      </c>
      <c r="C1444" s="3" t="inlineStr">
        <is>
          <t>Paint</t>
        </is>
      </c>
      <c r="D1444" s="3" t="inlineStr">
        <is>
          <t>Exterior Paint</t>
        </is>
      </c>
      <c r="E1444" s="3" t="inlineStr">
        <is>
          <t>Asian Paint</t>
        </is>
      </c>
      <c r="F1444" s="3" t="inlineStr">
        <is>
          <t>Protek Advanced Ultima</t>
        </is>
      </c>
      <c r="H1444" s="3" t="inlineStr">
        <is>
          <t>Volume</t>
        </is>
      </c>
      <c r="I1444" s="3" t="inlineStr">
        <is>
          <t>4 Ltr</t>
        </is>
      </c>
      <c r="J1444" s="3" t="inlineStr">
        <is>
          <t>Color</t>
        </is>
      </c>
      <c r="K1444" s="3" t="inlineStr">
        <is>
          <t>White</t>
        </is>
      </c>
      <c r="Q1444" s="3" t="inlineStr">
        <is>
          <t>Manufacturer's Warranty</t>
        </is>
      </c>
      <c r="Y1444" s="3" t="inlineStr">
        <is>
          <t>EXTPNT_AP_ULT_PRTKADV</t>
        </is>
      </c>
      <c r="Z1444" s="3" t="n">
        <v>3209</v>
      </c>
      <c r="AE1444" s="3" t="n">
        <v>3100</v>
      </c>
      <c r="AF1444" s="4" t="n">
        <v>0.35</v>
      </c>
      <c r="AG1444" s="3">
        <f>ROUND(AE1444-(AE1444*AF1444),2)</f>
        <v/>
      </c>
      <c r="AH1444" s="4" t="n">
        <v>0.18</v>
      </c>
      <c r="AI1444" s="3">
        <f>ROUND(AG1444+(AG1444*AH1444),2)</f>
        <v/>
      </c>
      <c r="AJ1444" s="4" t="n">
        <v>0.15</v>
      </c>
      <c r="AK1444" s="3">
        <f>ROUND(AI1444*AJ1444,2)</f>
        <v/>
      </c>
      <c r="AL1444" s="3">
        <f>AI1444+AK1444</f>
        <v/>
      </c>
      <c r="AM1444" s="3">
        <f>AE1444-AL1444</f>
        <v/>
      </c>
      <c r="AN1444" s="4">
        <f>AM1444/AE1444</f>
        <v/>
      </c>
      <c r="AO1444" s="3" t="inlineStr">
        <is>
          <t>60 mins</t>
        </is>
      </c>
      <c r="AQ1444" s="3" t="inlineStr">
        <is>
          <t>Weight</t>
        </is>
      </c>
    </row>
    <row r="1445" ht="15.75" customHeight="1">
      <c r="A1445" s="3" t="inlineStr">
        <is>
          <t>PROD_0277</t>
        </is>
      </c>
      <c r="B1445" s="3" t="inlineStr">
        <is>
          <t>VAR_3</t>
        </is>
      </c>
      <c r="C1445" s="3" t="inlineStr">
        <is>
          <t>Paint</t>
        </is>
      </c>
      <c r="D1445" s="3" t="inlineStr">
        <is>
          <t>Exterior Paint</t>
        </is>
      </c>
      <c r="E1445" s="3" t="inlineStr">
        <is>
          <t>Asian Paint</t>
        </is>
      </c>
      <c r="F1445" s="3" t="inlineStr">
        <is>
          <t>Protek Advanced Ultima</t>
        </is>
      </c>
      <c r="H1445" s="3" t="inlineStr">
        <is>
          <t>Volume</t>
        </is>
      </c>
      <c r="I1445" s="3" t="inlineStr">
        <is>
          <t>10 Ltr</t>
        </is>
      </c>
      <c r="J1445" s="3" t="inlineStr">
        <is>
          <t>Color</t>
        </is>
      </c>
      <c r="K1445" s="3" t="inlineStr">
        <is>
          <t>White</t>
        </is>
      </c>
      <c r="Q1445" s="3" t="inlineStr">
        <is>
          <t>Manufacturer's Warranty</t>
        </is>
      </c>
      <c r="Y1445" s="3" t="inlineStr">
        <is>
          <t>EXTPNT_AP_ULT_PRTKADV</t>
        </is>
      </c>
      <c r="Z1445" s="3" t="n">
        <v>3209</v>
      </c>
      <c r="AE1445" s="3" t="n">
        <v>7242</v>
      </c>
      <c r="AF1445" s="4" t="n">
        <v>0.33</v>
      </c>
      <c r="AG1445" s="3">
        <f>ROUND(AE1445-(AE1445*AF1445),2)</f>
        <v/>
      </c>
      <c r="AH1445" s="4" t="n">
        <v>0.18</v>
      </c>
      <c r="AI1445" s="3">
        <f>ROUND(AG1445+(AG1445*AH1445),2)</f>
        <v/>
      </c>
      <c r="AJ1445" s="4" t="n">
        <v>0.15</v>
      </c>
      <c r="AK1445" s="3">
        <f>ROUND(AI1445*AJ1445,2)</f>
        <v/>
      </c>
      <c r="AL1445" s="3">
        <f>AI1445+AK1445</f>
        <v/>
      </c>
      <c r="AM1445" s="3">
        <f>AE1445-AL1445</f>
        <v/>
      </c>
      <c r="AN1445" s="4">
        <f>AM1445/AE1445</f>
        <v/>
      </c>
      <c r="AO1445" s="3" t="inlineStr">
        <is>
          <t>60 mins</t>
        </is>
      </c>
      <c r="AQ1445" s="3" t="inlineStr">
        <is>
          <t>Weight</t>
        </is>
      </c>
    </row>
    <row r="1446" ht="15.75" customHeight="1">
      <c r="A1446" s="3" t="inlineStr">
        <is>
          <t>PROD_0277</t>
        </is>
      </c>
      <c r="B1446" s="3" t="inlineStr">
        <is>
          <t>VAR_4</t>
        </is>
      </c>
      <c r="C1446" s="3" t="inlineStr">
        <is>
          <t>Paint</t>
        </is>
      </c>
      <c r="D1446" s="3" t="inlineStr">
        <is>
          <t>Exterior Paint</t>
        </is>
      </c>
      <c r="E1446" s="3" t="inlineStr">
        <is>
          <t>Asian Paint</t>
        </is>
      </c>
      <c r="F1446" s="3" t="inlineStr">
        <is>
          <t>Protek Advanced Ultima</t>
        </is>
      </c>
      <c r="H1446" s="3" t="inlineStr">
        <is>
          <t>Volume</t>
        </is>
      </c>
      <c r="I1446" s="3" t="inlineStr">
        <is>
          <t>20 Ltr</t>
        </is>
      </c>
      <c r="J1446" s="3" t="inlineStr">
        <is>
          <t>Color</t>
        </is>
      </c>
      <c r="K1446" s="3" t="inlineStr">
        <is>
          <t>White</t>
        </is>
      </c>
      <c r="Q1446" s="3" t="inlineStr">
        <is>
          <t>Manufacturer's Warranty</t>
        </is>
      </c>
      <c r="Y1446" s="3" t="inlineStr">
        <is>
          <t>EXTPNT_AP_ULT_PRTKADV</t>
        </is>
      </c>
      <c r="Z1446" s="3" t="n">
        <v>3209</v>
      </c>
      <c r="AE1446" s="3" t="n">
        <v>14000</v>
      </c>
      <c r="AF1446" s="4" t="n">
        <v>0.39</v>
      </c>
      <c r="AG1446" s="3">
        <f>ROUND(AE1446-(AE1446*AF1446),2)</f>
        <v/>
      </c>
      <c r="AH1446" s="4" t="n">
        <v>0.18</v>
      </c>
      <c r="AI1446" s="3">
        <f>ROUND(AG1446+(AG1446*AH1446),2)</f>
        <v/>
      </c>
      <c r="AJ1446" s="4" t="n">
        <v>0.15</v>
      </c>
      <c r="AK1446" s="3">
        <f>ROUND(AI1446*AJ1446,2)</f>
        <v/>
      </c>
      <c r="AL1446" s="3">
        <f>AI1446+AK1446</f>
        <v/>
      </c>
      <c r="AM1446" s="3">
        <f>AE1446-AL1446</f>
        <v/>
      </c>
      <c r="AN1446" s="4">
        <f>AM1446/AE1446</f>
        <v/>
      </c>
      <c r="AO1446" s="3" t="inlineStr">
        <is>
          <t>60 mins</t>
        </is>
      </c>
      <c r="AQ1446" s="3" t="inlineStr">
        <is>
          <t>Weight</t>
        </is>
      </c>
    </row>
    <row r="1447" ht="15.75" customHeight="1">
      <c r="A1447" s="3" t="inlineStr">
        <is>
          <t>PROD_0278</t>
        </is>
      </c>
      <c r="B1447" s="3" t="inlineStr">
        <is>
          <t>VAR_1</t>
        </is>
      </c>
      <c r="C1447" s="3" t="inlineStr">
        <is>
          <t>Paint</t>
        </is>
      </c>
      <c r="D1447" s="3" t="inlineStr">
        <is>
          <t>Exterior Paint</t>
        </is>
      </c>
      <c r="E1447" s="3" t="inlineStr">
        <is>
          <t>Asian Paint</t>
        </is>
      </c>
      <c r="F1447" s="3" t="inlineStr">
        <is>
          <t>Apex Ultima Ultima</t>
        </is>
      </c>
      <c r="H1447" s="3" t="inlineStr">
        <is>
          <t>Volume</t>
        </is>
      </c>
      <c r="I1447" s="3" t="inlineStr">
        <is>
          <t>1 Ltr</t>
        </is>
      </c>
      <c r="J1447" s="3" t="inlineStr">
        <is>
          <t>Color</t>
        </is>
      </c>
      <c r="K1447" s="3" t="inlineStr">
        <is>
          <t>White</t>
        </is>
      </c>
      <c r="Q1447" s="3" t="inlineStr">
        <is>
          <t>Manufacturer's Warranty</t>
        </is>
      </c>
      <c r="Y1447" s="3" t="inlineStr">
        <is>
          <t>EXTPNT_AP_ULT_APX</t>
        </is>
      </c>
      <c r="Z1447" s="3" t="n">
        <v>3209</v>
      </c>
      <c r="AE1447" s="3" t="n">
        <v>700</v>
      </c>
      <c r="AF1447" s="4" t="n">
        <v>0.25</v>
      </c>
      <c r="AG1447" s="3">
        <f>ROUND(AE1447-(AE1447*AF1447),2)</f>
        <v/>
      </c>
      <c r="AH1447" s="4" t="n">
        <v>0.18</v>
      </c>
      <c r="AI1447" s="3">
        <f>ROUND(AG1447+(AG1447*AH1447),2)</f>
        <v/>
      </c>
      <c r="AJ1447" s="4" t="n">
        <v>0.15</v>
      </c>
      <c r="AK1447" s="3">
        <f>ROUND(AI1447*AJ1447,2)</f>
        <v/>
      </c>
      <c r="AL1447" s="3">
        <f>AI1447+AK1447</f>
        <v/>
      </c>
      <c r="AM1447" s="3">
        <f>AE1447-AL1447</f>
        <v/>
      </c>
      <c r="AN1447" s="4">
        <f>AM1447/AE1447</f>
        <v/>
      </c>
      <c r="AO1447" s="3" t="inlineStr">
        <is>
          <t>60 mins</t>
        </is>
      </c>
      <c r="AQ1447" s="3" t="inlineStr">
        <is>
          <t>Weight</t>
        </is>
      </c>
    </row>
    <row r="1448" ht="15.75" customHeight="1">
      <c r="A1448" s="3" t="inlineStr">
        <is>
          <t>PROD_0278</t>
        </is>
      </c>
      <c r="B1448" s="3" t="inlineStr">
        <is>
          <t>VAR_2</t>
        </is>
      </c>
      <c r="C1448" s="3" t="inlineStr">
        <is>
          <t>Paint</t>
        </is>
      </c>
      <c r="D1448" s="3" t="inlineStr">
        <is>
          <t>Exterior Paint</t>
        </is>
      </c>
      <c r="E1448" s="3" t="inlineStr">
        <is>
          <t>Asian Paint</t>
        </is>
      </c>
      <c r="F1448" s="3" t="inlineStr">
        <is>
          <t>Apex Ultima Ultima</t>
        </is>
      </c>
      <c r="H1448" s="3" t="inlineStr">
        <is>
          <t>Volume</t>
        </is>
      </c>
      <c r="I1448" s="3" t="inlineStr">
        <is>
          <t>4 Ltr</t>
        </is>
      </c>
      <c r="J1448" s="3" t="inlineStr">
        <is>
          <t>Color</t>
        </is>
      </c>
      <c r="K1448" s="3" t="inlineStr">
        <is>
          <t>White</t>
        </is>
      </c>
      <c r="Q1448" s="3" t="inlineStr">
        <is>
          <t>Manufacturer's Warranty</t>
        </is>
      </c>
      <c r="Y1448" s="3" t="inlineStr">
        <is>
          <t>EXTPNT_AP_ULT_APX</t>
        </is>
      </c>
      <c r="Z1448" s="3" t="n">
        <v>3209</v>
      </c>
      <c r="AE1448" s="3" t="n">
        <v>2735</v>
      </c>
      <c r="AF1448" s="4" t="n">
        <v>0.35</v>
      </c>
      <c r="AG1448" s="3">
        <f>ROUND(AE1448-(AE1448*AF1448),2)</f>
        <v/>
      </c>
      <c r="AH1448" s="4" t="n">
        <v>0.18</v>
      </c>
      <c r="AI1448" s="3">
        <f>ROUND(AG1448+(AG1448*AH1448),2)</f>
        <v/>
      </c>
      <c r="AJ1448" s="4" t="n">
        <v>0.15</v>
      </c>
      <c r="AK1448" s="3">
        <f>ROUND(AI1448*AJ1448,2)</f>
        <v/>
      </c>
      <c r="AL1448" s="3">
        <f>AI1448+AK1448</f>
        <v/>
      </c>
      <c r="AM1448" s="3">
        <f>AE1448-AL1448</f>
        <v/>
      </c>
      <c r="AN1448" s="4">
        <f>AM1448/AE1448</f>
        <v/>
      </c>
      <c r="AO1448" s="3" t="inlineStr">
        <is>
          <t>60 mins</t>
        </is>
      </c>
      <c r="AQ1448" s="3" t="inlineStr">
        <is>
          <t>Weight</t>
        </is>
      </c>
    </row>
    <row r="1449" ht="15.75" customHeight="1">
      <c r="A1449" s="3" t="inlineStr">
        <is>
          <t>PROD_0278</t>
        </is>
      </c>
      <c r="B1449" s="3" t="inlineStr">
        <is>
          <t>VAR_3</t>
        </is>
      </c>
      <c r="C1449" s="3" t="inlineStr">
        <is>
          <t>Paint</t>
        </is>
      </c>
      <c r="D1449" s="3" t="inlineStr">
        <is>
          <t>Exterior Paint</t>
        </is>
      </c>
      <c r="E1449" s="3" t="inlineStr">
        <is>
          <t>Asian Paint</t>
        </is>
      </c>
      <c r="F1449" s="3" t="inlineStr">
        <is>
          <t>Apex Ultima Ultima</t>
        </is>
      </c>
      <c r="H1449" s="3" t="inlineStr">
        <is>
          <t>Volume</t>
        </is>
      </c>
      <c r="I1449" s="3" t="inlineStr">
        <is>
          <t>10 Ltr</t>
        </is>
      </c>
      <c r="J1449" s="3" t="inlineStr">
        <is>
          <t>Color</t>
        </is>
      </c>
      <c r="K1449" s="3" t="inlineStr">
        <is>
          <t>White</t>
        </is>
      </c>
      <c r="Q1449" s="3" t="inlineStr">
        <is>
          <t>Manufacturer's Warranty</t>
        </is>
      </c>
      <c r="Y1449" s="3" t="inlineStr">
        <is>
          <t>EXTPNT_AP_ULT_APX</t>
        </is>
      </c>
      <c r="Z1449" s="3" t="n">
        <v>3209</v>
      </c>
      <c r="AE1449" s="3" t="n">
        <v>6590</v>
      </c>
      <c r="AF1449" s="4" t="n">
        <v>0.33</v>
      </c>
      <c r="AG1449" s="3">
        <f>ROUND(AE1449-(AE1449*AF1449),2)</f>
        <v/>
      </c>
      <c r="AH1449" s="4" t="n">
        <v>0.18</v>
      </c>
      <c r="AI1449" s="3">
        <f>ROUND(AG1449+(AG1449*AH1449),2)</f>
        <v/>
      </c>
      <c r="AJ1449" s="4" t="n">
        <v>0.15</v>
      </c>
      <c r="AK1449" s="3">
        <f>ROUND(AI1449*AJ1449,2)</f>
        <v/>
      </c>
      <c r="AL1449" s="3">
        <f>AI1449+AK1449</f>
        <v/>
      </c>
      <c r="AM1449" s="3">
        <f>AE1449-AL1449</f>
        <v/>
      </c>
      <c r="AN1449" s="4">
        <f>AM1449/AE1449</f>
        <v/>
      </c>
      <c r="AO1449" s="3" t="inlineStr">
        <is>
          <t>60 mins</t>
        </is>
      </c>
      <c r="AQ1449" s="3" t="inlineStr">
        <is>
          <t>Weight</t>
        </is>
      </c>
    </row>
    <row r="1450" ht="15.75" customHeight="1">
      <c r="A1450" s="3" t="inlineStr">
        <is>
          <t>PROD_0278</t>
        </is>
      </c>
      <c r="B1450" s="3" t="inlineStr">
        <is>
          <t>VAR_4</t>
        </is>
      </c>
      <c r="C1450" s="3" t="inlineStr">
        <is>
          <t>Paint</t>
        </is>
      </c>
      <c r="D1450" s="3" t="inlineStr">
        <is>
          <t>Exterior Paint</t>
        </is>
      </c>
      <c r="E1450" s="3" t="inlineStr">
        <is>
          <t>Asian Paint</t>
        </is>
      </c>
      <c r="F1450" s="3" t="inlineStr">
        <is>
          <t>Apex Ultima Ultima</t>
        </is>
      </c>
      <c r="H1450" s="3" t="inlineStr">
        <is>
          <t>Volume</t>
        </is>
      </c>
      <c r="I1450" s="3" t="inlineStr">
        <is>
          <t>20 Ltr</t>
        </is>
      </c>
      <c r="J1450" s="3" t="inlineStr">
        <is>
          <t>Color</t>
        </is>
      </c>
      <c r="K1450" s="3" t="inlineStr">
        <is>
          <t>White</t>
        </is>
      </c>
      <c r="Q1450" s="3" t="inlineStr">
        <is>
          <t>Manufacturer's Warranty</t>
        </is>
      </c>
      <c r="Y1450" s="3" t="inlineStr">
        <is>
          <t>EXTPNT_AP_ULT_APX</t>
        </is>
      </c>
      <c r="Z1450" s="3" t="n">
        <v>3209</v>
      </c>
      <c r="AE1450" s="3" t="n">
        <v>12710</v>
      </c>
      <c r="AF1450" s="4" t="n">
        <v>0.39</v>
      </c>
      <c r="AG1450" s="3">
        <f>ROUND(AE1450-(AE1450*AF1450),2)</f>
        <v/>
      </c>
      <c r="AH1450" s="4" t="n">
        <v>0.18</v>
      </c>
      <c r="AI1450" s="3">
        <f>ROUND(AG1450+(AG1450*AH1450),2)</f>
        <v/>
      </c>
      <c r="AJ1450" s="4" t="n">
        <v>0.15</v>
      </c>
      <c r="AK1450" s="3">
        <f>ROUND(AI1450*AJ1450,2)</f>
        <v/>
      </c>
      <c r="AL1450" s="3">
        <f>AI1450+AK1450</f>
        <v/>
      </c>
      <c r="AM1450" s="3">
        <f>AE1450-AL1450</f>
        <v/>
      </c>
      <c r="AN1450" s="4">
        <f>AM1450/AE1450</f>
        <v/>
      </c>
      <c r="AO1450" s="3" t="inlineStr">
        <is>
          <t>60 mins</t>
        </is>
      </c>
      <c r="AQ1450" s="3" t="inlineStr">
        <is>
          <t>Weight</t>
        </is>
      </c>
    </row>
    <row r="1451" ht="15.75" customHeight="1">
      <c r="A1451" s="3" t="inlineStr">
        <is>
          <t>PROD_0279</t>
        </is>
      </c>
      <c r="B1451" s="3" t="inlineStr">
        <is>
          <t>VAR_1</t>
        </is>
      </c>
      <c r="C1451" s="3" t="inlineStr">
        <is>
          <t>Paint</t>
        </is>
      </c>
      <c r="D1451" s="3" t="inlineStr">
        <is>
          <t>Exterior Paint</t>
        </is>
      </c>
      <c r="E1451" s="3" t="inlineStr">
        <is>
          <t>Birla Ocus</t>
        </is>
      </c>
      <c r="F1451" s="3" t="inlineStr">
        <is>
          <t>One True Life Emulsion</t>
        </is>
      </c>
      <c r="H1451" s="3" t="inlineStr">
        <is>
          <t>Volume</t>
        </is>
      </c>
      <c r="I1451" s="3" t="inlineStr">
        <is>
          <t>1 Ltr</t>
        </is>
      </c>
      <c r="J1451" s="3" t="inlineStr">
        <is>
          <t>Color</t>
        </is>
      </c>
      <c r="K1451" s="3" t="inlineStr">
        <is>
          <t>White</t>
        </is>
      </c>
      <c r="Q1451" s="3" t="inlineStr">
        <is>
          <t>Manufacturer's Warranty</t>
        </is>
      </c>
      <c r="Y1451" s="3" t="inlineStr">
        <is>
          <t>EXTPNT_BRLOP_EML_ONTRLF</t>
        </is>
      </c>
      <c r="Z1451" s="3" t="n">
        <v>3209</v>
      </c>
      <c r="AE1451" s="3" t="n">
        <v>383</v>
      </c>
      <c r="AF1451" s="4" t="n">
        <v>0.31</v>
      </c>
      <c r="AG1451" s="3">
        <f>ROUND(AE1451-(AE1451*AF1451),2)</f>
        <v/>
      </c>
      <c r="AH1451" s="4" t="n">
        <v>0.18</v>
      </c>
      <c r="AI1451" s="3">
        <f>ROUND(AG1451+(AG1451*AH1451),2)</f>
        <v/>
      </c>
      <c r="AJ1451" s="4" t="n">
        <v>0.15</v>
      </c>
      <c r="AK1451" s="3">
        <f>ROUND(AI1451*AJ1451,2)</f>
        <v/>
      </c>
      <c r="AL1451" s="3">
        <f>AI1451+AK1451</f>
        <v/>
      </c>
      <c r="AM1451" s="3">
        <f>AE1451-AL1451</f>
        <v/>
      </c>
      <c r="AN1451" s="4">
        <f>AM1451/AE1451</f>
        <v/>
      </c>
      <c r="AO1451" s="3" t="inlineStr">
        <is>
          <t>60 mins</t>
        </is>
      </c>
      <c r="AQ1451" s="3" t="inlineStr">
        <is>
          <t>Weight</t>
        </is>
      </c>
    </row>
    <row r="1452" ht="15.75" customHeight="1">
      <c r="A1452" s="3" t="inlineStr">
        <is>
          <t>PROD_0279</t>
        </is>
      </c>
      <c r="B1452" s="3" t="inlineStr">
        <is>
          <t>VAR_2</t>
        </is>
      </c>
      <c r="C1452" s="3" t="inlineStr">
        <is>
          <t>Paint</t>
        </is>
      </c>
      <c r="D1452" s="3" t="inlineStr">
        <is>
          <t>Exterior Paint</t>
        </is>
      </c>
      <c r="E1452" s="3" t="inlineStr">
        <is>
          <t>Birla Ocus</t>
        </is>
      </c>
      <c r="F1452" s="3" t="inlineStr">
        <is>
          <t>One True Life Emulsion</t>
        </is>
      </c>
      <c r="H1452" s="3" t="inlineStr">
        <is>
          <t>Volume</t>
        </is>
      </c>
      <c r="I1452" s="3" t="inlineStr">
        <is>
          <t>4 Ltr</t>
        </is>
      </c>
      <c r="J1452" s="3" t="inlineStr">
        <is>
          <t>Color</t>
        </is>
      </c>
      <c r="K1452" s="3" t="inlineStr">
        <is>
          <t>White</t>
        </is>
      </c>
      <c r="Q1452" s="3" t="inlineStr">
        <is>
          <t>Manufacturer's Warranty</t>
        </is>
      </c>
      <c r="Y1452" s="3" t="inlineStr">
        <is>
          <t>EXTPNT_BRLOP_EML_ONTRLF</t>
        </is>
      </c>
      <c r="Z1452" s="3" t="n">
        <v>3209</v>
      </c>
      <c r="AE1452" s="3" t="n">
        <v>1524</v>
      </c>
      <c r="AF1452" s="4" t="n">
        <v>0.36</v>
      </c>
      <c r="AG1452" s="3">
        <f>ROUND(AE1452-(AE1452*AF1452),2)</f>
        <v/>
      </c>
      <c r="AH1452" s="4" t="n">
        <v>0.18</v>
      </c>
      <c r="AI1452" s="3">
        <f>ROUND(AG1452+(AG1452*AH1452),2)</f>
        <v/>
      </c>
      <c r="AJ1452" s="4" t="n">
        <v>0.15</v>
      </c>
      <c r="AK1452" s="3">
        <f>ROUND(AI1452*AJ1452,2)</f>
        <v/>
      </c>
      <c r="AL1452" s="3">
        <f>AI1452+AK1452</f>
        <v/>
      </c>
      <c r="AM1452" s="3">
        <f>AE1452-AL1452</f>
        <v/>
      </c>
      <c r="AN1452" s="4">
        <f>AM1452/AE1452</f>
        <v/>
      </c>
      <c r="AO1452" s="3" t="inlineStr">
        <is>
          <t>60 mins</t>
        </is>
      </c>
      <c r="AQ1452" s="3" t="inlineStr">
        <is>
          <t>Weight</t>
        </is>
      </c>
    </row>
    <row r="1453" ht="15.75" customHeight="1">
      <c r="A1453" s="3" t="inlineStr">
        <is>
          <t>PROD_0279</t>
        </is>
      </c>
      <c r="B1453" s="3" t="inlineStr">
        <is>
          <t>VAR_3</t>
        </is>
      </c>
      <c r="C1453" s="3" t="inlineStr">
        <is>
          <t>Paint</t>
        </is>
      </c>
      <c r="D1453" s="3" t="inlineStr">
        <is>
          <t>Exterior Paint</t>
        </is>
      </c>
      <c r="E1453" s="3" t="inlineStr">
        <is>
          <t>Birla Ocus</t>
        </is>
      </c>
      <c r="F1453" s="3" t="inlineStr">
        <is>
          <t>One True Life Emulsion</t>
        </is>
      </c>
      <c r="H1453" s="3" t="inlineStr">
        <is>
          <t>Volume</t>
        </is>
      </c>
      <c r="I1453" s="3" t="inlineStr">
        <is>
          <t>10 Ltr</t>
        </is>
      </c>
      <c r="J1453" s="3" t="inlineStr">
        <is>
          <t>Color</t>
        </is>
      </c>
      <c r="K1453" s="3" t="inlineStr">
        <is>
          <t>White</t>
        </is>
      </c>
      <c r="Q1453" s="3" t="inlineStr">
        <is>
          <t>Manufacturer's Warranty</t>
        </is>
      </c>
      <c r="Y1453" s="3" t="inlineStr">
        <is>
          <t>EXTPNT_BRLOP_EML_ONTRLF</t>
        </is>
      </c>
      <c r="Z1453" s="3" t="n">
        <v>3209</v>
      </c>
      <c r="AE1453" s="3" t="n">
        <v>3634</v>
      </c>
      <c r="AF1453" s="4" t="n">
        <v>0.39</v>
      </c>
      <c r="AG1453" s="3">
        <f>ROUND(AE1453-(AE1453*AF1453),2)</f>
        <v/>
      </c>
      <c r="AH1453" s="4" t="n">
        <v>0.18</v>
      </c>
      <c r="AI1453" s="3">
        <f>ROUND(AG1453+(AG1453*AH1453),2)</f>
        <v/>
      </c>
      <c r="AJ1453" s="4" t="n">
        <v>0.15</v>
      </c>
      <c r="AK1453" s="3">
        <f>ROUND(AI1453*AJ1453,2)</f>
        <v/>
      </c>
      <c r="AL1453" s="3">
        <f>AI1453+AK1453</f>
        <v/>
      </c>
      <c r="AM1453" s="3">
        <f>AE1453-AL1453</f>
        <v/>
      </c>
      <c r="AN1453" s="4">
        <f>AM1453/AE1453</f>
        <v/>
      </c>
      <c r="AO1453" s="3" t="inlineStr">
        <is>
          <t>60 mins</t>
        </is>
      </c>
      <c r="AQ1453" s="3" t="inlineStr">
        <is>
          <t>Weight</t>
        </is>
      </c>
    </row>
    <row r="1454" ht="15.75" customHeight="1">
      <c r="A1454" s="3" t="inlineStr">
        <is>
          <t>PROD_0279</t>
        </is>
      </c>
      <c r="B1454" s="3" t="inlineStr">
        <is>
          <t>VAR_4</t>
        </is>
      </c>
      <c r="C1454" s="3" t="inlineStr">
        <is>
          <t>Paint</t>
        </is>
      </c>
      <c r="D1454" s="3" t="inlineStr">
        <is>
          <t>Exterior Paint</t>
        </is>
      </c>
      <c r="E1454" s="3" t="inlineStr">
        <is>
          <t>Birla Ocus</t>
        </is>
      </c>
      <c r="F1454" s="3" t="inlineStr">
        <is>
          <t>One True Life Emulsion</t>
        </is>
      </c>
      <c r="H1454" s="3" t="inlineStr">
        <is>
          <t>Volume</t>
        </is>
      </c>
      <c r="I1454" s="3" t="inlineStr">
        <is>
          <t>20 Ltr</t>
        </is>
      </c>
      <c r="J1454" s="3" t="inlineStr">
        <is>
          <t>Color</t>
        </is>
      </c>
      <c r="K1454" s="3" t="inlineStr">
        <is>
          <t>White</t>
        </is>
      </c>
      <c r="Q1454" s="3" t="inlineStr">
        <is>
          <t>Manufacturer's Warranty</t>
        </is>
      </c>
      <c r="Y1454" s="3" t="inlineStr">
        <is>
          <t>EXTPNT_BRLOP_EML_ONTRLF</t>
        </is>
      </c>
      <c r="Z1454" s="3" t="n">
        <v>3209</v>
      </c>
      <c r="AE1454" s="3" t="n">
        <v>6956</v>
      </c>
      <c r="AF1454" s="4" t="n">
        <v>0.47</v>
      </c>
      <c r="AG1454" s="3">
        <f>ROUND(AE1454-(AE1454*AF1454),2)</f>
        <v/>
      </c>
      <c r="AH1454" s="4" t="n">
        <v>0.18</v>
      </c>
      <c r="AI1454" s="3">
        <f>ROUND(AG1454+(AG1454*AH1454),2)</f>
        <v/>
      </c>
      <c r="AJ1454" s="4" t="n">
        <v>0.15</v>
      </c>
      <c r="AK1454" s="3">
        <f>ROUND(AI1454*AJ1454,2)</f>
        <v/>
      </c>
      <c r="AL1454" s="3">
        <f>AI1454+AK1454</f>
        <v/>
      </c>
      <c r="AM1454" s="3">
        <f>AE1454-AL1454</f>
        <v/>
      </c>
      <c r="AN1454" s="4">
        <f>AM1454/AE1454</f>
        <v/>
      </c>
      <c r="AO1454" s="3" t="inlineStr">
        <is>
          <t>60 mins</t>
        </is>
      </c>
      <c r="AQ1454" s="3" t="inlineStr">
        <is>
          <t>Weight</t>
        </is>
      </c>
    </row>
    <row r="1455" ht="15.75" customHeight="1">
      <c r="A1455" s="3" t="inlineStr">
        <is>
          <t>PROD_0280</t>
        </is>
      </c>
      <c r="B1455" s="3" t="inlineStr">
        <is>
          <t>VAR_1</t>
        </is>
      </c>
      <c r="C1455" s="3" t="inlineStr">
        <is>
          <t>Paint</t>
        </is>
      </c>
      <c r="D1455" s="3" t="inlineStr">
        <is>
          <t>Exterior Paint</t>
        </is>
      </c>
      <c r="E1455" s="3" t="inlineStr">
        <is>
          <t>Birla Ocus</t>
        </is>
      </c>
      <c r="F1455" s="3" t="inlineStr">
        <is>
          <t>Calista Neo Star Emulsion</t>
        </is>
      </c>
      <c r="H1455" s="3" t="inlineStr">
        <is>
          <t>Volume</t>
        </is>
      </c>
      <c r="I1455" s="3" t="inlineStr">
        <is>
          <t>1 Ltr</t>
        </is>
      </c>
      <c r="J1455" s="3" t="inlineStr">
        <is>
          <t>Color</t>
        </is>
      </c>
      <c r="K1455" s="3" t="inlineStr">
        <is>
          <t>White</t>
        </is>
      </c>
      <c r="Q1455" s="3" t="inlineStr">
        <is>
          <t>Manufacturer's Warranty</t>
        </is>
      </c>
      <c r="Y1455" s="3" t="inlineStr">
        <is>
          <t>EXTPNT_BRLOP_EML_CLSNESTR</t>
        </is>
      </c>
      <c r="Z1455" s="3" t="n">
        <v>3209</v>
      </c>
      <c r="AE1455" s="3" t="n">
        <v>567</v>
      </c>
      <c r="AF1455" s="4" t="n">
        <v>0.31</v>
      </c>
      <c r="AG1455" s="3">
        <f>ROUND(AE1455-(AE1455*AF1455),2)</f>
        <v/>
      </c>
      <c r="AH1455" s="4" t="n">
        <v>0.18</v>
      </c>
      <c r="AI1455" s="3">
        <f>ROUND(AG1455+(AG1455*AH1455),2)</f>
        <v/>
      </c>
      <c r="AJ1455" s="4" t="n">
        <v>0.15</v>
      </c>
      <c r="AK1455" s="3">
        <f>ROUND(AI1455*AJ1455,2)</f>
        <v/>
      </c>
      <c r="AL1455" s="3">
        <f>AI1455+AK1455</f>
        <v/>
      </c>
      <c r="AM1455" s="3">
        <f>AE1455-AL1455</f>
        <v/>
      </c>
      <c r="AN1455" s="4">
        <f>AM1455/AE1455</f>
        <v/>
      </c>
      <c r="AO1455" s="3" t="inlineStr">
        <is>
          <t>60 mins</t>
        </is>
      </c>
      <c r="AQ1455" s="3" t="inlineStr">
        <is>
          <t>Weight</t>
        </is>
      </c>
    </row>
    <row r="1456" ht="15.75" customHeight="1">
      <c r="A1456" s="3" t="inlineStr">
        <is>
          <t>PROD_0280</t>
        </is>
      </c>
      <c r="B1456" s="3" t="inlineStr">
        <is>
          <t>VAR_2</t>
        </is>
      </c>
      <c r="C1456" s="3" t="inlineStr">
        <is>
          <t>Paint</t>
        </is>
      </c>
      <c r="D1456" s="3" t="inlineStr">
        <is>
          <t>Exterior Paint</t>
        </is>
      </c>
      <c r="E1456" s="3" t="inlineStr">
        <is>
          <t>Birla Ocus</t>
        </is>
      </c>
      <c r="F1456" s="3" t="inlineStr">
        <is>
          <t>Calista Neo Star Emulsion</t>
        </is>
      </c>
      <c r="H1456" s="3" t="inlineStr">
        <is>
          <t>Volume</t>
        </is>
      </c>
      <c r="I1456" s="3" t="inlineStr">
        <is>
          <t>4 Ltr</t>
        </is>
      </c>
      <c r="J1456" s="3" t="inlineStr">
        <is>
          <t>Color</t>
        </is>
      </c>
      <c r="K1456" s="3" t="inlineStr">
        <is>
          <t>White</t>
        </is>
      </c>
      <c r="Q1456" s="3" t="inlineStr">
        <is>
          <t>Manufacturer's Warranty</t>
        </is>
      </c>
      <c r="Y1456" s="3" t="inlineStr">
        <is>
          <t>EXTPNT_BRLOP_EML_CLSNESTR</t>
        </is>
      </c>
      <c r="Z1456" s="3" t="n">
        <v>3209</v>
      </c>
      <c r="AE1456" s="3" t="n">
        <v>2359</v>
      </c>
      <c r="AF1456" s="4" t="n">
        <v>0.36</v>
      </c>
      <c r="AG1456" s="3">
        <f>ROUND(AE1456-(AE1456*AF1456),2)</f>
        <v/>
      </c>
      <c r="AH1456" s="4" t="n">
        <v>0.18</v>
      </c>
      <c r="AI1456" s="3">
        <f>ROUND(AG1456+(AG1456*AH1456),2)</f>
        <v/>
      </c>
      <c r="AJ1456" s="4" t="n">
        <v>0.15</v>
      </c>
      <c r="AK1456" s="3">
        <f>ROUND(AI1456*AJ1456,2)</f>
        <v/>
      </c>
      <c r="AL1456" s="3">
        <f>AI1456+AK1456</f>
        <v/>
      </c>
      <c r="AM1456" s="3">
        <f>AE1456-AL1456</f>
        <v/>
      </c>
      <c r="AN1456" s="4">
        <f>AM1456/AE1456</f>
        <v/>
      </c>
      <c r="AO1456" s="3" t="inlineStr">
        <is>
          <t>60 mins</t>
        </is>
      </c>
      <c r="AQ1456" s="3" t="inlineStr">
        <is>
          <t>Weight</t>
        </is>
      </c>
    </row>
    <row r="1457" ht="15.75" customHeight="1">
      <c r="A1457" s="3" t="inlineStr">
        <is>
          <t>PROD_0280</t>
        </is>
      </c>
      <c r="B1457" s="3" t="inlineStr">
        <is>
          <t>VAR_3</t>
        </is>
      </c>
      <c r="C1457" s="3" t="inlineStr">
        <is>
          <t>Paint</t>
        </is>
      </c>
      <c r="D1457" s="3" t="inlineStr">
        <is>
          <t>Exterior Paint</t>
        </is>
      </c>
      <c r="E1457" s="3" t="inlineStr">
        <is>
          <t>Birla Ocus</t>
        </is>
      </c>
      <c r="F1457" s="3" t="inlineStr">
        <is>
          <t>Calista Neo Star Emulsion</t>
        </is>
      </c>
      <c r="H1457" s="3" t="inlineStr">
        <is>
          <t>Volume</t>
        </is>
      </c>
      <c r="I1457" s="3" t="inlineStr">
        <is>
          <t>10 Ltr</t>
        </is>
      </c>
      <c r="J1457" s="3" t="inlineStr">
        <is>
          <t>Color</t>
        </is>
      </c>
      <c r="K1457" s="3" t="inlineStr">
        <is>
          <t>White</t>
        </is>
      </c>
      <c r="Q1457" s="3" t="inlineStr">
        <is>
          <t>Manufacturer's Warranty</t>
        </is>
      </c>
      <c r="Y1457" s="3" t="inlineStr">
        <is>
          <t>EXTPNT_BRLOP_EML_CLSNESTR</t>
        </is>
      </c>
      <c r="Z1457" s="3" t="n">
        <v>3209</v>
      </c>
      <c r="AE1457" s="3" t="n">
        <v>5354</v>
      </c>
      <c r="AF1457" s="4" t="n">
        <v>0.43</v>
      </c>
      <c r="AG1457" s="3">
        <f>ROUND(AE1457-(AE1457*AF1457),2)</f>
        <v/>
      </c>
      <c r="AH1457" s="4" t="n">
        <v>0.18</v>
      </c>
      <c r="AI1457" s="3">
        <f>ROUND(AG1457+(AG1457*AH1457),2)</f>
        <v/>
      </c>
      <c r="AJ1457" s="4" t="n">
        <v>0.15</v>
      </c>
      <c r="AK1457" s="3">
        <f>ROUND(AI1457*AJ1457,2)</f>
        <v/>
      </c>
      <c r="AL1457" s="3">
        <f>AI1457+AK1457</f>
        <v/>
      </c>
      <c r="AM1457" s="3">
        <f>AE1457-AL1457</f>
        <v/>
      </c>
      <c r="AN1457" s="4">
        <f>AM1457/AE1457</f>
        <v/>
      </c>
      <c r="AO1457" s="3" t="inlineStr">
        <is>
          <t>60 mins</t>
        </is>
      </c>
      <c r="AQ1457" s="3" t="inlineStr">
        <is>
          <t>Weight</t>
        </is>
      </c>
    </row>
    <row r="1458" ht="15.75" customHeight="1">
      <c r="A1458" s="3" t="inlineStr">
        <is>
          <t>PROD_0280</t>
        </is>
      </c>
      <c r="B1458" s="3" t="inlineStr">
        <is>
          <t>VAR_4</t>
        </is>
      </c>
      <c r="C1458" s="3" t="inlineStr">
        <is>
          <t>Paint</t>
        </is>
      </c>
      <c r="D1458" s="3" t="inlineStr">
        <is>
          <t>Exterior Paint</t>
        </is>
      </c>
      <c r="E1458" s="3" t="inlineStr">
        <is>
          <t>Birla Ocus</t>
        </is>
      </c>
      <c r="F1458" s="3" t="inlineStr">
        <is>
          <t>Calista Neo Star Emulsion</t>
        </is>
      </c>
      <c r="H1458" s="3" t="inlineStr">
        <is>
          <t>Volume</t>
        </is>
      </c>
      <c r="I1458" s="3" t="inlineStr">
        <is>
          <t>20 Ltr</t>
        </is>
      </c>
      <c r="J1458" s="3" t="inlineStr">
        <is>
          <t>Color</t>
        </is>
      </c>
      <c r="K1458" s="3" t="inlineStr">
        <is>
          <t>White</t>
        </is>
      </c>
      <c r="Q1458" s="3" t="inlineStr">
        <is>
          <t>Manufacturer's Warranty</t>
        </is>
      </c>
      <c r="Y1458" s="3" t="inlineStr">
        <is>
          <t>EXTPNT_BRLOP_EML_CLSNESTR</t>
        </is>
      </c>
      <c r="Z1458" s="3" t="n">
        <v>3209</v>
      </c>
      <c r="AE1458" s="3" t="n">
        <v>10328</v>
      </c>
      <c r="AF1458" s="4" t="n">
        <v>0.48</v>
      </c>
      <c r="AG1458" s="3">
        <f>ROUND(AE1458-(AE1458*AF1458),2)</f>
        <v/>
      </c>
      <c r="AH1458" s="4" t="n">
        <v>0.18</v>
      </c>
      <c r="AI1458" s="3">
        <f>ROUND(AG1458+(AG1458*AH1458),2)</f>
        <v/>
      </c>
      <c r="AJ1458" s="4" t="n">
        <v>0.15</v>
      </c>
      <c r="AK1458" s="3">
        <f>ROUND(AI1458*AJ1458,2)</f>
        <v/>
      </c>
      <c r="AL1458" s="3">
        <f>AI1458+AK1458</f>
        <v/>
      </c>
      <c r="AM1458" s="3">
        <f>AE1458-AL1458</f>
        <v/>
      </c>
      <c r="AN1458" s="4">
        <f>AM1458/AE1458</f>
        <v/>
      </c>
      <c r="AO1458" s="3" t="inlineStr">
        <is>
          <t>60 mins</t>
        </is>
      </c>
      <c r="AQ1458" s="3" t="inlineStr">
        <is>
          <t>Weight</t>
        </is>
      </c>
    </row>
    <row r="1459" ht="15.75" customHeight="1">
      <c r="A1459" s="3" t="inlineStr">
        <is>
          <t>PROD_0281</t>
        </is>
      </c>
      <c r="B1459" s="3" t="inlineStr">
        <is>
          <t>VAR_1</t>
        </is>
      </c>
      <c r="C1459" s="3" t="inlineStr">
        <is>
          <t>Paint</t>
        </is>
      </c>
      <c r="D1459" s="3" t="inlineStr">
        <is>
          <t>Exterior Paint</t>
        </is>
      </c>
      <c r="E1459" s="3" t="inlineStr">
        <is>
          <t>Birla Ocus</t>
        </is>
      </c>
      <c r="F1459" s="3" t="inlineStr">
        <is>
          <t>Style Power Bright Emulsion</t>
        </is>
      </c>
      <c r="H1459" s="3" t="inlineStr">
        <is>
          <t>Volume</t>
        </is>
      </c>
      <c r="I1459" s="3" t="inlineStr">
        <is>
          <t>1 Ltr</t>
        </is>
      </c>
      <c r="J1459" s="3" t="inlineStr">
        <is>
          <t>Color</t>
        </is>
      </c>
      <c r="K1459" s="3" t="inlineStr">
        <is>
          <t>White</t>
        </is>
      </c>
      <c r="Q1459" s="3" t="inlineStr">
        <is>
          <t>Manufacturer's Warranty</t>
        </is>
      </c>
      <c r="Y1459" s="3" t="inlineStr">
        <is>
          <t>EXTPNT_BRLOP_EML_STLPWBGT</t>
        </is>
      </c>
      <c r="Z1459" s="3" t="n">
        <v>3209</v>
      </c>
      <c r="AE1459" s="3" t="n">
        <v>351</v>
      </c>
      <c r="AF1459" s="4" t="n">
        <v>0.31</v>
      </c>
      <c r="AG1459" s="3">
        <f>ROUND(AE1459-(AE1459*AF1459),2)</f>
        <v/>
      </c>
      <c r="AH1459" s="4" t="n">
        <v>0.18</v>
      </c>
      <c r="AI1459" s="3">
        <f>ROUND(AG1459+(AG1459*AH1459),2)</f>
        <v/>
      </c>
      <c r="AJ1459" s="4" t="n">
        <v>0.15</v>
      </c>
      <c r="AK1459" s="3">
        <f>ROUND(AI1459*AJ1459,2)</f>
        <v/>
      </c>
      <c r="AL1459" s="3">
        <f>AI1459+AK1459</f>
        <v/>
      </c>
      <c r="AM1459" s="3">
        <f>AE1459-AL1459</f>
        <v/>
      </c>
      <c r="AN1459" s="4">
        <f>AM1459/AE1459</f>
        <v/>
      </c>
      <c r="AO1459" s="3" t="inlineStr">
        <is>
          <t>60 mins</t>
        </is>
      </c>
      <c r="AQ1459" s="3" t="inlineStr">
        <is>
          <t>Weight</t>
        </is>
      </c>
    </row>
    <row r="1460" ht="15.75" customHeight="1">
      <c r="A1460" s="3" t="inlineStr">
        <is>
          <t>PROD_0281</t>
        </is>
      </c>
      <c r="B1460" s="3" t="inlineStr">
        <is>
          <t>VAR_2</t>
        </is>
      </c>
      <c r="C1460" s="3" t="inlineStr">
        <is>
          <t>Paint</t>
        </is>
      </c>
      <c r="D1460" s="3" t="inlineStr">
        <is>
          <t>Exterior Paint</t>
        </is>
      </c>
      <c r="E1460" s="3" t="inlineStr">
        <is>
          <t>Birla Ocus</t>
        </is>
      </c>
      <c r="F1460" s="3" t="inlineStr">
        <is>
          <t>Style Power Bright Emulsion</t>
        </is>
      </c>
      <c r="H1460" s="3" t="inlineStr">
        <is>
          <t>Volume</t>
        </is>
      </c>
      <c r="I1460" s="3" t="inlineStr">
        <is>
          <t>4 Ltr</t>
        </is>
      </c>
      <c r="J1460" s="3" t="inlineStr">
        <is>
          <t>Color</t>
        </is>
      </c>
      <c r="K1460" s="3" t="inlineStr">
        <is>
          <t>White</t>
        </is>
      </c>
      <c r="Q1460" s="3" t="inlineStr">
        <is>
          <t>Manufacturer's Warranty</t>
        </is>
      </c>
      <c r="Y1460" s="3" t="inlineStr">
        <is>
          <t>EXTPNT_BRLOP_EML_STLPWBGT</t>
        </is>
      </c>
      <c r="Z1460" s="3" t="n">
        <v>3209</v>
      </c>
      <c r="AE1460" s="3" t="n">
        <v>1464</v>
      </c>
      <c r="AF1460" s="4" t="n">
        <v>0.39</v>
      </c>
      <c r="AG1460" s="3">
        <f>ROUND(AE1460-(AE1460*AF1460),2)</f>
        <v/>
      </c>
      <c r="AH1460" s="4" t="n">
        <v>0.18</v>
      </c>
      <c r="AI1460" s="3">
        <f>ROUND(AG1460+(AG1460*AH1460),2)</f>
        <v/>
      </c>
      <c r="AJ1460" s="4" t="n">
        <v>0.15</v>
      </c>
      <c r="AK1460" s="3">
        <f>ROUND(AI1460*AJ1460,2)</f>
        <v/>
      </c>
      <c r="AL1460" s="3">
        <f>AI1460+AK1460</f>
        <v/>
      </c>
      <c r="AM1460" s="3">
        <f>AE1460-AL1460</f>
        <v/>
      </c>
      <c r="AN1460" s="4">
        <f>AM1460/AE1460</f>
        <v/>
      </c>
      <c r="AO1460" s="3" t="inlineStr">
        <is>
          <t>60 mins</t>
        </is>
      </c>
      <c r="AQ1460" s="3" t="inlineStr">
        <is>
          <t>Weight</t>
        </is>
      </c>
    </row>
    <row r="1461" ht="15.75" customHeight="1">
      <c r="A1461" s="3" t="inlineStr">
        <is>
          <t>PROD_0281</t>
        </is>
      </c>
      <c r="B1461" s="3" t="inlineStr">
        <is>
          <t>VAR_3</t>
        </is>
      </c>
      <c r="C1461" s="3" t="inlineStr">
        <is>
          <t>Paint</t>
        </is>
      </c>
      <c r="D1461" s="3" t="inlineStr">
        <is>
          <t>Exterior Paint</t>
        </is>
      </c>
      <c r="E1461" s="3" t="inlineStr">
        <is>
          <t>Birla Ocus</t>
        </is>
      </c>
      <c r="F1461" s="3" t="inlineStr">
        <is>
          <t>Style Power Bright Emulsion</t>
        </is>
      </c>
      <c r="H1461" s="3" t="inlineStr">
        <is>
          <t>Volume</t>
        </is>
      </c>
      <c r="I1461" s="3" t="inlineStr">
        <is>
          <t>10 Ltr</t>
        </is>
      </c>
      <c r="J1461" s="3" t="inlineStr">
        <is>
          <t>Color</t>
        </is>
      </c>
      <c r="K1461" s="3" t="inlineStr">
        <is>
          <t>White</t>
        </is>
      </c>
      <c r="Q1461" s="3" t="inlineStr">
        <is>
          <t>Manufacturer's Warranty</t>
        </is>
      </c>
      <c r="Y1461" s="3" t="inlineStr">
        <is>
          <t>EXTPNT_BRLOP_EML_STLPWBGT</t>
        </is>
      </c>
      <c r="Z1461" s="3" t="n">
        <v>3209</v>
      </c>
      <c r="AE1461" s="3" t="n">
        <v>3305</v>
      </c>
      <c r="AF1461" s="4" t="n">
        <v>0.38</v>
      </c>
      <c r="AG1461" s="3">
        <f>ROUND(AE1461-(AE1461*AF1461),2)</f>
        <v/>
      </c>
      <c r="AH1461" s="4" t="n">
        <v>0.18</v>
      </c>
      <c r="AI1461" s="3">
        <f>ROUND(AG1461+(AG1461*AH1461),2)</f>
        <v/>
      </c>
      <c r="AJ1461" s="4" t="n">
        <v>0.15</v>
      </c>
      <c r="AK1461" s="3">
        <f>ROUND(AI1461*AJ1461,2)</f>
        <v/>
      </c>
      <c r="AL1461" s="3">
        <f>AI1461+AK1461</f>
        <v/>
      </c>
      <c r="AM1461" s="3">
        <f>AE1461-AL1461</f>
        <v/>
      </c>
      <c r="AN1461" s="4">
        <f>AM1461/AE1461</f>
        <v/>
      </c>
      <c r="AO1461" s="3" t="inlineStr">
        <is>
          <t>60 mins</t>
        </is>
      </c>
      <c r="AQ1461" s="3" t="inlineStr">
        <is>
          <t>Weight</t>
        </is>
      </c>
    </row>
    <row r="1462" ht="15.75" customHeight="1">
      <c r="A1462" s="3" t="inlineStr">
        <is>
          <t>PROD_0281</t>
        </is>
      </c>
      <c r="B1462" s="3" t="inlineStr">
        <is>
          <t>VAR_4</t>
        </is>
      </c>
      <c r="C1462" s="3" t="inlineStr">
        <is>
          <t>Paint</t>
        </is>
      </c>
      <c r="D1462" s="3" t="inlineStr">
        <is>
          <t>Exterior Paint</t>
        </is>
      </c>
      <c r="E1462" s="3" t="inlineStr">
        <is>
          <t>Birla Ocus</t>
        </is>
      </c>
      <c r="F1462" s="3" t="inlineStr">
        <is>
          <t>Style Power Bright Emulsion</t>
        </is>
      </c>
      <c r="H1462" s="3" t="inlineStr">
        <is>
          <t>Volume</t>
        </is>
      </c>
      <c r="I1462" s="3" t="inlineStr">
        <is>
          <t>20 Ltr</t>
        </is>
      </c>
      <c r="J1462" s="3" t="inlineStr">
        <is>
          <t>Color</t>
        </is>
      </c>
      <c r="K1462" s="3" t="inlineStr">
        <is>
          <t>White</t>
        </is>
      </c>
      <c r="Q1462" s="3" t="inlineStr">
        <is>
          <t>Manufacturer's Warranty</t>
        </is>
      </c>
      <c r="Y1462" s="3" t="inlineStr">
        <is>
          <t>EXTPNT_BRLOP_EML_STLPWBGT</t>
        </is>
      </c>
      <c r="Z1462" s="3" t="n">
        <v>3209</v>
      </c>
      <c r="AE1462" s="3" t="n">
        <v>6200</v>
      </c>
      <c r="AF1462" s="4" t="n">
        <v>0.48</v>
      </c>
      <c r="AG1462" s="3">
        <f>ROUND(AE1462-(AE1462*AF1462),2)</f>
        <v/>
      </c>
      <c r="AH1462" s="4" t="n">
        <v>0.18</v>
      </c>
      <c r="AI1462" s="3">
        <f>ROUND(AG1462+(AG1462*AH1462),2)</f>
        <v/>
      </c>
      <c r="AJ1462" s="4" t="n">
        <v>0.15</v>
      </c>
      <c r="AK1462" s="3">
        <f>ROUND(AI1462*AJ1462,2)</f>
        <v/>
      </c>
      <c r="AL1462" s="3">
        <f>AI1462+AK1462</f>
        <v/>
      </c>
      <c r="AM1462" s="3">
        <f>AE1462-AL1462</f>
        <v/>
      </c>
      <c r="AN1462" s="4">
        <f>AM1462/AE1462</f>
        <v/>
      </c>
      <c r="AO1462" s="3" t="inlineStr">
        <is>
          <t>60 mins</t>
        </is>
      </c>
      <c r="AQ1462" s="3" t="inlineStr">
        <is>
          <t>Weight</t>
        </is>
      </c>
    </row>
    <row r="1463" ht="15.75" customHeight="1">
      <c r="A1463" s="3" t="inlineStr">
        <is>
          <t>PROD_0282</t>
        </is>
      </c>
      <c r="B1463" s="3" t="inlineStr">
        <is>
          <t>VAR_1</t>
        </is>
      </c>
      <c r="C1463" s="3" t="inlineStr">
        <is>
          <t>Paint</t>
        </is>
      </c>
      <c r="D1463" s="3" t="inlineStr">
        <is>
          <t>Waterproofing</t>
        </is>
      </c>
      <c r="E1463" s="3" t="inlineStr">
        <is>
          <t>Ultratech</t>
        </is>
      </c>
      <c r="F1463" s="3" t="inlineStr">
        <is>
          <t>Weather Pro WP+200</t>
        </is>
      </c>
      <c r="H1463" s="3" t="inlineStr">
        <is>
          <t>Volume</t>
        </is>
      </c>
      <c r="I1463" s="3" t="inlineStr">
        <is>
          <t>Sample (200 ml)</t>
        </is>
      </c>
      <c r="J1463" s="3" t="inlineStr">
        <is>
          <t>Color</t>
        </is>
      </c>
      <c r="K1463" s="3" t="inlineStr">
        <is>
          <t>White</t>
        </is>
      </c>
      <c r="Q1463" s="3" t="inlineStr">
        <is>
          <t>Manufacturer's Warranty</t>
        </is>
      </c>
      <c r="Y1463" s="3" t="inlineStr">
        <is>
          <t>WP_ULTCH_WTHPR</t>
        </is>
      </c>
      <c r="Z1463" s="3" t="n">
        <v>3209</v>
      </c>
      <c r="AE1463" s="3" t="n">
        <v>1500</v>
      </c>
      <c r="AF1463" s="4" t="n">
        <v>0.37</v>
      </c>
      <c r="AG1463" s="3">
        <f>ROUND(AE1463-(AE1463*AF1463),2)</f>
        <v/>
      </c>
      <c r="AH1463" s="4" t="n">
        <v>0.18</v>
      </c>
      <c r="AI1463" s="3">
        <f>ROUND(AG1463+(AG1463*AH1463),2)</f>
        <v/>
      </c>
      <c r="AJ1463" s="4" t="n">
        <v>0.15</v>
      </c>
      <c r="AK1463" s="3">
        <f>ROUND(AI1463*AJ1463,2)</f>
        <v/>
      </c>
      <c r="AL1463" s="3">
        <f>AI1463+AK1463</f>
        <v/>
      </c>
      <c r="AM1463" s="3">
        <f>AE1463-AL1463</f>
        <v/>
      </c>
      <c r="AN1463" s="4">
        <f>AM1463/AE1463</f>
        <v/>
      </c>
      <c r="AO1463" s="3" t="inlineStr">
        <is>
          <t>60 mins</t>
        </is>
      </c>
      <c r="AQ1463" s="3" t="inlineStr">
        <is>
          <t>Weight</t>
        </is>
      </c>
    </row>
    <row r="1464" ht="15.75" customHeight="1">
      <c r="A1464" s="3" t="inlineStr">
        <is>
          <t>PROD_0282</t>
        </is>
      </c>
      <c r="B1464" s="3" t="inlineStr">
        <is>
          <t>VAR_2</t>
        </is>
      </c>
      <c r="C1464" s="3" t="inlineStr">
        <is>
          <t>Paint</t>
        </is>
      </c>
      <c r="D1464" s="3" t="inlineStr">
        <is>
          <t>Waterproofing</t>
        </is>
      </c>
      <c r="E1464" s="3" t="inlineStr">
        <is>
          <t>Ultratech</t>
        </is>
      </c>
      <c r="F1464" s="3" t="inlineStr">
        <is>
          <t>Weather Pro WP+200</t>
        </is>
      </c>
      <c r="H1464" s="3" t="inlineStr">
        <is>
          <t>Volume</t>
        </is>
      </c>
      <c r="I1464" s="3" t="inlineStr">
        <is>
          <t>1 Ltr</t>
        </is>
      </c>
      <c r="J1464" s="3" t="inlineStr">
        <is>
          <t>Color</t>
        </is>
      </c>
      <c r="K1464" s="3" t="inlineStr">
        <is>
          <t>White</t>
        </is>
      </c>
      <c r="Q1464" s="3" t="inlineStr">
        <is>
          <t>Manufacturer's Warranty</t>
        </is>
      </c>
      <c r="R1464" s="3" t="inlineStr">
        <is>
          <t>ULTRA01-d</t>
        </is>
      </c>
      <c r="Y1464" s="3" t="inlineStr">
        <is>
          <t>WP_ULTCH_WTHPR</t>
        </is>
      </c>
      <c r="Z1464" s="3" t="n">
        <v>3209</v>
      </c>
      <c r="AE1464" s="3" t="n">
        <v>1500</v>
      </c>
      <c r="AF1464" s="4" t="n">
        <v>0.37</v>
      </c>
      <c r="AG1464" s="3">
        <f>ROUND(AE1464-(AE1464*AF1464),2)</f>
        <v/>
      </c>
      <c r="AH1464" s="4" t="n">
        <v>0.18</v>
      </c>
      <c r="AI1464" s="3">
        <f>ROUND(AG1464+(AG1464*AH1464),2)</f>
        <v/>
      </c>
      <c r="AJ1464" s="4" t="n">
        <v>0.15</v>
      </c>
      <c r="AK1464" s="3">
        <f>ROUND(AI1464*AJ1464,2)</f>
        <v/>
      </c>
      <c r="AL1464" s="3">
        <f>AI1464+AK1464</f>
        <v/>
      </c>
      <c r="AM1464" s="3">
        <f>AE1464-AL1464</f>
        <v/>
      </c>
      <c r="AN1464" s="4">
        <f>AM1464/AE1464</f>
        <v/>
      </c>
      <c r="AO1464" s="3" t="inlineStr">
        <is>
          <t>60 mins</t>
        </is>
      </c>
      <c r="AQ1464" s="3" t="inlineStr">
        <is>
          <t>Weight</t>
        </is>
      </c>
    </row>
    <row r="1465" ht="15.75" customHeight="1">
      <c r="A1465" s="3" t="inlineStr">
        <is>
          <t>PROD_0282</t>
        </is>
      </c>
      <c r="B1465" s="3" t="inlineStr">
        <is>
          <t>VAR_3</t>
        </is>
      </c>
      <c r="C1465" s="3" t="inlineStr">
        <is>
          <t>Paint</t>
        </is>
      </c>
      <c r="D1465" s="3" t="inlineStr">
        <is>
          <t>Waterproofing</t>
        </is>
      </c>
      <c r="E1465" s="3" t="inlineStr">
        <is>
          <t>Ultratech</t>
        </is>
      </c>
      <c r="F1465" s="3" t="inlineStr">
        <is>
          <t>Weather Pro WP+200</t>
        </is>
      </c>
      <c r="H1465" s="3" t="inlineStr">
        <is>
          <t>Volume</t>
        </is>
      </c>
      <c r="I1465" s="3" t="inlineStr">
        <is>
          <t>5 Ltr</t>
        </is>
      </c>
      <c r="J1465" s="3" t="inlineStr">
        <is>
          <t>Color</t>
        </is>
      </c>
      <c r="K1465" s="3" t="inlineStr">
        <is>
          <t>White</t>
        </is>
      </c>
      <c r="Q1465" s="3" t="inlineStr">
        <is>
          <t>Manufacturer's Warranty</t>
        </is>
      </c>
      <c r="R1465" s="3" t="inlineStr">
        <is>
          <t>ULTRA01-d</t>
        </is>
      </c>
      <c r="Y1465" s="3" t="inlineStr">
        <is>
          <t>WP_ULTCH_WTHPR</t>
        </is>
      </c>
      <c r="Z1465" s="3" t="n">
        <v>3209</v>
      </c>
      <c r="AE1465" s="3" t="n">
        <v>1049</v>
      </c>
      <c r="AF1465" s="4" t="n">
        <v>0.3575</v>
      </c>
      <c r="AG1465" s="3">
        <f>ROUND(AE1465-(AE1465*AF1465),2)</f>
        <v/>
      </c>
      <c r="AH1465" s="4" t="n">
        <v>0.18</v>
      </c>
      <c r="AI1465" s="3">
        <f>ROUND(AG1465+(AG1465*AH1465),2)</f>
        <v/>
      </c>
      <c r="AJ1465" s="4" t="n">
        <v>0.15</v>
      </c>
      <c r="AK1465" s="3">
        <f>ROUND(AI1465*AJ1465,2)</f>
        <v/>
      </c>
      <c r="AL1465" s="3">
        <f>AI1465+AK1465</f>
        <v/>
      </c>
      <c r="AM1465" s="3">
        <f>AE1465-AL1465</f>
        <v/>
      </c>
      <c r="AN1465" s="4">
        <f>AM1465/AE1465</f>
        <v/>
      </c>
      <c r="AO1465" s="3" t="inlineStr">
        <is>
          <t>60 mins</t>
        </is>
      </c>
      <c r="AQ1465" s="3" t="inlineStr">
        <is>
          <t>Weight</t>
        </is>
      </c>
    </row>
    <row r="1466" ht="15.75" customHeight="1">
      <c r="A1466" s="3" t="inlineStr">
        <is>
          <t>PROD_0282</t>
        </is>
      </c>
      <c r="B1466" s="3" t="inlineStr">
        <is>
          <t>VAR_4</t>
        </is>
      </c>
      <c r="C1466" s="3" t="inlineStr">
        <is>
          <t>Paint</t>
        </is>
      </c>
      <c r="D1466" s="3" t="inlineStr">
        <is>
          <t>Waterproofing</t>
        </is>
      </c>
      <c r="E1466" s="3" t="inlineStr">
        <is>
          <t>Ultratech</t>
        </is>
      </c>
      <c r="F1466" s="3" t="inlineStr">
        <is>
          <t>Weather Pro WP+200</t>
        </is>
      </c>
      <c r="H1466" s="3" t="inlineStr">
        <is>
          <t>Volume</t>
        </is>
      </c>
      <c r="I1466" s="3" t="inlineStr">
        <is>
          <t>10 Ltr</t>
        </is>
      </c>
      <c r="J1466" s="3" t="inlineStr">
        <is>
          <t>Color</t>
        </is>
      </c>
      <c r="K1466" s="3" t="inlineStr">
        <is>
          <t>White</t>
        </is>
      </c>
      <c r="Q1466" s="3" t="inlineStr">
        <is>
          <t>Manufacturer's Warranty</t>
        </is>
      </c>
      <c r="R1466" s="3" t="inlineStr">
        <is>
          <t>ULTRA01-d</t>
        </is>
      </c>
      <c r="Y1466" s="3" t="inlineStr">
        <is>
          <t>WP_ULTCH_WTHPR</t>
        </is>
      </c>
      <c r="Z1466" s="3" t="n">
        <v>3209</v>
      </c>
      <c r="AE1466" s="3" t="n">
        <v>1530</v>
      </c>
      <c r="AF1466" s="4" t="n">
        <v>0.26</v>
      </c>
      <c r="AG1466" s="3">
        <f>ROUND(AE1466-(AE1466*AF1466),2)</f>
        <v/>
      </c>
      <c r="AH1466" s="4" t="n">
        <v>0.18</v>
      </c>
      <c r="AI1466" s="3">
        <f>ROUND(AG1466+(AG1466*AH1466),2)</f>
        <v/>
      </c>
      <c r="AJ1466" s="4" t="n">
        <v>0.15</v>
      </c>
      <c r="AK1466" s="3">
        <f>ROUND(AI1466*AJ1466,2)</f>
        <v/>
      </c>
      <c r="AL1466" s="3">
        <f>AI1466+AK1466</f>
        <v/>
      </c>
      <c r="AM1466" s="3">
        <f>AE1466-AL1466</f>
        <v/>
      </c>
      <c r="AN1466" s="4">
        <f>AM1466/AE1466</f>
        <v/>
      </c>
      <c r="AO1466" s="3" t="inlineStr">
        <is>
          <t>60 mins</t>
        </is>
      </c>
      <c r="AQ1466" s="3" t="inlineStr">
        <is>
          <t>Weight</t>
        </is>
      </c>
    </row>
    <row r="1467" ht="15.75" customHeight="1">
      <c r="A1467" s="3" t="inlineStr">
        <is>
          <t>PROD_0282</t>
        </is>
      </c>
      <c r="B1467" s="3" t="inlineStr">
        <is>
          <t>VAR_5</t>
        </is>
      </c>
      <c r="C1467" s="3" t="inlineStr">
        <is>
          <t>Paint</t>
        </is>
      </c>
      <c r="D1467" s="3" t="inlineStr">
        <is>
          <t>Waterproofing</t>
        </is>
      </c>
      <c r="E1467" s="3" t="inlineStr">
        <is>
          <t>Ultratech</t>
        </is>
      </c>
      <c r="F1467" s="3" t="inlineStr">
        <is>
          <t>Weather Pro WP+200</t>
        </is>
      </c>
      <c r="H1467" s="3" t="inlineStr">
        <is>
          <t>Volume</t>
        </is>
      </c>
      <c r="I1467" s="3" t="inlineStr">
        <is>
          <t>20 Ltr</t>
        </is>
      </c>
      <c r="J1467" s="3" t="inlineStr">
        <is>
          <t>Color</t>
        </is>
      </c>
      <c r="K1467" s="3" t="inlineStr">
        <is>
          <t>White</t>
        </is>
      </c>
      <c r="Q1467" s="3" t="inlineStr">
        <is>
          <t>Manufacturer's Warranty</t>
        </is>
      </c>
      <c r="R1467" s="3" t="inlineStr">
        <is>
          <t>ULTRA01-d</t>
        </is>
      </c>
      <c r="Y1467" s="3" t="inlineStr">
        <is>
          <t>WP_ULTCH_WTHPR</t>
        </is>
      </c>
      <c r="Z1467" s="3" t="n">
        <v>3824</v>
      </c>
      <c r="AE1467" s="3" t="n">
        <v>2749</v>
      </c>
      <c r="AF1467" s="4" t="n">
        <v>0.27</v>
      </c>
      <c r="AG1467" s="3">
        <f>ROUND(AE1467-(AE1467*AF1467),2)</f>
        <v/>
      </c>
      <c r="AH1467" s="4" t="n">
        <v>0.18</v>
      </c>
      <c r="AI1467" s="3">
        <f>ROUND(AG1467+(AG1467*AH1467),2)</f>
        <v/>
      </c>
      <c r="AJ1467" s="4" t="n">
        <v>0.15</v>
      </c>
      <c r="AK1467" s="3">
        <f>ROUND(AI1467*AJ1467,2)</f>
        <v/>
      </c>
      <c r="AL1467" s="3">
        <f>AI1467+AK1467</f>
        <v/>
      </c>
      <c r="AM1467" s="3">
        <f>AE1467-AL1467</f>
        <v/>
      </c>
      <c r="AN1467" s="4">
        <f>AM1467/AE1467</f>
        <v/>
      </c>
      <c r="AO1467" s="3" t="inlineStr">
        <is>
          <t>60 mins</t>
        </is>
      </c>
      <c r="AQ1467" s="3" t="inlineStr">
        <is>
          <t>Weight</t>
        </is>
      </c>
    </row>
    <row r="1468" ht="15.75" customHeight="1">
      <c r="A1468" s="3" t="inlineStr">
        <is>
          <t>PROD_0282</t>
        </is>
      </c>
      <c r="B1468" s="3" t="inlineStr">
        <is>
          <t>VAR_6</t>
        </is>
      </c>
      <c r="C1468" s="3" t="inlineStr">
        <is>
          <t>Paint</t>
        </is>
      </c>
      <c r="D1468" s="3" t="inlineStr">
        <is>
          <t>Waterproofing</t>
        </is>
      </c>
      <c r="E1468" s="3" t="inlineStr">
        <is>
          <t>Ultratech</t>
        </is>
      </c>
      <c r="F1468" s="3" t="inlineStr">
        <is>
          <t>Weather Pro WP+200</t>
        </is>
      </c>
      <c r="H1468" s="3" t="inlineStr">
        <is>
          <t>Volume</t>
        </is>
      </c>
      <c r="I1468" s="3" t="inlineStr">
        <is>
          <t>50 Ltr</t>
        </is>
      </c>
      <c r="J1468" s="3" t="inlineStr">
        <is>
          <t>Color</t>
        </is>
      </c>
      <c r="K1468" s="3" t="inlineStr">
        <is>
          <t>White</t>
        </is>
      </c>
      <c r="Q1468" s="3" t="inlineStr">
        <is>
          <t>Manufacturer's Warranty</t>
        </is>
      </c>
      <c r="R1468" s="3" t="inlineStr">
        <is>
          <t>ULTRA01-d</t>
        </is>
      </c>
      <c r="Y1468" s="3" t="inlineStr">
        <is>
          <t>WP_ULTCH_WTHPR</t>
        </is>
      </c>
      <c r="Z1468" s="3" t="n">
        <v>3824</v>
      </c>
      <c r="AE1468" s="3" t="n">
        <v>6282</v>
      </c>
      <c r="AF1468" s="4" t="n">
        <v>0.27</v>
      </c>
      <c r="AG1468" s="3">
        <f>ROUND(AE1468-(AE1468*AF1468),2)</f>
        <v/>
      </c>
      <c r="AH1468" s="4" t="n">
        <v>0.18</v>
      </c>
      <c r="AI1468" s="3">
        <f>ROUND(AG1468+(AG1468*AH1468),2)</f>
        <v/>
      </c>
      <c r="AJ1468" s="4" t="n">
        <v>0.15</v>
      </c>
      <c r="AK1468" s="3">
        <f>ROUND(AI1468*AJ1468,2)</f>
        <v/>
      </c>
      <c r="AL1468" s="3">
        <f>AI1468+AK1468</f>
        <v/>
      </c>
      <c r="AM1468" s="3">
        <f>AE1468-AL1468</f>
        <v/>
      </c>
      <c r="AN1468" s="4">
        <f>AM1468/AE1468</f>
        <v/>
      </c>
      <c r="AO1468" s="3" t="inlineStr">
        <is>
          <t>60 mins</t>
        </is>
      </c>
      <c r="AQ1468" s="3" t="inlineStr">
        <is>
          <t>Weight</t>
        </is>
      </c>
    </row>
    <row r="1469" ht="15.75" customHeight="1">
      <c r="A1469" s="3" t="inlineStr">
        <is>
          <t>PROD_0283</t>
        </is>
      </c>
      <c r="B1469" s="3" t="inlineStr">
        <is>
          <t>VAR_1</t>
        </is>
      </c>
      <c r="C1469" s="3" t="inlineStr">
        <is>
          <t>Paint</t>
        </is>
      </c>
      <c r="D1469" s="3" t="inlineStr">
        <is>
          <t>Waterproofing</t>
        </is>
      </c>
      <c r="E1469" s="3" t="inlineStr">
        <is>
          <t>Dr. FixIt</t>
        </is>
      </c>
      <c r="F1469" s="3" t="inlineStr">
        <is>
          <t>Pidiproof LW+</t>
        </is>
      </c>
      <c r="H1469" s="3" t="inlineStr">
        <is>
          <t>Volume</t>
        </is>
      </c>
      <c r="I1469" s="3" t="inlineStr">
        <is>
          <t>Sample (200 ml)</t>
        </is>
      </c>
      <c r="J1469" s="3" t="inlineStr">
        <is>
          <t>Color</t>
        </is>
      </c>
      <c r="K1469" s="3" t="inlineStr">
        <is>
          <t>White</t>
        </is>
      </c>
      <c r="Q1469" s="3" t="inlineStr">
        <is>
          <t>Manufacturer's Warranty</t>
        </is>
      </c>
      <c r="R1469" s="3" t="n">
        <v>101</v>
      </c>
      <c r="Y1469" s="3" t="inlineStr">
        <is>
          <t>WP_DRFXIT_PIDPRFLW</t>
        </is>
      </c>
      <c r="Z1469" s="3" t="n">
        <v>3824</v>
      </c>
      <c r="AE1469" s="3" t="n">
        <v>37</v>
      </c>
      <c r="AF1469" s="4" t="n">
        <v>0.35</v>
      </c>
      <c r="AG1469" s="3">
        <f>ROUND(AE1469-(AE1469*AF1469),2)</f>
        <v/>
      </c>
      <c r="AH1469" s="4" t="n">
        <v>0.18</v>
      </c>
      <c r="AI1469" s="3">
        <f>ROUND(AG1469+(AG1469*AH1469),2)</f>
        <v/>
      </c>
      <c r="AJ1469" s="4" t="n">
        <v>0.15</v>
      </c>
      <c r="AK1469" s="3">
        <f>ROUND(AI1469*AJ1469,2)</f>
        <v/>
      </c>
      <c r="AL1469" s="3">
        <f>AI1469+AK1469</f>
        <v/>
      </c>
      <c r="AM1469" s="3">
        <f>AE1469-AL1469</f>
        <v/>
      </c>
      <c r="AN1469" s="4">
        <f>AM1469/AE1469</f>
        <v/>
      </c>
      <c r="AO1469" s="3" t="inlineStr">
        <is>
          <t>60 mins</t>
        </is>
      </c>
      <c r="AQ1469" s="3" t="inlineStr">
        <is>
          <t>Weight</t>
        </is>
      </c>
    </row>
    <row r="1470" ht="15.75" customHeight="1">
      <c r="A1470" s="3" t="inlineStr">
        <is>
          <t>PROD_0283</t>
        </is>
      </c>
      <c r="B1470" s="3" t="inlineStr">
        <is>
          <t>VAR_2</t>
        </is>
      </c>
      <c r="C1470" s="3" t="inlineStr">
        <is>
          <t>Paint</t>
        </is>
      </c>
      <c r="D1470" s="3" t="inlineStr">
        <is>
          <t>Waterproofing</t>
        </is>
      </c>
      <c r="E1470" s="3" t="inlineStr">
        <is>
          <t>Dr. FixIt</t>
        </is>
      </c>
      <c r="F1470" s="3" t="inlineStr">
        <is>
          <t>Pidiproof LW+</t>
        </is>
      </c>
      <c r="H1470" s="3" t="inlineStr">
        <is>
          <t>Volume</t>
        </is>
      </c>
      <c r="I1470" s="3" t="inlineStr">
        <is>
          <t>1 Ltr</t>
        </is>
      </c>
      <c r="J1470" s="3" t="inlineStr">
        <is>
          <t>Color</t>
        </is>
      </c>
      <c r="K1470" s="3" t="inlineStr">
        <is>
          <t>White</t>
        </is>
      </c>
      <c r="Q1470" s="3" t="inlineStr">
        <is>
          <t>Manufacturer's Warranty</t>
        </is>
      </c>
      <c r="R1470" s="3" t="n">
        <v>101</v>
      </c>
      <c r="Y1470" s="3" t="inlineStr">
        <is>
          <t>WP_DRFXIT_PIDPRFLW</t>
        </is>
      </c>
      <c r="Z1470" s="3" t="n">
        <v>3824</v>
      </c>
      <c r="AE1470" s="3" t="n">
        <v>165</v>
      </c>
      <c r="AF1470" s="4" t="n">
        <v>0.35</v>
      </c>
      <c r="AG1470" s="3">
        <f>ROUND(AE1470-(AE1470*AF1470),2)</f>
        <v/>
      </c>
      <c r="AH1470" s="4" t="n">
        <v>0.18</v>
      </c>
      <c r="AI1470" s="3">
        <f>ROUND(AG1470+(AG1470*AH1470),2)</f>
        <v/>
      </c>
      <c r="AJ1470" s="4" t="n">
        <v>0.15</v>
      </c>
      <c r="AK1470" s="3">
        <f>ROUND(AI1470*AJ1470,2)</f>
        <v/>
      </c>
      <c r="AL1470" s="3">
        <f>AI1470+AK1470</f>
        <v/>
      </c>
      <c r="AM1470" s="3">
        <f>AE1470-AL1470</f>
        <v/>
      </c>
      <c r="AN1470" s="4">
        <f>AM1470/AE1470</f>
        <v/>
      </c>
      <c r="AO1470" s="3" t="inlineStr">
        <is>
          <t>60 mins</t>
        </is>
      </c>
      <c r="AQ1470" s="3" t="inlineStr">
        <is>
          <t>Weight</t>
        </is>
      </c>
    </row>
    <row r="1471" ht="15.75" customHeight="1">
      <c r="A1471" s="3" t="inlineStr">
        <is>
          <t>PROD_0283</t>
        </is>
      </c>
      <c r="B1471" s="3" t="inlineStr">
        <is>
          <t>VAR_3</t>
        </is>
      </c>
      <c r="C1471" s="3" t="inlineStr">
        <is>
          <t>Paint</t>
        </is>
      </c>
      <c r="D1471" s="3" t="inlineStr">
        <is>
          <t>Waterproofing</t>
        </is>
      </c>
      <c r="E1471" s="3" t="inlineStr">
        <is>
          <t>Dr. FixIt</t>
        </is>
      </c>
      <c r="F1471" s="3" t="inlineStr">
        <is>
          <t>Pidiproof LW+</t>
        </is>
      </c>
      <c r="H1471" s="3" t="inlineStr">
        <is>
          <t>Volume</t>
        </is>
      </c>
      <c r="I1471" s="3" t="inlineStr">
        <is>
          <t>5 Ltr</t>
        </is>
      </c>
      <c r="J1471" s="3" t="inlineStr">
        <is>
          <t>Color</t>
        </is>
      </c>
      <c r="K1471" s="3" t="inlineStr">
        <is>
          <t>White</t>
        </is>
      </c>
      <c r="Q1471" s="3" t="inlineStr">
        <is>
          <t>Manufacturer's Warranty</t>
        </is>
      </c>
      <c r="R1471" s="3" t="n">
        <v>101</v>
      </c>
      <c r="Y1471" s="3" t="inlineStr">
        <is>
          <t>WP_DRFXIT_PIDPRFLW</t>
        </is>
      </c>
      <c r="Z1471" s="3" t="n">
        <v>3824</v>
      </c>
      <c r="AE1471" s="3" t="n">
        <v>770</v>
      </c>
      <c r="AF1471" s="4" t="n">
        <v>0.35</v>
      </c>
      <c r="AG1471" s="3">
        <f>ROUND(AE1471-(AE1471*AF1471),2)</f>
        <v/>
      </c>
      <c r="AH1471" s="4" t="n">
        <v>0.18</v>
      </c>
      <c r="AI1471" s="3">
        <f>ROUND(AG1471+(AG1471*AH1471),2)</f>
        <v/>
      </c>
      <c r="AJ1471" s="4" t="n">
        <v>0.15</v>
      </c>
      <c r="AK1471" s="3">
        <f>ROUND(AI1471*AJ1471,2)</f>
        <v/>
      </c>
      <c r="AL1471" s="3">
        <f>AI1471+AK1471</f>
        <v/>
      </c>
      <c r="AM1471" s="3">
        <f>AE1471-AL1471</f>
        <v/>
      </c>
      <c r="AN1471" s="4">
        <f>AM1471/AE1471</f>
        <v/>
      </c>
      <c r="AO1471" s="3" t="inlineStr">
        <is>
          <t>60 mins</t>
        </is>
      </c>
      <c r="AQ1471" s="3" t="inlineStr">
        <is>
          <t>Weight</t>
        </is>
      </c>
    </row>
    <row r="1472" ht="15.75" customHeight="1">
      <c r="A1472" s="3" t="inlineStr">
        <is>
          <t>PROD_0283</t>
        </is>
      </c>
      <c r="B1472" s="3" t="inlineStr">
        <is>
          <t>VAR_4</t>
        </is>
      </c>
      <c r="C1472" s="3" t="inlineStr">
        <is>
          <t>Paint</t>
        </is>
      </c>
      <c r="D1472" s="3" t="inlineStr">
        <is>
          <t>Waterproofing</t>
        </is>
      </c>
      <c r="E1472" s="3" t="inlineStr">
        <is>
          <t>Dr. FixIt</t>
        </is>
      </c>
      <c r="F1472" s="3" t="inlineStr">
        <is>
          <t>Pidiproof LW+</t>
        </is>
      </c>
      <c r="H1472" s="3" t="inlineStr">
        <is>
          <t>Volume</t>
        </is>
      </c>
      <c r="I1472" s="3" t="inlineStr">
        <is>
          <t>10 Ltr</t>
        </is>
      </c>
      <c r="J1472" s="3" t="inlineStr">
        <is>
          <t>Color</t>
        </is>
      </c>
      <c r="K1472" s="3" t="inlineStr">
        <is>
          <t>White</t>
        </is>
      </c>
      <c r="Q1472" s="3" t="inlineStr">
        <is>
          <t>Manufacturer's Warranty</t>
        </is>
      </c>
      <c r="R1472" s="3" t="n">
        <v>101</v>
      </c>
      <c r="Y1472" s="3" t="inlineStr">
        <is>
          <t>WP_DRFXIT_PIDPRFLW</t>
        </is>
      </c>
      <c r="Z1472" s="3" t="n">
        <v>3824</v>
      </c>
      <c r="AE1472" s="3" t="n">
        <v>1460</v>
      </c>
      <c r="AF1472" s="4" t="n">
        <v>0.35</v>
      </c>
      <c r="AG1472" s="3">
        <f>ROUND(AE1472-(AE1472*AF1472),2)</f>
        <v/>
      </c>
      <c r="AH1472" s="4" t="n">
        <v>0.18</v>
      </c>
      <c r="AI1472" s="3">
        <f>ROUND(AG1472+(AG1472*AH1472),2)</f>
        <v/>
      </c>
      <c r="AJ1472" s="4" t="n">
        <v>0.15</v>
      </c>
      <c r="AK1472" s="3">
        <f>ROUND(AI1472*AJ1472,2)</f>
        <v/>
      </c>
      <c r="AL1472" s="3">
        <f>AI1472+AK1472</f>
        <v/>
      </c>
      <c r="AM1472" s="3">
        <f>AE1472-AL1472</f>
        <v/>
      </c>
      <c r="AN1472" s="4">
        <f>AM1472/AE1472</f>
        <v/>
      </c>
      <c r="AO1472" s="3" t="inlineStr">
        <is>
          <t>60 mins</t>
        </is>
      </c>
      <c r="AQ1472" s="3" t="inlineStr">
        <is>
          <t>Weight</t>
        </is>
      </c>
    </row>
    <row r="1473" ht="15.75" customHeight="1">
      <c r="A1473" s="3" t="inlineStr">
        <is>
          <t>PROD_0283</t>
        </is>
      </c>
      <c r="B1473" s="3" t="inlineStr">
        <is>
          <t>VAR_5</t>
        </is>
      </c>
      <c r="C1473" s="3" t="inlineStr">
        <is>
          <t>Paint</t>
        </is>
      </c>
      <c r="D1473" s="3" t="inlineStr">
        <is>
          <t>Waterproofing</t>
        </is>
      </c>
      <c r="E1473" s="3" t="inlineStr">
        <is>
          <t>Dr. FixIt</t>
        </is>
      </c>
      <c r="F1473" s="3" t="inlineStr">
        <is>
          <t>Pidiproof LW+</t>
        </is>
      </c>
      <c r="H1473" s="3" t="inlineStr">
        <is>
          <t>Volume</t>
        </is>
      </c>
      <c r="I1473" s="3" t="inlineStr">
        <is>
          <t>20 Ltr</t>
        </is>
      </c>
      <c r="J1473" s="3" t="inlineStr">
        <is>
          <t>Color</t>
        </is>
      </c>
      <c r="K1473" s="3" t="inlineStr">
        <is>
          <t>White</t>
        </is>
      </c>
      <c r="Q1473" s="3" t="inlineStr">
        <is>
          <t>Manufacturer's Warranty</t>
        </is>
      </c>
      <c r="R1473" s="3" t="n">
        <v>101</v>
      </c>
      <c r="Y1473" s="3" t="inlineStr">
        <is>
          <t>WP_DRFXIT_PIDPRFLW</t>
        </is>
      </c>
      <c r="Z1473" s="3" t="n">
        <v>3824</v>
      </c>
      <c r="AE1473" s="3" t="n">
        <v>2600</v>
      </c>
      <c r="AF1473" s="4" t="n">
        <v>0.35</v>
      </c>
      <c r="AG1473" s="3">
        <f>ROUND(AE1473-(AE1473*AF1473),2)</f>
        <v/>
      </c>
      <c r="AH1473" s="4" t="n">
        <v>0.18</v>
      </c>
      <c r="AI1473" s="3">
        <f>ROUND(AG1473+(AG1473*AH1473),2)</f>
        <v/>
      </c>
      <c r="AJ1473" s="4" t="n">
        <v>0.15</v>
      </c>
      <c r="AK1473" s="3">
        <f>ROUND(AI1473*AJ1473,2)</f>
        <v/>
      </c>
      <c r="AL1473" s="3">
        <f>AI1473+AK1473</f>
        <v/>
      </c>
      <c r="AM1473" s="3">
        <f>AE1473-AL1473</f>
        <v/>
      </c>
      <c r="AN1473" s="4">
        <f>AM1473/AE1473</f>
        <v/>
      </c>
      <c r="AO1473" s="3" t="inlineStr">
        <is>
          <t>60 mins</t>
        </is>
      </c>
      <c r="AQ1473" s="3" t="inlineStr">
        <is>
          <t>Weight</t>
        </is>
      </c>
    </row>
    <row r="1474" ht="15.75" customHeight="1">
      <c r="A1474" s="3" t="inlineStr">
        <is>
          <t>PROD_0283</t>
        </is>
      </c>
      <c r="B1474" s="3" t="inlineStr">
        <is>
          <t>VAR_6</t>
        </is>
      </c>
      <c r="C1474" s="3" t="inlineStr">
        <is>
          <t>Paint</t>
        </is>
      </c>
      <c r="D1474" s="3" t="inlineStr">
        <is>
          <t>Waterproofing</t>
        </is>
      </c>
      <c r="E1474" s="3" t="inlineStr">
        <is>
          <t>Dr. FixIt</t>
        </is>
      </c>
      <c r="F1474" s="3" t="inlineStr">
        <is>
          <t>Pidiproof LW+</t>
        </is>
      </c>
      <c r="H1474" s="3" t="inlineStr">
        <is>
          <t>Volume</t>
        </is>
      </c>
      <c r="I1474" s="3" t="inlineStr">
        <is>
          <t>50 Ltr</t>
        </is>
      </c>
      <c r="J1474" s="3" t="inlineStr">
        <is>
          <t>Color</t>
        </is>
      </c>
      <c r="K1474" s="3" t="inlineStr">
        <is>
          <t>White</t>
        </is>
      </c>
      <c r="Q1474" s="3" t="inlineStr">
        <is>
          <t>Manufacturer's Warranty</t>
        </is>
      </c>
      <c r="R1474" s="3" t="n">
        <v>101</v>
      </c>
      <c r="Y1474" s="3" t="inlineStr">
        <is>
          <t>WP_DRFXIT_PIDPRFLW</t>
        </is>
      </c>
      <c r="Z1474" s="3" t="n">
        <v>3824</v>
      </c>
      <c r="AE1474" s="3" t="n">
        <v>5410</v>
      </c>
      <c r="AF1474" s="4" t="n">
        <v>0.37</v>
      </c>
      <c r="AG1474" s="3">
        <f>ROUND(AE1474-(AE1474*AF1474),2)</f>
        <v/>
      </c>
      <c r="AH1474" s="4" t="n">
        <v>0.18</v>
      </c>
      <c r="AI1474" s="3">
        <f>ROUND(AG1474+(AG1474*AH1474),2)</f>
        <v/>
      </c>
      <c r="AJ1474" s="4" t="n">
        <v>0.15</v>
      </c>
      <c r="AK1474" s="3">
        <f>ROUND(AI1474*AJ1474,2)</f>
        <v/>
      </c>
      <c r="AL1474" s="3">
        <f>AI1474+AK1474</f>
        <v/>
      </c>
      <c r="AM1474" s="3">
        <f>AE1474-AL1474</f>
        <v/>
      </c>
      <c r="AN1474" s="4">
        <f>AM1474/AE1474</f>
        <v/>
      </c>
      <c r="AO1474" s="3" t="inlineStr">
        <is>
          <t>60 mins</t>
        </is>
      </c>
      <c r="AQ1474" s="3" t="inlineStr">
        <is>
          <t>Weight</t>
        </is>
      </c>
    </row>
    <row r="1475" ht="15.75" customHeight="1">
      <c r="A1475" s="3" t="inlineStr">
        <is>
          <t>PROD_0284</t>
        </is>
      </c>
      <c r="B1475" s="3" t="inlineStr">
        <is>
          <t>VAR_1</t>
        </is>
      </c>
      <c r="C1475" s="3" t="inlineStr">
        <is>
          <t>Paint</t>
        </is>
      </c>
      <c r="D1475" s="3" t="inlineStr">
        <is>
          <t>Waterproofing</t>
        </is>
      </c>
      <c r="E1475" s="3" t="inlineStr">
        <is>
          <t>Dr. FixIt</t>
        </is>
      </c>
      <c r="F1475" s="3" t="inlineStr">
        <is>
          <t>Pidicrete URP</t>
        </is>
      </c>
      <c r="H1475" s="3" t="inlineStr">
        <is>
          <t>Volume</t>
        </is>
      </c>
      <c r="I1475" s="3" t="inlineStr">
        <is>
          <t>200 gm</t>
        </is>
      </c>
      <c r="J1475" s="3" t="inlineStr">
        <is>
          <t>Color</t>
        </is>
      </c>
      <c r="K1475" s="3" t="inlineStr">
        <is>
          <t>White</t>
        </is>
      </c>
      <c r="Q1475" s="3" t="inlineStr">
        <is>
          <t>Manufacturer's Warranty</t>
        </is>
      </c>
      <c r="R1475" s="3" t="n">
        <v>301</v>
      </c>
      <c r="Y1475" s="3" t="inlineStr">
        <is>
          <t>WP_DRFXIT_PIDCRT</t>
        </is>
      </c>
      <c r="Z1475" s="3" t="n">
        <v>3824</v>
      </c>
      <c r="AE1475" s="3" t="n">
        <v>110</v>
      </c>
      <c r="AF1475" s="4" t="n">
        <v>0.35</v>
      </c>
      <c r="AG1475" s="3">
        <f>ROUND(AE1475-(AE1475*AF1475),2)</f>
        <v/>
      </c>
      <c r="AH1475" s="4" t="n">
        <v>0.18</v>
      </c>
      <c r="AI1475" s="3">
        <f>ROUND(AG1475+(AG1475*AH1475),2)</f>
        <v/>
      </c>
      <c r="AJ1475" s="4" t="n">
        <v>0.15</v>
      </c>
      <c r="AK1475" s="3">
        <f>ROUND(AI1475*AJ1475,2)</f>
        <v/>
      </c>
      <c r="AL1475" s="3">
        <f>AI1475+AK1475</f>
        <v/>
      </c>
      <c r="AM1475" s="3">
        <f>AE1475-AL1475</f>
        <v/>
      </c>
      <c r="AN1475" s="4">
        <f>AM1475/AE1475</f>
        <v/>
      </c>
      <c r="AO1475" s="3" t="inlineStr">
        <is>
          <t>60 mins</t>
        </is>
      </c>
      <c r="AQ1475" s="3" t="inlineStr">
        <is>
          <t>Weight</t>
        </is>
      </c>
    </row>
    <row r="1476" ht="15.75" customHeight="1">
      <c r="A1476" s="3" t="inlineStr">
        <is>
          <t>PROD_0284</t>
        </is>
      </c>
      <c r="B1476" s="3" t="inlineStr">
        <is>
          <t>VAR_2</t>
        </is>
      </c>
      <c r="C1476" s="3" t="inlineStr">
        <is>
          <t>Paint</t>
        </is>
      </c>
      <c r="D1476" s="3" t="inlineStr">
        <is>
          <t>Waterproofing</t>
        </is>
      </c>
      <c r="E1476" s="3" t="inlineStr">
        <is>
          <t>Dr. FixIt</t>
        </is>
      </c>
      <c r="F1476" s="3" t="inlineStr">
        <is>
          <t>Pidicrete URP</t>
        </is>
      </c>
      <c r="H1476" s="3" t="inlineStr">
        <is>
          <t>Volume</t>
        </is>
      </c>
      <c r="I1476" s="3" t="inlineStr">
        <is>
          <t>500 gm</t>
        </is>
      </c>
      <c r="J1476" s="3" t="inlineStr">
        <is>
          <t>Color</t>
        </is>
      </c>
      <c r="K1476" s="3" t="inlineStr">
        <is>
          <t>White</t>
        </is>
      </c>
      <c r="Q1476" s="3" t="inlineStr">
        <is>
          <t>Manufacturer's Warranty</t>
        </is>
      </c>
      <c r="R1476" s="3" t="n">
        <v>301</v>
      </c>
      <c r="Y1476" s="3" t="inlineStr">
        <is>
          <t>WP_DRFXIT_PIDCRT</t>
        </is>
      </c>
      <c r="Z1476" s="3" t="n">
        <v>3824</v>
      </c>
      <c r="AE1476" s="3" t="n">
        <v>230</v>
      </c>
      <c r="AF1476" s="4" t="n">
        <v>0.35</v>
      </c>
      <c r="AG1476" s="3">
        <f>ROUND(AE1476-(AE1476*AF1476),2)</f>
        <v/>
      </c>
      <c r="AH1476" s="4" t="n">
        <v>0.18</v>
      </c>
      <c r="AI1476" s="3">
        <f>ROUND(AG1476+(AG1476*AH1476),2)</f>
        <v/>
      </c>
      <c r="AJ1476" s="4" t="n">
        <v>0.15</v>
      </c>
      <c r="AK1476" s="3">
        <f>ROUND(AI1476*AJ1476,2)</f>
        <v/>
      </c>
      <c r="AL1476" s="3">
        <f>AI1476+AK1476</f>
        <v/>
      </c>
      <c r="AM1476" s="3">
        <f>AE1476-AL1476</f>
        <v/>
      </c>
      <c r="AN1476" s="4">
        <f>AM1476/AE1476</f>
        <v/>
      </c>
      <c r="AO1476" s="3" t="inlineStr">
        <is>
          <t>60 mins</t>
        </is>
      </c>
      <c r="AQ1476" s="3" t="inlineStr">
        <is>
          <t>Weight</t>
        </is>
      </c>
    </row>
    <row r="1477" ht="15.75" customHeight="1">
      <c r="A1477" s="3" t="inlineStr">
        <is>
          <t>PROD_0284</t>
        </is>
      </c>
      <c r="B1477" s="3" t="inlineStr">
        <is>
          <t>VAR_3</t>
        </is>
      </c>
      <c r="C1477" s="3" t="inlineStr">
        <is>
          <t>Paint</t>
        </is>
      </c>
      <c r="D1477" s="3" t="inlineStr">
        <is>
          <t>Waterproofing</t>
        </is>
      </c>
      <c r="E1477" s="3" t="inlineStr">
        <is>
          <t>Dr. FixIt</t>
        </is>
      </c>
      <c r="F1477" s="3" t="inlineStr">
        <is>
          <t>Pidicrete URP</t>
        </is>
      </c>
      <c r="H1477" s="3" t="inlineStr">
        <is>
          <t>Volume</t>
        </is>
      </c>
      <c r="I1477" s="3" t="inlineStr">
        <is>
          <t>1 kg</t>
        </is>
      </c>
      <c r="J1477" s="3" t="inlineStr">
        <is>
          <t>Color</t>
        </is>
      </c>
      <c r="K1477" s="3" t="inlineStr">
        <is>
          <t>White</t>
        </is>
      </c>
      <c r="Q1477" s="3" t="inlineStr">
        <is>
          <t>Manufacturer's Warranty</t>
        </is>
      </c>
      <c r="R1477" s="3" t="n">
        <v>301</v>
      </c>
      <c r="Y1477" s="3" t="inlineStr">
        <is>
          <t>WP_DRFXIT_PIDCRT</t>
        </is>
      </c>
      <c r="Z1477" s="3" t="n">
        <v>3824</v>
      </c>
      <c r="AE1477" s="3" t="n">
        <v>340</v>
      </c>
      <c r="AF1477" s="4" t="n">
        <v>0.35</v>
      </c>
      <c r="AG1477" s="3">
        <f>ROUND(AE1477-(AE1477*AF1477),2)</f>
        <v/>
      </c>
      <c r="AH1477" s="4" t="n">
        <v>0.18</v>
      </c>
      <c r="AI1477" s="3">
        <f>ROUND(AG1477+(AG1477*AH1477),2)</f>
        <v/>
      </c>
      <c r="AJ1477" s="4" t="n">
        <v>0.15</v>
      </c>
      <c r="AK1477" s="3">
        <f>ROUND(AI1477*AJ1477,2)</f>
        <v/>
      </c>
      <c r="AL1477" s="3">
        <f>AI1477+AK1477</f>
        <v/>
      </c>
      <c r="AM1477" s="3">
        <f>AE1477-AL1477</f>
        <v/>
      </c>
      <c r="AN1477" s="4">
        <f>AM1477/AE1477</f>
        <v/>
      </c>
      <c r="AO1477" s="3" t="inlineStr">
        <is>
          <t>60 mins</t>
        </is>
      </c>
      <c r="AQ1477" s="3" t="inlineStr">
        <is>
          <t>Weight</t>
        </is>
      </c>
    </row>
    <row r="1478" ht="15.75" customHeight="1">
      <c r="A1478" s="3" t="inlineStr">
        <is>
          <t>PROD_0284</t>
        </is>
      </c>
      <c r="B1478" s="3" t="inlineStr">
        <is>
          <t>VAR_4</t>
        </is>
      </c>
      <c r="C1478" s="3" t="inlineStr">
        <is>
          <t>Paint</t>
        </is>
      </c>
      <c r="D1478" s="3" t="inlineStr">
        <is>
          <t>Waterproofing</t>
        </is>
      </c>
      <c r="E1478" s="3" t="inlineStr">
        <is>
          <t>Dr. FixIt</t>
        </is>
      </c>
      <c r="F1478" s="3" t="inlineStr">
        <is>
          <t>Pidicrete URP</t>
        </is>
      </c>
      <c r="H1478" s="3" t="inlineStr">
        <is>
          <t>Volume</t>
        </is>
      </c>
      <c r="I1478" s="3" t="inlineStr">
        <is>
          <t>5 kg</t>
        </is>
      </c>
      <c r="J1478" s="3" t="inlineStr">
        <is>
          <t>Color</t>
        </is>
      </c>
      <c r="K1478" s="3" t="inlineStr">
        <is>
          <t>White</t>
        </is>
      </c>
      <c r="Q1478" s="3" t="inlineStr">
        <is>
          <t>Manufacturer's Warranty</t>
        </is>
      </c>
      <c r="R1478" s="3" t="n">
        <v>301</v>
      </c>
      <c r="Y1478" s="3" t="inlineStr">
        <is>
          <t>WP_DRFXIT_PIDCRT</t>
        </is>
      </c>
      <c r="Z1478" s="3" t="n">
        <v>3824</v>
      </c>
      <c r="AE1478" s="3" t="n">
        <v>1450</v>
      </c>
      <c r="AF1478" s="4" t="n">
        <v>0.325</v>
      </c>
      <c r="AG1478" s="3">
        <f>ROUND(AE1478-(AE1478*AF1478),2)</f>
        <v/>
      </c>
      <c r="AH1478" s="4" t="n">
        <v>0.18</v>
      </c>
      <c r="AI1478" s="3">
        <f>ROUND(AG1478+(AG1478*AH1478),2)</f>
        <v/>
      </c>
      <c r="AJ1478" s="4" t="n">
        <v>0.15</v>
      </c>
      <c r="AK1478" s="3">
        <f>ROUND(AI1478*AJ1478,2)</f>
        <v/>
      </c>
      <c r="AL1478" s="3">
        <f>AI1478+AK1478</f>
        <v/>
      </c>
      <c r="AM1478" s="3">
        <f>AE1478-AL1478</f>
        <v/>
      </c>
      <c r="AN1478" s="4">
        <f>AM1478/AE1478</f>
        <v/>
      </c>
      <c r="AO1478" s="3" t="inlineStr">
        <is>
          <t>60 mins</t>
        </is>
      </c>
      <c r="AQ1478" s="3" t="inlineStr">
        <is>
          <t>Weight</t>
        </is>
      </c>
    </row>
    <row r="1479" ht="15.75" customHeight="1">
      <c r="A1479" s="3" t="inlineStr">
        <is>
          <t>PROD_0284</t>
        </is>
      </c>
      <c r="B1479" s="3" t="inlineStr">
        <is>
          <t>VAR_5</t>
        </is>
      </c>
      <c r="C1479" s="3" t="inlineStr">
        <is>
          <t>Paint</t>
        </is>
      </c>
      <c r="D1479" s="3" t="inlineStr">
        <is>
          <t>Waterproofing</t>
        </is>
      </c>
      <c r="E1479" s="3" t="inlineStr">
        <is>
          <t>Dr. FixIt</t>
        </is>
      </c>
      <c r="F1479" s="3" t="inlineStr">
        <is>
          <t>Pidicrete URP</t>
        </is>
      </c>
      <c r="H1479" s="3" t="inlineStr">
        <is>
          <t>Volume</t>
        </is>
      </c>
      <c r="I1479" s="3" t="inlineStr">
        <is>
          <t>10 kg</t>
        </is>
      </c>
      <c r="J1479" s="3" t="inlineStr">
        <is>
          <t>Color</t>
        </is>
      </c>
      <c r="K1479" s="3" t="inlineStr">
        <is>
          <t>White</t>
        </is>
      </c>
      <c r="Q1479" s="3" t="inlineStr">
        <is>
          <t>Manufacturer's Warranty</t>
        </is>
      </c>
      <c r="R1479" s="3" t="n">
        <v>301</v>
      </c>
      <c r="Y1479" s="3" t="inlineStr">
        <is>
          <t>WP_DRFXIT_PIDCRT</t>
        </is>
      </c>
      <c r="Z1479" s="3" t="n">
        <v>3824</v>
      </c>
      <c r="AE1479" s="3" t="n">
        <v>3790</v>
      </c>
      <c r="AF1479" s="4" t="n">
        <v>0.33</v>
      </c>
      <c r="AG1479" s="3">
        <f>ROUND(AE1479-(AE1479*AF1479),2)</f>
        <v/>
      </c>
      <c r="AH1479" s="4" t="n">
        <v>0.18</v>
      </c>
      <c r="AI1479" s="3">
        <f>ROUND(AG1479+(AG1479*AH1479),2)</f>
        <v/>
      </c>
      <c r="AJ1479" s="4" t="n">
        <v>0.15</v>
      </c>
      <c r="AK1479" s="3">
        <f>ROUND(AI1479*AJ1479,2)</f>
        <v/>
      </c>
      <c r="AL1479" s="3">
        <f>AI1479+AK1479</f>
        <v/>
      </c>
      <c r="AM1479" s="3">
        <f>AE1479-AL1479</f>
        <v/>
      </c>
      <c r="AN1479" s="4">
        <f>AM1479/AE1479</f>
        <v/>
      </c>
      <c r="AO1479" s="3" t="inlineStr">
        <is>
          <t>60 mins</t>
        </is>
      </c>
      <c r="AQ1479" s="3" t="inlineStr">
        <is>
          <t>Weight</t>
        </is>
      </c>
    </row>
    <row r="1480" ht="15.75" customHeight="1">
      <c r="A1480" s="3" t="inlineStr">
        <is>
          <t>PROD_0284</t>
        </is>
      </c>
      <c r="B1480" s="3" t="inlineStr">
        <is>
          <t>VAR_6</t>
        </is>
      </c>
      <c r="C1480" s="3" t="inlineStr">
        <is>
          <t>Paint</t>
        </is>
      </c>
      <c r="D1480" s="3" t="inlineStr">
        <is>
          <t>Waterproofing</t>
        </is>
      </c>
      <c r="E1480" s="3" t="inlineStr">
        <is>
          <t>Dr. FixIt</t>
        </is>
      </c>
      <c r="F1480" s="3" t="inlineStr">
        <is>
          <t>Pidicrete URP</t>
        </is>
      </c>
      <c r="H1480" s="3" t="inlineStr">
        <is>
          <t>Volume</t>
        </is>
      </c>
      <c r="I1480" s="3" t="inlineStr">
        <is>
          <t>20 kg</t>
        </is>
      </c>
      <c r="J1480" s="3" t="inlineStr">
        <is>
          <t>Color</t>
        </is>
      </c>
      <c r="K1480" s="3" t="inlineStr">
        <is>
          <t>White</t>
        </is>
      </c>
      <c r="Q1480" s="3" t="inlineStr">
        <is>
          <t>Manufacturer's Warranty</t>
        </is>
      </c>
      <c r="R1480" s="3" t="n">
        <v>301</v>
      </c>
      <c r="Y1480" s="3" t="inlineStr">
        <is>
          <t>WP_DRFXIT_PIDCRT</t>
        </is>
      </c>
      <c r="Z1480" s="3" t="n">
        <v>3824</v>
      </c>
      <c r="AE1480" s="3" t="n">
        <v>6490</v>
      </c>
      <c r="AF1480" s="4" t="n">
        <v>0.37</v>
      </c>
      <c r="AG1480" s="3">
        <f>ROUND(AE1480-(AE1480*AF1480),2)</f>
        <v/>
      </c>
      <c r="AH1480" s="4" t="n">
        <v>0.18</v>
      </c>
      <c r="AI1480" s="3">
        <f>ROUND(AG1480+(AG1480*AH1480),2)</f>
        <v/>
      </c>
      <c r="AJ1480" s="4" t="n">
        <v>0.15</v>
      </c>
      <c r="AK1480" s="3">
        <f>ROUND(AI1480*AJ1480,2)</f>
        <v/>
      </c>
      <c r="AL1480" s="3">
        <f>AI1480+AK1480</f>
        <v/>
      </c>
      <c r="AM1480" s="3">
        <f>AE1480-AL1480</f>
        <v/>
      </c>
      <c r="AN1480" s="4">
        <f>AM1480/AE1480</f>
        <v/>
      </c>
      <c r="AO1480" s="3" t="inlineStr">
        <is>
          <t>60 mins</t>
        </is>
      </c>
      <c r="AQ1480" s="3" t="inlineStr">
        <is>
          <t>Weight</t>
        </is>
      </c>
    </row>
    <row r="1481" ht="15.75" customHeight="1">
      <c r="A1481" s="3" t="inlineStr">
        <is>
          <t>PROD_0284</t>
        </is>
      </c>
      <c r="B1481" s="3" t="inlineStr">
        <is>
          <t>VAR_7</t>
        </is>
      </c>
      <c r="C1481" s="3" t="inlineStr">
        <is>
          <t>Paint</t>
        </is>
      </c>
      <c r="D1481" s="3" t="inlineStr">
        <is>
          <t>Waterproofing</t>
        </is>
      </c>
      <c r="E1481" s="3" t="inlineStr">
        <is>
          <t>Dr. FixIt</t>
        </is>
      </c>
      <c r="F1481" s="3" t="inlineStr">
        <is>
          <t>Pidicrete URP</t>
        </is>
      </c>
      <c r="H1481" s="3" t="inlineStr">
        <is>
          <t>Volume</t>
        </is>
      </c>
      <c r="I1481" s="3" t="inlineStr">
        <is>
          <t>50 kg</t>
        </is>
      </c>
      <c r="J1481" s="3" t="inlineStr">
        <is>
          <t>Color</t>
        </is>
      </c>
      <c r="K1481" s="3" t="inlineStr">
        <is>
          <t>White</t>
        </is>
      </c>
      <c r="Q1481" s="3" t="inlineStr">
        <is>
          <t>Manufacturer's Warranty</t>
        </is>
      </c>
      <c r="R1481" s="3" t="n">
        <v>301</v>
      </c>
      <c r="Y1481" s="3" t="inlineStr">
        <is>
          <t>WP_DRFXIT_PIDCRT</t>
        </is>
      </c>
      <c r="Z1481" s="3" t="n">
        <v>3824</v>
      </c>
      <c r="AE1481" s="3" t="n">
        <v>13855</v>
      </c>
      <c r="AF1481" s="4" t="n">
        <v>0.37</v>
      </c>
      <c r="AG1481" s="3">
        <f>ROUND(AE1481-(AE1481*AF1481),2)</f>
        <v/>
      </c>
      <c r="AH1481" s="4" t="n">
        <v>0.18</v>
      </c>
      <c r="AI1481" s="3">
        <f>ROUND(AG1481+(AG1481*AH1481),2)</f>
        <v/>
      </c>
      <c r="AJ1481" s="4" t="n">
        <v>0.15</v>
      </c>
      <c r="AK1481" s="3">
        <f>ROUND(AI1481*AJ1481,2)</f>
        <v/>
      </c>
      <c r="AL1481" s="3">
        <f>AI1481+AK1481</f>
        <v/>
      </c>
      <c r="AM1481" s="3">
        <f>AE1481-AL1481</f>
        <v/>
      </c>
      <c r="AN1481" s="4">
        <f>AM1481/AE1481</f>
        <v/>
      </c>
      <c r="AO1481" s="3" t="inlineStr">
        <is>
          <t>60 mins</t>
        </is>
      </c>
      <c r="AQ1481" s="3" t="inlineStr">
        <is>
          <t>Weight</t>
        </is>
      </c>
    </row>
    <row r="1482" ht="15.75" customHeight="1">
      <c r="A1482" s="3" t="inlineStr">
        <is>
          <t>PROD_0285</t>
        </is>
      </c>
      <c r="B1482" s="3" t="inlineStr">
        <is>
          <t>VAR_1</t>
        </is>
      </c>
      <c r="C1482" s="3" t="inlineStr">
        <is>
          <t>Paint</t>
        </is>
      </c>
      <c r="D1482" s="3" t="inlineStr">
        <is>
          <t>Wall Putty</t>
        </is>
      </c>
      <c r="E1482" s="3" t="inlineStr">
        <is>
          <t>Birla White</t>
        </is>
      </c>
      <c r="F1482" s="3" t="inlineStr">
        <is>
          <t>Wallcare</t>
        </is>
      </c>
      <c r="H1482" s="3" t="inlineStr">
        <is>
          <t>Volume</t>
        </is>
      </c>
      <c r="I1482" s="3" t="inlineStr">
        <is>
          <t>1 Kg</t>
        </is>
      </c>
      <c r="J1482" s="3" t="inlineStr">
        <is>
          <t>Color</t>
        </is>
      </c>
      <c r="K1482" s="3" t="inlineStr">
        <is>
          <t>White</t>
        </is>
      </c>
      <c r="Q1482" s="3" t="inlineStr">
        <is>
          <t>Manufacturer's Warranty</t>
        </is>
      </c>
      <c r="Y1482" s="3" t="inlineStr">
        <is>
          <t>WP_BRLWHT_WLCR</t>
        </is>
      </c>
      <c r="Z1482" s="3" t="n">
        <v>3824</v>
      </c>
      <c r="AE1482" s="3" t="n">
        <v>65</v>
      </c>
      <c r="AF1482" s="4" t="n">
        <v>0.3</v>
      </c>
      <c r="AG1482" s="3">
        <f>ROUND(AE1482-(AE1482*AF1482),2)</f>
        <v/>
      </c>
      <c r="AH1482" s="4" t="n">
        <v>0.05</v>
      </c>
      <c r="AI1482" s="3">
        <f>ROUND(AG1482+(AG1482*AH1482),2)</f>
        <v/>
      </c>
      <c r="AJ1482" s="4" t="n">
        <v>0.15</v>
      </c>
      <c r="AK1482" s="3">
        <f>ROUND(AI1482*AJ1482,2)</f>
        <v/>
      </c>
      <c r="AL1482" s="3">
        <f>AI1482+AK1482</f>
        <v/>
      </c>
      <c r="AM1482" s="3">
        <f>AE1482-AL1482</f>
        <v/>
      </c>
      <c r="AN1482" s="4">
        <f>AM1482/AE1482</f>
        <v/>
      </c>
      <c r="AO1482" s="3" t="inlineStr">
        <is>
          <t>60 mins</t>
        </is>
      </c>
      <c r="AQ1482" s="3" t="inlineStr">
        <is>
          <t>Weight</t>
        </is>
      </c>
    </row>
    <row r="1483" ht="15.75" customHeight="1">
      <c r="A1483" s="3" t="inlineStr">
        <is>
          <t>PROD_0285</t>
        </is>
      </c>
      <c r="B1483" s="3" t="inlineStr">
        <is>
          <t>VAR_2</t>
        </is>
      </c>
      <c r="C1483" s="3" t="inlineStr">
        <is>
          <t>Paint</t>
        </is>
      </c>
      <c r="D1483" s="3" t="inlineStr">
        <is>
          <t>Wall Putty</t>
        </is>
      </c>
      <c r="E1483" s="3" t="inlineStr">
        <is>
          <t>Birla White</t>
        </is>
      </c>
      <c r="F1483" s="3" t="inlineStr">
        <is>
          <t>Wallcare</t>
        </is>
      </c>
      <c r="H1483" s="3" t="inlineStr">
        <is>
          <t>Volume</t>
        </is>
      </c>
      <c r="I1483" s="3" t="inlineStr">
        <is>
          <t>20 Kg</t>
        </is>
      </c>
      <c r="J1483" s="3" t="inlineStr">
        <is>
          <t>Color</t>
        </is>
      </c>
      <c r="K1483" s="3" t="inlineStr">
        <is>
          <t>White</t>
        </is>
      </c>
      <c r="Q1483" s="3" t="inlineStr">
        <is>
          <t>Manufacturer's Warranty</t>
        </is>
      </c>
      <c r="Y1483" s="3" t="inlineStr">
        <is>
          <t>WP_BRLWHT_WLCR</t>
        </is>
      </c>
      <c r="Z1483" s="3" t="n">
        <v>3824</v>
      </c>
      <c r="AE1483" s="3" t="n">
        <v>530</v>
      </c>
      <c r="AF1483" s="4" t="n">
        <v>0.25</v>
      </c>
      <c r="AG1483" s="3">
        <f>ROUND(AE1483-(AE1483*AF1483),2)</f>
        <v/>
      </c>
      <c r="AH1483" s="4" t="n">
        <v>0.05</v>
      </c>
      <c r="AI1483" s="3">
        <f>ROUND(AG1483+(AG1483*AH1483),2)</f>
        <v/>
      </c>
      <c r="AJ1483" s="4" t="n">
        <v>0.15</v>
      </c>
      <c r="AK1483" s="3">
        <f>ROUND(AI1483*AJ1483,2)</f>
        <v/>
      </c>
      <c r="AL1483" s="3">
        <f>AI1483+AK1483</f>
        <v/>
      </c>
      <c r="AM1483" s="3">
        <f>AE1483-AL1483</f>
        <v/>
      </c>
      <c r="AN1483" s="4">
        <f>AM1483/AE1483</f>
        <v/>
      </c>
      <c r="AO1483" s="3" t="inlineStr">
        <is>
          <t>60 mins</t>
        </is>
      </c>
      <c r="AQ1483" s="3" t="inlineStr">
        <is>
          <t>Weight</t>
        </is>
      </c>
    </row>
    <row r="1484" ht="15.75" customHeight="1">
      <c r="A1484" s="3" t="inlineStr">
        <is>
          <t>PROD_0285</t>
        </is>
      </c>
      <c r="B1484" s="3" t="inlineStr">
        <is>
          <t>VAR_3</t>
        </is>
      </c>
      <c r="C1484" s="3" t="inlineStr">
        <is>
          <t>Paint</t>
        </is>
      </c>
      <c r="D1484" s="3" t="inlineStr">
        <is>
          <t>Wall Putty</t>
        </is>
      </c>
      <c r="E1484" s="3" t="inlineStr">
        <is>
          <t>Birla White</t>
        </is>
      </c>
      <c r="F1484" s="3" t="inlineStr">
        <is>
          <t>Wallcare</t>
        </is>
      </c>
      <c r="H1484" s="3" t="inlineStr">
        <is>
          <t>Volume</t>
        </is>
      </c>
      <c r="I1484" s="3" t="inlineStr">
        <is>
          <t>40 Kg</t>
        </is>
      </c>
      <c r="J1484" s="3" t="inlineStr">
        <is>
          <t>Color</t>
        </is>
      </c>
      <c r="K1484" s="3" t="inlineStr">
        <is>
          <t>White</t>
        </is>
      </c>
      <c r="Q1484" s="3" t="inlineStr">
        <is>
          <t>Manufacturer's Warranty</t>
        </is>
      </c>
      <c r="Y1484" s="3" t="inlineStr">
        <is>
          <t>WP_BRLWHT_WLCR</t>
        </is>
      </c>
      <c r="Z1484" s="3" t="n">
        <v>3824</v>
      </c>
      <c r="AE1484" s="3" t="n">
        <v>1120</v>
      </c>
      <c r="AF1484" s="4" t="n">
        <v>0.45</v>
      </c>
      <c r="AG1484" s="3">
        <f>ROUND(AE1484-(AE1484*AF1484),2)</f>
        <v/>
      </c>
      <c r="AH1484" s="4" t="n">
        <v>0.05</v>
      </c>
      <c r="AI1484" s="3">
        <f>ROUND(AG1484+(AG1484*AH1484),2)</f>
        <v/>
      </c>
      <c r="AJ1484" s="4" t="n">
        <v>0.15</v>
      </c>
      <c r="AK1484" s="3">
        <f>ROUND(AI1484*AJ1484,2)</f>
        <v/>
      </c>
      <c r="AL1484" s="3">
        <f>AI1484+AK1484</f>
        <v/>
      </c>
      <c r="AM1484" s="3">
        <f>AE1484-AL1484</f>
        <v/>
      </c>
      <c r="AN1484" s="4">
        <f>AM1484/AE1484</f>
        <v/>
      </c>
      <c r="AO1484" s="3" t="inlineStr">
        <is>
          <t>60 mins</t>
        </is>
      </c>
      <c r="AQ1484" s="3" t="inlineStr">
        <is>
          <t>Weight</t>
        </is>
      </c>
    </row>
    <row r="1485" ht="15.75" customHeight="1">
      <c r="A1485" s="3" t="inlineStr">
        <is>
          <t>PROD_0286</t>
        </is>
      </c>
      <c r="B1485" s="3" t="inlineStr">
        <is>
          <t>VAR_1</t>
        </is>
      </c>
      <c r="C1485" s="3" t="inlineStr">
        <is>
          <t>Paint</t>
        </is>
      </c>
      <c r="D1485" s="3" t="inlineStr">
        <is>
          <t>Wall Putty</t>
        </is>
      </c>
      <c r="E1485" s="3" t="inlineStr">
        <is>
          <t>JK Maxx</t>
        </is>
      </c>
      <c r="F1485" s="3" t="inlineStr">
        <is>
          <t>Wallmaxx</t>
        </is>
      </c>
      <c r="H1485" s="3" t="inlineStr">
        <is>
          <t>Volume</t>
        </is>
      </c>
      <c r="I1485" s="3" t="inlineStr">
        <is>
          <t>20 Kg</t>
        </is>
      </c>
      <c r="J1485" s="3" t="inlineStr">
        <is>
          <t>Color</t>
        </is>
      </c>
      <c r="K1485" s="3" t="inlineStr">
        <is>
          <t>White</t>
        </is>
      </c>
      <c r="Q1485" s="3" t="inlineStr">
        <is>
          <t>Manufacturer's Warranty</t>
        </is>
      </c>
      <c r="Y1485" s="3" t="inlineStr">
        <is>
          <t>WP_JK_MAX_WALL</t>
        </is>
      </c>
      <c r="Z1485" s="3" t="n">
        <v>3824</v>
      </c>
      <c r="AE1485" s="3" t="n">
        <v>555</v>
      </c>
      <c r="AF1485" s="4" t="n">
        <v>0.39</v>
      </c>
      <c r="AG1485" s="3">
        <f>ROUND(AE1485-(AE1485*AF1485),2)</f>
        <v/>
      </c>
      <c r="AH1485" s="4" t="n">
        <v>0.05</v>
      </c>
      <c r="AI1485" s="3">
        <f>ROUND(AG1485+(AG1485*AH1485),2)</f>
        <v/>
      </c>
      <c r="AJ1485" s="4" t="n">
        <v>0.15</v>
      </c>
      <c r="AK1485" s="3">
        <f>ROUND(AI1485*AJ1485,2)</f>
        <v/>
      </c>
      <c r="AL1485" s="3">
        <f>AI1485+AK1485</f>
        <v/>
      </c>
      <c r="AM1485" s="3">
        <f>AE1485-AL1485</f>
        <v/>
      </c>
      <c r="AN1485" s="4">
        <f>AM1485/AE1485</f>
        <v/>
      </c>
      <c r="AO1485" s="3" t="inlineStr">
        <is>
          <t>60 mins</t>
        </is>
      </c>
      <c r="AQ1485" s="3" t="inlineStr">
        <is>
          <t>Weight</t>
        </is>
      </c>
    </row>
    <row r="1486" ht="15.75" customHeight="1">
      <c r="A1486" s="3" t="inlineStr">
        <is>
          <t>PROD_0286</t>
        </is>
      </c>
      <c r="B1486" s="3" t="inlineStr">
        <is>
          <t>VAR_2</t>
        </is>
      </c>
      <c r="C1486" s="3" t="inlineStr">
        <is>
          <t>Paint</t>
        </is>
      </c>
      <c r="D1486" s="3" t="inlineStr">
        <is>
          <t>Wall Putty</t>
        </is>
      </c>
      <c r="E1486" s="3" t="inlineStr">
        <is>
          <t>JK Maxx</t>
        </is>
      </c>
      <c r="F1486" s="3" t="inlineStr">
        <is>
          <t>Wallmaxx</t>
        </is>
      </c>
      <c r="H1486" s="3" t="inlineStr">
        <is>
          <t>Volume</t>
        </is>
      </c>
      <c r="I1486" s="3" t="inlineStr">
        <is>
          <t>40 Kg</t>
        </is>
      </c>
      <c r="J1486" s="3" t="inlineStr">
        <is>
          <t>Color</t>
        </is>
      </c>
      <c r="K1486" s="3" t="inlineStr">
        <is>
          <t>White</t>
        </is>
      </c>
      <c r="Q1486" s="3" t="inlineStr">
        <is>
          <t>Manufacturer's Warranty</t>
        </is>
      </c>
      <c r="Y1486" s="3" t="inlineStr">
        <is>
          <t>WP_JK_MAX_WALL</t>
        </is>
      </c>
      <c r="Z1486" s="3" t="n">
        <v>3214</v>
      </c>
      <c r="AE1486" s="3" t="n">
        <v>1110</v>
      </c>
      <c r="AF1486" s="4" t="n">
        <v>0.46</v>
      </c>
      <c r="AG1486" s="3">
        <f>ROUND(AE1486-(AE1486*AF1486),2)</f>
        <v/>
      </c>
      <c r="AH1486" s="4" t="n">
        <v>0.05</v>
      </c>
      <c r="AI1486" s="3">
        <f>ROUND(AG1486+(AG1486*AH1486),2)</f>
        <v/>
      </c>
      <c r="AJ1486" s="4" t="n">
        <v>0.15</v>
      </c>
      <c r="AK1486" s="3">
        <f>ROUND(AI1486*AJ1486,2)</f>
        <v/>
      </c>
      <c r="AL1486" s="3">
        <f>AI1486+AK1486</f>
        <v/>
      </c>
      <c r="AM1486" s="3">
        <f>AE1486-AL1486</f>
        <v/>
      </c>
      <c r="AN1486" s="4">
        <f>AM1486/AE1486</f>
        <v/>
      </c>
      <c r="AO1486" s="3" t="inlineStr">
        <is>
          <t>60 mins</t>
        </is>
      </c>
      <c r="AQ1486" s="3" t="inlineStr">
        <is>
          <t>Weight</t>
        </is>
      </c>
    </row>
    <row r="1487" ht="15.75" customHeight="1">
      <c r="A1487" s="3" t="inlineStr">
        <is>
          <t>PROD_0287</t>
        </is>
      </c>
      <c r="B1487" s="3" t="inlineStr">
        <is>
          <t>VAR_1</t>
        </is>
      </c>
      <c r="C1487" s="3" t="inlineStr">
        <is>
          <t>Paint</t>
        </is>
      </c>
      <c r="D1487" s="3" t="inlineStr">
        <is>
          <t>Tools</t>
        </is>
      </c>
      <c r="E1487" s="3" t="inlineStr">
        <is>
          <t>Generic</t>
        </is>
      </c>
      <c r="F1487" s="3" t="inlineStr">
        <is>
          <t>Paint Brush</t>
        </is>
      </c>
      <c r="H1487" s="3" t="inlineStr">
        <is>
          <t>Size</t>
        </is>
      </c>
      <c r="I1487" s="3" t="inlineStr">
        <is>
          <t>.5 inch</t>
        </is>
      </c>
      <c r="Q1487" s="3" t="inlineStr">
        <is>
          <t>Manufacturer's Warranty</t>
        </is>
      </c>
      <c r="Y1487" s="3" t="inlineStr">
        <is>
          <t>PNT_TL_BRS_1/2IN</t>
        </is>
      </c>
      <c r="Z1487" s="3" t="n">
        <v>3214</v>
      </c>
      <c r="AE1487" s="3" t="n">
        <v>440</v>
      </c>
      <c r="AF1487" s="4" t="n">
        <v>0.6</v>
      </c>
      <c r="AG1487" s="3">
        <f>ROUND(AE1487-(AE1487*AF1487),2)</f>
        <v/>
      </c>
      <c r="AH1487" s="4" t="n">
        <v>0.18</v>
      </c>
      <c r="AI1487" s="3">
        <f>ROUND(AG1487+(AG1487*AH1487),2)</f>
        <v/>
      </c>
      <c r="AJ1487" s="4" t="n">
        <v>0.25</v>
      </c>
      <c r="AK1487" s="3">
        <f>ROUND(AI1487*AJ1487,2)</f>
        <v/>
      </c>
      <c r="AL1487" s="3">
        <f>AI1487+AK1487</f>
        <v/>
      </c>
      <c r="AM1487" s="3">
        <f>AE1487-AL1487</f>
        <v/>
      </c>
      <c r="AN1487" s="4">
        <f>AM1487/AE1487</f>
        <v/>
      </c>
      <c r="AO1487" s="3" t="inlineStr">
        <is>
          <t>60 mins</t>
        </is>
      </c>
      <c r="AQ1487" s="3" t="inlineStr">
        <is>
          <t>Weight</t>
        </is>
      </c>
    </row>
    <row r="1488" ht="15.75" customHeight="1">
      <c r="A1488" s="3" t="inlineStr">
        <is>
          <t>PROD_0287</t>
        </is>
      </c>
      <c r="B1488" s="3" t="inlineStr">
        <is>
          <t>VAR_2</t>
        </is>
      </c>
      <c r="C1488" s="3" t="inlineStr">
        <is>
          <t>Paint</t>
        </is>
      </c>
      <c r="D1488" s="3" t="inlineStr">
        <is>
          <t>Tools</t>
        </is>
      </c>
      <c r="E1488" s="3" t="inlineStr">
        <is>
          <t>Generic</t>
        </is>
      </c>
      <c r="F1488" s="3" t="inlineStr">
        <is>
          <t>Paint Brush</t>
        </is>
      </c>
      <c r="H1488" s="3" t="inlineStr">
        <is>
          <t>Size</t>
        </is>
      </c>
      <c r="I1488" s="3" t="inlineStr">
        <is>
          <t>1 inch</t>
        </is>
      </c>
      <c r="Q1488" s="3" t="inlineStr">
        <is>
          <t>Manufacturer's Warranty</t>
        </is>
      </c>
      <c r="Y1488" s="3" t="inlineStr">
        <is>
          <t>PNT_TL_BRS_1IN</t>
        </is>
      </c>
      <c r="Z1488" s="3" t="n">
        <v>3214</v>
      </c>
      <c r="AE1488" s="3" t="n">
        <v>100</v>
      </c>
      <c r="AF1488" s="4" t="n">
        <v>0.6</v>
      </c>
      <c r="AG1488" s="3">
        <f>ROUND(AE1488-(AE1488*AF1488),2)</f>
        <v/>
      </c>
      <c r="AH1488" s="4" t="n">
        <v>0.18</v>
      </c>
      <c r="AI1488" s="3">
        <f>ROUND(AG1488+(AG1488*AH1488),2)</f>
        <v/>
      </c>
      <c r="AJ1488" s="4" t="n">
        <v>0.25</v>
      </c>
      <c r="AK1488" s="3">
        <f>ROUND(AI1488*AJ1488,2)</f>
        <v/>
      </c>
      <c r="AL1488" s="3">
        <f>AI1488+AK1488</f>
        <v/>
      </c>
      <c r="AM1488" s="3">
        <f>AE1488-AL1488</f>
        <v/>
      </c>
      <c r="AN1488" s="4">
        <f>AM1488/AE1488</f>
        <v/>
      </c>
      <c r="AO1488" s="3" t="inlineStr">
        <is>
          <t>60 mins</t>
        </is>
      </c>
      <c r="AQ1488" s="3" t="inlineStr">
        <is>
          <t>Weight</t>
        </is>
      </c>
    </row>
    <row r="1489" ht="15.75" customHeight="1">
      <c r="A1489" s="3" t="inlineStr">
        <is>
          <t>PROD_0287</t>
        </is>
      </c>
      <c r="B1489" s="3" t="inlineStr">
        <is>
          <t>VAR_3</t>
        </is>
      </c>
      <c r="C1489" s="3" t="inlineStr">
        <is>
          <t>Paint</t>
        </is>
      </c>
      <c r="D1489" s="3" t="inlineStr">
        <is>
          <t>Tools</t>
        </is>
      </c>
      <c r="E1489" s="3" t="inlineStr">
        <is>
          <t>Generic</t>
        </is>
      </c>
      <c r="F1489" s="3" t="inlineStr">
        <is>
          <t>Paint Brush</t>
        </is>
      </c>
      <c r="H1489" s="3" t="inlineStr">
        <is>
          <t>Size</t>
        </is>
      </c>
      <c r="I1489" s="3" t="inlineStr">
        <is>
          <t>2 inch</t>
        </is>
      </c>
      <c r="Q1489" s="3" t="inlineStr">
        <is>
          <t>Manufacturer's Warranty</t>
        </is>
      </c>
      <c r="Y1489" s="3" t="inlineStr">
        <is>
          <t>PNT_TL_BRS_2IN</t>
        </is>
      </c>
      <c r="Z1489" s="3" t="n">
        <v>3214</v>
      </c>
      <c r="AE1489" s="3" t="n">
        <v>200</v>
      </c>
      <c r="AF1489" s="4" t="n">
        <v>0.6</v>
      </c>
      <c r="AG1489" s="3">
        <f>ROUND(AE1489-(AE1489*AF1489),2)</f>
        <v/>
      </c>
      <c r="AH1489" s="4" t="n">
        <v>0.18</v>
      </c>
      <c r="AI1489" s="3">
        <f>ROUND(AG1489+(AG1489*AH1489),2)</f>
        <v/>
      </c>
      <c r="AJ1489" s="4" t="n">
        <v>0.25</v>
      </c>
      <c r="AK1489" s="3">
        <f>ROUND(AI1489*AJ1489,2)</f>
        <v/>
      </c>
      <c r="AL1489" s="3">
        <f>AI1489+AK1489</f>
        <v/>
      </c>
      <c r="AM1489" s="3">
        <f>AE1489-AL1489</f>
        <v/>
      </c>
      <c r="AN1489" s="4">
        <f>AM1489/AE1489</f>
        <v/>
      </c>
      <c r="AO1489" s="3" t="inlineStr">
        <is>
          <t>60 mins</t>
        </is>
      </c>
      <c r="AQ1489" s="3" t="inlineStr">
        <is>
          <t>Weight</t>
        </is>
      </c>
    </row>
    <row r="1490" ht="15.75" customHeight="1">
      <c r="A1490" s="3" t="inlineStr">
        <is>
          <t>PROD_0287</t>
        </is>
      </c>
      <c r="B1490" s="3" t="inlineStr">
        <is>
          <t>VAR_4</t>
        </is>
      </c>
      <c r="C1490" s="3" t="inlineStr">
        <is>
          <t>Paint</t>
        </is>
      </c>
      <c r="D1490" s="3" t="inlineStr">
        <is>
          <t>Tools</t>
        </is>
      </c>
      <c r="E1490" s="3" t="inlineStr">
        <is>
          <t>Generic</t>
        </is>
      </c>
      <c r="F1490" s="3" t="inlineStr">
        <is>
          <t>Paint Brush</t>
        </is>
      </c>
      <c r="H1490" s="3" t="inlineStr">
        <is>
          <t>Size</t>
        </is>
      </c>
      <c r="I1490" s="3" t="inlineStr">
        <is>
          <t>3 inch</t>
        </is>
      </c>
      <c r="Q1490" s="3" t="inlineStr">
        <is>
          <t>Manufacturer's Warranty</t>
        </is>
      </c>
      <c r="Y1490" s="3" t="inlineStr">
        <is>
          <t>PNT_TL_BRS_3IN</t>
        </is>
      </c>
      <c r="Z1490" s="3" t="n">
        <v>3214</v>
      </c>
      <c r="AE1490" s="3" t="n">
        <v>225</v>
      </c>
      <c r="AF1490" s="4" t="n">
        <v>0.6</v>
      </c>
      <c r="AG1490" s="3">
        <f>ROUND(AE1490-(AE1490*AF1490),2)</f>
        <v/>
      </c>
      <c r="AH1490" s="4" t="n">
        <v>0.18</v>
      </c>
      <c r="AI1490" s="3">
        <f>ROUND(AG1490+(AG1490*AH1490),2)</f>
        <v/>
      </c>
      <c r="AJ1490" s="4" t="n">
        <v>0.25</v>
      </c>
      <c r="AK1490" s="3">
        <f>ROUND(AI1490*AJ1490,2)</f>
        <v/>
      </c>
      <c r="AL1490" s="3">
        <f>AI1490+AK1490</f>
        <v/>
      </c>
      <c r="AM1490" s="3">
        <f>AE1490-AL1490</f>
        <v/>
      </c>
      <c r="AN1490" s="4">
        <f>AM1490/AE1490</f>
        <v/>
      </c>
      <c r="AO1490" s="3" t="inlineStr">
        <is>
          <t>60 mins</t>
        </is>
      </c>
      <c r="AQ1490" s="3" t="inlineStr">
        <is>
          <t>Weight</t>
        </is>
      </c>
    </row>
    <row r="1491" ht="15.75" customHeight="1">
      <c r="A1491" s="3" t="inlineStr">
        <is>
          <t>PROD_0287</t>
        </is>
      </c>
      <c r="B1491" s="3" t="inlineStr">
        <is>
          <t>VAR_5</t>
        </is>
      </c>
      <c r="C1491" s="3" t="inlineStr">
        <is>
          <t>Paint</t>
        </is>
      </c>
      <c r="D1491" s="3" t="inlineStr">
        <is>
          <t>Tools</t>
        </is>
      </c>
      <c r="E1491" s="3" t="inlineStr">
        <is>
          <t>Generic</t>
        </is>
      </c>
      <c r="F1491" s="3" t="inlineStr">
        <is>
          <t>Paint Brush</t>
        </is>
      </c>
      <c r="H1491" s="3" t="inlineStr">
        <is>
          <t>Size</t>
        </is>
      </c>
      <c r="I1491" s="3" t="inlineStr">
        <is>
          <t>4 inch</t>
        </is>
      </c>
      <c r="Q1491" s="3" t="inlineStr">
        <is>
          <t>Manufacturer's Warranty</t>
        </is>
      </c>
      <c r="Y1491" s="3" t="inlineStr">
        <is>
          <t>PNT_TL_BRS_4IN</t>
        </is>
      </c>
      <c r="Z1491" s="3" t="n">
        <v>96034010</v>
      </c>
      <c r="AE1491" s="3" t="n">
        <v>280</v>
      </c>
      <c r="AF1491" s="4" t="n">
        <v>0.6</v>
      </c>
      <c r="AG1491" s="3">
        <f>ROUND(AE1491-(AE1491*AF1491),2)</f>
        <v/>
      </c>
      <c r="AH1491" s="4" t="n">
        <v>0.18</v>
      </c>
      <c r="AI1491" s="3">
        <f>ROUND(AG1491+(AG1491*AH1491),2)</f>
        <v/>
      </c>
      <c r="AJ1491" s="4" t="n">
        <v>0.25</v>
      </c>
      <c r="AK1491" s="3">
        <f>ROUND(AI1491*AJ1491,2)</f>
        <v/>
      </c>
      <c r="AL1491" s="3">
        <f>AI1491+AK1491</f>
        <v/>
      </c>
      <c r="AM1491" s="3">
        <f>AE1491-AL1491</f>
        <v/>
      </c>
      <c r="AN1491" s="4">
        <f>AM1491/AE1491</f>
        <v/>
      </c>
      <c r="AO1491" s="3" t="inlineStr">
        <is>
          <t>60 mins</t>
        </is>
      </c>
      <c r="AQ1491" s="3" t="inlineStr">
        <is>
          <t>Weight</t>
        </is>
      </c>
    </row>
    <row r="1492" ht="15.75" customHeight="1">
      <c r="A1492" s="3" t="inlineStr">
        <is>
          <t>PROD_0287</t>
        </is>
      </c>
      <c r="B1492" s="3" t="inlineStr">
        <is>
          <t>VAR_6</t>
        </is>
      </c>
      <c r="C1492" s="3" t="inlineStr">
        <is>
          <t>Paint</t>
        </is>
      </c>
      <c r="D1492" s="3" t="inlineStr">
        <is>
          <t>Tools</t>
        </is>
      </c>
      <c r="E1492" s="3" t="inlineStr">
        <is>
          <t>Generic</t>
        </is>
      </c>
      <c r="F1492" s="3" t="inlineStr">
        <is>
          <t>Paint Brush</t>
        </is>
      </c>
      <c r="H1492" s="3" t="inlineStr">
        <is>
          <t>Size</t>
        </is>
      </c>
      <c r="I1492" s="3" t="inlineStr">
        <is>
          <t>5 inch</t>
        </is>
      </c>
      <c r="Q1492" s="3" t="inlineStr">
        <is>
          <t>Manufacturer's Warranty</t>
        </is>
      </c>
      <c r="Y1492" s="3" t="inlineStr">
        <is>
          <t>PNT_TL_BRS_5IN</t>
        </is>
      </c>
      <c r="Z1492" s="3" t="n">
        <v>96034010</v>
      </c>
      <c r="AE1492" s="3" t="n">
        <v>440</v>
      </c>
      <c r="AF1492" s="4" t="n">
        <v>0.6</v>
      </c>
      <c r="AG1492" s="3">
        <f>ROUND(AE1492-(AE1492*AF1492),2)</f>
        <v/>
      </c>
      <c r="AH1492" s="4" t="n">
        <v>0.18</v>
      </c>
      <c r="AI1492" s="3">
        <f>ROUND(AG1492+(AG1492*AH1492),2)</f>
        <v/>
      </c>
      <c r="AJ1492" s="4" t="n">
        <v>0.25</v>
      </c>
      <c r="AK1492" s="3">
        <f>ROUND(AI1492*AJ1492,2)</f>
        <v/>
      </c>
      <c r="AL1492" s="3">
        <f>AI1492+AK1492</f>
        <v/>
      </c>
      <c r="AM1492" s="3">
        <f>AE1492-AL1492</f>
        <v/>
      </c>
      <c r="AN1492" s="4">
        <f>AM1492/AE1492</f>
        <v/>
      </c>
      <c r="AO1492" s="3" t="inlineStr">
        <is>
          <t>60 mins</t>
        </is>
      </c>
      <c r="AQ1492" s="3" t="inlineStr">
        <is>
          <t>Weight</t>
        </is>
      </c>
    </row>
    <row r="1493" ht="15.75" customHeight="1">
      <c r="A1493" s="3" t="inlineStr">
        <is>
          <t>PROD_0288</t>
        </is>
      </c>
      <c r="B1493" s="3" t="inlineStr">
        <is>
          <t>VAR_1</t>
        </is>
      </c>
      <c r="C1493" s="3" t="inlineStr">
        <is>
          <t>Paint</t>
        </is>
      </c>
      <c r="D1493" s="3" t="inlineStr">
        <is>
          <t>Tools</t>
        </is>
      </c>
      <c r="E1493" s="3" t="inlineStr">
        <is>
          <t>Generic</t>
        </is>
      </c>
      <c r="F1493" s="3" t="inlineStr">
        <is>
          <t>Roller Brush</t>
        </is>
      </c>
      <c r="H1493" s="3" t="inlineStr">
        <is>
          <t>Size</t>
        </is>
      </c>
      <c r="I1493" s="3" t="inlineStr">
        <is>
          <t>3 inch</t>
        </is>
      </c>
      <c r="Q1493" s="3" t="inlineStr">
        <is>
          <t>Manufacturer's Warranty</t>
        </is>
      </c>
      <c r="Y1493" s="3" t="inlineStr">
        <is>
          <t>PNT_TL_RLRBRS</t>
        </is>
      </c>
      <c r="Z1493" s="3" t="n">
        <v>96034010</v>
      </c>
      <c r="AE1493" s="3" t="n">
        <v>120</v>
      </c>
      <c r="AF1493" s="4" t="n">
        <v>0.6</v>
      </c>
      <c r="AG1493" s="3">
        <f>ROUND(AE1493-(AE1493*AF1493),2)</f>
        <v/>
      </c>
      <c r="AH1493" s="4" t="n">
        <v>0.18</v>
      </c>
      <c r="AI1493" s="3">
        <f>ROUND(AG1493+(AG1493*AH1493),2)</f>
        <v/>
      </c>
      <c r="AJ1493" s="4" t="n">
        <v>0.25</v>
      </c>
      <c r="AK1493" s="3">
        <f>ROUND(AI1493*AJ1493,2)</f>
        <v/>
      </c>
      <c r="AL1493" s="3">
        <f>AI1493+AK1493</f>
        <v/>
      </c>
      <c r="AM1493" s="3">
        <f>AE1493-AL1493</f>
        <v/>
      </c>
      <c r="AN1493" s="4">
        <f>AM1493/AE1493</f>
        <v/>
      </c>
      <c r="AO1493" s="3" t="inlineStr">
        <is>
          <t>60 mins</t>
        </is>
      </c>
      <c r="AQ1493" s="3" t="inlineStr">
        <is>
          <t>Weight</t>
        </is>
      </c>
    </row>
    <row r="1494" ht="15.75" customHeight="1">
      <c r="A1494" s="3" t="inlineStr">
        <is>
          <t>PROD_0288</t>
        </is>
      </c>
      <c r="B1494" s="3" t="inlineStr">
        <is>
          <t>VAR_2</t>
        </is>
      </c>
      <c r="C1494" s="3" t="inlineStr">
        <is>
          <t>Paint</t>
        </is>
      </c>
      <c r="D1494" s="3" t="inlineStr">
        <is>
          <t>Tools</t>
        </is>
      </c>
      <c r="E1494" s="3" t="inlineStr">
        <is>
          <t>Generic</t>
        </is>
      </c>
      <c r="F1494" s="3" t="inlineStr">
        <is>
          <t>Roller Brush</t>
        </is>
      </c>
      <c r="H1494" s="3" t="inlineStr">
        <is>
          <t>Size</t>
        </is>
      </c>
      <c r="I1494" s="3" t="inlineStr">
        <is>
          <t>4 inch</t>
        </is>
      </c>
      <c r="Q1494" s="3" t="inlineStr">
        <is>
          <t>Manufacturer's Warranty</t>
        </is>
      </c>
      <c r="Y1494" s="3" t="inlineStr">
        <is>
          <t>PNT_TL_RLRBRS</t>
        </is>
      </c>
      <c r="Z1494" s="3" t="n">
        <v>96034010</v>
      </c>
      <c r="AE1494" s="3" t="n">
        <v>180</v>
      </c>
      <c r="AF1494" s="4" t="n">
        <v>0.6</v>
      </c>
      <c r="AG1494" s="3">
        <f>ROUND(AE1494-(AE1494*AF1494),2)</f>
        <v/>
      </c>
      <c r="AH1494" s="4" t="n">
        <v>0.18</v>
      </c>
      <c r="AI1494" s="3">
        <f>ROUND(AG1494+(AG1494*AH1494),2)</f>
        <v/>
      </c>
      <c r="AJ1494" s="4" t="n">
        <v>0.25</v>
      </c>
      <c r="AK1494" s="3">
        <f>ROUND(AI1494*AJ1494,2)</f>
        <v/>
      </c>
      <c r="AL1494" s="3">
        <f>AI1494+AK1494</f>
        <v/>
      </c>
      <c r="AM1494" s="3">
        <f>AE1494-AL1494</f>
        <v/>
      </c>
      <c r="AN1494" s="4">
        <f>AM1494/AE1494</f>
        <v/>
      </c>
      <c r="AO1494" s="3" t="inlineStr">
        <is>
          <t>60 mins</t>
        </is>
      </c>
      <c r="AQ1494" s="3" t="inlineStr">
        <is>
          <t>Weight</t>
        </is>
      </c>
    </row>
    <row r="1495" ht="15.75" customHeight="1">
      <c r="A1495" s="3" t="inlineStr">
        <is>
          <t>PROD_0288</t>
        </is>
      </c>
      <c r="B1495" s="3" t="inlineStr">
        <is>
          <t>VAR_3</t>
        </is>
      </c>
      <c r="C1495" s="3" t="inlineStr">
        <is>
          <t>Paint</t>
        </is>
      </c>
      <c r="D1495" s="3" t="inlineStr">
        <is>
          <t>Tools</t>
        </is>
      </c>
      <c r="E1495" s="3" t="inlineStr">
        <is>
          <t>Generic</t>
        </is>
      </c>
      <c r="F1495" s="3" t="inlineStr">
        <is>
          <t>Roller Brush</t>
        </is>
      </c>
      <c r="H1495" s="3" t="inlineStr">
        <is>
          <t>Size</t>
        </is>
      </c>
      <c r="I1495" s="3" t="inlineStr">
        <is>
          <t>6 inch</t>
        </is>
      </c>
      <c r="Q1495" s="3" t="inlineStr">
        <is>
          <t>Manufacturer's Warranty</t>
        </is>
      </c>
      <c r="Y1495" s="3" t="inlineStr">
        <is>
          <t>PNT_TL_RLRBRS_6IN</t>
        </is>
      </c>
      <c r="Z1495" s="3" t="n">
        <v>96034010</v>
      </c>
      <c r="AE1495" s="3" t="n">
        <v>260</v>
      </c>
      <c r="AF1495" s="4" t="n">
        <v>0.6</v>
      </c>
      <c r="AG1495" s="3">
        <f>ROUND(AE1495-(AE1495*AF1495),2)</f>
        <v/>
      </c>
      <c r="AH1495" s="4" t="n">
        <v>0.18</v>
      </c>
      <c r="AI1495" s="3">
        <f>ROUND(AG1495+(AG1495*AH1495),2)</f>
        <v/>
      </c>
      <c r="AJ1495" s="4" t="n">
        <v>0.25</v>
      </c>
      <c r="AK1495" s="3">
        <f>ROUND(AI1495*AJ1495,2)</f>
        <v/>
      </c>
      <c r="AL1495" s="3">
        <f>AI1495+AK1495</f>
        <v/>
      </c>
      <c r="AM1495" s="3">
        <f>AE1495-AL1495</f>
        <v/>
      </c>
      <c r="AN1495" s="4">
        <f>AM1495/AE1495</f>
        <v/>
      </c>
      <c r="AO1495" s="3" t="inlineStr">
        <is>
          <t>60 mins</t>
        </is>
      </c>
      <c r="AQ1495" s="3" t="inlineStr">
        <is>
          <t>Weight</t>
        </is>
      </c>
    </row>
    <row r="1496" ht="15.75" customHeight="1">
      <c r="A1496" s="3" t="inlineStr">
        <is>
          <t>PROD_0288</t>
        </is>
      </c>
      <c r="B1496" s="3" t="inlineStr">
        <is>
          <t>VAR_4</t>
        </is>
      </c>
      <c r="C1496" s="3" t="inlineStr">
        <is>
          <t>Paint</t>
        </is>
      </c>
      <c r="D1496" s="3" t="inlineStr">
        <is>
          <t>Tools</t>
        </is>
      </c>
      <c r="E1496" s="3" t="inlineStr">
        <is>
          <t>Generic</t>
        </is>
      </c>
      <c r="F1496" s="3" t="inlineStr">
        <is>
          <t>Roller Brush</t>
        </is>
      </c>
      <c r="H1496" s="3" t="inlineStr">
        <is>
          <t>Size</t>
        </is>
      </c>
      <c r="I1496" s="3" t="inlineStr">
        <is>
          <t>9 inch</t>
        </is>
      </c>
      <c r="Q1496" s="3" t="inlineStr">
        <is>
          <t>Manufacturer's Warranty</t>
        </is>
      </c>
      <c r="Y1496" s="3" t="inlineStr">
        <is>
          <t>PNT_TL_RLRBRS_9IN</t>
        </is>
      </c>
      <c r="Z1496" s="3" t="n">
        <v>96034010</v>
      </c>
      <c r="AE1496" s="3" t="n">
        <v>400</v>
      </c>
      <c r="AF1496" s="4" t="n">
        <v>0.6</v>
      </c>
      <c r="AG1496" s="3">
        <f>ROUND(AE1496-(AE1496*AF1496),2)</f>
        <v/>
      </c>
      <c r="AH1496" s="4" t="n">
        <v>0.18</v>
      </c>
      <c r="AI1496" s="3">
        <f>ROUND(AG1496+(AG1496*AH1496),2)</f>
        <v/>
      </c>
      <c r="AJ1496" s="4" t="n">
        <v>0.25</v>
      </c>
      <c r="AK1496" s="3">
        <f>ROUND(AI1496*AJ1496,2)</f>
        <v/>
      </c>
      <c r="AL1496" s="3">
        <f>AI1496+AK1496</f>
        <v/>
      </c>
      <c r="AM1496" s="3">
        <f>AE1496-AL1496</f>
        <v/>
      </c>
      <c r="AN1496" s="4">
        <f>AM1496/AE1496</f>
        <v/>
      </c>
      <c r="AO1496" s="3" t="inlineStr">
        <is>
          <t>60 mins</t>
        </is>
      </c>
      <c r="AQ1496" s="3" t="inlineStr">
        <is>
          <t>Weight</t>
        </is>
      </c>
    </row>
    <row r="1497" ht="15.75" customHeight="1">
      <c r="A1497" s="3" t="inlineStr">
        <is>
          <t>PROD_0288</t>
        </is>
      </c>
      <c r="B1497" s="3" t="inlineStr">
        <is>
          <t>VAR_5</t>
        </is>
      </c>
      <c r="C1497" s="3" t="inlineStr">
        <is>
          <t>Paint</t>
        </is>
      </c>
      <c r="D1497" s="3" t="inlineStr">
        <is>
          <t>Tools</t>
        </is>
      </c>
      <c r="E1497" s="3" t="inlineStr">
        <is>
          <t>Generic</t>
        </is>
      </c>
      <c r="F1497" s="3" t="inlineStr">
        <is>
          <t>Roller Brush</t>
        </is>
      </c>
      <c r="H1497" s="3" t="inlineStr">
        <is>
          <t>Size</t>
        </is>
      </c>
      <c r="I1497" s="3" t="inlineStr">
        <is>
          <t>14 inch</t>
        </is>
      </c>
      <c r="Q1497" s="3" t="inlineStr">
        <is>
          <t>Manufacturer's Warranty</t>
        </is>
      </c>
      <c r="Y1497" s="3" t="inlineStr">
        <is>
          <t>PNT_TL_RLRBRS</t>
        </is>
      </c>
      <c r="Z1497" s="3" t="n">
        <v>96034010</v>
      </c>
      <c r="AE1497" s="3" t="n">
        <v>500</v>
      </c>
      <c r="AF1497" s="4" t="n">
        <v>0.6</v>
      </c>
      <c r="AG1497" s="3">
        <f>ROUND(AE1497-(AE1497*AF1497),2)</f>
        <v/>
      </c>
      <c r="AH1497" s="4" t="n">
        <v>0.18</v>
      </c>
      <c r="AI1497" s="3">
        <f>ROUND(AG1497+(AG1497*AH1497),2)</f>
        <v/>
      </c>
      <c r="AJ1497" s="4" t="n">
        <v>0.25</v>
      </c>
      <c r="AK1497" s="3">
        <f>ROUND(AI1497*AJ1497,2)</f>
        <v/>
      </c>
      <c r="AL1497" s="3">
        <f>AI1497+AK1497</f>
        <v/>
      </c>
      <c r="AM1497" s="3">
        <f>AE1497-AL1497</f>
        <v/>
      </c>
      <c r="AN1497" s="4">
        <f>AM1497/AE1497</f>
        <v/>
      </c>
      <c r="AO1497" s="3" t="inlineStr">
        <is>
          <t>60 mins</t>
        </is>
      </c>
      <c r="AQ1497" s="3" t="inlineStr">
        <is>
          <t>Weight</t>
        </is>
      </c>
    </row>
    <row r="1498" ht="15.75" customHeight="1">
      <c r="A1498" s="3" t="inlineStr">
        <is>
          <t>PROD_0288</t>
        </is>
      </c>
      <c r="B1498" s="3" t="inlineStr">
        <is>
          <t>VAR_6</t>
        </is>
      </c>
      <c r="C1498" s="3" t="inlineStr">
        <is>
          <t>Paint</t>
        </is>
      </c>
      <c r="D1498" s="3" t="inlineStr">
        <is>
          <t>Tools</t>
        </is>
      </c>
      <c r="E1498" s="3" t="inlineStr">
        <is>
          <t>Generic</t>
        </is>
      </c>
      <c r="F1498" s="3" t="inlineStr">
        <is>
          <t>Roller Brush</t>
        </is>
      </c>
      <c r="H1498" s="3" t="inlineStr">
        <is>
          <t>Size</t>
        </is>
      </c>
      <c r="I1498" s="3" t="inlineStr">
        <is>
          <t>18 inch</t>
        </is>
      </c>
      <c r="Q1498" s="3" t="inlineStr">
        <is>
          <t>Manufacturer's Warranty</t>
        </is>
      </c>
      <c r="Y1498" s="3" t="inlineStr">
        <is>
          <t>PNT_TL_RLRBRS</t>
        </is>
      </c>
      <c r="Z1498" s="3" t="n">
        <v>96034020</v>
      </c>
      <c r="AE1498" s="3" t="n">
        <v>600</v>
      </c>
      <c r="AF1498" s="4" t="n">
        <v>0.6</v>
      </c>
      <c r="AG1498" s="3">
        <f>ROUND(AE1498-(AE1498*AF1498),2)</f>
        <v/>
      </c>
      <c r="AH1498" s="4" t="n">
        <v>0.18</v>
      </c>
      <c r="AI1498" s="3">
        <f>ROUND(AG1498+(AG1498*AH1498),2)</f>
        <v/>
      </c>
      <c r="AJ1498" s="4" t="n">
        <v>0.25</v>
      </c>
      <c r="AK1498" s="3">
        <f>ROUND(AI1498*AJ1498,2)</f>
        <v/>
      </c>
      <c r="AL1498" s="3">
        <f>AI1498+AK1498</f>
        <v/>
      </c>
      <c r="AM1498" s="3">
        <f>AE1498-AL1498</f>
        <v/>
      </c>
      <c r="AN1498" s="4">
        <f>AM1498/AE1498</f>
        <v/>
      </c>
      <c r="AO1498" s="3" t="inlineStr">
        <is>
          <t>60 mins</t>
        </is>
      </c>
      <c r="AQ1498" s="3" t="inlineStr">
        <is>
          <t>Weight</t>
        </is>
      </c>
    </row>
    <row r="1499" ht="15.75" customHeight="1">
      <c r="A1499" s="3" t="inlineStr">
        <is>
          <t>PROD_0289</t>
        </is>
      </c>
      <c r="B1499" s="3" t="inlineStr">
        <is>
          <t>VAR_1</t>
        </is>
      </c>
      <c r="C1499" s="3" t="inlineStr">
        <is>
          <t>Paint</t>
        </is>
      </c>
      <c r="D1499" s="3" t="inlineStr">
        <is>
          <t>Tools</t>
        </is>
      </c>
      <c r="E1499" s="3" t="inlineStr">
        <is>
          <t>Generic</t>
        </is>
      </c>
      <c r="F1499" s="3" t="inlineStr">
        <is>
          <t>Multi Roller</t>
        </is>
      </c>
      <c r="H1499" s="3" t="inlineStr">
        <is>
          <t>Size</t>
        </is>
      </c>
      <c r="I1499" s="3" t="inlineStr">
        <is>
          <t>2 inch</t>
        </is>
      </c>
      <c r="Q1499" s="3" t="inlineStr">
        <is>
          <t>Manufacturer's Warranty</t>
        </is>
      </c>
      <c r="Y1499" s="3" t="inlineStr">
        <is>
          <t>PNT_TL_RLRBRS</t>
        </is>
      </c>
      <c r="Z1499" s="3" t="n">
        <v>96034020</v>
      </c>
      <c r="AE1499" s="3" t="n">
        <v>100</v>
      </c>
      <c r="AF1499" s="4" t="n">
        <v>0.6</v>
      </c>
      <c r="AG1499" s="3">
        <f>ROUND(AE1499-(AE1499*AF1499),2)</f>
        <v/>
      </c>
      <c r="AH1499" s="4" t="n">
        <v>0.18</v>
      </c>
      <c r="AI1499" s="3">
        <f>ROUND(AG1499+(AG1499*AH1499),2)</f>
        <v/>
      </c>
      <c r="AJ1499" s="4" t="n">
        <v>0.25</v>
      </c>
      <c r="AK1499" s="3">
        <f>ROUND(AI1499*AJ1499,2)</f>
        <v/>
      </c>
      <c r="AL1499" s="3">
        <f>AI1499+AK1499</f>
        <v/>
      </c>
      <c r="AM1499" s="3">
        <f>AE1499-AL1499</f>
        <v/>
      </c>
      <c r="AN1499" s="4">
        <f>AM1499/AE1499</f>
        <v/>
      </c>
      <c r="AO1499" s="3" t="inlineStr">
        <is>
          <t>60 mins</t>
        </is>
      </c>
      <c r="AQ1499" s="3" t="inlineStr">
        <is>
          <t>Weight</t>
        </is>
      </c>
    </row>
    <row r="1500" ht="15.75" customHeight="1">
      <c r="A1500" s="3" t="inlineStr">
        <is>
          <t>PROD_0289</t>
        </is>
      </c>
      <c r="B1500" s="3" t="inlineStr">
        <is>
          <t>VAR_2</t>
        </is>
      </c>
      <c r="C1500" s="3" t="inlineStr">
        <is>
          <t>Paint</t>
        </is>
      </c>
      <c r="D1500" s="3" t="inlineStr">
        <is>
          <t>Tools</t>
        </is>
      </c>
      <c r="E1500" s="3" t="inlineStr">
        <is>
          <t>Generic</t>
        </is>
      </c>
      <c r="F1500" s="3" t="inlineStr">
        <is>
          <t>Multi Roller</t>
        </is>
      </c>
      <c r="H1500" s="3" t="inlineStr">
        <is>
          <t>Size</t>
        </is>
      </c>
      <c r="I1500" s="3" t="inlineStr">
        <is>
          <t>4 inch</t>
        </is>
      </c>
      <c r="Q1500" s="3" t="inlineStr">
        <is>
          <t>Manufacturer's Warranty</t>
        </is>
      </c>
      <c r="Y1500" s="3" t="inlineStr">
        <is>
          <t>PNT_TL_RLRBRS</t>
        </is>
      </c>
      <c r="Z1500" s="3" t="n">
        <v>96034020</v>
      </c>
      <c r="AE1500" s="3" t="n">
        <v>200</v>
      </c>
      <c r="AF1500" s="4" t="n">
        <v>0.6</v>
      </c>
      <c r="AG1500" s="3">
        <f>ROUND(AE1500-(AE1500*AF1500),2)</f>
        <v/>
      </c>
      <c r="AH1500" s="4" t="n">
        <v>0.18</v>
      </c>
      <c r="AI1500" s="3">
        <f>ROUND(AG1500+(AG1500*AH1500),2)</f>
        <v/>
      </c>
      <c r="AJ1500" s="4" t="n">
        <v>0.25</v>
      </c>
      <c r="AK1500" s="3">
        <f>ROUND(AI1500*AJ1500,2)</f>
        <v/>
      </c>
      <c r="AL1500" s="3">
        <f>AI1500+AK1500</f>
        <v/>
      </c>
      <c r="AM1500" s="3">
        <f>AE1500-AL1500</f>
        <v/>
      </c>
      <c r="AN1500" s="4">
        <f>AM1500/AE1500</f>
        <v/>
      </c>
      <c r="AO1500" s="3" t="inlineStr">
        <is>
          <t>60 mins</t>
        </is>
      </c>
      <c r="AQ1500" s="3" t="inlineStr">
        <is>
          <t>Weight</t>
        </is>
      </c>
    </row>
    <row r="1501" ht="15.75" customHeight="1">
      <c r="A1501" s="3" t="inlineStr">
        <is>
          <t>PROD_0289</t>
        </is>
      </c>
      <c r="B1501" s="3" t="inlineStr">
        <is>
          <t>VAR_3</t>
        </is>
      </c>
      <c r="C1501" s="3" t="inlineStr">
        <is>
          <t>Paint</t>
        </is>
      </c>
      <c r="D1501" s="3" t="inlineStr">
        <is>
          <t>Tools</t>
        </is>
      </c>
      <c r="E1501" s="3" t="inlineStr">
        <is>
          <t>Generic</t>
        </is>
      </c>
      <c r="F1501" s="3" t="inlineStr">
        <is>
          <t>Multi Roller</t>
        </is>
      </c>
      <c r="H1501" s="3" t="inlineStr">
        <is>
          <t>Size</t>
        </is>
      </c>
      <c r="I1501" s="3" t="inlineStr">
        <is>
          <t>6 inch</t>
        </is>
      </c>
      <c r="Q1501" s="3" t="inlineStr">
        <is>
          <t>Manufacturer's Warranty</t>
        </is>
      </c>
      <c r="Y1501" s="3" t="inlineStr">
        <is>
          <t>PNT_TL_RLRBRS</t>
        </is>
      </c>
      <c r="Z1501" s="3" t="n">
        <v>96034020</v>
      </c>
      <c r="AE1501" s="3" t="n">
        <v>300</v>
      </c>
      <c r="AF1501" s="4" t="n">
        <v>0.6</v>
      </c>
      <c r="AG1501" s="3">
        <f>ROUND(AE1501-(AE1501*AF1501),2)</f>
        <v/>
      </c>
      <c r="AH1501" s="4" t="n">
        <v>0.18</v>
      </c>
      <c r="AI1501" s="3">
        <f>ROUND(AG1501+(AG1501*AH1501),2)</f>
        <v/>
      </c>
      <c r="AJ1501" s="4" t="n">
        <v>0.25</v>
      </c>
      <c r="AK1501" s="3">
        <f>ROUND(AI1501*AJ1501,2)</f>
        <v/>
      </c>
      <c r="AL1501" s="3">
        <f>AI1501+AK1501</f>
        <v/>
      </c>
      <c r="AM1501" s="3">
        <f>AE1501-AL1501</f>
        <v/>
      </c>
      <c r="AN1501" s="4">
        <f>AM1501/AE1501</f>
        <v/>
      </c>
      <c r="AO1501" s="3" t="inlineStr">
        <is>
          <t>60 mins</t>
        </is>
      </c>
      <c r="AQ1501" s="3" t="inlineStr">
        <is>
          <t>Weight</t>
        </is>
      </c>
    </row>
    <row r="1502" ht="15.75" customHeight="1">
      <c r="A1502" s="3" t="inlineStr">
        <is>
          <t>PROD_0289</t>
        </is>
      </c>
      <c r="B1502" s="3" t="inlineStr">
        <is>
          <t>VAR_4</t>
        </is>
      </c>
      <c r="C1502" s="3" t="inlineStr">
        <is>
          <t>Paint</t>
        </is>
      </c>
      <c r="D1502" s="3" t="inlineStr">
        <is>
          <t>Tools</t>
        </is>
      </c>
      <c r="E1502" s="3" t="inlineStr">
        <is>
          <t>Generic</t>
        </is>
      </c>
      <c r="F1502" s="3" t="inlineStr">
        <is>
          <t>Multi Roller</t>
        </is>
      </c>
      <c r="H1502" s="3" t="inlineStr">
        <is>
          <t>Size</t>
        </is>
      </c>
      <c r="I1502" s="3" t="inlineStr">
        <is>
          <t>7 inch</t>
        </is>
      </c>
      <c r="Q1502" s="3" t="inlineStr">
        <is>
          <t>Manufacturer's Warranty</t>
        </is>
      </c>
      <c r="Y1502" s="3" t="inlineStr">
        <is>
          <t>PNT_TL_RLRBRS</t>
        </is>
      </c>
      <c r="Z1502" s="3" t="n">
        <v>96034020</v>
      </c>
      <c r="AE1502" s="3" t="n">
        <v>350</v>
      </c>
      <c r="AF1502" s="4" t="n">
        <v>0.6</v>
      </c>
      <c r="AG1502" s="3">
        <f>ROUND(AE1502-(AE1502*AF1502),2)</f>
        <v/>
      </c>
      <c r="AH1502" s="4" t="n">
        <v>0.18</v>
      </c>
      <c r="AI1502" s="3">
        <f>ROUND(AG1502+(AG1502*AH1502),2)</f>
        <v/>
      </c>
      <c r="AJ1502" s="4" t="n">
        <v>0.25</v>
      </c>
      <c r="AK1502" s="3">
        <f>ROUND(AI1502*AJ1502,2)</f>
        <v/>
      </c>
      <c r="AL1502" s="3">
        <f>AI1502+AK1502</f>
        <v/>
      </c>
      <c r="AM1502" s="3">
        <f>AE1502-AL1502</f>
        <v/>
      </c>
      <c r="AN1502" s="4">
        <f>AM1502/AE1502</f>
        <v/>
      </c>
      <c r="AO1502" s="3" t="inlineStr">
        <is>
          <t>60 mins</t>
        </is>
      </c>
      <c r="AQ1502" s="3" t="inlineStr">
        <is>
          <t>Weight</t>
        </is>
      </c>
    </row>
    <row r="1503" ht="15.75" customHeight="1">
      <c r="A1503" s="3" t="inlineStr">
        <is>
          <t>PROD_0289</t>
        </is>
      </c>
      <c r="B1503" s="3" t="inlineStr">
        <is>
          <t>VAR_5</t>
        </is>
      </c>
      <c r="C1503" s="3" t="inlineStr">
        <is>
          <t>Paint</t>
        </is>
      </c>
      <c r="D1503" s="3" t="inlineStr">
        <is>
          <t>Tools</t>
        </is>
      </c>
      <c r="E1503" s="3" t="inlineStr">
        <is>
          <t>Generic</t>
        </is>
      </c>
      <c r="F1503" s="3" t="inlineStr">
        <is>
          <t>Multi Roller</t>
        </is>
      </c>
      <c r="H1503" s="3" t="inlineStr">
        <is>
          <t>Size</t>
        </is>
      </c>
      <c r="I1503" s="3" t="inlineStr">
        <is>
          <t>9 inch</t>
        </is>
      </c>
      <c r="Q1503" s="3" t="inlineStr">
        <is>
          <t>Manufacturer's Warranty</t>
        </is>
      </c>
      <c r="Y1503" s="3" t="inlineStr">
        <is>
          <t>PNT_TL_RLRBRS</t>
        </is>
      </c>
      <c r="Z1503" s="3" t="n">
        <v>96034020</v>
      </c>
      <c r="AE1503" s="3" t="n">
        <v>400</v>
      </c>
      <c r="AF1503" s="4" t="n">
        <v>0.6</v>
      </c>
      <c r="AG1503" s="3">
        <f>ROUND(AE1503-(AE1503*AF1503),2)</f>
        <v/>
      </c>
      <c r="AH1503" s="4" t="n">
        <v>0.18</v>
      </c>
      <c r="AI1503" s="3">
        <f>ROUND(AG1503+(AG1503*AH1503),2)</f>
        <v/>
      </c>
      <c r="AJ1503" s="4" t="n">
        <v>0.25</v>
      </c>
      <c r="AK1503" s="3">
        <f>ROUND(AI1503*AJ1503,2)</f>
        <v/>
      </c>
      <c r="AL1503" s="3">
        <f>AI1503+AK1503</f>
        <v/>
      </c>
      <c r="AM1503" s="3">
        <f>AE1503-AL1503</f>
        <v/>
      </c>
      <c r="AN1503" s="4">
        <f>AM1503/AE1503</f>
        <v/>
      </c>
      <c r="AO1503" s="3" t="inlineStr">
        <is>
          <t>60 mins</t>
        </is>
      </c>
      <c r="AQ1503" s="3" t="inlineStr">
        <is>
          <t>Weight</t>
        </is>
      </c>
    </row>
    <row r="1504" ht="15.75" customHeight="1">
      <c r="A1504" s="3" t="inlineStr">
        <is>
          <t>PROD_0290</t>
        </is>
      </c>
      <c r="B1504" s="3" t="inlineStr">
        <is>
          <t>VAR_1</t>
        </is>
      </c>
      <c r="C1504" s="3" t="inlineStr">
        <is>
          <t>Paint</t>
        </is>
      </c>
      <c r="D1504" s="3" t="inlineStr">
        <is>
          <t>Tools</t>
        </is>
      </c>
      <c r="E1504" s="3" t="inlineStr">
        <is>
          <t>Generic</t>
        </is>
      </c>
      <c r="F1504" s="3" t="inlineStr">
        <is>
          <t>Waterpoof Sandpaper</t>
        </is>
      </c>
      <c r="H1504" s="3" t="inlineStr">
        <is>
          <t>Grit (number)</t>
        </is>
      </c>
      <c r="I1504" s="3" t="n">
        <v>40</v>
      </c>
      <c r="J1504" s="3" t="inlineStr">
        <is>
          <t>Size</t>
        </is>
      </c>
      <c r="K1504" s="3" t="inlineStr">
        <is>
          <t>9 in X 11 in</t>
        </is>
      </c>
      <c r="Q1504" s="3" t="inlineStr">
        <is>
          <t>Manufacturer's Warranty</t>
        </is>
      </c>
      <c r="Y1504" s="3" t="inlineStr">
        <is>
          <t>PNT_SNDPPR</t>
        </is>
      </c>
      <c r="Z1504" s="3" t="n">
        <v>96034020</v>
      </c>
      <c r="AE1504" s="3" t="n">
        <v>150</v>
      </c>
      <c r="AF1504" s="4" t="n">
        <v>0.37</v>
      </c>
      <c r="AG1504" s="3">
        <f>ROUND(AE1504-(AE1504*AF1504),2)</f>
        <v/>
      </c>
      <c r="AH1504" s="4" t="n">
        <v>0.18</v>
      </c>
      <c r="AI1504" s="3">
        <f>ROUND(AG1504+(AG1504*AH1504),2)</f>
        <v/>
      </c>
      <c r="AJ1504" s="4" t="n">
        <v>0.15</v>
      </c>
      <c r="AK1504" s="3">
        <f>ROUND(AI1504*AJ1504,2)</f>
        <v/>
      </c>
      <c r="AL1504" s="3">
        <f>AI1504+AK1504</f>
        <v/>
      </c>
      <c r="AM1504" s="3">
        <f>AE1504-AL1504</f>
        <v/>
      </c>
      <c r="AN1504" s="4">
        <f>AM1504/AE1504</f>
        <v/>
      </c>
      <c r="AO1504" s="3" t="inlineStr">
        <is>
          <t>60 mins</t>
        </is>
      </c>
      <c r="AQ1504" s="3" t="inlineStr">
        <is>
          <t>Weight</t>
        </is>
      </c>
    </row>
    <row r="1505" ht="15.75" customHeight="1">
      <c r="A1505" s="3" t="inlineStr">
        <is>
          <t>PROD_0290</t>
        </is>
      </c>
      <c r="B1505" s="3" t="inlineStr">
        <is>
          <t>VAR_2</t>
        </is>
      </c>
      <c r="C1505" s="3" t="inlineStr">
        <is>
          <t>Paint</t>
        </is>
      </c>
      <c r="D1505" s="3" t="inlineStr">
        <is>
          <t>Tools</t>
        </is>
      </c>
      <c r="E1505" s="3" t="inlineStr">
        <is>
          <t>Generic</t>
        </is>
      </c>
      <c r="F1505" s="3" t="inlineStr">
        <is>
          <t>Waterpoof Sandpaper</t>
        </is>
      </c>
      <c r="H1505" s="3" t="inlineStr">
        <is>
          <t>Grit (number)</t>
        </is>
      </c>
      <c r="I1505" s="3" t="n">
        <v>60</v>
      </c>
      <c r="J1505" s="3" t="inlineStr">
        <is>
          <t>Size</t>
        </is>
      </c>
      <c r="K1505" s="3" t="inlineStr">
        <is>
          <t>9 in X 11 in</t>
        </is>
      </c>
      <c r="Q1505" s="3" t="inlineStr">
        <is>
          <t>Manufacturer's Warranty</t>
        </is>
      </c>
      <c r="Y1505" s="3" t="inlineStr">
        <is>
          <t>PNT_SNDPPR</t>
        </is>
      </c>
      <c r="Z1505" s="3" t="n">
        <v>96034020</v>
      </c>
      <c r="AE1505" s="3" t="n">
        <v>150</v>
      </c>
      <c r="AF1505" s="4" t="n">
        <v>0.37</v>
      </c>
      <c r="AG1505" s="3">
        <f>ROUND(AE1505-(AE1505*AF1505),2)</f>
        <v/>
      </c>
      <c r="AH1505" s="4" t="n">
        <v>0.18</v>
      </c>
      <c r="AI1505" s="3">
        <f>ROUND(AG1505+(AG1505*AH1505),2)</f>
        <v/>
      </c>
      <c r="AJ1505" s="4" t="n">
        <v>0.15</v>
      </c>
      <c r="AK1505" s="3">
        <f>ROUND(AI1505*AJ1505,2)</f>
        <v/>
      </c>
      <c r="AL1505" s="3">
        <f>AI1505+AK1505</f>
        <v/>
      </c>
      <c r="AM1505" s="3">
        <f>AE1505-AL1505</f>
        <v/>
      </c>
      <c r="AN1505" s="4">
        <f>AM1505/AE1505</f>
        <v/>
      </c>
      <c r="AO1505" s="3" t="inlineStr">
        <is>
          <t>60 mins</t>
        </is>
      </c>
      <c r="AQ1505" s="3" t="inlineStr">
        <is>
          <t>Weight</t>
        </is>
      </c>
    </row>
    <row r="1506" ht="15.75" customHeight="1">
      <c r="A1506" s="3" t="inlineStr">
        <is>
          <t>PROD_0290</t>
        </is>
      </c>
      <c r="B1506" s="3" t="inlineStr">
        <is>
          <t>VAR_3</t>
        </is>
      </c>
      <c r="C1506" s="3" t="inlineStr">
        <is>
          <t>Paint</t>
        </is>
      </c>
      <c r="D1506" s="3" t="inlineStr">
        <is>
          <t>Tools</t>
        </is>
      </c>
      <c r="E1506" s="3" t="inlineStr">
        <is>
          <t>Generic</t>
        </is>
      </c>
      <c r="F1506" s="3" t="inlineStr">
        <is>
          <t>Waterpoof Sandpaper</t>
        </is>
      </c>
      <c r="H1506" s="3" t="inlineStr">
        <is>
          <t>Grit (number)</t>
        </is>
      </c>
      <c r="I1506" s="3" t="n">
        <v>80</v>
      </c>
      <c r="J1506" s="3" t="inlineStr">
        <is>
          <t>Size</t>
        </is>
      </c>
      <c r="K1506" s="3" t="inlineStr">
        <is>
          <t>9 in X 11 in</t>
        </is>
      </c>
      <c r="Q1506" s="3" t="inlineStr">
        <is>
          <t>Manufacturer's Warranty</t>
        </is>
      </c>
      <c r="Y1506" s="3" t="inlineStr">
        <is>
          <t>PNT_SNDPPR</t>
        </is>
      </c>
      <c r="Z1506" s="3" t="n">
        <v>96034020</v>
      </c>
      <c r="AE1506" s="3" t="n">
        <v>150</v>
      </c>
      <c r="AF1506" s="4" t="n">
        <v>0.37</v>
      </c>
      <c r="AG1506" s="3">
        <f>ROUND(AE1506-(AE1506*AF1506),2)</f>
        <v/>
      </c>
      <c r="AH1506" s="4" t="n">
        <v>0.18</v>
      </c>
      <c r="AI1506" s="3">
        <f>ROUND(AG1506+(AG1506*AH1506),2)</f>
        <v/>
      </c>
      <c r="AJ1506" s="4" t="n">
        <v>0.15</v>
      </c>
      <c r="AK1506" s="3">
        <f>ROUND(AI1506*AJ1506,2)</f>
        <v/>
      </c>
      <c r="AL1506" s="3">
        <f>AI1506+AK1506</f>
        <v/>
      </c>
      <c r="AM1506" s="3">
        <f>AE1506-AL1506</f>
        <v/>
      </c>
      <c r="AN1506" s="4">
        <f>AM1506/AE1506</f>
        <v/>
      </c>
      <c r="AO1506" s="3" t="inlineStr">
        <is>
          <t>60 mins</t>
        </is>
      </c>
      <c r="AQ1506" s="3" t="inlineStr">
        <is>
          <t>Weight</t>
        </is>
      </c>
    </row>
    <row r="1507" ht="15.75" customHeight="1">
      <c r="A1507" s="3" t="inlineStr">
        <is>
          <t>PROD_0290</t>
        </is>
      </c>
      <c r="B1507" s="3" t="inlineStr">
        <is>
          <t>VAR_4</t>
        </is>
      </c>
      <c r="C1507" s="3" t="inlineStr">
        <is>
          <t>Paint</t>
        </is>
      </c>
      <c r="D1507" s="3" t="inlineStr">
        <is>
          <t>Tools</t>
        </is>
      </c>
      <c r="E1507" s="3" t="inlineStr">
        <is>
          <t>Generic</t>
        </is>
      </c>
      <c r="F1507" s="3" t="inlineStr">
        <is>
          <t>Waterpoof Sandpaper</t>
        </is>
      </c>
      <c r="H1507" s="3" t="inlineStr">
        <is>
          <t>Grit (number)</t>
        </is>
      </c>
      <c r="I1507" s="3" t="n">
        <v>100</v>
      </c>
      <c r="J1507" s="3" t="inlineStr">
        <is>
          <t>Size</t>
        </is>
      </c>
      <c r="K1507" s="3" t="inlineStr">
        <is>
          <t>9 in X 11 in</t>
        </is>
      </c>
      <c r="Q1507" s="3" t="inlineStr">
        <is>
          <t>Manufacturer's Warranty</t>
        </is>
      </c>
      <c r="Y1507" s="3" t="inlineStr">
        <is>
          <t>PNT_SNDPPR</t>
        </is>
      </c>
      <c r="Z1507" s="3" t="n">
        <v>96034020</v>
      </c>
      <c r="AE1507" s="3" t="n">
        <v>150</v>
      </c>
      <c r="AF1507" s="4" t="n">
        <v>0.37</v>
      </c>
      <c r="AG1507" s="3">
        <f>ROUND(AE1507-(AE1507*AF1507),2)</f>
        <v/>
      </c>
      <c r="AH1507" s="4" t="n">
        <v>0.18</v>
      </c>
      <c r="AI1507" s="3">
        <f>ROUND(AG1507+(AG1507*AH1507),2)</f>
        <v/>
      </c>
      <c r="AJ1507" s="4" t="n">
        <v>0.15</v>
      </c>
      <c r="AK1507" s="3">
        <f>ROUND(AI1507*AJ1507,2)</f>
        <v/>
      </c>
      <c r="AL1507" s="3">
        <f>AI1507+AK1507</f>
        <v/>
      </c>
      <c r="AM1507" s="3">
        <f>AE1507-AL1507</f>
        <v/>
      </c>
      <c r="AN1507" s="4">
        <f>AM1507/AE1507</f>
        <v/>
      </c>
      <c r="AO1507" s="3" t="inlineStr">
        <is>
          <t>60 mins</t>
        </is>
      </c>
      <c r="AQ1507" s="3" t="inlineStr">
        <is>
          <t>Weight</t>
        </is>
      </c>
    </row>
    <row r="1508" ht="15.75" customHeight="1">
      <c r="A1508" s="3" t="inlineStr">
        <is>
          <t>PROD_0290</t>
        </is>
      </c>
      <c r="B1508" s="3" t="inlineStr">
        <is>
          <t>VAR_5</t>
        </is>
      </c>
      <c r="C1508" s="3" t="inlineStr">
        <is>
          <t>Paint</t>
        </is>
      </c>
      <c r="D1508" s="3" t="inlineStr">
        <is>
          <t>Tools</t>
        </is>
      </c>
      <c r="E1508" s="3" t="inlineStr">
        <is>
          <t>Generic</t>
        </is>
      </c>
      <c r="F1508" s="3" t="inlineStr">
        <is>
          <t>Waterpoof Sandpaper</t>
        </is>
      </c>
      <c r="H1508" s="3" t="inlineStr">
        <is>
          <t>Grit (number)</t>
        </is>
      </c>
      <c r="I1508" s="3" t="n">
        <v>120</v>
      </c>
      <c r="J1508" s="3" t="inlineStr">
        <is>
          <t>Size</t>
        </is>
      </c>
      <c r="K1508" s="3" t="inlineStr">
        <is>
          <t>9 in X 11 in</t>
        </is>
      </c>
      <c r="Q1508" s="3" t="inlineStr">
        <is>
          <t>Manufacturer's Warranty</t>
        </is>
      </c>
      <c r="Y1508" s="3" t="inlineStr">
        <is>
          <t>PNT_SNDPPR</t>
        </is>
      </c>
      <c r="Z1508" s="3" t="n">
        <v>680520</v>
      </c>
      <c r="AE1508" s="3" t="n">
        <v>150</v>
      </c>
      <c r="AF1508" s="4" t="n">
        <v>0.37</v>
      </c>
      <c r="AG1508" s="3">
        <f>ROUND(AE1508-(AE1508*AF1508),2)</f>
        <v/>
      </c>
      <c r="AH1508" s="4" t="n">
        <v>0.18</v>
      </c>
      <c r="AI1508" s="3">
        <f>ROUND(AG1508+(AG1508*AH1508),2)</f>
        <v/>
      </c>
      <c r="AJ1508" s="4" t="n">
        <v>0.15</v>
      </c>
      <c r="AK1508" s="3">
        <f>ROUND(AI1508*AJ1508,2)</f>
        <v/>
      </c>
      <c r="AL1508" s="3">
        <f>AI1508+AK1508</f>
        <v/>
      </c>
      <c r="AM1508" s="3">
        <f>AE1508-AL1508</f>
        <v/>
      </c>
      <c r="AN1508" s="4">
        <f>AM1508/AE1508</f>
        <v/>
      </c>
      <c r="AO1508" s="3" t="inlineStr">
        <is>
          <t>60 mins</t>
        </is>
      </c>
      <c r="AQ1508" s="3" t="inlineStr">
        <is>
          <t>Weight</t>
        </is>
      </c>
    </row>
    <row r="1509" ht="15.75" customHeight="1">
      <c r="A1509" s="3" t="inlineStr">
        <is>
          <t>PROD_0290</t>
        </is>
      </c>
      <c r="B1509" s="3" t="inlineStr">
        <is>
          <t>VAR_6</t>
        </is>
      </c>
      <c r="C1509" s="3" t="inlineStr">
        <is>
          <t>Paint</t>
        </is>
      </c>
      <c r="D1509" s="3" t="inlineStr">
        <is>
          <t>Tools</t>
        </is>
      </c>
      <c r="E1509" s="3" t="inlineStr">
        <is>
          <t>Generic</t>
        </is>
      </c>
      <c r="F1509" s="3" t="inlineStr">
        <is>
          <t>Waterpoof Sandpaper</t>
        </is>
      </c>
      <c r="H1509" s="3" t="inlineStr">
        <is>
          <t>Grit (number)</t>
        </is>
      </c>
      <c r="I1509" s="3" t="n">
        <v>150</v>
      </c>
      <c r="J1509" s="3" t="inlineStr">
        <is>
          <t>Size</t>
        </is>
      </c>
      <c r="K1509" s="3" t="inlineStr">
        <is>
          <t>9 in X 11 in</t>
        </is>
      </c>
      <c r="Q1509" s="3" t="inlineStr">
        <is>
          <t>Manufacturer's Warranty</t>
        </is>
      </c>
      <c r="Y1509" s="3" t="inlineStr">
        <is>
          <t>PNT_SNDPPR</t>
        </is>
      </c>
      <c r="Z1509" s="3" t="n">
        <v>680520</v>
      </c>
      <c r="AE1509" s="3" t="n">
        <v>150</v>
      </c>
      <c r="AF1509" s="4" t="n">
        <v>0.37</v>
      </c>
      <c r="AG1509" s="3">
        <f>ROUND(AE1509-(AE1509*AF1509),2)</f>
        <v/>
      </c>
      <c r="AH1509" s="4" t="n">
        <v>0.18</v>
      </c>
      <c r="AI1509" s="3">
        <f>ROUND(AG1509+(AG1509*AH1509),2)</f>
        <v/>
      </c>
      <c r="AJ1509" s="4" t="n">
        <v>0.15</v>
      </c>
      <c r="AK1509" s="3">
        <f>ROUND(AI1509*AJ1509,2)</f>
        <v/>
      </c>
      <c r="AL1509" s="3">
        <f>AI1509+AK1509</f>
        <v/>
      </c>
      <c r="AM1509" s="3">
        <f>AE1509-AL1509</f>
        <v/>
      </c>
      <c r="AN1509" s="4">
        <f>AM1509/AE1509</f>
        <v/>
      </c>
      <c r="AO1509" s="3" t="inlineStr">
        <is>
          <t>60 mins</t>
        </is>
      </c>
      <c r="AQ1509" s="3" t="inlineStr">
        <is>
          <t>Weight</t>
        </is>
      </c>
    </row>
    <row r="1510" ht="15.75" customHeight="1">
      <c r="A1510" s="3" t="inlineStr">
        <is>
          <t>PROD_0290</t>
        </is>
      </c>
      <c r="B1510" s="3" t="inlineStr">
        <is>
          <t>VAR_7</t>
        </is>
      </c>
      <c r="C1510" s="3" t="inlineStr">
        <is>
          <t>Paint</t>
        </is>
      </c>
      <c r="D1510" s="3" t="inlineStr">
        <is>
          <t>Tools</t>
        </is>
      </c>
      <c r="E1510" s="3" t="inlineStr">
        <is>
          <t>Generic</t>
        </is>
      </c>
      <c r="F1510" s="3" t="inlineStr">
        <is>
          <t>Waterpoof Sandpaper</t>
        </is>
      </c>
      <c r="H1510" s="3" t="inlineStr">
        <is>
          <t>Grit (number)</t>
        </is>
      </c>
      <c r="I1510" s="3" t="n">
        <v>180</v>
      </c>
      <c r="J1510" s="3" t="inlineStr">
        <is>
          <t>Size</t>
        </is>
      </c>
      <c r="K1510" s="3" t="inlineStr">
        <is>
          <t>9 in X 11 in</t>
        </is>
      </c>
      <c r="Q1510" s="3" t="inlineStr">
        <is>
          <t>Manufacturer's Warranty</t>
        </is>
      </c>
      <c r="Y1510" s="3" t="inlineStr">
        <is>
          <t>PNT_SNDPPR</t>
        </is>
      </c>
      <c r="Z1510" s="3" t="n">
        <v>680520</v>
      </c>
      <c r="AE1510" s="3" t="n">
        <v>150</v>
      </c>
      <c r="AF1510" s="4" t="n">
        <v>0.37</v>
      </c>
      <c r="AG1510" s="3">
        <f>ROUND(AE1510-(AE1510*AF1510),2)</f>
        <v/>
      </c>
      <c r="AH1510" s="4" t="n">
        <v>0.18</v>
      </c>
      <c r="AI1510" s="3">
        <f>ROUND(AG1510+(AG1510*AH1510),2)</f>
        <v/>
      </c>
      <c r="AJ1510" s="4" t="n">
        <v>0.15</v>
      </c>
      <c r="AK1510" s="3">
        <f>ROUND(AI1510*AJ1510,2)</f>
        <v/>
      </c>
      <c r="AL1510" s="3">
        <f>AI1510+AK1510</f>
        <v/>
      </c>
      <c r="AM1510" s="3">
        <f>AE1510-AL1510</f>
        <v/>
      </c>
      <c r="AN1510" s="4">
        <f>AM1510/AE1510</f>
        <v/>
      </c>
      <c r="AO1510" s="3" t="inlineStr">
        <is>
          <t>60 mins</t>
        </is>
      </c>
      <c r="AQ1510" s="3" t="inlineStr">
        <is>
          <t>Weight</t>
        </is>
      </c>
    </row>
    <row r="1511" ht="15.75" customHeight="1">
      <c r="A1511" s="3" t="inlineStr">
        <is>
          <t>PROD_0290</t>
        </is>
      </c>
      <c r="B1511" s="3" t="inlineStr">
        <is>
          <t>VAR_8</t>
        </is>
      </c>
      <c r="C1511" s="3" t="inlineStr">
        <is>
          <t>Paint</t>
        </is>
      </c>
      <c r="D1511" s="3" t="inlineStr">
        <is>
          <t>Tools</t>
        </is>
      </c>
      <c r="E1511" s="3" t="inlineStr">
        <is>
          <t>Generic</t>
        </is>
      </c>
      <c r="F1511" s="3" t="inlineStr">
        <is>
          <t>Waterpoof Sandpaper</t>
        </is>
      </c>
      <c r="H1511" s="3" t="inlineStr">
        <is>
          <t>Grit (number)</t>
        </is>
      </c>
      <c r="I1511" s="3" t="n">
        <v>200</v>
      </c>
      <c r="J1511" s="3" t="inlineStr">
        <is>
          <t>Size</t>
        </is>
      </c>
      <c r="K1511" s="3" t="inlineStr">
        <is>
          <t>9 in X 11 in</t>
        </is>
      </c>
      <c r="Q1511" s="3" t="inlineStr">
        <is>
          <t>Manufacturer's Warranty</t>
        </is>
      </c>
      <c r="Y1511" s="3" t="inlineStr">
        <is>
          <t>PNT_SNDPPR</t>
        </is>
      </c>
      <c r="Z1511" s="3" t="n">
        <v>680520</v>
      </c>
      <c r="AE1511" s="3" t="n">
        <v>150</v>
      </c>
      <c r="AF1511" s="4" t="n">
        <v>0.37</v>
      </c>
      <c r="AG1511" s="3">
        <f>ROUND(AE1511-(AE1511*AF1511),2)</f>
        <v/>
      </c>
      <c r="AH1511" s="4" t="n">
        <v>0.18</v>
      </c>
      <c r="AI1511" s="3">
        <f>ROUND(AG1511+(AG1511*AH1511),2)</f>
        <v/>
      </c>
      <c r="AJ1511" s="4" t="n">
        <v>0.15</v>
      </c>
      <c r="AK1511" s="3">
        <f>ROUND(AI1511*AJ1511,2)</f>
        <v/>
      </c>
      <c r="AL1511" s="3">
        <f>AI1511+AK1511</f>
        <v/>
      </c>
      <c r="AM1511" s="3">
        <f>AE1511-AL1511</f>
        <v/>
      </c>
      <c r="AN1511" s="4">
        <f>AM1511/AE1511</f>
        <v/>
      </c>
      <c r="AO1511" s="3" t="inlineStr">
        <is>
          <t>60 mins</t>
        </is>
      </c>
      <c r="AQ1511" s="3" t="inlineStr">
        <is>
          <t>Weight</t>
        </is>
      </c>
    </row>
    <row r="1512" ht="15.75" customHeight="1">
      <c r="A1512" s="3" t="inlineStr">
        <is>
          <t>PROD_0291</t>
        </is>
      </c>
      <c r="B1512" s="3" t="inlineStr">
        <is>
          <t>VAR_1</t>
        </is>
      </c>
      <c r="C1512" s="3" t="inlineStr">
        <is>
          <t>Paint</t>
        </is>
      </c>
      <c r="D1512" s="3" t="inlineStr">
        <is>
          <t>Tools</t>
        </is>
      </c>
      <c r="E1512" s="3" t="inlineStr">
        <is>
          <t>Generic</t>
        </is>
      </c>
      <c r="F1512" s="3" t="inlineStr">
        <is>
          <t>Non Water Proof Sandpaper</t>
        </is>
      </c>
      <c r="H1512" s="3" t="inlineStr">
        <is>
          <t>Grit (number)</t>
        </is>
      </c>
      <c r="I1512" s="3" t="n">
        <v>40</v>
      </c>
      <c r="J1512" s="3" t="inlineStr">
        <is>
          <t>Size</t>
        </is>
      </c>
      <c r="K1512" s="3" t="inlineStr">
        <is>
          <t>9 in X 11 in</t>
        </is>
      </c>
      <c r="Q1512" s="3" t="inlineStr">
        <is>
          <t>Manufacturer's Warranty</t>
        </is>
      </c>
      <c r="Y1512" s="3" t="inlineStr">
        <is>
          <t>PNT_SNDPPR_DRY</t>
        </is>
      </c>
      <c r="Z1512" s="3" t="n">
        <v>680520</v>
      </c>
      <c r="AE1512" s="3" t="n">
        <v>150</v>
      </c>
      <c r="AF1512" s="4" t="n">
        <v>0.37</v>
      </c>
      <c r="AG1512" s="3">
        <f>ROUND(AE1512-(AE1512*AF1512),2)</f>
        <v/>
      </c>
      <c r="AH1512" s="4" t="n">
        <v>0.18</v>
      </c>
      <c r="AI1512" s="3">
        <f>ROUND(AG1512+(AG1512*AH1512),2)</f>
        <v/>
      </c>
      <c r="AJ1512" s="4" t="n">
        <v>0.15</v>
      </c>
      <c r="AK1512" s="3">
        <f>ROUND(AI1512*AJ1512,2)</f>
        <v/>
      </c>
      <c r="AL1512" s="3">
        <f>AI1512+AK1512</f>
        <v/>
      </c>
      <c r="AM1512" s="3">
        <f>AE1512-AL1512</f>
        <v/>
      </c>
      <c r="AN1512" s="4">
        <f>AM1512/AE1512</f>
        <v/>
      </c>
      <c r="AO1512" s="3" t="inlineStr">
        <is>
          <t>60 mins</t>
        </is>
      </c>
      <c r="AQ1512" s="3" t="inlineStr">
        <is>
          <t>Weight</t>
        </is>
      </c>
    </row>
    <row r="1513" ht="15.75" customHeight="1">
      <c r="A1513" s="3" t="inlineStr">
        <is>
          <t>PROD_0291</t>
        </is>
      </c>
      <c r="B1513" s="3" t="inlineStr">
        <is>
          <t>VAR_2</t>
        </is>
      </c>
      <c r="C1513" s="3" t="inlineStr">
        <is>
          <t>Paint</t>
        </is>
      </c>
      <c r="D1513" s="3" t="inlineStr">
        <is>
          <t>Tools</t>
        </is>
      </c>
      <c r="E1513" s="3" t="inlineStr">
        <is>
          <t>Generic</t>
        </is>
      </c>
      <c r="F1513" s="3" t="inlineStr">
        <is>
          <t>Non Water Proof Sandpaper</t>
        </is>
      </c>
      <c r="H1513" s="3" t="inlineStr">
        <is>
          <t>Grit (number)</t>
        </is>
      </c>
      <c r="I1513" s="3" t="n">
        <v>60</v>
      </c>
      <c r="J1513" s="3" t="inlineStr">
        <is>
          <t>Size</t>
        </is>
      </c>
      <c r="K1513" s="3" t="inlineStr">
        <is>
          <t>9 in X 11 in</t>
        </is>
      </c>
      <c r="Q1513" s="3" t="inlineStr">
        <is>
          <t>Manufacturer's Warranty</t>
        </is>
      </c>
      <c r="Y1513" s="3" t="inlineStr">
        <is>
          <t>PNT_SNDPPR_DRY</t>
        </is>
      </c>
      <c r="Z1513" s="3" t="n">
        <v>680520</v>
      </c>
      <c r="AE1513" s="3" t="n">
        <v>150</v>
      </c>
      <c r="AF1513" s="4" t="n">
        <v>0.37</v>
      </c>
      <c r="AG1513" s="3">
        <f>ROUND(AE1513-(AE1513*AF1513),2)</f>
        <v/>
      </c>
      <c r="AH1513" s="4" t="n">
        <v>0.18</v>
      </c>
      <c r="AI1513" s="3">
        <f>ROUND(AG1513+(AG1513*AH1513),2)</f>
        <v/>
      </c>
      <c r="AJ1513" s="4" t="n">
        <v>0.15</v>
      </c>
      <c r="AK1513" s="3">
        <f>ROUND(AI1513*AJ1513,2)</f>
        <v/>
      </c>
      <c r="AL1513" s="3">
        <f>AI1513+AK1513</f>
        <v/>
      </c>
      <c r="AM1513" s="3">
        <f>AE1513-AL1513</f>
        <v/>
      </c>
      <c r="AN1513" s="4">
        <f>AM1513/AE1513</f>
        <v/>
      </c>
      <c r="AO1513" s="3" t="inlineStr">
        <is>
          <t>60 mins</t>
        </is>
      </c>
      <c r="AQ1513" s="3" t="inlineStr">
        <is>
          <t>Weight</t>
        </is>
      </c>
    </row>
    <row r="1514" ht="15.75" customHeight="1">
      <c r="A1514" s="3" t="inlineStr">
        <is>
          <t>PROD_0291</t>
        </is>
      </c>
      <c r="B1514" s="3" t="inlineStr">
        <is>
          <t>VAR_3</t>
        </is>
      </c>
      <c r="C1514" s="3" t="inlineStr">
        <is>
          <t>Paint</t>
        </is>
      </c>
      <c r="D1514" s="3" t="inlineStr">
        <is>
          <t>Tools</t>
        </is>
      </c>
      <c r="E1514" s="3" t="inlineStr">
        <is>
          <t>Generic</t>
        </is>
      </c>
      <c r="F1514" s="3" t="inlineStr">
        <is>
          <t>Non Water Proof Sandpaper</t>
        </is>
      </c>
      <c r="H1514" s="3" t="inlineStr">
        <is>
          <t>Grit (number)</t>
        </is>
      </c>
      <c r="I1514" s="3" t="n">
        <v>80</v>
      </c>
      <c r="J1514" s="3" t="inlineStr">
        <is>
          <t>Size</t>
        </is>
      </c>
      <c r="K1514" s="3" t="inlineStr">
        <is>
          <t>9 in X 11 in</t>
        </is>
      </c>
      <c r="Q1514" s="3" t="inlineStr">
        <is>
          <t>Manufacturer's Warranty</t>
        </is>
      </c>
      <c r="Y1514" s="3" t="inlineStr">
        <is>
          <t>PNT_SNDPPR_DRY</t>
        </is>
      </c>
      <c r="Z1514" s="3" t="n">
        <v>680520</v>
      </c>
      <c r="AE1514" s="3" t="n">
        <v>150</v>
      </c>
      <c r="AF1514" s="4" t="n">
        <v>0.37</v>
      </c>
      <c r="AG1514" s="3">
        <f>ROUND(AE1514-(AE1514*AF1514),2)</f>
        <v/>
      </c>
      <c r="AH1514" s="4" t="n">
        <v>0.18</v>
      </c>
      <c r="AI1514" s="3">
        <f>ROUND(AG1514+(AG1514*AH1514),2)</f>
        <v/>
      </c>
      <c r="AJ1514" s="4" t="n">
        <v>0.15</v>
      </c>
      <c r="AK1514" s="3">
        <f>ROUND(AI1514*AJ1514,2)</f>
        <v/>
      </c>
      <c r="AL1514" s="3">
        <f>AI1514+AK1514</f>
        <v/>
      </c>
      <c r="AM1514" s="3">
        <f>AE1514-AL1514</f>
        <v/>
      </c>
      <c r="AN1514" s="4">
        <f>AM1514/AE1514</f>
        <v/>
      </c>
      <c r="AO1514" s="3" t="inlineStr">
        <is>
          <t>60 mins</t>
        </is>
      </c>
      <c r="AQ1514" s="3" t="inlineStr">
        <is>
          <t>Weight</t>
        </is>
      </c>
    </row>
    <row r="1515" ht="15.75" customHeight="1">
      <c r="A1515" s="3" t="inlineStr">
        <is>
          <t>PROD_0291</t>
        </is>
      </c>
      <c r="B1515" s="3" t="inlineStr">
        <is>
          <t>VAR_4</t>
        </is>
      </c>
      <c r="C1515" s="3" t="inlineStr">
        <is>
          <t>Paint</t>
        </is>
      </c>
      <c r="D1515" s="3" t="inlineStr">
        <is>
          <t>Tools</t>
        </is>
      </c>
      <c r="E1515" s="3" t="inlineStr">
        <is>
          <t>Generic</t>
        </is>
      </c>
      <c r="F1515" s="3" t="inlineStr">
        <is>
          <t>Non Water Proof Sandpaper</t>
        </is>
      </c>
      <c r="H1515" s="3" t="inlineStr">
        <is>
          <t>Grit (number)</t>
        </is>
      </c>
      <c r="I1515" s="3" t="n">
        <v>100</v>
      </c>
      <c r="J1515" s="3" t="inlineStr">
        <is>
          <t>Size</t>
        </is>
      </c>
      <c r="K1515" s="3" t="inlineStr">
        <is>
          <t>9 in X 11 in</t>
        </is>
      </c>
      <c r="Q1515" s="3" t="inlineStr">
        <is>
          <t>Manufacturer's Warranty</t>
        </is>
      </c>
      <c r="Y1515" s="3" t="inlineStr">
        <is>
          <t>PNT_SNDPPR_DRY</t>
        </is>
      </c>
      <c r="Z1515" s="3" t="n">
        <v>680520</v>
      </c>
      <c r="AE1515" s="3" t="n">
        <v>150</v>
      </c>
      <c r="AF1515" s="4" t="n">
        <v>0.37</v>
      </c>
      <c r="AG1515" s="3">
        <f>ROUND(AE1515-(AE1515*AF1515),2)</f>
        <v/>
      </c>
      <c r="AH1515" s="4" t="n">
        <v>0.18</v>
      </c>
      <c r="AI1515" s="3">
        <f>ROUND(AG1515+(AG1515*AH1515),2)</f>
        <v/>
      </c>
      <c r="AJ1515" s="4" t="n">
        <v>0.15</v>
      </c>
      <c r="AK1515" s="3">
        <f>ROUND(AI1515*AJ1515,2)</f>
        <v/>
      </c>
      <c r="AL1515" s="3">
        <f>AI1515+AK1515</f>
        <v/>
      </c>
      <c r="AM1515" s="3">
        <f>AE1515-AL1515</f>
        <v/>
      </c>
      <c r="AN1515" s="4">
        <f>AM1515/AE1515</f>
        <v/>
      </c>
      <c r="AO1515" s="3" t="inlineStr">
        <is>
          <t>60 mins</t>
        </is>
      </c>
      <c r="AQ1515" s="3" t="inlineStr">
        <is>
          <t>Weight</t>
        </is>
      </c>
    </row>
    <row r="1516" ht="15.75" customHeight="1">
      <c r="A1516" s="3" t="inlineStr">
        <is>
          <t>PROD_0291</t>
        </is>
      </c>
      <c r="B1516" s="3" t="inlineStr">
        <is>
          <t>VAR_5</t>
        </is>
      </c>
      <c r="C1516" s="3" t="inlineStr">
        <is>
          <t>Paint</t>
        </is>
      </c>
      <c r="D1516" s="3" t="inlineStr">
        <is>
          <t>Tools</t>
        </is>
      </c>
      <c r="E1516" s="3" t="inlineStr">
        <is>
          <t>Generic</t>
        </is>
      </c>
      <c r="F1516" s="3" t="inlineStr">
        <is>
          <t>Non Water Proof Sandpaper</t>
        </is>
      </c>
      <c r="H1516" s="3" t="inlineStr">
        <is>
          <t>Grit (number)</t>
        </is>
      </c>
      <c r="I1516" s="3" t="n">
        <v>120</v>
      </c>
      <c r="J1516" s="3" t="inlineStr">
        <is>
          <t>Size</t>
        </is>
      </c>
      <c r="K1516" s="3" t="inlineStr">
        <is>
          <t>9 in X 11 in</t>
        </is>
      </c>
      <c r="Q1516" s="3" t="inlineStr">
        <is>
          <t>Manufacturer's Warranty</t>
        </is>
      </c>
      <c r="Y1516" s="3" t="inlineStr">
        <is>
          <t>PNT_SNDPPR_DRY</t>
        </is>
      </c>
      <c r="Z1516" s="3" t="n">
        <v>680520</v>
      </c>
      <c r="AE1516" s="3" t="n">
        <v>150</v>
      </c>
      <c r="AF1516" s="4" t="n">
        <v>0.37</v>
      </c>
      <c r="AG1516" s="3">
        <f>ROUND(AE1516-(AE1516*AF1516),2)</f>
        <v/>
      </c>
      <c r="AH1516" s="4" t="n">
        <v>0.18</v>
      </c>
      <c r="AI1516" s="3">
        <f>ROUND(AG1516+(AG1516*AH1516),2)</f>
        <v/>
      </c>
      <c r="AJ1516" s="4" t="n">
        <v>0.15</v>
      </c>
      <c r="AK1516" s="3">
        <f>ROUND(AI1516*AJ1516,2)</f>
        <v/>
      </c>
      <c r="AL1516" s="3">
        <f>AI1516+AK1516</f>
        <v/>
      </c>
      <c r="AM1516" s="3">
        <f>AE1516-AL1516</f>
        <v/>
      </c>
      <c r="AN1516" s="4">
        <f>AM1516/AE1516</f>
        <v/>
      </c>
      <c r="AO1516" s="3" t="inlineStr">
        <is>
          <t>60 mins</t>
        </is>
      </c>
      <c r="AQ1516" s="3" t="inlineStr">
        <is>
          <t>Weight</t>
        </is>
      </c>
    </row>
    <row r="1517" ht="15.75" customHeight="1">
      <c r="A1517" s="3" t="inlineStr">
        <is>
          <t>PROD_0291</t>
        </is>
      </c>
      <c r="B1517" s="3" t="inlineStr">
        <is>
          <t>VAR_6</t>
        </is>
      </c>
      <c r="C1517" s="3" t="inlineStr">
        <is>
          <t>Paint</t>
        </is>
      </c>
      <c r="D1517" s="3" t="inlineStr">
        <is>
          <t>Tools</t>
        </is>
      </c>
      <c r="E1517" s="3" t="inlineStr">
        <is>
          <t>Generic</t>
        </is>
      </c>
      <c r="F1517" s="3" t="inlineStr">
        <is>
          <t>Non Water Proof Sandpaper</t>
        </is>
      </c>
      <c r="H1517" s="3" t="inlineStr">
        <is>
          <t>Grit (number)</t>
        </is>
      </c>
      <c r="I1517" s="3" t="n">
        <v>150</v>
      </c>
      <c r="J1517" s="3" t="inlineStr">
        <is>
          <t>Size</t>
        </is>
      </c>
      <c r="K1517" s="3" t="inlineStr">
        <is>
          <t>9 in X 11 in</t>
        </is>
      </c>
      <c r="Q1517" s="3" t="inlineStr">
        <is>
          <t>Manufacturer's Warranty</t>
        </is>
      </c>
      <c r="Y1517" s="3" t="inlineStr">
        <is>
          <t>PNT_SNDPPR_DRY</t>
        </is>
      </c>
      <c r="Z1517" s="3" t="n">
        <v>680520</v>
      </c>
      <c r="AE1517" s="3" t="n">
        <v>150</v>
      </c>
      <c r="AF1517" s="4" t="n">
        <v>0.37</v>
      </c>
      <c r="AG1517" s="3">
        <f>ROUND(AE1517-(AE1517*AF1517),2)</f>
        <v/>
      </c>
      <c r="AH1517" s="4" t="n">
        <v>0.18</v>
      </c>
      <c r="AI1517" s="3">
        <f>ROUND(AG1517+(AG1517*AH1517),2)</f>
        <v/>
      </c>
      <c r="AJ1517" s="4" t="n">
        <v>0.15</v>
      </c>
      <c r="AK1517" s="3">
        <f>ROUND(AI1517*AJ1517,2)</f>
        <v/>
      </c>
      <c r="AL1517" s="3">
        <f>AI1517+AK1517</f>
        <v/>
      </c>
      <c r="AM1517" s="3">
        <f>AE1517-AL1517</f>
        <v/>
      </c>
      <c r="AN1517" s="4">
        <f>AM1517/AE1517</f>
        <v/>
      </c>
      <c r="AO1517" s="3" t="inlineStr">
        <is>
          <t>60 mins</t>
        </is>
      </c>
      <c r="AQ1517" s="3" t="inlineStr">
        <is>
          <t>Weight</t>
        </is>
      </c>
    </row>
    <row r="1518" ht="15.75" customHeight="1">
      <c r="A1518" s="3" t="inlineStr">
        <is>
          <t>PROD_0291</t>
        </is>
      </c>
      <c r="B1518" s="3" t="inlineStr">
        <is>
          <t>VAR_7</t>
        </is>
      </c>
      <c r="C1518" s="3" t="inlineStr">
        <is>
          <t>Paint</t>
        </is>
      </c>
      <c r="D1518" s="3" t="inlineStr">
        <is>
          <t>Tools</t>
        </is>
      </c>
      <c r="E1518" s="3" t="inlineStr">
        <is>
          <t>Generic</t>
        </is>
      </c>
      <c r="F1518" s="3" t="inlineStr">
        <is>
          <t>Non Water Proof Sandpaper</t>
        </is>
      </c>
      <c r="H1518" s="3" t="inlineStr">
        <is>
          <t>Grit (number)</t>
        </is>
      </c>
      <c r="I1518" s="3" t="n">
        <v>180</v>
      </c>
      <c r="J1518" s="3" t="inlineStr">
        <is>
          <t>Size</t>
        </is>
      </c>
      <c r="K1518" s="3" t="inlineStr">
        <is>
          <t>9 in X 11 in</t>
        </is>
      </c>
      <c r="Q1518" s="3" t="inlineStr">
        <is>
          <t>Manufacturer's Warranty</t>
        </is>
      </c>
      <c r="Y1518" s="3" t="inlineStr">
        <is>
          <t>PNT_SNDPPR_DRY</t>
        </is>
      </c>
      <c r="Z1518" s="3" t="n">
        <v>680520</v>
      </c>
      <c r="AE1518" s="3" t="n">
        <v>150</v>
      </c>
      <c r="AF1518" s="4" t="n">
        <v>0.37</v>
      </c>
      <c r="AG1518" s="3">
        <f>ROUND(AE1518-(AE1518*AF1518),2)</f>
        <v/>
      </c>
      <c r="AH1518" s="4" t="n">
        <v>0.18</v>
      </c>
      <c r="AI1518" s="3">
        <f>ROUND(AG1518+(AG1518*AH1518),2)</f>
        <v/>
      </c>
      <c r="AJ1518" s="4" t="n">
        <v>0.15</v>
      </c>
      <c r="AK1518" s="3">
        <f>ROUND(AI1518*AJ1518,2)</f>
        <v/>
      </c>
      <c r="AL1518" s="3">
        <f>AI1518+AK1518</f>
        <v/>
      </c>
      <c r="AM1518" s="3">
        <f>AE1518-AL1518</f>
        <v/>
      </c>
      <c r="AN1518" s="4">
        <f>AM1518/AE1518</f>
        <v/>
      </c>
      <c r="AO1518" s="3" t="inlineStr">
        <is>
          <t>60 mins</t>
        </is>
      </c>
      <c r="AQ1518" s="3" t="inlineStr">
        <is>
          <t>Weight</t>
        </is>
      </c>
    </row>
    <row r="1519" ht="15.75" customHeight="1">
      <c r="A1519" s="3" t="inlineStr">
        <is>
          <t>PROD_0291</t>
        </is>
      </c>
      <c r="B1519" s="3" t="inlineStr">
        <is>
          <t>VAR_8</t>
        </is>
      </c>
      <c r="C1519" s="3" t="inlineStr">
        <is>
          <t>Paint</t>
        </is>
      </c>
      <c r="D1519" s="3" t="inlineStr">
        <is>
          <t>Tools</t>
        </is>
      </c>
      <c r="E1519" s="3" t="inlineStr">
        <is>
          <t>Generic</t>
        </is>
      </c>
      <c r="F1519" s="3" t="inlineStr">
        <is>
          <t>Non Water Proof Sandpaper</t>
        </is>
      </c>
      <c r="H1519" s="3" t="inlineStr">
        <is>
          <t>Grit (number)</t>
        </is>
      </c>
      <c r="I1519" s="3" t="n">
        <v>200</v>
      </c>
      <c r="J1519" s="3" t="inlineStr">
        <is>
          <t>Size</t>
        </is>
      </c>
      <c r="K1519" s="3" t="inlineStr">
        <is>
          <t>9 in X 11 in</t>
        </is>
      </c>
      <c r="Q1519" s="3" t="inlineStr">
        <is>
          <t>Manufacturer's Warranty</t>
        </is>
      </c>
      <c r="Y1519" s="3" t="inlineStr">
        <is>
          <t>PNT_SNDPPR_DRY</t>
        </is>
      </c>
      <c r="Z1519" s="3" t="n">
        <v>680520</v>
      </c>
      <c r="AE1519" s="3" t="n">
        <v>150</v>
      </c>
      <c r="AF1519" s="4" t="n">
        <v>0.37</v>
      </c>
      <c r="AG1519" s="3">
        <f>ROUND(AE1519-(AE1519*AF1519),2)</f>
        <v/>
      </c>
      <c r="AH1519" s="4" t="n">
        <v>0.18</v>
      </c>
      <c r="AI1519" s="3">
        <f>ROUND(AG1519+(AG1519*AH1519),2)</f>
        <v/>
      </c>
      <c r="AJ1519" s="4" t="n">
        <v>0.15</v>
      </c>
      <c r="AK1519" s="3">
        <f>ROUND(AI1519*AJ1519,2)</f>
        <v/>
      </c>
      <c r="AL1519" s="3">
        <f>AI1519+AK1519</f>
        <v/>
      </c>
      <c r="AM1519" s="3">
        <f>AE1519-AL1519</f>
        <v/>
      </c>
      <c r="AN1519" s="4">
        <f>AM1519/AE1519</f>
        <v/>
      </c>
      <c r="AO1519" s="3" t="inlineStr">
        <is>
          <t>60 mins</t>
        </is>
      </c>
      <c r="AQ1519" s="3" t="inlineStr">
        <is>
          <t>Weight</t>
        </is>
      </c>
    </row>
    <row r="1520" ht="15.75" customHeight="1">
      <c r="A1520" s="3" t="inlineStr">
        <is>
          <t>PROD_0292</t>
        </is>
      </c>
      <c r="B1520" s="3" t="inlineStr">
        <is>
          <t>VAR_1</t>
        </is>
      </c>
      <c r="C1520" s="3" t="inlineStr">
        <is>
          <t>Paint</t>
        </is>
      </c>
      <c r="D1520" s="3" t="inlineStr">
        <is>
          <t>Tools</t>
        </is>
      </c>
      <c r="E1520" s="3" t="inlineStr">
        <is>
          <t>Generic</t>
        </is>
      </c>
      <c r="F1520" s="3" t="inlineStr">
        <is>
          <t>Dhoti</t>
        </is>
      </c>
      <c r="Q1520" s="3" t="inlineStr">
        <is>
          <t>Manufacturer's Warranty</t>
        </is>
      </c>
      <c r="Y1520" s="3" t="inlineStr">
        <is>
          <t>PNT_DHOTI</t>
        </is>
      </c>
      <c r="Z1520" s="3" t="n">
        <v>680520</v>
      </c>
      <c r="AE1520" s="3" t="n">
        <v>40</v>
      </c>
      <c r="AF1520" s="4" t="n">
        <v>0.37</v>
      </c>
      <c r="AG1520" s="3">
        <f>ROUND(AE1520-(AE1520*AF1520),2)</f>
        <v/>
      </c>
      <c r="AH1520" s="4" t="n">
        <v>0.18</v>
      </c>
      <c r="AI1520" s="3">
        <f>ROUND(AG1520+(AG1520*AH1520),2)</f>
        <v/>
      </c>
      <c r="AJ1520" s="4" t="n">
        <v>0.15</v>
      </c>
      <c r="AK1520" s="3">
        <f>ROUND(AI1520*AJ1520,2)</f>
        <v/>
      </c>
      <c r="AL1520" s="3">
        <f>AI1520+AK1520</f>
        <v/>
      </c>
      <c r="AM1520" s="3">
        <f>AE1520-AL1520</f>
        <v/>
      </c>
      <c r="AN1520" s="4">
        <f>AM1520/AE1520</f>
        <v/>
      </c>
      <c r="AO1520" s="3" t="inlineStr">
        <is>
          <t>60 mins</t>
        </is>
      </c>
      <c r="AQ1520" s="3" t="inlineStr">
        <is>
          <t>Weight</t>
        </is>
      </c>
    </row>
    <row r="1521" ht="15.75" customHeight="1">
      <c r="A1521" s="3" t="inlineStr">
        <is>
          <t>PROD_0293</t>
        </is>
      </c>
      <c r="B1521" s="3" t="inlineStr">
        <is>
          <t>VAR_1</t>
        </is>
      </c>
      <c r="C1521" s="3" t="inlineStr">
        <is>
          <t>Plumbing</t>
        </is>
      </c>
      <c r="D1521" s="3" t="inlineStr">
        <is>
          <t>Pipes</t>
        </is>
      </c>
      <c r="E1521" s="3" t="inlineStr">
        <is>
          <t>Astral</t>
        </is>
      </c>
      <c r="F1521" s="3" t="inlineStr">
        <is>
          <t>Pipe (HD 11)</t>
        </is>
      </c>
      <c r="H1521" s="3" t="inlineStr">
        <is>
          <t>Diameter</t>
        </is>
      </c>
      <c r="I1521" s="3" t="inlineStr">
        <is>
          <t>15 mm (.5 inch)</t>
        </is>
      </c>
      <c r="J1521" s="3" t="inlineStr">
        <is>
          <t>Length</t>
        </is>
      </c>
      <c r="K1521" s="3" t="inlineStr">
        <is>
          <t>3 meter</t>
        </is>
      </c>
      <c r="Q1521" s="3" t="inlineStr">
        <is>
          <t>Manufacturer's Warranty</t>
        </is>
      </c>
      <c r="R1521" s="3" t="inlineStr">
        <is>
          <t>M511110301^</t>
        </is>
      </c>
      <c r="Y1521" s="3" t="inlineStr">
        <is>
          <t>PLB_AST_CPVC, PLB_AST_CPVC_1</t>
        </is>
      </c>
      <c r="Z1521" s="3" t="n">
        <v>680520</v>
      </c>
      <c r="AE1521" s="3" t="n">
        <v>353</v>
      </c>
      <c r="AF1521" s="4" t="n">
        <v>0.5</v>
      </c>
      <c r="AG1521" s="3">
        <f>ROUND(AE1521-(AE1521*AF1521),2)</f>
        <v/>
      </c>
      <c r="AH1521" s="4" t="n">
        <v>0.18</v>
      </c>
      <c r="AI1521" s="3">
        <f>ROUND(AG1521+(AG1521*AH1521),2)</f>
        <v/>
      </c>
      <c r="AJ1521" s="4" t="n">
        <v>0.2</v>
      </c>
      <c r="AK1521" s="3">
        <f>ROUND(AI1521*AJ1521,2)</f>
        <v/>
      </c>
      <c r="AL1521" s="3">
        <f>AI1521+AK1521</f>
        <v/>
      </c>
      <c r="AM1521" s="3">
        <f>AE1521-AL1521</f>
        <v/>
      </c>
      <c r="AN1521" s="4">
        <f>AM1521/AE1521</f>
        <v/>
      </c>
      <c r="AO1521" s="3" t="inlineStr">
        <is>
          <t>60 mins</t>
        </is>
      </c>
      <c r="AQ1521" s="3" t="inlineStr">
        <is>
          <t>Weight</t>
        </is>
      </c>
      <c r="AT1521" s="3" t="inlineStr">
        <is>
          <t>Active</t>
        </is>
      </c>
    </row>
    <row r="1522" ht="15.75" customHeight="1">
      <c r="A1522" s="3" t="inlineStr">
        <is>
          <t>PROD_0293</t>
        </is>
      </c>
      <c r="B1522" s="3" t="inlineStr">
        <is>
          <t>VAR_2</t>
        </is>
      </c>
      <c r="C1522" s="3" t="inlineStr">
        <is>
          <t>Plumbing</t>
        </is>
      </c>
      <c r="D1522" s="3" t="inlineStr">
        <is>
          <t>Pipes</t>
        </is>
      </c>
      <c r="E1522" s="3" t="inlineStr">
        <is>
          <t>Astral</t>
        </is>
      </c>
      <c r="F1522" s="3" t="inlineStr">
        <is>
          <t>Pipe (HD 11)</t>
        </is>
      </c>
      <c r="H1522" s="3" t="inlineStr">
        <is>
          <t>Diameter</t>
        </is>
      </c>
      <c r="I1522" s="3" t="inlineStr">
        <is>
          <t>20 mm (.75 inch)</t>
        </is>
      </c>
      <c r="J1522" s="3" t="inlineStr">
        <is>
          <t>Length</t>
        </is>
      </c>
      <c r="K1522" s="3" t="inlineStr">
        <is>
          <t>3 meter</t>
        </is>
      </c>
      <c r="Q1522" s="3" t="inlineStr">
        <is>
          <t>Manufacturer's Warranty</t>
        </is>
      </c>
      <c r="R1522" s="3" t="inlineStr">
        <is>
          <t>M511110302^</t>
        </is>
      </c>
      <c r="Y1522" s="3" t="inlineStr">
        <is>
          <t>PLB_AST_CPVC, PLB_AST_CPVC_1</t>
        </is>
      </c>
      <c r="Z1522" s="3" t="n">
        <v>680520</v>
      </c>
      <c r="AC1522" s="3" t="inlineStr">
        <is>
          <t xml:space="preserve"> </t>
        </is>
      </c>
      <c r="AE1522" s="3" t="n">
        <v>473</v>
      </c>
      <c r="AF1522" s="4" t="n">
        <v>0.5</v>
      </c>
      <c r="AG1522" s="3">
        <f>ROUND(AE1522-(AE1522*AF1522),2)</f>
        <v/>
      </c>
      <c r="AH1522" s="4" t="n">
        <v>0.18</v>
      </c>
      <c r="AI1522" s="3">
        <f>ROUND(AG1522+(AG1522*AH1522),2)</f>
        <v/>
      </c>
      <c r="AJ1522" s="4" t="n">
        <v>0.2</v>
      </c>
      <c r="AK1522" s="3">
        <f>ROUND(AI1522*AJ1522,2)</f>
        <v/>
      </c>
      <c r="AL1522" s="3">
        <f>AI1522+AK1522</f>
        <v/>
      </c>
      <c r="AM1522" s="3">
        <f>AE1522-AL1522</f>
        <v/>
      </c>
      <c r="AN1522" s="4">
        <f>AM1522/AE1522</f>
        <v/>
      </c>
      <c r="AO1522" s="3" t="inlineStr">
        <is>
          <t>60 mins</t>
        </is>
      </c>
      <c r="AQ1522" s="3" t="inlineStr">
        <is>
          <t>Weight</t>
        </is>
      </c>
      <c r="AT1522" s="3" t="inlineStr">
        <is>
          <t>Active</t>
        </is>
      </c>
    </row>
    <row r="1523" ht="15.75" customHeight="1">
      <c r="A1523" s="3" t="inlineStr">
        <is>
          <t>PROD_0293</t>
        </is>
      </c>
      <c r="B1523" s="3" t="inlineStr">
        <is>
          <t>VAR_3</t>
        </is>
      </c>
      <c r="C1523" s="3" t="inlineStr">
        <is>
          <t>Plumbing</t>
        </is>
      </c>
      <c r="D1523" s="3" t="inlineStr">
        <is>
          <t>Pipes</t>
        </is>
      </c>
      <c r="E1523" s="3" t="inlineStr">
        <is>
          <t>Astral</t>
        </is>
      </c>
      <c r="F1523" s="3" t="inlineStr">
        <is>
          <t>Pipe (HD 11)</t>
        </is>
      </c>
      <c r="H1523" s="3" t="inlineStr">
        <is>
          <t>Diameter</t>
        </is>
      </c>
      <c r="I1523" s="3" t="inlineStr">
        <is>
          <t>25 mm (1 inch)</t>
        </is>
      </c>
      <c r="J1523" s="3" t="inlineStr">
        <is>
          <t>Length</t>
        </is>
      </c>
      <c r="K1523" s="3" t="inlineStr">
        <is>
          <t>3 meter</t>
        </is>
      </c>
      <c r="Q1523" s="3" t="inlineStr">
        <is>
          <t>Manufacturer's Warranty</t>
        </is>
      </c>
      <c r="R1523" s="3" t="inlineStr">
        <is>
          <t>M511110303^</t>
        </is>
      </c>
      <c r="Y1523" s="3" t="inlineStr">
        <is>
          <t>PLB_AST_CPVC, PLB_AST_CPVC_1</t>
        </is>
      </c>
      <c r="Z1523" s="3" t="n">
        <v>680520</v>
      </c>
      <c r="AE1523" s="3" t="n">
        <v>731</v>
      </c>
      <c r="AF1523" s="4" t="n">
        <v>0.5</v>
      </c>
      <c r="AG1523" s="3">
        <f>ROUND(AE1523-(AE1523*AF1523),2)</f>
        <v/>
      </c>
      <c r="AH1523" s="4" t="n">
        <v>0.18</v>
      </c>
      <c r="AI1523" s="3">
        <f>ROUND(AG1523+(AG1523*AH1523),2)</f>
        <v/>
      </c>
      <c r="AJ1523" s="4" t="n">
        <v>0.2</v>
      </c>
      <c r="AK1523" s="3">
        <f>ROUND(AI1523*AJ1523,2)</f>
        <v/>
      </c>
      <c r="AL1523" s="3">
        <f>AI1523+AK1523</f>
        <v/>
      </c>
      <c r="AM1523" s="3">
        <f>AE1523-AL1523</f>
        <v/>
      </c>
      <c r="AN1523" s="4">
        <f>AM1523/AE1523</f>
        <v/>
      </c>
      <c r="AO1523" s="3" t="inlineStr">
        <is>
          <t>60 mins</t>
        </is>
      </c>
      <c r="AQ1523" s="3" t="inlineStr">
        <is>
          <t>Weight</t>
        </is>
      </c>
      <c r="AT1523" s="3" t="inlineStr">
        <is>
          <t>Active</t>
        </is>
      </c>
    </row>
    <row r="1524" ht="15.75" customHeight="1">
      <c r="A1524" s="3" t="inlineStr">
        <is>
          <t>PROD_0293</t>
        </is>
      </c>
      <c r="B1524" s="3" t="inlineStr">
        <is>
          <t>VAR_4</t>
        </is>
      </c>
      <c r="C1524" s="3" t="inlineStr">
        <is>
          <t>Plumbing</t>
        </is>
      </c>
      <c r="D1524" s="3" t="inlineStr">
        <is>
          <t>Pipes</t>
        </is>
      </c>
      <c r="E1524" s="3" t="inlineStr">
        <is>
          <t>Astral</t>
        </is>
      </c>
      <c r="F1524" s="3" t="inlineStr">
        <is>
          <t>Pipe (HD 11)</t>
        </is>
      </c>
      <c r="H1524" s="3" t="inlineStr">
        <is>
          <t>Diameter</t>
        </is>
      </c>
      <c r="I1524" s="3" t="inlineStr">
        <is>
          <t>32 mm (1.25 inch)</t>
        </is>
      </c>
      <c r="J1524" s="3" t="inlineStr">
        <is>
          <t>Length</t>
        </is>
      </c>
      <c r="K1524" s="3" t="inlineStr">
        <is>
          <t>3 meter</t>
        </is>
      </c>
      <c r="Q1524" s="3" t="inlineStr">
        <is>
          <t>Manufacturer's Warranty</t>
        </is>
      </c>
      <c r="R1524" s="3" t="inlineStr">
        <is>
          <t>M511110304^</t>
        </is>
      </c>
      <c r="Y1524" s="3" t="inlineStr">
        <is>
          <t>PLB_AST_CPVC, PLB_AST_CPVC_1</t>
        </is>
      </c>
      <c r="Z1524" s="3" t="n">
        <v>52081210</v>
      </c>
      <c r="AE1524" s="3" t="n">
        <v>1251</v>
      </c>
      <c r="AF1524" s="4" t="n">
        <v>0.5</v>
      </c>
      <c r="AG1524" s="3">
        <f>ROUND(AE1524-(AE1524*AF1524),2)</f>
        <v/>
      </c>
      <c r="AH1524" s="4" t="n">
        <v>0.18</v>
      </c>
      <c r="AI1524" s="3">
        <f>ROUND(AG1524+(AG1524*AH1524),2)</f>
        <v/>
      </c>
      <c r="AJ1524" s="4" t="n">
        <v>0.2</v>
      </c>
      <c r="AK1524" s="3">
        <f>ROUND(AI1524*AJ1524,2)</f>
        <v/>
      </c>
      <c r="AL1524" s="3">
        <f>AI1524+AK1524</f>
        <v/>
      </c>
      <c r="AM1524" s="3">
        <f>AE1524-AL1524</f>
        <v/>
      </c>
      <c r="AN1524" s="4">
        <f>AM1524/AE1524</f>
        <v/>
      </c>
      <c r="AO1524" s="3" t="inlineStr">
        <is>
          <t>60 mins</t>
        </is>
      </c>
      <c r="AQ1524" s="3" t="inlineStr">
        <is>
          <t>Weight</t>
        </is>
      </c>
      <c r="AT1524" s="3" t="inlineStr">
        <is>
          <t>Active</t>
        </is>
      </c>
    </row>
    <row r="1525" ht="15.75" customHeight="1">
      <c r="A1525" s="3" t="inlineStr">
        <is>
          <t>PROD_0293</t>
        </is>
      </c>
      <c r="B1525" s="3" t="inlineStr">
        <is>
          <t>VAR_5</t>
        </is>
      </c>
      <c r="C1525" s="3" t="inlineStr">
        <is>
          <t>Plumbing</t>
        </is>
      </c>
      <c r="D1525" s="3" t="inlineStr">
        <is>
          <t>Pipes</t>
        </is>
      </c>
      <c r="E1525" s="3" t="inlineStr">
        <is>
          <t>Astral</t>
        </is>
      </c>
      <c r="F1525" s="3" t="inlineStr">
        <is>
          <t>Pipe (HD 11)</t>
        </is>
      </c>
      <c r="H1525" s="3" t="inlineStr">
        <is>
          <t>Diameter</t>
        </is>
      </c>
      <c r="I1525" s="3" t="inlineStr">
        <is>
          <t>40 mm (1.5 inch)</t>
        </is>
      </c>
      <c r="J1525" s="3" t="inlineStr">
        <is>
          <t>Length</t>
        </is>
      </c>
      <c r="K1525" s="3" t="inlineStr">
        <is>
          <t>3 meter</t>
        </is>
      </c>
      <c r="Q1525" s="3" t="inlineStr">
        <is>
          <t>Manufacturer's Warranty</t>
        </is>
      </c>
      <c r="R1525" s="3" t="inlineStr">
        <is>
          <t>M511110305^</t>
        </is>
      </c>
      <c r="Y1525" s="3" t="inlineStr">
        <is>
          <t>PLB_AST_CPVC, PLB_AST_CPVC_1</t>
        </is>
      </c>
      <c r="Z1525" s="3" t="n">
        <v>3917</v>
      </c>
      <c r="AE1525" s="3" t="n">
        <v>1717</v>
      </c>
      <c r="AF1525" s="4" t="n">
        <v>0.5</v>
      </c>
      <c r="AG1525" s="3">
        <f>ROUND(AE1525-(AE1525*AF1525),2)</f>
        <v/>
      </c>
      <c r="AH1525" s="4" t="n">
        <v>0.18</v>
      </c>
      <c r="AI1525" s="3">
        <f>ROUND(AG1525+(AG1525*AH1525),2)</f>
        <v/>
      </c>
      <c r="AJ1525" s="4" t="n">
        <v>0.2</v>
      </c>
      <c r="AK1525" s="3">
        <f>ROUND(AI1525*AJ1525,2)</f>
        <v/>
      </c>
      <c r="AL1525" s="3">
        <f>AI1525+AK1525</f>
        <v/>
      </c>
      <c r="AM1525" s="3">
        <f>AE1525-AL1525</f>
        <v/>
      </c>
      <c r="AN1525" s="4">
        <f>AM1525/AE1525</f>
        <v/>
      </c>
      <c r="AO1525" s="3" t="inlineStr">
        <is>
          <t>60 mins</t>
        </is>
      </c>
      <c r="AQ1525" s="3" t="inlineStr">
        <is>
          <t>Weight</t>
        </is>
      </c>
      <c r="AT1525" s="3" t="inlineStr">
        <is>
          <t>Active</t>
        </is>
      </c>
    </row>
    <row r="1526" ht="15.75" customHeight="1">
      <c r="A1526" s="3" t="inlineStr">
        <is>
          <t>PROD_0293</t>
        </is>
      </c>
      <c r="B1526" s="3" t="inlineStr">
        <is>
          <t>VAR_6</t>
        </is>
      </c>
      <c r="C1526" s="3" t="inlineStr">
        <is>
          <t>Plumbing</t>
        </is>
      </c>
      <c r="D1526" s="3" t="inlineStr">
        <is>
          <t>Pipes</t>
        </is>
      </c>
      <c r="E1526" s="3" t="inlineStr">
        <is>
          <t>Astral</t>
        </is>
      </c>
      <c r="F1526" s="3" t="inlineStr">
        <is>
          <t>Pipe (HD 11)</t>
        </is>
      </c>
      <c r="H1526" s="3" t="inlineStr">
        <is>
          <t>Diameter</t>
        </is>
      </c>
      <c r="I1526" s="3" t="inlineStr">
        <is>
          <t>50 mm (2 inch)</t>
        </is>
      </c>
      <c r="J1526" s="3" t="inlineStr">
        <is>
          <t>Length</t>
        </is>
      </c>
      <c r="K1526" s="3" t="inlineStr">
        <is>
          <t>3 meter</t>
        </is>
      </c>
      <c r="Q1526" s="3" t="inlineStr">
        <is>
          <t>Manufacturer's Warranty</t>
        </is>
      </c>
      <c r="R1526" s="3" t="inlineStr">
        <is>
          <t>M511110306^</t>
        </is>
      </c>
      <c r="Y1526" s="3" t="inlineStr">
        <is>
          <t>PLB_AST_CPVC, PLB_AST_CPVC_1</t>
        </is>
      </c>
      <c r="Z1526" s="3" t="n">
        <v>3917</v>
      </c>
      <c r="AE1526" s="3" t="n">
        <v>2980</v>
      </c>
      <c r="AF1526" s="4" t="n">
        <v>0.5</v>
      </c>
      <c r="AG1526" s="3">
        <f>ROUND(AE1526-(AE1526*AF1526),2)</f>
        <v/>
      </c>
      <c r="AH1526" s="4" t="n">
        <v>0.18</v>
      </c>
      <c r="AI1526" s="3">
        <f>ROUND(AG1526+(AG1526*AH1526),2)</f>
        <v/>
      </c>
      <c r="AJ1526" s="4" t="n">
        <v>0.2</v>
      </c>
      <c r="AK1526" s="3">
        <f>ROUND(AI1526*AJ1526,2)</f>
        <v/>
      </c>
      <c r="AL1526" s="3">
        <f>AI1526+AK1526</f>
        <v/>
      </c>
      <c r="AM1526" s="3">
        <f>AE1526-AL1526</f>
        <v/>
      </c>
      <c r="AN1526" s="4">
        <f>AM1526/AE1526</f>
        <v/>
      </c>
      <c r="AO1526" s="3" t="inlineStr">
        <is>
          <t>60 mins</t>
        </is>
      </c>
      <c r="AQ1526" s="3" t="inlineStr">
        <is>
          <t>Weight</t>
        </is>
      </c>
      <c r="AT1526" s="3" t="inlineStr">
        <is>
          <t>Active</t>
        </is>
      </c>
    </row>
    <row r="1527" ht="15.75" customHeight="1">
      <c r="A1527" s="3" t="inlineStr">
        <is>
          <t>PROD_0293</t>
        </is>
      </c>
      <c r="B1527" s="3" t="inlineStr">
        <is>
          <t>VAR_7</t>
        </is>
      </c>
      <c r="C1527" s="3" t="inlineStr">
        <is>
          <t>Plumbing</t>
        </is>
      </c>
      <c r="D1527" s="3" t="inlineStr">
        <is>
          <t>Pipes</t>
        </is>
      </c>
      <c r="E1527" s="3" t="inlineStr">
        <is>
          <t>Astral</t>
        </is>
      </c>
      <c r="F1527" s="3" t="inlineStr">
        <is>
          <t>Pipe (HD 11)</t>
        </is>
      </c>
      <c r="H1527" s="3" t="inlineStr">
        <is>
          <t>Diameter</t>
        </is>
      </c>
      <c r="I1527" s="3" t="inlineStr">
        <is>
          <t>15 mm (.5 inch)</t>
        </is>
      </c>
      <c r="J1527" s="3" t="inlineStr">
        <is>
          <t>Length</t>
        </is>
      </c>
      <c r="K1527" s="3" t="inlineStr">
        <is>
          <t>5 meter</t>
        </is>
      </c>
      <c r="Q1527" s="3" t="inlineStr">
        <is>
          <t>Manufacturer's Warranty</t>
        </is>
      </c>
      <c r="R1527" s="3" t="inlineStr">
        <is>
          <t>M511110501^</t>
        </is>
      </c>
      <c r="Y1527" s="3" t="inlineStr">
        <is>
          <t>PLB_AST_CPVC, PLB_AST_CPVC_1</t>
        </is>
      </c>
      <c r="Z1527" s="3" t="n">
        <v>3917</v>
      </c>
      <c r="AE1527" s="3" t="n">
        <v>588</v>
      </c>
      <c r="AF1527" s="4" t="n">
        <v>0.5</v>
      </c>
      <c r="AG1527" s="3">
        <f>ROUND(AE1527-(AE1527*AF1527),2)</f>
        <v/>
      </c>
      <c r="AH1527" s="4" t="n">
        <v>0.18</v>
      </c>
      <c r="AI1527" s="3">
        <f>ROUND(AG1527+(AG1527*AH1527),2)</f>
        <v/>
      </c>
      <c r="AJ1527" s="4" t="n">
        <v>0.2</v>
      </c>
      <c r="AK1527" s="3">
        <f>ROUND(AI1527*AJ1527,2)</f>
        <v/>
      </c>
      <c r="AL1527" s="3">
        <f>AI1527+AK1527</f>
        <v/>
      </c>
      <c r="AM1527" s="3">
        <f>AE1527-AL1527</f>
        <v/>
      </c>
      <c r="AN1527" s="4">
        <f>AM1527/AE1527</f>
        <v/>
      </c>
      <c r="AO1527" s="3" t="inlineStr">
        <is>
          <t>60 mins</t>
        </is>
      </c>
      <c r="AQ1527" s="3" t="inlineStr">
        <is>
          <t>Weight</t>
        </is>
      </c>
      <c r="AT1527" s="3" t="inlineStr">
        <is>
          <t>Active</t>
        </is>
      </c>
    </row>
    <row r="1528" ht="15.75" customHeight="1">
      <c r="A1528" s="3" t="inlineStr">
        <is>
          <t>PROD_0293</t>
        </is>
      </c>
      <c r="B1528" s="3" t="inlineStr">
        <is>
          <t>VAR_8</t>
        </is>
      </c>
      <c r="C1528" s="3" t="inlineStr">
        <is>
          <t>Plumbing</t>
        </is>
      </c>
      <c r="D1528" s="3" t="inlineStr">
        <is>
          <t>Pipes</t>
        </is>
      </c>
      <c r="E1528" s="3" t="inlineStr">
        <is>
          <t>Astral</t>
        </is>
      </c>
      <c r="F1528" s="3" t="inlineStr">
        <is>
          <t>Pipe (HD 11)</t>
        </is>
      </c>
      <c r="H1528" s="3" t="inlineStr">
        <is>
          <t>Diameter</t>
        </is>
      </c>
      <c r="I1528" s="3" t="inlineStr">
        <is>
          <t>20 mm (.75 inch)</t>
        </is>
      </c>
      <c r="J1528" s="3" t="inlineStr">
        <is>
          <t>Length</t>
        </is>
      </c>
      <c r="K1528" s="3" t="inlineStr">
        <is>
          <t>5 meter</t>
        </is>
      </c>
      <c r="Q1528" s="3" t="inlineStr">
        <is>
          <t>Manufacturer's Warranty</t>
        </is>
      </c>
      <c r="R1528" s="3" t="inlineStr">
        <is>
          <t>M511110502^</t>
        </is>
      </c>
      <c r="Y1528" s="3" t="inlineStr">
        <is>
          <t>PLB_AST_CPVC, PLB_AST_CPVC_1</t>
        </is>
      </c>
      <c r="Z1528" s="3" t="n">
        <v>3917</v>
      </c>
      <c r="AE1528" s="3" t="n">
        <v>788</v>
      </c>
      <c r="AF1528" s="4" t="n">
        <v>0.5</v>
      </c>
      <c r="AG1528" s="3">
        <f>ROUND(AE1528-(AE1528*AF1528),2)</f>
        <v/>
      </c>
      <c r="AH1528" s="4" t="n">
        <v>0.18</v>
      </c>
      <c r="AI1528" s="3">
        <f>ROUND(AG1528+(AG1528*AH1528),2)</f>
        <v/>
      </c>
      <c r="AJ1528" s="4" t="n">
        <v>0.2</v>
      </c>
      <c r="AK1528" s="3">
        <f>ROUND(AI1528*AJ1528,2)</f>
        <v/>
      </c>
      <c r="AL1528" s="3">
        <f>AI1528+AK1528</f>
        <v/>
      </c>
      <c r="AM1528" s="3">
        <f>AE1528-AL1528</f>
        <v/>
      </c>
      <c r="AN1528" s="4">
        <f>AM1528/AE1528</f>
        <v/>
      </c>
      <c r="AO1528" s="3" t="inlineStr">
        <is>
          <t>60 mins</t>
        </is>
      </c>
      <c r="AQ1528" s="3" t="inlineStr">
        <is>
          <t>Weight</t>
        </is>
      </c>
      <c r="AT1528" s="3" t="inlineStr">
        <is>
          <t>Active</t>
        </is>
      </c>
    </row>
    <row r="1529" ht="15.75" customHeight="1">
      <c r="A1529" s="3" t="inlineStr">
        <is>
          <t>PROD_0293</t>
        </is>
      </c>
      <c r="B1529" s="3" t="inlineStr">
        <is>
          <t>VAR_9</t>
        </is>
      </c>
      <c r="C1529" s="3" t="inlineStr">
        <is>
          <t>Plumbing</t>
        </is>
      </c>
      <c r="D1529" s="3" t="inlineStr">
        <is>
          <t>Pipes</t>
        </is>
      </c>
      <c r="E1529" s="3" t="inlineStr">
        <is>
          <t>Astral</t>
        </is>
      </c>
      <c r="F1529" s="3" t="inlineStr">
        <is>
          <t>Pipe (HD 11)</t>
        </is>
      </c>
      <c r="H1529" s="3" t="inlineStr">
        <is>
          <t>Diameter</t>
        </is>
      </c>
      <c r="I1529" s="3" t="inlineStr">
        <is>
          <t>25 mm (1 inch)</t>
        </is>
      </c>
      <c r="J1529" s="3" t="inlineStr">
        <is>
          <t>Length</t>
        </is>
      </c>
      <c r="K1529" s="3" t="inlineStr">
        <is>
          <t>5 meter</t>
        </is>
      </c>
      <c r="Q1529" s="3" t="inlineStr">
        <is>
          <t>Manufacturer's Warranty</t>
        </is>
      </c>
      <c r="R1529" s="3" t="inlineStr">
        <is>
          <t>M511110503^</t>
        </is>
      </c>
      <c r="Y1529" s="3" t="inlineStr">
        <is>
          <t>PLB_AST_CPVC, PLB_AST_CPVC_1</t>
        </is>
      </c>
      <c r="Z1529" s="3" t="n">
        <v>3917</v>
      </c>
      <c r="AE1529" s="3" t="n">
        <v>1218</v>
      </c>
      <c r="AF1529" s="4" t="n">
        <v>0.5</v>
      </c>
      <c r="AG1529" s="3">
        <f>ROUND(AE1529-(AE1529*AF1529),2)</f>
        <v/>
      </c>
      <c r="AH1529" s="4" t="n">
        <v>0.18</v>
      </c>
      <c r="AI1529" s="3">
        <f>ROUND(AG1529+(AG1529*AH1529),2)</f>
        <v/>
      </c>
      <c r="AJ1529" s="4" t="n">
        <v>0.2</v>
      </c>
      <c r="AK1529" s="3">
        <f>ROUND(AI1529*AJ1529,2)</f>
        <v/>
      </c>
      <c r="AL1529" s="3">
        <f>AI1529+AK1529</f>
        <v/>
      </c>
      <c r="AM1529" s="3">
        <f>AE1529-AL1529</f>
        <v/>
      </c>
      <c r="AN1529" s="4">
        <f>AM1529/AE1529</f>
        <v/>
      </c>
      <c r="AO1529" s="3" t="inlineStr">
        <is>
          <t>60 mins</t>
        </is>
      </c>
      <c r="AQ1529" s="3" t="inlineStr">
        <is>
          <t>Weight</t>
        </is>
      </c>
      <c r="AT1529" s="3" t="inlineStr">
        <is>
          <t>Active</t>
        </is>
      </c>
    </row>
    <row r="1530" ht="15.75" customHeight="1">
      <c r="A1530" s="3" t="inlineStr">
        <is>
          <t>PROD_0293</t>
        </is>
      </c>
      <c r="B1530" s="3" t="inlineStr">
        <is>
          <t>VAR_10</t>
        </is>
      </c>
      <c r="C1530" s="3" t="inlineStr">
        <is>
          <t>Plumbing</t>
        </is>
      </c>
      <c r="D1530" s="3" t="inlineStr">
        <is>
          <t>Pipes</t>
        </is>
      </c>
      <c r="E1530" s="3" t="inlineStr">
        <is>
          <t>Astral</t>
        </is>
      </c>
      <c r="F1530" s="3" t="inlineStr">
        <is>
          <t>Pipe (HD 11)</t>
        </is>
      </c>
      <c r="H1530" s="3" t="inlineStr">
        <is>
          <t>Diameter</t>
        </is>
      </c>
      <c r="I1530" s="3" t="inlineStr">
        <is>
          <t>32 mm (1.25 inch)</t>
        </is>
      </c>
      <c r="J1530" s="3" t="inlineStr">
        <is>
          <t>Length</t>
        </is>
      </c>
      <c r="K1530" s="3" t="inlineStr">
        <is>
          <t>5 meter</t>
        </is>
      </c>
      <c r="Q1530" s="3" t="inlineStr">
        <is>
          <t>Manufacturer's Warranty</t>
        </is>
      </c>
      <c r="R1530" s="3" t="inlineStr">
        <is>
          <t>M511110504^</t>
        </is>
      </c>
      <c r="Y1530" s="3" t="inlineStr">
        <is>
          <t>PLB_AST_CPVC, PLB_AST_CPVC_1</t>
        </is>
      </c>
      <c r="Z1530" s="3" t="n">
        <v>3917</v>
      </c>
      <c r="AE1530" s="3" t="n">
        <v>2085</v>
      </c>
      <c r="AF1530" s="4" t="n">
        <v>0.5</v>
      </c>
      <c r="AG1530" s="3">
        <f>ROUND(AE1530-(AE1530*AF1530),2)</f>
        <v/>
      </c>
      <c r="AH1530" s="4" t="n">
        <v>0.18</v>
      </c>
      <c r="AI1530" s="3">
        <f>ROUND(AG1530+(AG1530*AH1530),2)</f>
        <v/>
      </c>
      <c r="AJ1530" s="4" t="n">
        <v>0.2</v>
      </c>
      <c r="AK1530" s="3">
        <f>ROUND(AI1530*AJ1530,2)</f>
        <v/>
      </c>
      <c r="AL1530" s="3">
        <f>AI1530+AK1530</f>
        <v/>
      </c>
      <c r="AM1530" s="3">
        <f>AE1530-AL1530</f>
        <v/>
      </c>
      <c r="AN1530" s="4">
        <f>AM1530/AE1530</f>
        <v/>
      </c>
      <c r="AO1530" s="3" t="inlineStr">
        <is>
          <t>60 mins</t>
        </is>
      </c>
      <c r="AQ1530" s="3" t="inlineStr">
        <is>
          <t>Weight</t>
        </is>
      </c>
      <c r="AT1530" s="3" t="inlineStr">
        <is>
          <t>Active</t>
        </is>
      </c>
    </row>
    <row r="1531" ht="15.75" customHeight="1">
      <c r="A1531" s="3" t="inlineStr">
        <is>
          <t>PROD_0293</t>
        </is>
      </c>
      <c r="B1531" s="3" t="inlineStr">
        <is>
          <t>VAR_11</t>
        </is>
      </c>
      <c r="C1531" s="3" t="inlineStr">
        <is>
          <t>Plumbing</t>
        </is>
      </c>
      <c r="D1531" s="3" t="inlineStr">
        <is>
          <t>Pipes</t>
        </is>
      </c>
      <c r="E1531" s="3" t="inlineStr">
        <is>
          <t>Astral</t>
        </is>
      </c>
      <c r="F1531" s="3" t="inlineStr">
        <is>
          <t>Pipe (HD 11)</t>
        </is>
      </c>
      <c r="H1531" s="3" t="inlineStr">
        <is>
          <t>Diameter</t>
        </is>
      </c>
      <c r="I1531" s="3" t="inlineStr">
        <is>
          <t>40 mm (1.5 inch)</t>
        </is>
      </c>
      <c r="J1531" s="3" t="inlineStr">
        <is>
          <t>Length</t>
        </is>
      </c>
      <c r="K1531" s="3" t="inlineStr">
        <is>
          <t>5 meter</t>
        </is>
      </c>
      <c r="Q1531" s="3" t="inlineStr">
        <is>
          <t>Manufacturer's Warranty</t>
        </is>
      </c>
      <c r="R1531" s="3" t="inlineStr">
        <is>
          <t>M511110505^</t>
        </is>
      </c>
      <c r="Y1531" s="3" t="inlineStr">
        <is>
          <t>PLB_AST_CPVC, PLB_AST_CPVC_1</t>
        </is>
      </c>
      <c r="Z1531" s="3" t="n">
        <v>3917</v>
      </c>
      <c r="AE1531" s="3" t="n">
        <v>2862</v>
      </c>
      <c r="AF1531" s="4" t="n">
        <v>0.5</v>
      </c>
      <c r="AG1531" s="3">
        <f>ROUND(AE1531-(AE1531*AF1531),2)</f>
        <v/>
      </c>
      <c r="AH1531" s="4" t="n">
        <v>0.18</v>
      </c>
      <c r="AI1531" s="3">
        <f>ROUND(AG1531+(AG1531*AH1531),2)</f>
        <v/>
      </c>
      <c r="AJ1531" s="4" t="n">
        <v>0.2</v>
      </c>
      <c r="AK1531" s="3">
        <f>ROUND(AI1531*AJ1531,2)</f>
        <v/>
      </c>
      <c r="AL1531" s="3">
        <f>AI1531+AK1531</f>
        <v/>
      </c>
      <c r="AM1531" s="3">
        <f>AE1531-AL1531</f>
        <v/>
      </c>
      <c r="AN1531" s="4">
        <f>AM1531/AE1531</f>
        <v/>
      </c>
      <c r="AO1531" s="3" t="inlineStr">
        <is>
          <t>60 mins</t>
        </is>
      </c>
      <c r="AQ1531" s="3" t="inlineStr">
        <is>
          <t>Weight</t>
        </is>
      </c>
      <c r="AT1531" s="3" t="inlineStr">
        <is>
          <t>Active</t>
        </is>
      </c>
    </row>
    <row r="1532" ht="15.75" customHeight="1">
      <c r="A1532" s="3" t="inlineStr">
        <is>
          <t>PROD_0293</t>
        </is>
      </c>
      <c r="B1532" s="3" t="inlineStr">
        <is>
          <t>VAR_12</t>
        </is>
      </c>
      <c r="C1532" s="3" t="inlineStr">
        <is>
          <t>Plumbing</t>
        </is>
      </c>
      <c r="D1532" s="3" t="inlineStr">
        <is>
          <t>Pipes</t>
        </is>
      </c>
      <c r="E1532" s="3" t="inlineStr">
        <is>
          <t>Astral</t>
        </is>
      </c>
      <c r="F1532" s="3" t="inlineStr">
        <is>
          <t>Pipe (HD 11)</t>
        </is>
      </c>
      <c r="H1532" s="3" t="inlineStr">
        <is>
          <t>Diameter</t>
        </is>
      </c>
      <c r="I1532" s="3" t="inlineStr">
        <is>
          <t>50 mm (2 inch)</t>
        </is>
      </c>
      <c r="J1532" s="3" t="inlineStr">
        <is>
          <t>Length</t>
        </is>
      </c>
      <c r="K1532" s="3" t="inlineStr">
        <is>
          <t>5 meter</t>
        </is>
      </c>
      <c r="Q1532" s="3" t="inlineStr">
        <is>
          <t>Manufacturer's Warranty</t>
        </is>
      </c>
      <c r="R1532" s="3" t="inlineStr">
        <is>
          <t>M511110506^</t>
        </is>
      </c>
      <c r="Y1532" s="3" t="inlineStr">
        <is>
          <t>PLB_AST_CPVC, PLB_AST_CPVC_1</t>
        </is>
      </c>
      <c r="Z1532" s="3" t="n">
        <v>3917</v>
      </c>
      <c r="AE1532" s="3" t="n">
        <v>4967</v>
      </c>
      <c r="AF1532" s="4" t="n">
        <v>0.5</v>
      </c>
      <c r="AG1532" s="3">
        <f>ROUND(AE1532-(AE1532*AF1532),2)</f>
        <v/>
      </c>
      <c r="AH1532" s="4" t="n">
        <v>0.18</v>
      </c>
      <c r="AI1532" s="3">
        <f>ROUND(AG1532+(AG1532*AH1532),2)</f>
        <v/>
      </c>
      <c r="AJ1532" s="4" t="n">
        <v>0.2</v>
      </c>
      <c r="AK1532" s="3">
        <f>ROUND(AI1532*AJ1532,2)</f>
        <v/>
      </c>
      <c r="AL1532" s="3">
        <f>AI1532+AK1532</f>
        <v/>
      </c>
      <c r="AM1532" s="3">
        <f>AE1532-AL1532</f>
        <v/>
      </c>
      <c r="AN1532" s="4">
        <f>AM1532/AE1532</f>
        <v/>
      </c>
      <c r="AO1532" s="3" t="inlineStr">
        <is>
          <t>60 mins</t>
        </is>
      </c>
      <c r="AQ1532" s="3" t="inlineStr">
        <is>
          <t>Weight</t>
        </is>
      </c>
      <c r="AT1532" s="3" t="inlineStr">
        <is>
          <t>Active</t>
        </is>
      </c>
    </row>
    <row r="1533" ht="15.75" customHeight="1">
      <c r="A1533" s="3" t="inlineStr">
        <is>
          <t>PROD_0294</t>
        </is>
      </c>
      <c r="B1533" s="3" t="inlineStr">
        <is>
          <t>VAR_1</t>
        </is>
      </c>
      <c r="C1533" s="3" t="inlineStr">
        <is>
          <t>Plumbing</t>
        </is>
      </c>
      <c r="D1533" s="3" t="inlineStr">
        <is>
          <t>Pipes</t>
        </is>
      </c>
      <c r="E1533" s="3" t="inlineStr">
        <is>
          <t>Astral</t>
        </is>
      </c>
      <c r="F1533" s="3" t="inlineStr">
        <is>
          <t>Pipe (Schedule 80)</t>
        </is>
      </c>
      <c r="H1533" s="3" t="inlineStr">
        <is>
          <t>Diameter</t>
        </is>
      </c>
      <c r="I1533" s="3" t="inlineStr">
        <is>
          <t>65 mm (2.5 inch)</t>
        </is>
      </c>
      <c r="J1533" s="3" t="inlineStr">
        <is>
          <t>Length</t>
        </is>
      </c>
      <c r="K1533" s="3" t="inlineStr">
        <is>
          <t>3 meter</t>
        </is>
      </c>
      <c r="Q1533" s="3" t="inlineStr">
        <is>
          <t>Manufacturer's Warranty</t>
        </is>
      </c>
      <c r="R1533" s="3" t="inlineStr">
        <is>
          <t>M511800307</t>
        </is>
      </c>
      <c r="Y1533" s="3" t="inlineStr">
        <is>
          <t>PLB_AST_CPVC_SCH80</t>
        </is>
      </c>
      <c r="Z1533" s="3" t="n">
        <v>3917</v>
      </c>
      <c r="AE1533" s="3" t="n">
        <v>7000</v>
      </c>
      <c r="AF1533" s="4" t="n">
        <v>0.5</v>
      </c>
      <c r="AG1533" s="3">
        <f>ROUND(AE1533-(AE1533*AF1533),2)</f>
        <v/>
      </c>
      <c r="AH1533" s="4" t="n">
        <v>0.18</v>
      </c>
      <c r="AI1533" s="3">
        <f>ROUND(AG1533+(AG1533*AH1533),2)</f>
        <v/>
      </c>
      <c r="AJ1533" s="4" t="n">
        <v>0.15</v>
      </c>
      <c r="AK1533" s="3">
        <f>ROUND(AI1533*AJ1533,2)</f>
        <v/>
      </c>
      <c r="AL1533" s="3">
        <f>AI1533+AK1533</f>
        <v/>
      </c>
      <c r="AM1533" s="3">
        <f>AE1533-AL1533</f>
        <v/>
      </c>
      <c r="AN1533" s="4">
        <f>AM1533/AE1533</f>
        <v/>
      </c>
      <c r="AO1533" s="3" t="inlineStr">
        <is>
          <t>60 mins</t>
        </is>
      </c>
      <c r="AQ1533" s="3" t="inlineStr">
        <is>
          <t>Weight</t>
        </is>
      </c>
      <c r="AT1533" s="3" t="inlineStr">
        <is>
          <t>Active</t>
        </is>
      </c>
    </row>
    <row r="1534" ht="15.75" customHeight="1">
      <c r="A1534" s="3" t="inlineStr">
        <is>
          <t>PROD_0294</t>
        </is>
      </c>
      <c r="B1534" s="3" t="inlineStr">
        <is>
          <t>VAR_2</t>
        </is>
      </c>
      <c r="C1534" s="3" t="inlineStr">
        <is>
          <t>Plumbing</t>
        </is>
      </c>
      <c r="D1534" s="3" t="inlineStr">
        <is>
          <t>Pipes</t>
        </is>
      </c>
      <c r="E1534" s="3" t="inlineStr">
        <is>
          <t>Astral</t>
        </is>
      </c>
      <c r="F1534" s="3" t="inlineStr">
        <is>
          <t>Pipe (Schedule 80)</t>
        </is>
      </c>
      <c r="H1534" s="3" t="inlineStr">
        <is>
          <t>Diameter</t>
        </is>
      </c>
      <c r="I1534" s="3" t="inlineStr">
        <is>
          <t>80 mm (3 inch)</t>
        </is>
      </c>
      <c r="J1534" s="3" t="inlineStr">
        <is>
          <t>Length</t>
        </is>
      </c>
      <c r="K1534" s="3" t="inlineStr">
        <is>
          <t>3 meter</t>
        </is>
      </c>
      <c r="Q1534" s="3" t="inlineStr">
        <is>
          <t>Manufacturer's Warranty</t>
        </is>
      </c>
      <c r="R1534" s="3" t="inlineStr">
        <is>
          <t>M511800308</t>
        </is>
      </c>
      <c r="Y1534" s="3" t="inlineStr">
        <is>
          <t>PLB_AST_CPVC_SCH80</t>
        </is>
      </c>
      <c r="Z1534" s="3" t="n">
        <v>3917</v>
      </c>
      <c r="AE1534" s="3" t="n">
        <v>9406</v>
      </c>
      <c r="AF1534" s="4" t="n">
        <v>0.5</v>
      </c>
      <c r="AG1534" s="3">
        <f>ROUND(AE1534-(AE1534*AF1534),2)</f>
        <v/>
      </c>
      <c r="AH1534" s="4" t="n">
        <v>0.18</v>
      </c>
      <c r="AI1534" s="3">
        <f>ROUND(AG1534+(AG1534*AH1534),2)</f>
        <v/>
      </c>
      <c r="AJ1534" s="4" t="n">
        <v>0.15</v>
      </c>
      <c r="AK1534" s="3">
        <f>ROUND(AI1534*AJ1534,2)</f>
        <v/>
      </c>
      <c r="AL1534" s="3">
        <f>AI1534+AK1534</f>
        <v/>
      </c>
      <c r="AM1534" s="3">
        <f>AE1534-AL1534</f>
        <v/>
      </c>
      <c r="AN1534" s="4">
        <f>AM1534/AE1534</f>
        <v/>
      </c>
      <c r="AO1534" s="3" t="inlineStr">
        <is>
          <t>60 mins</t>
        </is>
      </c>
      <c r="AQ1534" s="3" t="inlineStr">
        <is>
          <t>Weight</t>
        </is>
      </c>
      <c r="AT1534" s="3" t="inlineStr">
        <is>
          <t>Active</t>
        </is>
      </c>
    </row>
    <row r="1535" ht="15.75" customHeight="1">
      <c r="A1535" s="3" t="inlineStr">
        <is>
          <t>PROD_0294</t>
        </is>
      </c>
      <c r="B1535" s="3" t="inlineStr">
        <is>
          <t>VAR_3</t>
        </is>
      </c>
      <c r="C1535" s="3" t="inlineStr">
        <is>
          <t>Plumbing</t>
        </is>
      </c>
      <c r="D1535" s="3" t="inlineStr">
        <is>
          <t>Pipes</t>
        </is>
      </c>
      <c r="E1535" s="3" t="inlineStr">
        <is>
          <t>Astral</t>
        </is>
      </c>
      <c r="F1535" s="3" t="inlineStr">
        <is>
          <t>Pipe (Schedule 80)</t>
        </is>
      </c>
      <c r="H1535" s="3" t="inlineStr">
        <is>
          <t>Diameter</t>
        </is>
      </c>
      <c r="I1535" s="3" t="inlineStr">
        <is>
          <t>100 mm (4 inch)</t>
        </is>
      </c>
      <c r="J1535" s="3" t="inlineStr">
        <is>
          <t>Length</t>
        </is>
      </c>
      <c r="K1535" s="3" t="inlineStr">
        <is>
          <t>3 meter</t>
        </is>
      </c>
      <c r="Q1535" s="3" t="inlineStr">
        <is>
          <t>Manufacturer's Warranty</t>
        </is>
      </c>
      <c r="R1535" s="3" t="inlineStr">
        <is>
          <t>M511800309</t>
        </is>
      </c>
      <c r="Y1535" s="3" t="inlineStr">
        <is>
          <t>PLB_AST_CPVC_SCH80</t>
        </is>
      </c>
      <c r="Z1535" s="3" t="n">
        <v>3917</v>
      </c>
      <c r="AE1535" s="3" t="n">
        <v>13980</v>
      </c>
      <c r="AF1535" s="4" t="n">
        <v>0.5</v>
      </c>
      <c r="AG1535" s="3">
        <f>ROUND(AE1535-(AE1535*AF1535),2)</f>
        <v/>
      </c>
      <c r="AH1535" s="4" t="n">
        <v>0.18</v>
      </c>
      <c r="AI1535" s="3">
        <f>ROUND(AG1535+(AG1535*AH1535),2)</f>
        <v/>
      </c>
      <c r="AJ1535" s="4" t="n">
        <v>0.15</v>
      </c>
      <c r="AK1535" s="3">
        <f>ROUND(AI1535*AJ1535,2)</f>
        <v/>
      </c>
      <c r="AL1535" s="3">
        <f>AI1535+AK1535</f>
        <v/>
      </c>
      <c r="AM1535" s="3">
        <f>AE1535-AL1535</f>
        <v/>
      </c>
      <c r="AN1535" s="4">
        <f>AM1535/AE1535</f>
        <v/>
      </c>
      <c r="AO1535" s="3" t="inlineStr">
        <is>
          <t>60 mins</t>
        </is>
      </c>
      <c r="AQ1535" s="3" t="inlineStr">
        <is>
          <t>Weight</t>
        </is>
      </c>
      <c r="AT1535" s="3" t="inlineStr">
        <is>
          <t>Active</t>
        </is>
      </c>
    </row>
    <row r="1536" ht="15.75" customHeight="1">
      <c r="A1536" s="3" t="inlineStr">
        <is>
          <t>PROD_0294</t>
        </is>
      </c>
      <c r="B1536" s="3" t="inlineStr">
        <is>
          <t>VAR_4</t>
        </is>
      </c>
      <c r="C1536" s="3" t="inlineStr">
        <is>
          <t>Plumbing</t>
        </is>
      </c>
      <c r="D1536" s="3" t="inlineStr">
        <is>
          <t>Pipes</t>
        </is>
      </c>
      <c r="E1536" s="3" t="inlineStr">
        <is>
          <t>Astral</t>
        </is>
      </c>
      <c r="F1536" s="3" t="inlineStr">
        <is>
          <t>Pipe (Schedule 80)</t>
        </is>
      </c>
      <c r="H1536" s="3" t="inlineStr">
        <is>
          <t>Diameter</t>
        </is>
      </c>
      <c r="I1536" s="3" t="inlineStr">
        <is>
          <t>150 mm (6 inch)</t>
        </is>
      </c>
      <c r="J1536" s="3" t="inlineStr">
        <is>
          <t>Length</t>
        </is>
      </c>
      <c r="K1536" s="3" t="inlineStr">
        <is>
          <t>3 meter</t>
        </is>
      </c>
      <c r="Q1536" s="3" t="inlineStr">
        <is>
          <t>Manufacturer's Warranty</t>
        </is>
      </c>
      <c r="R1536" s="3" t="inlineStr">
        <is>
          <t>M511800310</t>
        </is>
      </c>
      <c r="Y1536" s="3" t="inlineStr">
        <is>
          <t>PLB_AST_CPVC_SCH80</t>
        </is>
      </c>
      <c r="Z1536" s="3" t="n">
        <v>3917</v>
      </c>
      <c r="AE1536" s="3" t="n">
        <v>2951</v>
      </c>
      <c r="AF1536" s="4" t="n">
        <v>0.5</v>
      </c>
      <c r="AG1536" s="3">
        <f>ROUND(AE1536-(AE1536*AF1536),2)</f>
        <v/>
      </c>
      <c r="AH1536" s="4" t="n">
        <v>0.18</v>
      </c>
      <c r="AI1536" s="3">
        <f>ROUND(AG1536+(AG1536*AH1536),2)</f>
        <v/>
      </c>
      <c r="AJ1536" s="4" t="n">
        <v>0.15</v>
      </c>
      <c r="AK1536" s="3">
        <f>ROUND(AI1536*AJ1536,2)</f>
        <v/>
      </c>
      <c r="AL1536" s="3">
        <f>AI1536+AK1536</f>
        <v/>
      </c>
      <c r="AM1536" s="3">
        <f>AE1536-AL1536</f>
        <v/>
      </c>
      <c r="AN1536" s="4">
        <f>AM1536/AE1536</f>
        <v/>
      </c>
      <c r="AO1536" s="3" t="inlineStr">
        <is>
          <t>60 mins</t>
        </is>
      </c>
      <c r="AQ1536" s="3" t="inlineStr">
        <is>
          <t>Weight</t>
        </is>
      </c>
      <c r="AT1536" s="3" t="inlineStr">
        <is>
          <t>Active</t>
        </is>
      </c>
    </row>
    <row r="1537" ht="15.75" customHeight="1">
      <c r="A1537" s="3" t="inlineStr">
        <is>
          <t>PROD_0294</t>
        </is>
      </c>
      <c r="B1537" s="3" t="inlineStr">
        <is>
          <t>VAR_5</t>
        </is>
      </c>
      <c r="C1537" s="3" t="inlineStr">
        <is>
          <t>Plumbing</t>
        </is>
      </c>
      <c r="D1537" s="3" t="inlineStr">
        <is>
          <t>Pipes</t>
        </is>
      </c>
      <c r="E1537" s="3" t="inlineStr">
        <is>
          <t>Astral</t>
        </is>
      </c>
      <c r="F1537" s="3" t="inlineStr">
        <is>
          <t>Pipe (Schedule 80)</t>
        </is>
      </c>
      <c r="H1537" s="3" t="inlineStr">
        <is>
          <t>Diameter</t>
        </is>
      </c>
      <c r="I1537" s="3" t="inlineStr">
        <is>
          <t>200 mm (8 inch)</t>
        </is>
      </c>
      <c r="J1537" s="3" t="inlineStr">
        <is>
          <t>Length</t>
        </is>
      </c>
      <c r="K1537" s="3" t="inlineStr">
        <is>
          <t>3 meter</t>
        </is>
      </c>
      <c r="Q1537" s="3" t="inlineStr">
        <is>
          <t>Manufacturer's Warranty</t>
        </is>
      </c>
      <c r="R1537" s="3" t="inlineStr">
        <is>
          <t>M511800311</t>
        </is>
      </c>
      <c r="Y1537" s="3" t="inlineStr">
        <is>
          <t>PLB_AST_CPVC_SCH80</t>
        </is>
      </c>
      <c r="Z1537" s="3" t="n">
        <v>3917</v>
      </c>
      <c r="AE1537" s="3" t="n">
        <v>46365</v>
      </c>
      <c r="AF1537" s="4" t="n">
        <v>0.5</v>
      </c>
      <c r="AG1537" s="3">
        <f>ROUND(AE1537-(AE1537*AF1537),2)</f>
        <v/>
      </c>
      <c r="AH1537" s="4" t="n">
        <v>0.18</v>
      </c>
      <c r="AI1537" s="3">
        <f>ROUND(AG1537+(AG1537*AH1537),2)</f>
        <v/>
      </c>
      <c r="AJ1537" s="4" t="n">
        <v>0.15</v>
      </c>
      <c r="AK1537" s="3">
        <f>ROUND(AI1537*AJ1537,2)</f>
        <v/>
      </c>
      <c r="AL1537" s="3">
        <f>AI1537+AK1537</f>
        <v/>
      </c>
      <c r="AM1537" s="3">
        <f>AE1537-AL1537</f>
        <v/>
      </c>
      <c r="AN1537" s="4">
        <f>AM1537/AE1537</f>
        <v/>
      </c>
      <c r="AO1537" s="3" t="inlineStr">
        <is>
          <t>60 mins</t>
        </is>
      </c>
      <c r="AQ1537" s="3" t="inlineStr">
        <is>
          <t>Weight</t>
        </is>
      </c>
      <c r="AT1537" s="3" t="inlineStr">
        <is>
          <t>Active</t>
        </is>
      </c>
    </row>
    <row r="1538" ht="15.75" customHeight="1">
      <c r="A1538" s="3" t="inlineStr">
        <is>
          <t>PROD_0294</t>
        </is>
      </c>
      <c r="B1538" s="3" t="inlineStr">
        <is>
          <t>VAR_6</t>
        </is>
      </c>
      <c r="C1538" s="3" t="inlineStr">
        <is>
          <t>Plumbing</t>
        </is>
      </c>
      <c r="D1538" s="3" t="inlineStr">
        <is>
          <t>Pipes</t>
        </is>
      </c>
      <c r="E1538" s="3" t="inlineStr">
        <is>
          <t>Astral</t>
        </is>
      </c>
      <c r="F1538" s="3" t="inlineStr">
        <is>
          <t>Pipe (Schedule 80)</t>
        </is>
      </c>
      <c r="H1538" s="3" t="inlineStr">
        <is>
          <t>Diameter</t>
        </is>
      </c>
      <c r="I1538" s="3" t="inlineStr">
        <is>
          <t>65 mm (2.5 inch)</t>
        </is>
      </c>
      <c r="J1538" s="3" t="inlineStr">
        <is>
          <t>Length</t>
        </is>
      </c>
      <c r="K1538" s="3" t="inlineStr">
        <is>
          <t>5 meter</t>
        </is>
      </c>
      <c r="Q1538" s="3" t="inlineStr">
        <is>
          <t>Manufacturer's Warranty</t>
        </is>
      </c>
      <c r="R1538" s="3" t="inlineStr">
        <is>
          <t>M511800507</t>
        </is>
      </c>
      <c r="Y1538" s="3" t="inlineStr">
        <is>
          <t>PLB_AST_CPVC_SCH80</t>
        </is>
      </c>
      <c r="Z1538" s="3" t="n">
        <v>3917</v>
      </c>
      <c r="AE1538" s="3" t="n">
        <v>11666</v>
      </c>
      <c r="AF1538" s="4" t="n">
        <v>0.5</v>
      </c>
      <c r="AG1538" s="3">
        <f>ROUND(AE1538-(AE1538*AF1538),2)</f>
        <v/>
      </c>
      <c r="AH1538" s="4" t="n">
        <v>0.18</v>
      </c>
      <c r="AI1538" s="3">
        <f>ROUND(AG1538+(AG1538*AH1538),2)</f>
        <v/>
      </c>
      <c r="AJ1538" s="4" t="n">
        <v>0.15</v>
      </c>
      <c r="AK1538" s="3">
        <f>ROUND(AI1538*AJ1538,2)</f>
        <v/>
      </c>
      <c r="AL1538" s="3">
        <f>AI1538+AK1538</f>
        <v/>
      </c>
      <c r="AM1538" s="3">
        <f>AE1538-AL1538</f>
        <v/>
      </c>
      <c r="AN1538" s="4">
        <f>AM1538/AE1538</f>
        <v/>
      </c>
      <c r="AO1538" s="3" t="inlineStr">
        <is>
          <t>60 mins</t>
        </is>
      </c>
      <c r="AQ1538" s="3" t="inlineStr">
        <is>
          <t>Weight</t>
        </is>
      </c>
      <c r="AT1538" s="3" t="inlineStr">
        <is>
          <t>Active</t>
        </is>
      </c>
    </row>
    <row r="1539" ht="15.75" customHeight="1">
      <c r="A1539" s="3" t="inlineStr">
        <is>
          <t>PROD_0294</t>
        </is>
      </c>
      <c r="B1539" s="3" t="inlineStr">
        <is>
          <t>VAR_7</t>
        </is>
      </c>
      <c r="C1539" s="3" t="inlineStr">
        <is>
          <t>Plumbing</t>
        </is>
      </c>
      <c r="D1539" s="3" t="inlineStr">
        <is>
          <t>Pipes</t>
        </is>
      </c>
      <c r="E1539" s="3" t="inlineStr">
        <is>
          <t>Astral</t>
        </is>
      </c>
      <c r="F1539" s="3" t="inlineStr">
        <is>
          <t>Pipe (Schedule 80)</t>
        </is>
      </c>
      <c r="H1539" s="3" t="inlineStr">
        <is>
          <t>Diameter</t>
        </is>
      </c>
      <c r="I1539" s="3" t="inlineStr">
        <is>
          <t>80 mm (3 inch)</t>
        </is>
      </c>
      <c r="J1539" s="3" t="inlineStr">
        <is>
          <t>Length</t>
        </is>
      </c>
      <c r="K1539" s="3" t="inlineStr">
        <is>
          <t>5 meter</t>
        </is>
      </c>
      <c r="Q1539" s="3" t="inlineStr">
        <is>
          <t>Manufacturer's Warranty</t>
        </is>
      </c>
      <c r="R1539" s="3" t="inlineStr">
        <is>
          <t>M511800508</t>
        </is>
      </c>
      <c r="Y1539" s="3" t="inlineStr">
        <is>
          <t>PLB_AST_CPVC_SCH80</t>
        </is>
      </c>
      <c r="Z1539" s="3" t="n">
        <v>3917</v>
      </c>
      <c r="AE1539" s="3" t="n">
        <v>15677</v>
      </c>
      <c r="AF1539" s="4" t="n">
        <v>0.5</v>
      </c>
      <c r="AG1539" s="3">
        <f>ROUND(AE1539-(AE1539*AF1539),2)</f>
        <v/>
      </c>
      <c r="AH1539" s="4" t="n">
        <v>0.18</v>
      </c>
      <c r="AI1539" s="3">
        <f>ROUND(AG1539+(AG1539*AH1539),2)</f>
        <v/>
      </c>
      <c r="AJ1539" s="4" t="n">
        <v>0.15</v>
      </c>
      <c r="AK1539" s="3">
        <f>ROUND(AI1539*AJ1539,2)</f>
        <v/>
      </c>
      <c r="AL1539" s="3">
        <f>AI1539+AK1539</f>
        <v/>
      </c>
      <c r="AM1539" s="3">
        <f>AE1539-AL1539</f>
        <v/>
      </c>
      <c r="AN1539" s="4">
        <f>AM1539/AE1539</f>
        <v/>
      </c>
      <c r="AO1539" s="3" t="inlineStr">
        <is>
          <t>60 mins</t>
        </is>
      </c>
      <c r="AQ1539" s="3" t="inlineStr">
        <is>
          <t>Weight</t>
        </is>
      </c>
      <c r="AT1539" s="3" t="inlineStr">
        <is>
          <t>Active</t>
        </is>
      </c>
    </row>
    <row r="1540" ht="15.75" customHeight="1">
      <c r="A1540" s="3" t="inlineStr">
        <is>
          <t>PROD_0294</t>
        </is>
      </c>
      <c r="B1540" s="3" t="inlineStr">
        <is>
          <t>VAR_8</t>
        </is>
      </c>
      <c r="C1540" s="3" t="inlineStr">
        <is>
          <t>Plumbing</t>
        </is>
      </c>
      <c r="D1540" s="3" t="inlineStr">
        <is>
          <t>Pipes</t>
        </is>
      </c>
      <c r="E1540" s="3" t="inlineStr">
        <is>
          <t>Astral</t>
        </is>
      </c>
      <c r="F1540" s="3" t="inlineStr">
        <is>
          <t>Pipe (Schedule 80)</t>
        </is>
      </c>
      <c r="H1540" s="3" t="inlineStr">
        <is>
          <t>Diameter</t>
        </is>
      </c>
      <c r="I1540" s="3" t="inlineStr">
        <is>
          <t>100 mm (4 inch)</t>
        </is>
      </c>
      <c r="J1540" s="3" t="inlineStr">
        <is>
          <t>Length</t>
        </is>
      </c>
      <c r="K1540" s="3" t="inlineStr">
        <is>
          <t>5 meter</t>
        </is>
      </c>
      <c r="Q1540" s="3" t="inlineStr">
        <is>
          <t>Manufacturer's Warranty</t>
        </is>
      </c>
      <c r="R1540" s="3" t="inlineStr">
        <is>
          <t>M511800509</t>
        </is>
      </c>
      <c r="Y1540" s="3" t="inlineStr">
        <is>
          <t>PLB_AST_CPVC_SCH80</t>
        </is>
      </c>
      <c r="Z1540" s="3" t="n">
        <v>3917</v>
      </c>
      <c r="AE1540" s="3" t="n">
        <v>23300</v>
      </c>
      <c r="AF1540" s="4" t="n">
        <v>0.5</v>
      </c>
      <c r="AG1540" s="3">
        <f>ROUND(AE1540-(AE1540*AF1540),2)</f>
        <v/>
      </c>
      <c r="AH1540" s="4" t="n">
        <v>0.18</v>
      </c>
      <c r="AI1540" s="3">
        <f>ROUND(AG1540+(AG1540*AH1540),2)</f>
        <v/>
      </c>
      <c r="AJ1540" s="4" t="n">
        <v>0.15</v>
      </c>
      <c r="AK1540" s="3">
        <f>ROUND(AI1540*AJ1540,2)</f>
        <v/>
      </c>
      <c r="AL1540" s="3">
        <f>AI1540+AK1540</f>
        <v/>
      </c>
      <c r="AM1540" s="3">
        <f>AE1540-AL1540</f>
        <v/>
      </c>
      <c r="AN1540" s="4">
        <f>AM1540/AE1540</f>
        <v/>
      </c>
      <c r="AO1540" s="3" t="inlineStr">
        <is>
          <t>60 mins</t>
        </is>
      </c>
      <c r="AQ1540" s="3" t="inlineStr">
        <is>
          <t>Weight</t>
        </is>
      </c>
      <c r="AT1540" s="3" t="inlineStr">
        <is>
          <t>Active</t>
        </is>
      </c>
    </row>
    <row r="1541" ht="15.75" customHeight="1">
      <c r="A1541" s="3" t="inlineStr">
        <is>
          <t>PROD_0294</t>
        </is>
      </c>
      <c r="B1541" s="3" t="inlineStr">
        <is>
          <t>VAR_9</t>
        </is>
      </c>
      <c r="C1541" s="3" t="inlineStr">
        <is>
          <t>Plumbing</t>
        </is>
      </c>
      <c r="D1541" s="3" t="inlineStr">
        <is>
          <t>Pipes</t>
        </is>
      </c>
      <c r="E1541" s="3" t="inlineStr">
        <is>
          <t>Astral</t>
        </is>
      </c>
      <c r="F1541" s="3" t="inlineStr">
        <is>
          <t>Pipe (Schedule 80)</t>
        </is>
      </c>
      <c r="H1541" s="3" t="inlineStr">
        <is>
          <t>Diameter</t>
        </is>
      </c>
      <c r="I1541" s="3" t="inlineStr">
        <is>
          <t>150 mm (6 inch)</t>
        </is>
      </c>
      <c r="J1541" s="3" t="inlineStr">
        <is>
          <t>Length</t>
        </is>
      </c>
      <c r="K1541" s="3" t="inlineStr">
        <is>
          <t>5 meter</t>
        </is>
      </c>
      <c r="Q1541" s="3" t="inlineStr">
        <is>
          <t>Manufacturer's Warranty</t>
        </is>
      </c>
      <c r="R1541" s="3" t="inlineStr">
        <is>
          <t>M511800510</t>
        </is>
      </c>
      <c r="Y1541" s="3" t="inlineStr">
        <is>
          <t>PLB_AST_CPVC_SCH80</t>
        </is>
      </c>
      <c r="Z1541" s="3" t="n">
        <v>3917</v>
      </c>
      <c r="AE1541" s="3" t="n">
        <v>48752</v>
      </c>
      <c r="AF1541" s="4" t="n">
        <v>0.5</v>
      </c>
      <c r="AG1541" s="3">
        <f>ROUND(AE1541-(AE1541*AF1541),2)</f>
        <v/>
      </c>
      <c r="AH1541" s="4" t="n">
        <v>0.18</v>
      </c>
      <c r="AI1541" s="3">
        <f>ROUND(AG1541+(AG1541*AH1541),2)</f>
        <v/>
      </c>
      <c r="AJ1541" s="4" t="n">
        <v>0.15</v>
      </c>
      <c r="AK1541" s="3">
        <f>ROUND(AI1541*AJ1541,2)</f>
        <v/>
      </c>
      <c r="AL1541" s="3">
        <f>AI1541+AK1541</f>
        <v/>
      </c>
      <c r="AM1541" s="3">
        <f>AE1541-AL1541</f>
        <v/>
      </c>
      <c r="AN1541" s="4">
        <f>AM1541/AE1541</f>
        <v/>
      </c>
      <c r="AO1541" s="3" t="inlineStr">
        <is>
          <t>60 mins</t>
        </is>
      </c>
      <c r="AQ1541" s="3" t="inlineStr">
        <is>
          <t>Weight</t>
        </is>
      </c>
      <c r="AT1541" s="3" t="inlineStr">
        <is>
          <t>Active</t>
        </is>
      </c>
    </row>
    <row r="1542" ht="15.75" customHeight="1">
      <c r="A1542" s="3" t="inlineStr">
        <is>
          <t>PROD_0294</t>
        </is>
      </c>
      <c r="B1542" s="3" t="inlineStr">
        <is>
          <t>VAR_10</t>
        </is>
      </c>
      <c r="C1542" s="3" t="inlineStr">
        <is>
          <t>Plumbing</t>
        </is>
      </c>
      <c r="D1542" s="3" t="inlineStr">
        <is>
          <t>Pipes</t>
        </is>
      </c>
      <c r="E1542" s="3" t="inlineStr">
        <is>
          <t>Astral</t>
        </is>
      </c>
      <c r="F1542" s="3" t="inlineStr">
        <is>
          <t>Pipe (Schedule 80)</t>
        </is>
      </c>
      <c r="H1542" s="3" t="inlineStr">
        <is>
          <t>Diameter</t>
        </is>
      </c>
      <c r="I1542" s="3" t="inlineStr">
        <is>
          <t>200 mm (8 inch)</t>
        </is>
      </c>
      <c r="J1542" s="3" t="inlineStr">
        <is>
          <t>Length</t>
        </is>
      </c>
      <c r="K1542" s="3" t="inlineStr">
        <is>
          <t>5 meter</t>
        </is>
      </c>
      <c r="Q1542" s="3" t="inlineStr">
        <is>
          <t>Manufacturer's Warranty</t>
        </is>
      </c>
      <c r="R1542" s="3" t="inlineStr">
        <is>
          <t>M511800511</t>
        </is>
      </c>
      <c r="Y1542" s="3" t="inlineStr">
        <is>
          <t>PLB_AST_CPVC_SCH80</t>
        </is>
      </c>
      <c r="Z1542" s="3" t="n">
        <v>3917</v>
      </c>
      <c r="AE1542" s="3" t="n">
        <v>77275</v>
      </c>
      <c r="AF1542" s="4" t="n">
        <v>0.5</v>
      </c>
      <c r="AG1542" s="3">
        <f>ROUND(AE1542-(AE1542*AF1542),2)</f>
        <v/>
      </c>
      <c r="AH1542" s="4" t="n">
        <v>0.18</v>
      </c>
      <c r="AI1542" s="3">
        <f>ROUND(AG1542+(AG1542*AH1542),2)</f>
        <v/>
      </c>
      <c r="AJ1542" s="4" t="n">
        <v>0.15</v>
      </c>
      <c r="AK1542" s="3">
        <f>ROUND(AI1542*AJ1542,2)</f>
        <v/>
      </c>
      <c r="AL1542" s="3">
        <f>AI1542+AK1542</f>
        <v/>
      </c>
      <c r="AM1542" s="3">
        <f>AE1542-AL1542</f>
        <v/>
      </c>
      <c r="AN1542" s="4">
        <f>AM1542/AE1542</f>
        <v/>
      </c>
      <c r="AO1542" s="3" t="inlineStr">
        <is>
          <t>60 mins</t>
        </is>
      </c>
      <c r="AQ1542" s="3" t="inlineStr">
        <is>
          <t>Weight</t>
        </is>
      </c>
      <c r="AT1542" s="3" t="inlineStr">
        <is>
          <t>Active</t>
        </is>
      </c>
    </row>
    <row r="1543" ht="15.75" customHeight="1">
      <c r="A1543" s="3" t="inlineStr">
        <is>
          <t>PROD_0295</t>
        </is>
      </c>
      <c r="B1543" s="3" t="inlineStr">
        <is>
          <t>VAR_1</t>
        </is>
      </c>
      <c r="C1543" s="3" t="inlineStr">
        <is>
          <t>Plumbing</t>
        </is>
      </c>
      <c r="D1543" s="3" t="inlineStr">
        <is>
          <t>Pipes</t>
        </is>
      </c>
      <c r="E1543" s="3" t="inlineStr">
        <is>
          <t>Astral</t>
        </is>
      </c>
      <c r="F1543" s="3" t="inlineStr">
        <is>
          <t>Pipe (SDR 13.5)</t>
        </is>
      </c>
      <c r="H1543" s="3" t="inlineStr">
        <is>
          <t>Diameter</t>
        </is>
      </c>
      <c r="I1543" s="3" t="inlineStr">
        <is>
          <t>15 mm (.5 inch)</t>
        </is>
      </c>
      <c r="J1543" s="3" t="inlineStr">
        <is>
          <t>Length</t>
        </is>
      </c>
      <c r="K1543" s="3" t="inlineStr">
        <is>
          <t>3 meter</t>
        </is>
      </c>
      <c r="Q1543" s="3" t="inlineStr">
        <is>
          <t>Manufacturer's Warranty</t>
        </is>
      </c>
      <c r="R1543" s="3" t="inlineStr">
        <is>
          <t>M511130301^</t>
        </is>
      </c>
      <c r="Y1543" s="3" t="inlineStr">
        <is>
          <t>PLB_AST_CPVC_SDR13.5</t>
        </is>
      </c>
      <c r="Z1543" s="3" t="n">
        <v>3917</v>
      </c>
      <c r="AE1543" s="3" t="n">
        <v>309</v>
      </c>
      <c r="AF1543" s="4" t="n">
        <v>0.5</v>
      </c>
      <c r="AG1543" s="3">
        <f>ROUND(AE1543-(AE1543*AF1543),2)</f>
        <v/>
      </c>
      <c r="AH1543" s="4" t="n">
        <v>0.18</v>
      </c>
      <c r="AI1543" s="3">
        <f>ROUND(AG1543+(AG1543*AH1543),2)</f>
        <v/>
      </c>
      <c r="AJ1543" s="4" t="n">
        <v>0.15</v>
      </c>
      <c r="AK1543" s="3">
        <f>ROUND(AI1543*AJ1543,2)</f>
        <v/>
      </c>
      <c r="AL1543" s="3">
        <f>AI1543+AK1543</f>
        <v/>
      </c>
      <c r="AM1543" s="3">
        <f>AE1543-AL1543</f>
        <v/>
      </c>
      <c r="AN1543" s="4">
        <f>AM1543/AE1543</f>
        <v/>
      </c>
      <c r="AO1543" s="3" t="inlineStr">
        <is>
          <t>60 mins</t>
        </is>
      </c>
      <c r="AQ1543" s="3" t="inlineStr">
        <is>
          <t>Weight</t>
        </is>
      </c>
      <c r="AT1543" s="3" t="inlineStr">
        <is>
          <t>Active</t>
        </is>
      </c>
    </row>
    <row r="1544" ht="15.75" customHeight="1">
      <c r="A1544" s="3" t="inlineStr">
        <is>
          <t>PROD_0295</t>
        </is>
      </c>
      <c r="B1544" s="3" t="inlineStr">
        <is>
          <t>VAR_2</t>
        </is>
      </c>
      <c r="C1544" s="3" t="inlineStr">
        <is>
          <t>Plumbing</t>
        </is>
      </c>
      <c r="D1544" s="3" t="inlineStr">
        <is>
          <t>Pipes</t>
        </is>
      </c>
      <c r="E1544" s="3" t="inlineStr">
        <is>
          <t>Astral</t>
        </is>
      </c>
      <c r="F1544" s="3" t="inlineStr">
        <is>
          <t>Pipe (SDR 13.5)</t>
        </is>
      </c>
      <c r="H1544" s="3" t="inlineStr">
        <is>
          <t>Diameter</t>
        </is>
      </c>
      <c r="I1544" s="3" t="inlineStr">
        <is>
          <t>20 mm (.75 inch)</t>
        </is>
      </c>
      <c r="J1544" s="3" t="inlineStr">
        <is>
          <t>Length</t>
        </is>
      </c>
      <c r="K1544" s="3" t="inlineStr">
        <is>
          <t>3 meter</t>
        </is>
      </c>
      <c r="Q1544" s="3" t="inlineStr">
        <is>
          <t>Manufacturer's Warranty</t>
        </is>
      </c>
      <c r="R1544" s="3" t="inlineStr">
        <is>
          <t>M511130302^</t>
        </is>
      </c>
      <c r="Y1544" s="3" t="inlineStr">
        <is>
          <t>PLB_AST_CPVC_SDR13.5</t>
        </is>
      </c>
      <c r="Z1544" s="3" t="n">
        <v>3917</v>
      </c>
      <c r="AE1544" s="3" t="n">
        <v>445</v>
      </c>
      <c r="AF1544" s="4" t="n">
        <v>0.5</v>
      </c>
      <c r="AG1544" s="3">
        <f>ROUND(AE1544-(AE1544*AF1544),2)</f>
        <v/>
      </c>
      <c r="AH1544" s="4" t="n">
        <v>0.18</v>
      </c>
      <c r="AI1544" s="3">
        <f>ROUND(AG1544+(AG1544*AH1544),2)</f>
        <v/>
      </c>
      <c r="AJ1544" s="4" t="n">
        <v>0.15</v>
      </c>
      <c r="AK1544" s="3">
        <f>ROUND(AI1544*AJ1544,2)</f>
        <v/>
      </c>
      <c r="AL1544" s="3">
        <f>AI1544+AK1544</f>
        <v/>
      </c>
      <c r="AM1544" s="3">
        <f>AE1544-AL1544</f>
        <v/>
      </c>
      <c r="AN1544" s="4">
        <f>AM1544/AE1544</f>
        <v/>
      </c>
      <c r="AO1544" s="3" t="inlineStr">
        <is>
          <t>60 mins</t>
        </is>
      </c>
      <c r="AQ1544" s="3" t="inlineStr">
        <is>
          <t>Weight</t>
        </is>
      </c>
      <c r="AT1544" s="3" t="inlineStr">
        <is>
          <t>Active</t>
        </is>
      </c>
    </row>
    <row r="1545" ht="15.75" customHeight="1">
      <c r="A1545" s="3" t="inlineStr">
        <is>
          <t>PROD_0295</t>
        </is>
      </c>
      <c r="B1545" s="3" t="inlineStr">
        <is>
          <t>VAR_3</t>
        </is>
      </c>
      <c r="C1545" s="3" t="inlineStr">
        <is>
          <t>Plumbing</t>
        </is>
      </c>
      <c r="D1545" s="3" t="inlineStr">
        <is>
          <t>Pipes</t>
        </is>
      </c>
      <c r="E1545" s="3" t="inlineStr">
        <is>
          <t>Astral</t>
        </is>
      </c>
      <c r="F1545" s="3" t="inlineStr">
        <is>
          <t>Pipe (SDR 13.5)</t>
        </is>
      </c>
      <c r="H1545" s="3" t="inlineStr">
        <is>
          <t>Diameter</t>
        </is>
      </c>
      <c r="I1545" s="3" t="inlineStr">
        <is>
          <t>25 mm (1 inch)</t>
        </is>
      </c>
      <c r="J1545" s="3" t="inlineStr">
        <is>
          <t>Length</t>
        </is>
      </c>
      <c r="K1545" s="3" t="inlineStr">
        <is>
          <t>3 meter</t>
        </is>
      </c>
      <c r="Q1545" s="3" t="inlineStr">
        <is>
          <t>Manufacturer's Warranty</t>
        </is>
      </c>
      <c r="R1545" s="3" t="inlineStr">
        <is>
          <t>M511130303^</t>
        </is>
      </c>
      <c r="Y1545" s="3" t="inlineStr">
        <is>
          <t>PLB_AST_CPVC_SDR13.5</t>
        </is>
      </c>
      <c r="Z1545" s="3" t="n">
        <v>3917</v>
      </c>
      <c r="AE1545" s="3" t="n">
        <v>649</v>
      </c>
      <c r="AF1545" s="4" t="n">
        <v>0.5</v>
      </c>
      <c r="AG1545" s="3">
        <f>ROUND(AE1545-(AE1545*AF1545),2)</f>
        <v/>
      </c>
      <c r="AH1545" s="4" t="n">
        <v>0.18</v>
      </c>
      <c r="AI1545" s="3">
        <f>ROUND(AG1545+(AG1545*AH1545),2)</f>
        <v/>
      </c>
      <c r="AJ1545" s="4" t="n">
        <v>0.15</v>
      </c>
      <c r="AK1545" s="3">
        <f>ROUND(AI1545*AJ1545,2)</f>
        <v/>
      </c>
      <c r="AL1545" s="3">
        <f>AI1545+AK1545</f>
        <v/>
      </c>
      <c r="AM1545" s="3">
        <f>AE1545-AL1545</f>
        <v/>
      </c>
      <c r="AN1545" s="4">
        <f>AM1545/AE1545</f>
        <v/>
      </c>
      <c r="AO1545" s="3" t="inlineStr">
        <is>
          <t>60 mins</t>
        </is>
      </c>
      <c r="AQ1545" s="3" t="inlineStr">
        <is>
          <t>Weight</t>
        </is>
      </c>
      <c r="AT1545" s="3" t="inlineStr">
        <is>
          <t>Active</t>
        </is>
      </c>
    </row>
    <row r="1546" ht="15.75" customHeight="1">
      <c r="A1546" s="3" t="inlineStr">
        <is>
          <t>PROD_0295</t>
        </is>
      </c>
      <c r="B1546" s="3" t="inlineStr">
        <is>
          <t>VAR_4</t>
        </is>
      </c>
      <c r="C1546" s="3" t="inlineStr">
        <is>
          <t>Plumbing</t>
        </is>
      </c>
      <c r="D1546" s="3" t="inlineStr">
        <is>
          <t>Pipes</t>
        </is>
      </c>
      <c r="E1546" s="3" t="inlineStr">
        <is>
          <t>Astral</t>
        </is>
      </c>
      <c r="F1546" s="3" t="inlineStr">
        <is>
          <t>Pipe (SDR 13.5)</t>
        </is>
      </c>
      <c r="H1546" s="3" t="inlineStr">
        <is>
          <t>Diameter</t>
        </is>
      </c>
      <c r="I1546" s="3" t="inlineStr">
        <is>
          <t>32 mm (1.25 inch)</t>
        </is>
      </c>
      <c r="J1546" s="3" t="inlineStr">
        <is>
          <t>Length</t>
        </is>
      </c>
      <c r="K1546" s="3" t="inlineStr">
        <is>
          <t>3 meter</t>
        </is>
      </c>
      <c r="Q1546" s="3" t="inlineStr">
        <is>
          <t>Manufacturer's Warranty</t>
        </is>
      </c>
      <c r="R1546" s="3" t="inlineStr">
        <is>
          <t>M511130304^</t>
        </is>
      </c>
      <c r="Y1546" s="3" t="inlineStr">
        <is>
          <t>PLB_AST_CPVC_SDR13.5</t>
        </is>
      </c>
      <c r="Z1546" s="3" t="n">
        <v>3917</v>
      </c>
      <c r="AE1546" s="3" t="n">
        <v>1068</v>
      </c>
      <c r="AF1546" s="4" t="n">
        <v>0.5</v>
      </c>
      <c r="AG1546" s="3">
        <f>ROUND(AE1546-(AE1546*AF1546),2)</f>
        <v/>
      </c>
      <c r="AH1546" s="4" t="n">
        <v>0.18</v>
      </c>
      <c r="AI1546" s="3">
        <f>ROUND(AG1546+(AG1546*AH1546),2)</f>
        <v/>
      </c>
      <c r="AJ1546" s="4" t="n">
        <v>0.15</v>
      </c>
      <c r="AK1546" s="3">
        <f>ROUND(AI1546*AJ1546,2)</f>
        <v/>
      </c>
      <c r="AL1546" s="3">
        <f>AI1546+AK1546</f>
        <v/>
      </c>
      <c r="AM1546" s="3">
        <f>AE1546-AL1546</f>
        <v/>
      </c>
      <c r="AN1546" s="4">
        <f>AM1546/AE1546</f>
        <v/>
      </c>
      <c r="AO1546" s="3" t="inlineStr">
        <is>
          <t>60 mins</t>
        </is>
      </c>
      <c r="AQ1546" s="3" t="inlineStr">
        <is>
          <t>Weight</t>
        </is>
      </c>
      <c r="AT1546" s="3" t="inlineStr">
        <is>
          <t>Active</t>
        </is>
      </c>
    </row>
    <row r="1547" ht="15.75" customHeight="1">
      <c r="A1547" s="3" t="inlineStr">
        <is>
          <t>PROD_0295</t>
        </is>
      </c>
      <c r="B1547" s="3" t="inlineStr">
        <is>
          <t>VAR_5</t>
        </is>
      </c>
      <c r="C1547" s="3" t="inlineStr">
        <is>
          <t>Plumbing</t>
        </is>
      </c>
      <c r="D1547" s="3" t="inlineStr">
        <is>
          <t>Pipes</t>
        </is>
      </c>
      <c r="E1547" s="3" t="inlineStr">
        <is>
          <t>Astral</t>
        </is>
      </c>
      <c r="F1547" s="3" t="inlineStr">
        <is>
          <t>Pipe (SDR 13.5)</t>
        </is>
      </c>
      <c r="H1547" s="3" t="inlineStr">
        <is>
          <t>Diameter</t>
        </is>
      </c>
      <c r="I1547" s="3" t="inlineStr">
        <is>
          <t>40 mm (1.5 inch)</t>
        </is>
      </c>
      <c r="J1547" s="3" t="inlineStr">
        <is>
          <t>Length</t>
        </is>
      </c>
      <c r="K1547" s="3" t="inlineStr">
        <is>
          <t>3 meter</t>
        </is>
      </c>
      <c r="Q1547" s="3" t="inlineStr">
        <is>
          <t>Manufacturer's Warranty</t>
        </is>
      </c>
      <c r="R1547" s="3" t="inlineStr">
        <is>
          <t>M511130305^</t>
        </is>
      </c>
      <c r="Y1547" s="3" t="inlineStr">
        <is>
          <t>PLB_AST_CPVC_SDR13.5</t>
        </is>
      </c>
      <c r="Z1547" s="3" t="n">
        <v>3917</v>
      </c>
      <c r="AE1547" s="3" t="n">
        <v>1478</v>
      </c>
      <c r="AF1547" s="4" t="n">
        <v>0.5</v>
      </c>
      <c r="AG1547" s="3">
        <f>ROUND(AE1547-(AE1547*AF1547),2)</f>
        <v/>
      </c>
      <c r="AH1547" s="4" t="n">
        <v>0.18</v>
      </c>
      <c r="AI1547" s="3">
        <f>ROUND(AG1547+(AG1547*AH1547),2)</f>
        <v/>
      </c>
      <c r="AJ1547" s="4" t="n">
        <v>0.15</v>
      </c>
      <c r="AK1547" s="3">
        <f>ROUND(AI1547*AJ1547,2)</f>
        <v/>
      </c>
      <c r="AL1547" s="3">
        <f>AI1547+AK1547</f>
        <v/>
      </c>
      <c r="AM1547" s="3">
        <f>AE1547-AL1547</f>
        <v/>
      </c>
      <c r="AN1547" s="4">
        <f>AM1547/AE1547</f>
        <v/>
      </c>
      <c r="AO1547" s="3" t="inlineStr">
        <is>
          <t>60 mins</t>
        </is>
      </c>
      <c r="AQ1547" s="3" t="inlineStr">
        <is>
          <t>Weight</t>
        </is>
      </c>
      <c r="AT1547" s="3" t="inlineStr">
        <is>
          <t>Active</t>
        </is>
      </c>
    </row>
    <row r="1548" ht="15.75" customHeight="1">
      <c r="A1548" s="3" t="inlineStr">
        <is>
          <t>PROD_0295</t>
        </is>
      </c>
      <c r="B1548" s="3" t="inlineStr">
        <is>
          <t>VAR_6</t>
        </is>
      </c>
      <c r="C1548" s="3" t="inlineStr">
        <is>
          <t>Plumbing</t>
        </is>
      </c>
      <c r="D1548" s="3" t="inlineStr">
        <is>
          <t>Pipes</t>
        </is>
      </c>
      <c r="E1548" s="3" t="inlineStr">
        <is>
          <t>Astral</t>
        </is>
      </c>
      <c r="F1548" s="3" t="inlineStr">
        <is>
          <t>Pipe (SDR 13.5)</t>
        </is>
      </c>
      <c r="H1548" s="3" t="inlineStr">
        <is>
          <t>Diameter</t>
        </is>
      </c>
      <c r="I1548" s="3" t="inlineStr">
        <is>
          <t>50 mm (2 inch)</t>
        </is>
      </c>
      <c r="J1548" s="3" t="inlineStr">
        <is>
          <t>Length</t>
        </is>
      </c>
      <c r="K1548" s="3" t="inlineStr">
        <is>
          <t>3 meter</t>
        </is>
      </c>
      <c r="Q1548" s="3" t="inlineStr">
        <is>
          <t>Manufacturer's Warranty</t>
        </is>
      </c>
      <c r="R1548" s="3" t="inlineStr">
        <is>
          <t>M511130306^</t>
        </is>
      </c>
      <c r="Y1548" s="3" t="inlineStr">
        <is>
          <t>PLB_AST_CPVC_SDR13.5</t>
        </is>
      </c>
      <c r="Z1548" s="3" t="n">
        <v>3917</v>
      </c>
      <c r="AE1548" s="3" t="n">
        <v>2508</v>
      </c>
      <c r="AF1548" s="4" t="n">
        <v>0.5</v>
      </c>
      <c r="AG1548" s="3">
        <f>ROUND(AE1548-(AE1548*AF1548),2)</f>
        <v/>
      </c>
      <c r="AH1548" s="4" t="n">
        <v>0.18</v>
      </c>
      <c r="AI1548" s="3">
        <f>ROUND(AG1548+(AG1548*AH1548),2)</f>
        <v/>
      </c>
      <c r="AJ1548" s="4" t="n">
        <v>0.15</v>
      </c>
      <c r="AK1548" s="3">
        <f>ROUND(AI1548*AJ1548,2)</f>
        <v/>
      </c>
      <c r="AL1548" s="3">
        <f>AI1548+AK1548</f>
        <v/>
      </c>
      <c r="AM1548" s="3">
        <f>AE1548-AL1548</f>
        <v/>
      </c>
      <c r="AN1548" s="4">
        <f>AM1548/AE1548</f>
        <v/>
      </c>
      <c r="AO1548" s="3" t="inlineStr">
        <is>
          <t>60 mins</t>
        </is>
      </c>
      <c r="AQ1548" s="3" t="inlineStr">
        <is>
          <t>Weight</t>
        </is>
      </c>
      <c r="AT1548" s="3" t="inlineStr">
        <is>
          <t>Active</t>
        </is>
      </c>
    </row>
    <row r="1549" ht="15.75" customHeight="1">
      <c r="A1549" s="3" t="inlineStr">
        <is>
          <t>PROD_0295</t>
        </is>
      </c>
      <c r="B1549" s="3" t="inlineStr">
        <is>
          <t>VAR_7</t>
        </is>
      </c>
      <c r="C1549" s="3" t="inlineStr">
        <is>
          <t>Plumbing</t>
        </is>
      </c>
      <c r="D1549" s="3" t="inlineStr">
        <is>
          <t>Pipes</t>
        </is>
      </c>
      <c r="E1549" s="3" t="inlineStr">
        <is>
          <t>Astral</t>
        </is>
      </c>
      <c r="F1549" s="3" t="inlineStr">
        <is>
          <t>Pipe (SDR 13.5)</t>
        </is>
      </c>
      <c r="H1549" s="3" t="inlineStr">
        <is>
          <t>Diameter</t>
        </is>
      </c>
      <c r="I1549" s="3" t="inlineStr">
        <is>
          <t>15 mm (.5 inch)</t>
        </is>
      </c>
      <c r="J1549" s="3" t="inlineStr">
        <is>
          <t>Length</t>
        </is>
      </c>
      <c r="K1549" s="3" t="inlineStr">
        <is>
          <t>5 meter</t>
        </is>
      </c>
      <c r="Q1549" s="3" t="inlineStr">
        <is>
          <t>Manufacturer's Warranty</t>
        </is>
      </c>
      <c r="R1549" s="3" t="inlineStr">
        <is>
          <t>M511130501^</t>
        </is>
      </c>
      <c r="Y1549" s="3" t="inlineStr">
        <is>
          <t>PLB_AST_CPVC_SDR13.5</t>
        </is>
      </c>
      <c r="Z1549" s="3" t="n">
        <v>3917</v>
      </c>
      <c r="AE1549" s="3" t="n">
        <v>515</v>
      </c>
      <c r="AF1549" s="4" t="n">
        <v>0.5</v>
      </c>
      <c r="AG1549" s="3">
        <f>ROUND(AE1549-(AE1549*AF1549),2)</f>
        <v/>
      </c>
      <c r="AH1549" s="4" t="n">
        <v>0.18</v>
      </c>
      <c r="AI1549" s="3">
        <f>ROUND(AG1549+(AG1549*AH1549),2)</f>
        <v/>
      </c>
      <c r="AJ1549" s="4" t="n">
        <v>0.15</v>
      </c>
      <c r="AK1549" s="3">
        <f>ROUND(AI1549*AJ1549,2)</f>
        <v/>
      </c>
      <c r="AL1549" s="3">
        <f>AI1549+AK1549</f>
        <v/>
      </c>
      <c r="AM1549" s="3">
        <f>AE1549-AL1549</f>
        <v/>
      </c>
      <c r="AN1549" s="4">
        <f>AM1549/AE1549</f>
        <v/>
      </c>
      <c r="AO1549" s="3" t="inlineStr">
        <is>
          <t>60 mins</t>
        </is>
      </c>
      <c r="AQ1549" s="3" t="inlineStr">
        <is>
          <t>Weight</t>
        </is>
      </c>
      <c r="AT1549" s="3" t="inlineStr">
        <is>
          <t>Active</t>
        </is>
      </c>
    </row>
    <row r="1550" ht="15.75" customHeight="1">
      <c r="A1550" s="3" t="inlineStr">
        <is>
          <t>PROD_0295</t>
        </is>
      </c>
      <c r="B1550" s="3" t="inlineStr">
        <is>
          <t>VAR_8</t>
        </is>
      </c>
      <c r="C1550" s="3" t="inlineStr">
        <is>
          <t>Plumbing</t>
        </is>
      </c>
      <c r="D1550" s="3" t="inlineStr">
        <is>
          <t>Pipes</t>
        </is>
      </c>
      <c r="E1550" s="3" t="inlineStr">
        <is>
          <t>Astral</t>
        </is>
      </c>
      <c r="F1550" s="3" t="inlineStr">
        <is>
          <t>Pipe (SDR 13.5)</t>
        </is>
      </c>
      <c r="H1550" s="3" t="inlineStr">
        <is>
          <t>Diameter</t>
        </is>
      </c>
      <c r="I1550" s="3" t="inlineStr">
        <is>
          <t>20 mm (.75 inch)</t>
        </is>
      </c>
      <c r="J1550" s="3" t="inlineStr">
        <is>
          <t>Length</t>
        </is>
      </c>
      <c r="K1550" s="3" t="inlineStr">
        <is>
          <t>5 meter</t>
        </is>
      </c>
      <c r="Q1550" s="3" t="inlineStr">
        <is>
          <t>Manufacturer's Warranty</t>
        </is>
      </c>
      <c r="R1550" s="3" t="inlineStr">
        <is>
          <t>M511130502^</t>
        </is>
      </c>
      <c r="Y1550" s="3" t="inlineStr">
        <is>
          <t>PLB_AST_CPVC_SDR13.5</t>
        </is>
      </c>
      <c r="Z1550" s="3" t="n">
        <v>3917</v>
      </c>
      <c r="AE1550" s="3" t="n">
        <v>741</v>
      </c>
      <c r="AF1550" s="4" t="n">
        <v>0.5</v>
      </c>
      <c r="AG1550" s="3">
        <f>ROUND(AE1550-(AE1550*AF1550),2)</f>
        <v/>
      </c>
      <c r="AH1550" s="4" t="n">
        <v>0.18</v>
      </c>
      <c r="AI1550" s="3">
        <f>ROUND(AG1550+(AG1550*AH1550),2)</f>
        <v/>
      </c>
      <c r="AJ1550" s="4" t="n">
        <v>0.15</v>
      </c>
      <c r="AK1550" s="3">
        <f>ROUND(AI1550*AJ1550,2)</f>
        <v/>
      </c>
      <c r="AL1550" s="3">
        <f>AI1550+AK1550</f>
        <v/>
      </c>
      <c r="AM1550" s="3">
        <f>AE1550-AL1550</f>
        <v/>
      </c>
      <c r="AN1550" s="4">
        <f>AM1550/AE1550</f>
        <v/>
      </c>
      <c r="AO1550" s="3" t="inlineStr">
        <is>
          <t>60 mins</t>
        </is>
      </c>
      <c r="AQ1550" s="3" t="inlineStr">
        <is>
          <t>Weight</t>
        </is>
      </c>
      <c r="AT1550" s="3" t="inlineStr">
        <is>
          <t>Active</t>
        </is>
      </c>
    </row>
    <row r="1551" ht="15.75" customHeight="1">
      <c r="A1551" s="3" t="inlineStr">
        <is>
          <t>PROD_0295</t>
        </is>
      </c>
      <c r="B1551" s="3" t="inlineStr">
        <is>
          <t>VAR_9</t>
        </is>
      </c>
      <c r="C1551" s="3" t="inlineStr">
        <is>
          <t>Plumbing</t>
        </is>
      </c>
      <c r="D1551" s="3" t="inlineStr">
        <is>
          <t>Pipes</t>
        </is>
      </c>
      <c r="E1551" s="3" t="inlineStr">
        <is>
          <t>Astral</t>
        </is>
      </c>
      <c r="F1551" s="3" t="inlineStr">
        <is>
          <t>Pipe (SDR 13.5)</t>
        </is>
      </c>
      <c r="H1551" s="3" t="inlineStr">
        <is>
          <t>Diameter</t>
        </is>
      </c>
      <c r="I1551" s="3" t="inlineStr">
        <is>
          <t>25 mm (1 inch)</t>
        </is>
      </c>
      <c r="J1551" s="3" t="inlineStr">
        <is>
          <t>Length</t>
        </is>
      </c>
      <c r="K1551" s="3" t="inlineStr">
        <is>
          <t>5 meter</t>
        </is>
      </c>
      <c r="Q1551" s="3" t="inlineStr">
        <is>
          <t>Manufacturer's Warranty</t>
        </is>
      </c>
      <c r="R1551" s="3" t="inlineStr">
        <is>
          <t>M511130503^</t>
        </is>
      </c>
      <c r="Y1551" s="3" t="inlineStr">
        <is>
          <t>PLB_AST_CPVC_SDR13.5</t>
        </is>
      </c>
      <c r="Z1551" s="3" t="n">
        <v>3917</v>
      </c>
      <c r="AE1551" s="3" t="n">
        <v>1082</v>
      </c>
      <c r="AF1551" s="4" t="n">
        <v>0.5</v>
      </c>
      <c r="AG1551" s="3">
        <f>ROUND(AE1551-(AE1551*AF1551),2)</f>
        <v/>
      </c>
      <c r="AH1551" s="4" t="n">
        <v>0.18</v>
      </c>
      <c r="AI1551" s="3">
        <f>ROUND(AG1551+(AG1551*AH1551),2)</f>
        <v/>
      </c>
      <c r="AJ1551" s="4" t="n">
        <v>0.15</v>
      </c>
      <c r="AK1551" s="3">
        <f>ROUND(AI1551*AJ1551,2)</f>
        <v/>
      </c>
      <c r="AL1551" s="3">
        <f>AI1551+AK1551</f>
        <v/>
      </c>
      <c r="AM1551" s="3">
        <f>AE1551-AL1551</f>
        <v/>
      </c>
      <c r="AN1551" s="4">
        <f>AM1551/AE1551</f>
        <v/>
      </c>
      <c r="AO1551" s="3" t="inlineStr">
        <is>
          <t>60 mins</t>
        </is>
      </c>
      <c r="AQ1551" s="3" t="inlineStr">
        <is>
          <t>Weight</t>
        </is>
      </c>
      <c r="AT1551" s="3" t="inlineStr">
        <is>
          <t>Active</t>
        </is>
      </c>
    </row>
    <row r="1552" ht="15.75" customHeight="1">
      <c r="A1552" s="3" t="inlineStr">
        <is>
          <t>PROD_0295</t>
        </is>
      </c>
      <c r="B1552" s="3" t="inlineStr">
        <is>
          <t>VAR_10</t>
        </is>
      </c>
      <c r="C1552" s="3" t="inlineStr">
        <is>
          <t>Plumbing</t>
        </is>
      </c>
      <c r="D1552" s="3" t="inlineStr">
        <is>
          <t>Pipes</t>
        </is>
      </c>
      <c r="E1552" s="3" t="inlineStr">
        <is>
          <t>Astral</t>
        </is>
      </c>
      <c r="F1552" s="3" t="inlineStr">
        <is>
          <t>Pipe (SDR 13.5)</t>
        </is>
      </c>
      <c r="H1552" s="3" t="inlineStr">
        <is>
          <t>Diameter</t>
        </is>
      </c>
      <c r="I1552" s="3" t="inlineStr">
        <is>
          <t>32 mm (1.25 inch)</t>
        </is>
      </c>
      <c r="J1552" s="3" t="inlineStr">
        <is>
          <t>Length</t>
        </is>
      </c>
      <c r="K1552" s="3" t="inlineStr">
        <is>
          <t>5 meter</t>
        </is>
      </c>
      <c r="Q1552" s="3" t="inlineStr">
        <is>
          <t>Manufacturer's Warranty</t>
        </is>
      </c>
      <c r="R1552" s="3" t="inlineStr">
        <is>
          <t>M511130504^</t>
        </is>
      </c>
      <c r="Y1552" s="3" t="inlineStr">
        <is>
          <t>PLB_AST_CPVC_SDR13.5</t>
        </is>
      </c>
      <c r="Z1552" s="3" t="n">
        <v>3917</v>
      </c>
      <c r="AE1552" s="3" t="n">
        <v>1780</v>
      </c>
      <c r="AF1552" s="4" t="n">
        <v>0.5</v>
      </c>
      <c r="AG1552" s="3">
        <f>ROUND(AE1552-(AE1552*AF1552),2)</f>
        <v/>
      </c>
      <c r="AH1552" s="4" t="n">
        <v>0.18</v>
      </c>
      <c r="AI1552" s="3">
        <f>ROUND(AG1552+(AG1552*AH1552),2)</f>
        <v/>
      </c>
      <c r="AJ1552" s="4" t="n">
        <v>0.15</v>
      </c>
      <c r="AK1552" s="3">
        <f>ROUND(AI1552*AJ1552,2)</f>
        <v/>
      </c>
      <c r="AL1552" s="3">
        <f>AI1552+AK1552</f>
        <v/>
      </c>
      <c r="AM1552" s="3">
        <f>AE1552-AL1552</f>
        <v/>
      </c>
      <c r="AN1552" s="4">
        <f>AM1552/AE1552</f>
        <v/>
      </c>
      <c r="AO1552" s="3" t="inlineStr">
        <is>
          <t>60 mins</t>
        </is>
      </c>
      <c r="AQ1552" s="3" t="inlineStr">
        <is>
          <t>Weight</t>
        </is>
      </c>
      <c r="AT1552" s="3" t="inlineStr">
        <is>
          <t>Active</t>
        </is>
      </c>
    </row>
    <row r="1553" ht="15.75" customHeight="1">
      <c r="A1553" s="3" t="inlineStr">
        <is>
          <t>PROD_0295</t>
        </is>
      </c>
      <c r="B1553" s="3" t="inlineStr">
        <is>
          <t>VAR_11</t>
        </is>
      </c>
      <c r="C1553" s="3" t="inlineStr">
        <is>
          <t>Plumbing</t>
        </is>
      </c>
      <c r="D1553" s="3" t="inlineStr">
        <is>
          <t>Pipes</t>
        </is>
      </c>
      <c r="E1553" s="3" t="inlineStr">
        <is>
          <t>Astral</t>
        </is>
      </c>
      <c r="F1553" s="3" t="inlineStr">
        <is>
          <t>Pipe (SDR 13.5)</t>
        </is>
      </c>
      <c r="H1553" s="3" t="inlineStr">
        <is>
          <t>Diameter</t>
        </is>
      </c>
      <c r="I1553" s="3" t="inlineStr">
        <is>
          <t>40 mm (1.5 inch)</t>
        </is>
      </c>
      <c r="J1553" s="3" t="inlineStr">
        <is>
          <t>Length</t>
        </is>
      </c>
      <c r="K1553" s="3" t="inlineStr">
        <is>
          <t>5 meter</t>
        </is>
      </c>
      <c r="Q1553" s="3" t="inlineStr">
        <is>
          <t>Manufacturer's Warranty</t>
        </is>
      </c>
      <c r="R1553" s="3" t="inlineStr">
        <is>
          <t>M511130505^</t>
        </is>
      </c>
      <c r="Y1553" s="3" t="inlineStr">
        <is>
          <t>PLB_AST_CPVC_SDR13.5</t>
        </is>
      </c>
      <c r="Z1553" s="3" t="n">
        <v>3917</v>
      </c>
      <c r="AE1553" s="3" t="n">
        <v>2463</v>
      </c>
      <c r="AF1553" s="4" t="n">
        <v>0.5</v>
      </c>
      <c r="AG1553" s="3">
        <f>ROUND(AE1553-(AE1553*AF1553),2)</f>
        <v/>
      </c>
      <c r="AH1553" s="4" t="n">
        <v>0.18</v>
      </c>
      <c r="AI1553" s="3">
        <f>ROUND(AG1553+(AG1553*AH1553),2)</f>
        <v/>
      </c>
      <c r="AJ1553" s="4" t="n">
        <v>0.15</v>
      </c>
      <c r="AK1553" s="3">
        <f>ROUND(AI1553*AJ1553,2)</f>
        <v/>
      </c>
      <c r="AL1553" s="3">
        <f>AI1553+AK1553</f>
        <v/>
      </c>
      <c r="AM1553" s="3">
        <f>AE1553-AL1553</f>
        <v/>
      </c>
      <c r="AN1553" s="4">
        <f>AM1553/AE1553</f>
        <v/>
      </c>
      <c r="AO1553" s="3" t="inlineStr">
        <is>
          <t>60 mins</t>
        </is>
      </c>
      <c r="AQ1553" s="3" t="inlineStr">
        <is>
          <t>Weight</t>
        </is>
      </c>
      <c r="AT1553" s="3" t="inlineStr">
        <is>
          <t>Active</t>
        </is>
      </c>
    </row>
    <row r="1554" ht="15.75" customHeight="1">
      <c r="A1554" s="3" t="inlineStr">
        <is>
          <t>PROD_0295</t>
        </is>
      </c>
      <c r="B1554" s="3" t="inlineStr">
        <is>
          <t>VAR_12</t>
        </is>
      </c>
      <c r="C1554" s="3" t="inlineStr">
        <is>
          <t>Plumbing</t>
        </is>
      </c>
      <c r="D1554" s="3" t="inlineStr">
        <is>
          <t>Pipes</t>
        </is>
      </c>
      <c r="E1554" s="3" t="inlineStr">
        <is>
          <t>Astral</t>
        </is>
      </c>
      <c r="F1554" s="3" t="inlineStr">
        <is>
          <t>Pipe (SDR 13.5)</t>
        </is>
      </c>
      <c r="H1554" s="3" t="inlineStr">
        <is>
          <t>Diameter</t>
        </is>
      </c>
      <c r="I1554" s="3" t="inlineStr">
        <is>
          <t>50 mm (2 inch)</t>
        </is>
      </c>
      <c r="J1554" s="3" t="inlineStr">
        <is>
          <t>Length</t>
        </is>
      </c>
      <c r="K1554" s="3" t="inlineStr">
        <is>
          <t>5 meter</t>
        </is>
      </c>
      <c r="Q1554" s="3" t="inlineStr">
        <is>
          <t>Manufacturer's Warranty</t>
        </is>
      </c>
      <c r="R1554" s="3" t="inlineStr">
        <is>
          <t>M511130506^</t>
        </is>
      </c>
      <c r="Y1554" s="3" t="inlineStr">
        <is>
          <t>PLB_AST_CPVC_SDR13.5</t>
        </is>
      </c>
      <c r="Z1554" s="3" t="n">
        <v>3917</v>
      </c>
      <c r="AE1554" s="3" t="n">
        <v>4179</v>
      </c>
      <c r="AF1554" s="4" t="n">
        <v>0.5</v>
      </c>
      <c r="AG1554" s="3">
        <f>ROUND(AE1554-(AE1554*AF1554),2)</f>
        <v/>
      </c>
      <c r="AH1554" s="4" t="n">
        <v>0.18</v>
      </c>
      <c r="AI1554" s="3">
        <f>ROUND(AG1554+(AG1554*AH1554),2)</f>
        <v/>
      </c>
      <c r="AJ1554" s="4" t="n">
        <v>0.15</v>
      </c>
      <c r="AK1554" s="3">
        <f>ROUND(AI1554*AJ1554,2)</f>
        <v/>
      </c>
      <c r="AL1554" s="3">
        <f>AI1554+AK1554</f>
        <v/>
      </c>
      <c r="AM1554" s="3">
        <f>AE1554-AL1554</f>
        <v/>
      </c>
      <c r="AN1554" s="4">
        <f>AM1554/AE1554</f>
        <v/>
      </c>
      <c r="AO1554" s="3" t="inlineStr">
        <is>
          <t>60 mins</t>
        </is>
      </c>
      <c r="AQ1554" s="3" t="inlineStr">
        <is>
          <t>Weight</t>
        </is>
      </c>
      <c r="AT1554" s="3" t="inlineStr">
        <is>
          <t>Active</t>
        </is>
      </c>
    </row>
    <row r="1555" ht="15.75" customHeight="1">
      <c r="A1555" s="3" t="inlineStr">
        <is>
          <t>PROD_0296</t>
        </is>
      </c>
      <c r="B1555" s="3" t="inlineStr">
        <is>
          <t>VAR_1</t>
        </is>
      </c>
      <c r="C1555" s="3" t="inlineStr">
        <is>
          <t>Plumbing</t>
        </is>
      </c>
      <c r="D1555" s="3" t="inlineStr">
        <is>
          <t>Pipes</t>
        </is>
      </c>
      <c r="E1555" s="3" t="inlineStr">
        <is>
          <t>Astral</t>
        </is>
      </c>
      <c r="F1555" s="3" t="inlineStr">
        <is>
          <t>Pipe (Schedule 40)</t>
        </is>
      </c>
      <c r="H1555" s="3" t="inlineStr">
        <is>
          <t>Diameter</t>
        </is>
      </c>
      <c r="I1555" s="3" t="inlineStr">
        <is>
          <t>65 mm (2.5 inch)</t>
        </is>
      </c>
      <c r="J1555" s="3" t="inlineStr">
        <is>
          <t>Length</t>
        </is>
      </c>
      <c r="K1555" s="3" t="inlineStr">
        <is>
          <t>3 meter</t>
        </is>
      </c>
      <c r="Q1555" s="3" t="inlineStr">
        <is>
          <t>Manufacturer's Warranty</t>
        </is>
      </c>
      <c r="R1555" s="3" t="inlineStr">
        <is>
          <t>M511400307</t>
        </is>
      </c>
      <c r="Y1555" s="3" t="inlineStr">
        <is>
          <t>PLB_AST_CPVC_SCH40</t>
        </is>
      </c>
      <c r="Z1555" s="3" t="n">
        <v>3917</v>
      </c>
      <c r="AE1555" s="3" t="n">
        <v>5119</v>
      </c>
      <c r="AF1555" s="4" t="n">
        <v>0.5</v>
      </c>
      <c r="AG1555" s="3">
        <f>ROUND(AE1555-(AE1555*AF1555),2)</f>
        <v/>
      </c>
      <c r="AH1555" s="4" t="n">
        <v>0.18</v>
      </c>
      <c r="AI1555" s="3">
        <f>ROUND(AG1555+(AG1555*AH1555),2)</f>
        <v/>
      </c>
      <c r="AJ1555" s="4" t="n">
        <v>0.15</v>
      </c>
      <c r="AK1555" s="3">
        <f>ROUND(AI1555*AJ1555,2)</f>
        <v/>
      </c>
      <c r="AL1555" s="3">
        <f>AI1555+AK1555</f>
        <v/>
      </c>
      <c r="AM1555" s="3">
        <f>AE1555-AL1555</f>
        <v/>
      </c>
      <c r="AN1555" s="4">
        <f>AM1555/AE1555</f>
        <v/>
      </c>
      <c r="AO1555" s="3" t="inlineStr">
        <is>
          <t>60 mins</t>
        </is>
      </c>
      <c r="AQ1555" s="3" t="inlineStr">
        <is>
          <t>Weight</t>
        </is>
      </c>
      <c r="AT1555" s="3" t="inlineStr">
        <is>
          <t>Active</t>
        </is>
      </c>
    </row>
    <row r="1556" ht="15.75" customHeight="1">
      <c r="A1556" s="3" t="inlineStr">
        <is>
          <t>PROD_0296</t>
        </is>
      </c>
      <c r="B1556" s="3" t="inlineStr">
        <is>
          <t>VAR_2</t>
        </is>
      </c>
      <c r="C1556" s="3" t="inlineStr">
        <is>
          <t>Plumbing</t>
        </is>
      </c>
      <c r="D1556" s="3" t="inlineStr">
        <is>
          <t>Pipes</t>
        </is>
      </c>
      <c r="E1556" s="3" t="inlineStr">
        <is>
          <t>Astral</t>
        </is>
      </c>
      <c r="F1556" s="3" t="inlineStr">
        <is>
          <t>Pipe (Schedule 40)</t>
        </is>
      </c>
      <c r="H1556" s="3" t="inlineStr">
        <is>
          <t>Diameter</t>
        </is>
      </c>
      <c r="I1556" s="3" t="inlineStr">
        <is>
          <t>80 mm (3 inch)</t>
        </is>
      </c>
      <c r="J1556" s="3" t="inlineStr">
        <is>
          <t>Length</t>
        </is>
      </c>
      <c r="K1556" s="3" t="inlineStr">
        <is>
          <t>3 meter</t>
        </is>
      </c>
      <c r="Q1556" s="3" t="inlineStr">
        <is>
          <t>Manufacturer's Warranty</t>
        </is>
      </c>
      <c r="R1556" s="3" t="inlineStr">
        <is>
          <t>M511400308</t>
        </is>
      </c>
      <c r="Y1556" s="3" t="inlineStr">
        <is>
          <t>PLB_AST_CPVC_SCH40</t>
        </is>
      </c>
      <c r="Z1556" s="3" t="n">
        <v>3917</v>
      </c>
      <c r="AE1556" s="3" t="n">
        <v>6924</v>
      </c>
      <c r="AF1556" s="4" t="n">
        <v>0.5</v>
      </c>
      <c r="AG1556" s="3">
        <f>ROUND(AE1556-(AE1556*AF1556),2)</f>
        <v/>
      </c>
      <c r="AH1556" s="4" t="n">
        <v>0.18</v>
      </c>
      <c r="AI1556" s="3">
        <f>ROUND(AG1556+(AG1556*AH1556),2)</f>
        <v/>
      </c>
      <c r="AJ1556" s="4" t="n">
        <v>0.15</v>
      </c>
      <c r="AK1556" s="3">
        <f>ROUND(AI1556*AJ1556,2)</f>
        <v/>
      </c>
      <c r="AL1556" s="3">
        <f>AI1556+AK1556</f>
        <v/>
      </c>
      <c r="AM1556" s="3">
        <f>AE1556-AL1556</f>
        <v/>
      </c>
      <c r="AN1556" s="4">
        <f>AM1556/AE1556</f>
        <v/>
      </c>
      <c r="AO1556" s="3" t="inlineStr">
        <is>
          <t>60 mins</t>
        </is>
      </c>
      <c r="AQ1556" s="3" t="inlineStr">
        <is>
          <t>Weight</t>
        </is>
      </c>
      <c r="AT1556" s="3" t="inlineStr">
        <is>
          <t>Active</t>
        </is>
      </c>
    </row>
    <row r="1557" ht="15.75" customHeight="1">
      <c r="A1557" s="3" t="inlineStr">
        <is>
          <t>PROD_0296</t>
        </is>
      </c>
      <c r="B1557" s="3" t="inlineStr">
        <is>
          <t>VAR_3</t>
        </is>
      </c>
      <c r="C1557" s="3" t="inlineStr">
        <is>
          <t>Plumbing</t>
        </is>
      </c>
      <c r="D1557" s="3" t="inlineStr">
        <is>
          <t>Pipes</t>
        </is>
      </c>
      <c r="E1557" s="3" t="inlineStr">
        <is>
          <t>Astral</t>
        </is>
      </c>
      <c r="F1557" s="3" t="inlineStr">
        <is>
          <t>Pipe (Schedule 40)</t>
        </is>
      </c>
      <c r="H1557" s="3" t="inlineStr">
        <is>
          <t>Diameter</t>
        </is>
      </c>
      <c r="I1557" s="3" t="inlineStr">
        <is>
          <t>100 mm (4 inch)</t>
        </is>
      </c>
      <c r="J1557" s="3" t="inlineStr">
        <is>
          <t>Length</t>
        </is>
      </c>
      <c r="K1557" s="3" t="inlineStr">
        <is>
          <t>3 meter</t>
        </is>
      </c>
      <c r="Q1557" s="3" t="inlineStr">
        <is>
          <t>Manufacturer's Warranty</t>
        </is>
      </c>
      <c r="R1557" s="3" t="inlineStr">
        <is>
          <t>M511400309</t>
        </is>
      </c>
      <c r="Y1557" s="3" t="inlineStr">
        <is>
          <t>PLB_AST_CPVC_SCH40</t>
        </is>
      </c>
      <c r="Z1557" s="3" t="n">
        <v>3917</v>
      </c>
      <c r="AE1557" s="3" t="n">
        <v>10046</v>
      </c>
      <c r="AF1557" s="4" t="n">
        <v>0.5</v>
      </c>
      <c r="AG1557" s="3">
        <f>ROUND(AE1557-(AE1557*AF1557),2)</f>
        <v/>
      </c>
      <c r="AH1557" s="4" t="n">
        <v>0.18</v>
      </c>
      <c r="AI1557" s="3">
        <f>ROUND(AG1557+(AG1557*AH1557),2)</f>
        <v/>
      </c>
      <c r="AJ1557" s="4" t="n">
        <v>0.15</v>
      </c>
      <c r="AK1557" s="3">
        <f>ROUND(AI1557*AJ1557,2)</f>
        <v/>
      </c>
      <c r="AL1557" s="3">
        <f>AI1557+AK1557</f>
        <v/>
      </c>
      <c r="AM1557" s="3">
        <f>AE1557-AL1557</f>
        <v/>
      </c>
      <c r="AN1557" s="4">
        <f>AM1557/AE1557</f>
        <v/>
      </c>
      <c r="AO1557" s="3" t="inlineStr">
        <is>
          <t>60 mins</t>
        </is>
      </c>
      <c r="AQ1557" s="3" t="inlineStr">
        <is>
          <t>Weight</t>
        </is>
      </c>
      <c r="AT1557" s="3" t="inlineStr">
        <is>
          <t>Active</t>
        </is>
      </c>
    </row>
    <row r="1558" ht="15.75" customHeight="1">
      <c r="A1558" s="3" t="inlineStr">
        <is>
          <t>PROD_0296</t>
        </is>
      </c>
      <c r="B1558" s="3" t="inlineStr">
        <is>
          <t>VAR_4</t>
        </is>
      </c>
      <c r="C1558" s="3" t="inlineStr">
        <is>
          <t>Plumbing</t>
        </is>
      </c>
      <c r="D1558" s="3" t="inlineStr">
        <is>
          <t>Pipes</t>
        </is>
      </c>
      <c r="E1558" s="3" t="inlineStr">
        <is>
          <t>Astral</t>
        </is>
      </c>
      <c r="F1558" s="3" t="inlineStr">
        <is>
          <t>Pipe (Schedule 40)</t>
        </is>
      </c>
      <c r="H1558" s="3" t="inlineStr">
        <is>
          <t>Diameter</t>
        </is>
      </c>
      <c r="I1558" s="3" t="inlineStr">
        <is>
          <t>150 mm (6 inch)</t>
        </is>
      </c>
      <c r="J1558" s="3" t="inlineStr">
        <is>
          <t>Length</t>
        </is>
      </c>
      <c r="K1558" s="3" t="inlineStr">
        <is>
          <t>3 meter</t>
        </is>
      </c>
      <c r="Q1558" s="3" t="inlineStr">
        <is>
          <t>Manufacturer's Warranty</t>
        </is>
      </c>
      <c r="R1558" s="3" t="inlineStr">
        <is>
          <t>M511400310</t>
        </is>
      </c>
      <c r="Y1558" s="3" t="inlineStr">
        <is>
          <t>PLB_AST_CPVC_SCH40</t>
        </is>
      </c>
      <c r="Z1558" s="3" t="n">
        <v>3917</v>
      </c>
      <c r="AE1558" s="3" t="n">
        <v>18995</v>
      </c>
      <c r="AF1558" s="4" t="n">
        <v>0.5</v>
      </c>
      <c r="AG1558" s="3">
        <f>ROUND(AE1558-(AE1558*AF1558),2)</f>
        <v/>
      </c>
      <c r="AH1558" s="4" t="n">
        <v>0.18</v>
      </c>
      <c r="AI1558" s="3">
        <f>ROUND(AG1558+(AG1558*AH1558),2)</f>
        <v/>
      </c>
      <c r="AJ1558" s="4" t="n">
        <v>0.15</v>
      </c>
      <c r="AK1558" s="3">
        <f>ROUND(AI1558*AJ1558,2)</f>
        <v/>
      </c>
      <c r="AL1558" s="3">
        <f>AI1558+AK1558</f>
        <v/>
      </c>
      <c r="AM1558" s="3">
        <f>AE1558-AL1558</f>
        <v/>
      </c>
      <c r="AN1558" s="4">
        <f>AM1558/AE1558</f>
        <v/>
      </c>
      <c r="AO1558" s="3" t="inlineStr">
        <is>
          <t>60 mins</t>
        </is>
      </c>
      <c r="AQ1558" s="3" t="inlineStr">
        <is>
          <t>Weight</t>
        </is>
      </c>
      <c r="AT1558" s="3" t="inlineStr">
        <is>
          <t>Active</t>
        </is>
      </c>
    </row>
    <row r="1559" ht="15.75" customHeight="1">
      <c r="A1559" s="3" t="inlineStr">
        <is>
          <t>PROD_0296</t>
        </is>
      </c>
      <c r="B1559" s="3" t="inlineStr">
        <is>
          <t>VAR_5</t>
        </is>
      </c>
      <c r="C1559" s="3" t="inlineStr">
        <is>
          <t>Plumbing</t>
        </is>
      </c>
      <c r="D1559" s="3" t="inlineStr">
        <is>
          <t>Pipes</t>
        </is>
      </c>
      <c r="E1559" s="3" t="inlineStr">
        <is>
          <t>Astral</t>
        </is>
      </c>
      <c r="F1559" s="3" t="inlineStr">
        <is>
          <t>Pipe (Schedule 40)</t>
        </is>
      </c>
      <c r="H1559" s="3" t="inlineStr">
        <is>
          <t>Diameter</t>
        </is>
      </c>
      <c r="I1559" s="3" t="inlineStr">
        <is>
          <t>65 mm (2.5 inch)</t>
        </is>
      </c>
      <c r="J1559" s="3" t="inlineStr">
        <is>
          <t>Length</t>
        </is>
      </c>
      <c r="K1559" s="3" t="inlineStr">
        <is>
          <t>5 meter</t>
        </is>
      </c>
      <c r="Q1559" s="3" t="inlineStr">
        <is>
          <t>Manufacturer's Warranty</t>
        </is>
      </c>
      <c r="R1559" s="3" t="inlineStr">
        <is>
          <t>M511400507</t>
        </is>
      </c>
      <c r="Y1559" s="3" t="inlineStr">
        <is>
          <t>PLB_AST_CPVC_SCH40</t>
        </is>
      </c>
      <c r="Z1559" s="3" t="n">
        <v>3917</v>
      </c>
      <c r="AE1559" s="3" t="n">
        <v>8532</v>
      </c>
      <c r="AF1559" s="4" t="n">
        <v>0.5</v>
      </c>
      <c r="AG1559" s="3">
        <f>ROUND(AE1559-(AE1559*AF1559),2)</f>
        <v/>
      </c>
      <c r="AH1559" s="4" t="n">
        <v>0.18</v>
      </c>
      <c r="AI1559" s="3">
        <f>ROUND(AG1559+(AG1559*AH1559),2)</f>
        <v/>
      </c>
      <c r="AJ1559" s="4" t="n">
        <v>0.15</v>
      </c>
      <c r="AK1559" s="3">
        <f>ROUND(AI1559*AJ1559,2)</f>
        <v/>
      </c>
      <c r="AL1559" s="3">
        <f>AI1559+AK1559</f>
        <v/>
      </c>
      <c r="AM1559" s="3">
        <f>AE1559-AL1559</f>
        <v/>
      </c>
      <c r="AN1559" s="4">
        <f>AM1559/AE1559</f>
        <v/>
      </c>
      <c r="AO1559" s="3" t="inlineStr">
        <is>
          <t>60 mins</t>
        </is>
      </c>
      <c r="AQ1559" s="3" t="inlineStr">
        <is>
          <t>Weight</t>
        </is>
      </c>
      <c r="AT1559" s="3" t="inlineStr">
        <is>
          <t>Active</t>
        </is>
      </c>
    </row>
    <row r="1560" ht="15.75" customHeight="1">
      <c r="A1560" s="3" t="inlineStr">
        <is>
          <t>PROD_0296</t>
        </is>
      </c>
      <c r="B1560" s="3" t="inlineStr">
        <is>
          <t>VAR_6</t>
        </is>
      </c>
      <c r="C1560" s="3" t="inlineStr">
        <is>
          <t>Plumbing</t>
        </is>
      </c>
      <c r="D1560" s="3" t="inlineStr">
        <is>
          <t>Pipes</t>
        </is>
      </c>
      <c r="E1560" s="3" t="inlineStr">
        <is>
          <t>Astral</t>
        </is>
      </c>
      <c r="F1560" s="3" t="inlineStr">
        <is>
          <t>Pipe (Schedule 40)</t>
        </is>
      </c>
      <c r="H1560" s="3" t="inlineStr">
        <is>
          <t>Diameter</t>
        </is>
      </c>
      <c r="I1560" s="3" t="inlineStr">
        <is>
          <t>80 mm (3 inch)</t>
        </is>
      </c>
      <c r="J1560" s="3" t="inlineStr">
        <is>
          <t>Length</t>
        </is>
      </c>
      <c r="K1560" s="3" t="inlineStr">
        <is>
          <t>5 meter</t>
        </is>
      </c>
      <c r="Q1560" s="3" t="inlineStr">
        <is>
          <t>Manufacturer's Warranty</t>
        </is>
      </c>
      <c r="R1560" s="3" t="inlineStr">
        <is>
          <t>M511400508</t>
        </is>
      </c>
      <c r="Y1560" s="3" t="inlineStr">
        <is>
          <t>PLB_AST_CPVC_SCH40</t>
        </is>
      </c>
      <c r="Z1560" s="3" t="n">
        <v>3917</v>
      </c>
      <c r="AE1560" s="3" t="n">
        <v>11540</v>
      </c>
      <c r="AF1560" s="4" t="n">
        <v>0.5</v>
      </c>
      <c r="AG1560" s="3">
        <f>ROUND(AE1560-(AE1560*AF1560),2)</f>
        <v/>
      </c>
      <c r="AH1560" s="4" t="n">
        <v>0.18</v>
      </c>
      <c r="AI1560" s="3">
        <f>ROUND(AG1560+(AG1560*AH1560),2)</f>
        <v/>
      </c>
      <c r="AJ1560" s="4" t="n">
        <v>0.15</v>
      </c>
      <c r="AK1560" s="3">
        <f>ROUND(AI1560*AJ1560,2)</f>
        <v/>
      </c>
      <c r="AL1560" s="3">
        <f>AI1560+AK1560</f>
        <v/>
      </c>
      <c r="AM1560" s="3">
        <f>AE1560-AL1560</f>
        <v/>
      </c>
      <c r="AN1560" s="4">
        <f>AM1560/AE1560</f>
        <v/>
      </c>
      <c r="AO1560" s="3" t="inlineStr">
        <is>
          <t>60 mins</t>
        </is>
      </c>
      <c r="AQ1560" s="3" t="inlineStr">
        <is>
          <t>Weight</t>
        </is>
      </c>
      <c r="AT1560" s="3" t="inlineStr">
        <is>
          <t>Active</t>
        </is>
      </c>
    </row>
    <row r="1561" ht="15.75" customHeight="1">
      <c r="A1561" s="3" t="inlineStr">
        <is>
          <t>PROD_0296</t>
        </is>
      </c>
      <c r="B1561" s="3" t="inlineStr">
        <is>
          <t>VAR_7</t>
        </is>
      </c>
      <c r="C1561" s="3" t="inlineStr">
        <is>
          <t>Plumbing</t>
        </is>
      </c>
      <c r="D1561" s="3" t="inlineStr">
        <is>
          <t>Pipes</t>
        </is>
      </c>
      <c r="E1561" s="3" t="inlineStr">
        <is>
          <t>Astral</t>
        </is>
      </c>
      <c r="F1561" s="3" t="inlineStr">
        <is>
          <t>Pipe (Schedule 40)</t>
        </is>
      </c>
      <c r="H1561" s="3" t="inlineStr">
        <is>
          <t>Diameter</t>
        </is>
      </c>
      <c r="I1561" s="3" t="inlineStr">
        <is>
          <t>100 mm (4 inch)</t>
        </is>
      </c>
      <c r="J1561" s="3" t="inlineStr">
        <is>
          <t>Length</t>
        </is>
      </c>
      <c r="K1561" s="3" t="inlineStr">
        <is>
          <t>5 meter</t>
        </is>
      </c>
      <c r="Q1561" s="3" t="inlineStr">
        <is>
          <t>Manufacturer's Warranty</t>
        </is>
      </c>
      <c r="R1561" s="3" t="inlineStr">
        <is>
          <t>M511400509</t>
        </is>
      </c>
      <c r="Y1561" s="3" t="inlineStr">
        <is>
          <t>PLB_AST_CPVC_SCH40</t>
        </is>
      </c>
      <c r="Z1561" s="3" t="n">
        <v>3917</v>
      </c>
      <c r="AE1561" s="3" t="n">
        <v>16743</v>
      </c>
      <c r="AF1561" s="4" t="n">
        <v>0.5</v>
      </c>
      <c r="AG1561" s="3">
        <f>ROUND(AE1561-(AE1561*AF1561),2)</f>
        <v/>
      </c>
      <c r="AH1561" s="4" t="n">
        <v>0.18</v>
      </c>
      <c r="AI1561" s="3">
        <f>ROUND(AG1561+(AG1561*AH1561),2)</f>
        <v/>
      </c>
      <c r="AJ1561" s="4" t="n">
        <v>0.15</v>
      </c>
      <c r="AK1561" s="3">
        <f>ROUND(AI1561*AJ1561,2)</f>
        <v/>
      </c>
      <c r="AL1561" s="3">
        <f>AI1561+AK1561</f>
        <v/>
      </c>
      <c r="AM1561" s="3">
        <f>AE1561-AL1561</f>
        <v/>
      </c>
      <c r="AN1561" s="4">
        <f>AM1561/AE1561</f>
        <v/>
      </c>
      <c r="AO1561" s="3" t="inlineStr">
        <is>
          <t>60 mins</t>
        </is>
      </c>
      <c r="AQ1561" s="3" t="inlineStr">
        <is>
          <t>Weight</t>
        </is>
      </c>
      <c r="AT1561" s="3" t="inlineStr">
        <is>
          <t>Active</t>
        </is>
      </c>
    </row>
    <row r="1562" ht="15.75" customHeight="1">
      <c r="A1562" s="3" t="inlineStr">
        <is>
          <t>PROD_0296</t>
        </is>
      </c>
      <c r="B1562" s="3" t="inlineStr">
        <is>
          <t>VAR_8</t>
        </is>
      </c>
      <c r="C1562" s="3" t="inlineStr">
        <is>
          <t>Plumbing</t>
        </is>
      </c>
      <c r="D1562" s="3" t="inlineStr">
        <is>
          <t>Pipes</t>
        </is>
      </c>
      <c r="E1562" s="3" t="inlineStr">
        <is>
          <t>Astral</t>
        </is>
      </c>
      <c r="F1562" s="3" t="inlineStr">
        <is>
          <t>Pipe (Schedule 40)</t>
        </is>
      </c>
      <c r="H1562" s="3" t="inlineStr">
        <is>
          <t>Diameter</t>
        </is>
      </c>
      <c r="I1562" s="3" t="inlineStr">
        <is>
          <t>150 mm (6 inch)</t>
        </is>
      </c>
      <c r="J1562" s="3" t="inlineStr">
        <is>
          <t>Length</t>
        </is>
      </c>
      <c r="K1562" s="3" t="inlineStr">
        <is>
          <t>5 meter</t>
        </is>
      </c>
      <c r="Q1562" s="3" t="inlineStr">
        <is>
          <t>Manufacturer's Warranty</t>
        </is>
      </c>
      <c r="R1562" s="3" t="inlineStr">
        <is>
          <t>M511400510</t>
        </is>
      </c>
      <c r="Y1562" s="3" t="inlineStr">
        <is>
          <t>PLB_AST_CPVC_SCH40</t>
        </is>
      </c>
      <c r="Z1562" s="3" t="n">
        <v>3917</v>
      </c>
      <c r="AE1562" s="3" t="n">
        <v>31658</v>
      </c>
      <c r="AF1562" s="4" t="n">
        <v>0.5</v>
      </c>
      <c r="AG1562" s="3">
        <f>ROUND(AE1562-(AE1562*AF1562),2)</f>
        <v/>
      </c>
      <c r="AH1562" s="4" t="n">
        <v>0.18</v>
      </c>
      <c r="AI1562" s="3">
        <f>ROUND(AG1562+(AG1562*AH1562),2)</f>
        <v/>
      </c>
      <c r="AJ1562" s="4" t="n">
        <v>0.15</v>
      </c>
      <c r="AK1562" s="3">
        <f>ROUND(AI1562*AJ1562,2)</f>
        <v/>
      </c>
      <c r="AL1562" s="3">
        <f>AI1562+AK1562</f>
        <v/>
      </c>
      <c r="AM1562" s="3">
        <f>AE1562-AL1562</f>
        <v/>
      </c>
      <c r="AN1562" s="4">
        <f>AM1562/AE1562</f>
        <v/>
      </c>
      <c r="AO1562" s="3" t="inlineStr">
        <is>
          <t>60 mins</t>
        </is>
      </c>
      <c r="AQ1562" s="3" t="inlineStr">
        <is>
          <t>Weight</t>
        </is>
      </c>
      <c r="AT1562" s="3" t="inlineStr">
        <is>
          <t>Active</t>
        </is>
      </c>
    </row>
    <row r="1563" ht="15.75" customHeight="1">
      <c r="A1563" s="3" t="inlineStr">
        <is>
          <t>PROD_0297</t>
        </is>
      </c>
      <c r="B1563" s="3" t="inlineStr">
        <is>
          <t>VAR_1</t>
        </is>
      </c>
      <c r="C1563" s="3" t="inlineStr">
        <is>
          <t>Plumbing</t>
        </is>
      </c>
      <c r="D1563" s="3" t="inlineStr">
        <is>
          <t>Pipes</t>
        </is>
      </c>
      <c r="E1563" s="3" t="inlineStr">
        <is>
          <t>Prince</t>
        </is>
      </c>
      <c r="F1563" s="3" t="inlineStr">
        <is>
          <t>SDR 11</t>
        </is>
      </c>
      <c r="H1563" s="3" t="inlineStr">
        <is>
          <t>Diameter</t>
        </is>
      </c>
      <c r="I1563" s="3" t="inlineStr">
        <is>
          <t>15 mm (.5 inch)</t>
        </is>
      </c>
      <c r="J1563" s="3" t="inlineStr">
        <is>
          <t>Length</t>
        </is>
      </c>
      <c r="K1563" s="3" t="inlineStr">
        <is>
          <t>3 meter</t>
        </is>
      </c>
      <c r="Q1563" s="3" t="inlineStr">
        <is>
          <t>Manufacturer's Warranty</t>
        </is>
      </c>
      <c r="R1563" s="3" t="inlineStr">
        <is>
          <t>SIM204941</t>
        </is>
      </c>
      <c r="Y1563" s="3" t="inlineStr">
        <is>
          <t>PLB_PRNC_CPVC</t>
        </is>
      </c>
      <c r="Z1563" s="3" t="n">
        <v>3917</v>
      </c>
      <c r="AE1563" s="3" t="n">
        <v>273</v>
      </c>
      <c r="AF1563" s="4" t="n">
        <v>0.37</v>
      </c>
      <c r="AG1563" s="3">
        <f>ROUND(AE1563-(AE1563*AF1563),2)</f>
        <v/>
      </c>
      <c r="AH1563" s="4" t="n">
        <v>0.18</v>
      </c>
      <c r="AI1563" s="3">
        <f>ROUND(AG1563+(AG1563*AH1563),2)</f>
        <v/>
      </c>
      <c r="AJ1563" s="4" t="n">
        <v>0.15</v>
      </c>
      <c r="AK1563" s="3">
        <f>ROUND(AI1563*AJ1563,2)</f>
        <v/>
      </c>
      <c r="AL1563" s="3">
        <f>AI1563+AK1563</f>
        <v/>
      </c>
      <c r="AM1563" s="3">
        <f>AE1563-AL1563</f>
        <v/>
      </c>
      <c r="AN1563" s="4">
        <f>AM1563/AE1563</f>
        <v/>
      </c>
      <c r="AO1563" s="3" t="inlineStr">
        <is>
          <t>60 mins</t>
        </is>
      </c>
      <c r="AQ1563" s="3" t="inlineStr">
        <is>
          <t>Weight</t>
        </is>
      </c>
      <c r="AT1563" s="3" t="inlineStr">
        <is>
          <t>Inactive</t>
        </is>
      </c>
    </row>
    <row r="1564" ht="15.75" customHeight="1">
      <c r="A1564" s="3" t="inlineStr">
        <is>
          <t>PROD_0297</t>
        </is>
      </c>
      <c r="B1564" s="3" t="inlineStr">
        <is>
          <t>VAR_2</t>
        </is>
      </c>
      <c r="C1564" s="3" t="inlineStr">
        <is>
          <t>Plumbing</t>
        </is>
      </c>
      <c r="D1564" s="3" t="inlineStr">
        <is>
          <t>Pipes</t>
        </is>
      </c>
      <c r="E1564" s="3" t="inlineStr">
        <is>
          <t>Prince</t>
        </is>
      </c>
      <c r="F1564" s="3" t="inlineStr">
        <is>
          <t>SDR 11</t>
        </is>
      </c>
      <c r="H1564" s="3" t="inlineStr">
        <is>
          <t>Diameter</t>
        </is>
      </c>
      <c r="I1564" s="3" t="inlineStr">
        <is>
          <t>20 mm (.75 inch)</t>
        </is>
      </c>
      <c r="J1564" s="3" t="inlineStr">
        <is>
          <t>Length</t>
        </is>
      </c>
      <c r="K1564" s="3" t="inlineStr">
        <is>
          <t>3 meter</t>
        </is>
      </c>
      <c r="Q1564" s="3" t="inlineStr">
        <is>
          <t>Manufacturer's Warranty</t>
        </is>
      </c>
      <c r="R1564" s="3" t="inlineStr">
        <is>
          <t>SIM204942</t>
        </is>
      </c>
      <c r="Y1564" s="3" t="inlineStr">
        <is>
          <t>PLB_PRNC_CPVC</t>
        </is>
      </c>
      <c r="Z1564" s="3" t="n">
        <v>3917</v>
      </c>
      <c r="AE1564" s="3" t="n">
        <v>363</v>
      </c>
      <c r="AF1564" s="4" t="n">
        <v>0.37</v>
      </c>
      <c r="AG1564" s="3">
        <f>ROUND(AE1564-(AE1564*AF1564),2)</f>
        <v/>
      </c>
      <c r="AH1564" s="4" t="n">
        <v>0.18</v>
      </c>
      <c r="AI1564" s="3">
        <f>ROUND(AG1564+(AG1564*AH1564),2)</f>
        <v/>
      </c>
      <c r="AJ1564" s="4" t="n">
        <v>0.15</v>
      </c>
      <c r="AK1564" s="3">
        <f>ROUND(AI1564*AJ1564,2)</f>
        <v/>
      </c>
      <c r="AL1564" s="3">
        <f>AI1564+AK1564</f>
        <v/>
      </c>
      <c r="AM1564" s="3">
        <f>AE1564-AL1564</f>
        <v/>
      </c>
      <c r="AN1564" s="4">
        <f>AM1564/AE1564</f>
        <v/>
      </c>
      <c r="AO1564" s="3" t="inlineStr">
        <is>
          <t>60 mins</t>
        </is>
      </c>
      <c r="AQ1564" s="3" t="inlineStr">
        <is>
          <t>Weight</t>
        </is>
      </c>
      <c r="AT1564" s="3" t="inlineStr">
        <is>
          <t>Inactive</t>
        </is>
      </c>
    </row>
    <row r="1565" ht="15.75" customHeight="1">
      <c r="A1565" s="3" t="inlineStr">
        <is>
          <t>PROD_0297</t>
        </is>
      </c>
      <c r="B1565" s="3" t="inlineStr">
        <is>
          <t>VAR_3</t>
        </is>
      </c>
      <c r="C1565" s="3" t="inlineStr">
        <is>
          <t>Plumbing</t>
        </is>
      </c>
      <c r="D1565" s="3" t="inlineStr">
        <is>
          <t>Pipes</t>
        </is>
      </c>
      <c r="E1565" s="3" t="inlineStr">
        <is>
          <t>Prince</t>
        </is>
      </c>
      <c r="F1565" s="3" t="inlineStr">
        <is>
          <t>SDR 11</t>
        </is>
      </c>
      <c r="H1565" s="3" t="inlineStr">
        <is>
          <t>Diameter</t>
        </is>
      </c>
      <c r="I1565" s="3" t="inlineStr">
        <is>
          <t>25 mm (1 inch)</t>
        </is>
      </c>
      <c r="J1565" s="3" t="inlineStr">
        <is>
          <t>Length</t>
        </is>
      </c>
      <c r="K1565" s="3" t="inlineStr">
        <is>
          <t>3 meter</t>
        </is>
      </c>
      <c r="Q1565" s="3" t="inlineStr">
        <is>
          <t>Manufacturer's Warranty</t>
        </is>
      </c>
      <c r="R1565" s="3" t="inlineStr">
        <is>
          <t>SIM204943</t>
        </is>
      </c>
      <c r="Y1565" s="3" t="inlineStr">
        <is>
          <t>PLB_PRNC_CPVC</t>
        </is>
      </c>
      <c r="Z1565" s="3" t="n">
        <v>3917</v>
      </c>
      <c r="AE1565" s="3" t="n">
        <v>564</v>
      </c>
      <c r="AF1565" s="4" t="n">
        <v>0.37</v>
      </c>
      <c r="AG1565" s="3">
        <f>ROUND(AE1565-(AE1565*AF1565),2)</f>
        <v/>
      </c>
      <c r="AH1565" s="4" t="n">
        <v>0.18</v>
      </c>
      <c r="AI1565" s="3">
        <f>ROUND(AG1565+(AG1565*AH1565),2)</f>
        <v/>
      </c>
      <c r="AJ1565" s="4" t="n">
        <v>0.15</v>
      </c>
      <c r="AK1565" s="3">
        <f>ROUND(AI1565*AJ1565,2)</f>
        <v/>
      </c>
      <c r="AL1565" s="3">
        <f>AI1565+AK1565</f>
        <v/>
      </c>
      <c r="AM1565" s="3">
        <f>AE1565-AL1565</f>
        <v/>
      </c>
      <c r="AN1565" s="4">
        <f>AM1565/AE1565</f>
        <v/>
      </c>
      <c r="AO1565" s="3" t="inlineStr">
        <is>
          <t>60 mins</t>
        </is>
      </c>
      <c r="AQ1565" s="3" t="inlineStr">
        <is>
          <t>Weight</t>
        </is>
      </c>
      <c r="AT1565" s="3" t="inlineStr">
        <is>
          <t>Inactive</t>
        </is>
      </c>
    </row>
    <row r="1566" ht="15.75" customHeight="1">
      <c r="A1566" s="3" t="inlineStr">
        <is>
          <t>PROD_0297</t>
        </is>
      </c>
      <c r="B1566" s="3" t="inlineStr">
        <is>
          <t>VAR_4</t>
        </is>
      </c>
      <c r="C1566" s="3" t="inlineStr">
        <is>
          <t>Plumbing</t>
        </is>
      </c>
      <c r="D1566" s="3" t="inlineStr">
        <is>
          <t>Pipes</t>
        </is>
      </c>
      <c r="E1566" s="3" t="inlineStr">
        <is>
          <t>Prince</t>
        </is>
      </c>
      <c r="F1566" s="3" t="inlineStr">
        <is>
          <t>SDR 11</t>
        </is>
      </c>
      <c r="H1566" s="3" t="inlineStr">
        <is>
          <t>Diameter</t>
        </is>
      </c>
      <c r="I1566" s="3" t="inlineStr">
        <is>
          <t>32 mm (1.25 inch)</t>
        </is>
      </c>
      <c r="J1566" s="3" t="inlineStr">
        <is>
          <t>Length</t>
        </is>
      </c>
      <c r="K1566" s="3" t="inlineStr">
        <is>
          <t>3 meter</t>
        </is>
      </c>
      <c r="Q1566" s="3" t="inlineStr">
        <is>
          <t>Manufacturer's Warranty</t>
        </is>
      </c>
      <c r="R1566" s="3" t="inlineStr">
        <is>
          <t>SIM204944</t>
        </is>
      </c>
      <c r="Y1566" s="3" t="inlineStr">
        <is>
          <t>PLB_PRNC_CPVC</t>
        </is>
      </c>
      <c r="Z1566" s="3" t="n">
        <v>3917</v>
      </c>
      <c r="AE1566" s="3" t="n">
        <v>963</v>
      </c>
      <c r="AF1566" s="4" t="n">
        <v>0.37</v>
      </c>
      <c r="AG1566" s="3">
        <f>ROUND(AE1566-(AE1566*AF1566),2)</f>
        <v/>
      </c>
      <c r="AH1566" s="4" t="n">
        <v>0.18</v>
      </c>
      <c r="AI1566" s="3">
        <f>ROUND(AG1566+(AG1566*AH1566),2)</f>
        <v/>
      </c>
      <c r="AJ1566" s="4" t="n">
        <v>0.15</v>
      </c>
      <c r="AK1566" s="3">
        <f>ROUND(AI1566*AJ1566,2)</f>
        <v/>
      </c>
      <c r="AL1566" s="3">
        <f>AI1566+AK1566</f>
        <v/>
      </c>
      <c r="AM1566" s="3">
        <f>AE1566-AL1566</f>
        <v/>
      </c>
      <c r="AN1566" s="4">
        <f>AM1566/AE1566</f>
        <v/>
      </c>
      <c r="AO1566" s="3" t="inlineStr">
        <is>
          <t>60 mins</t>
        </is>
      </c>
      <c r="AQ1566" s="3" t="inlineStr">
        <is>
          <t>Weight</t>
        </is>
      </c>
      <c r="AT1566" s="3" t="inlineStr">
        <is>
          <t>Inactive</t>
        </is>
      </c>
    </row>
    <row r="1567" ht="15.75" customHeight="1">
      <c r="A1567" s="3" t="inlineStr">
        <is>
          <t>PROD_0297</t>
        </is>
      </c>
      <c r="B1567" s="3" t="inlineStr">
        <is>
          <t>VAR_5</t>
        </is>
      </c>
      <c r="C1567" s="3" t="inlineStr">
        <is>
          <t>Plumbing</t>
        </is>
      </c>
      <c r="D1567" s="3" t="inlineStr">
        <is>
          <t>Pipes</t>
        </is>
      </c>
      <c r="E1567" s="3" t="inlineStr">
        <is>
          <t>Prince</t>
        </is>
      </c>
      <c r="F1567" s="3" t="inlineStr">
        <is>
          <t>SDR 11</t>
        </is>
      </c>
      <c r="H1567" s="3" t="inlineStr">
        <is>
          <t>Diameter</t>
        </is>
      </c>
      <c r="I1567" s="3" t="inlineStr">
        <is>
          <t>40 mm (1.5 inch)</t>
        </is>
      </c>
      <c r="J1567" s="3" t="inlineStr">
        <is>
          <t>Length</t>
        </is>
      </c>
      <c r="K1567" s="3" t="inlineStr">
        <is>
          <t>3 meter</t>
        </is>
      </c>
      <c r="Q1567" s="3" t="inlineStr">
        <is>
          <t>Manufacturer's Warranty</t>
        </is>
      </c>
      <c r="R1567" s="3" t="inlineStr">
        <is>
          <t>SIM204945</t>
        </is>
      </c>
      <c r="Y1567" s="3" t="inlineStr">
        <is>
          <t>PLB_PRNC_CPVC</t>
        </is>
      </c>
      <c r="Z1567" s="3" t="n">
        <v>3917</v>
      </c>
      <c r="AE1567" s="3" t="n">
        <v>1320</v>
      </c>
      <c r="AF1567" s="4" t="n">
        <v>0.37</v>
      </c>
      <c r="AG1567" s="3">
        <f>ROUND(AE1567-(AE1567*AF1567),2)</f>
        <v/>
      </c>
      <c r="AH1567" s="4" t="n">
        <v>0.18</v>
      </c>
      <c r="AI1567" s="3">
        <f>ROUND(AG1567+(AG1567*AH1567),2)</f>
        <v/>
      </c>
      <c r="AJ1567" s="4" t="n">
        <v>0.15</v>
      </c>
      <c r="AK1567" s="3">
        <f>ROUND(AI1567*AJ1567,2)</f>
        <v/>
      </c>
      <c r="AL1567" s="3">
        <f>AI1567+AK1567</f>
        <v/>
      </c>
      <c r="AM1567" s="3">
        <f>AE1567-AL1567</f>
        <v/>
      </c>
      <c r="AN1567" s="4">
        <f>AM1567/AE1567</f>
        <v/>
      </c>
      <c r="AO1567" s="3" t="inlineStr">
        <is>
          <t>60 mins</t>
        </is>
      </c>
      <c r="AQ1567" s="3" t="inlineStr">
        <is>
          <t>Weight</t>
        </is>
      </c>
      <c r="AT1567" s="3" t="inlineStr">
        <is>
          <t>Inactive</t>
        </is>
      </c>
    </row>
    <row r="1568" ht="15.75" customHeight="1">
      <c r="A1568" s="3" t="inlineStr">
        <is>
          <t>PROD_0297</t>
        </is>
      </c>
      <c r="B1568" s="3" t="inlineStr">
        <is>
          <t>VAR_6</t>
        </is>
      </c>
      <c r="C1568" s="3" t="inlineStr">
        <is>
          <t>Plumbing</t>
        </is>
      </c>
      <c r="D1568" s="3" t="inlineStr">
        <is>
          <t>Pipes</t>
        </is>
      </c>
      <c r="E1568" s="3" t="inlineStr">
        <is>
          <t>Prince</t>
        </is>
      </c>
      <c r="F1568" s="3" t="inlineStr">
        <is>
          <t>SDR 11</t>
        </is>
      </c>
      <c r="H1568" s="3" t="inlineStr">
        <is>
          <t>Diameter</t>
        </is>
      </c>
      <c r="I1568" s="3" t="inlineStr">
        <is>
          <t>50 mm (2 inch)</t>
        </is>
      </c>
      <c r="J1568" s="3" t="inlineStr">
        <is>
          <t>Length</t>
        </is>
      </c>
      <c r="K1568" s="3" t="inlineStr">
        <is>
          <t>3 meter</t>
        </is>
      </c>
      <c r="Q1568" s="3" t="inlineStr">
        <is>
          <t>Manufacturer's Warranty</t>
        </is>
      </c>
      <c r="R1568" s="3" t="inlineStr">
        <is>
          <t>SIM204946</t>
        </is>
      </c>
      <c r="Y1568" s="3" t="inlineStr">
        <is>
          <t>PLB_PRNC_CPVC</t>
        </is>
      </c>
      <c r="Z1568" s="3" t="n">
        <v>3917</v>
      </c>
      <c r="AE1568" s="3" t="n">
        <v>2289</v>
      </c>
      <c r="AF1568" s="4" t="n">
        <v>0.37</v>
      </c>
      <c r="AG1568" s="3">
        <f>ROUND(AE1568-(AE1568*AF1568),2)</f>
        <v/>
      </c>
      <c r="AH1568" s="4" t="n">
        <v>0.18</v>
      </c>
      <c r="AI1568" s="3">
        <f>ROUND(AG1568+(AG1568*AH1568),2)</f>
        <v/>
      </c>
      <c r="AJ1568" s="4" t="n">
        <v>0.15</v>
      </c>
      <c r="AK1568" s="3">
        <f>ROUND(AI1568*AJ1568,2)</f>
        <v/>
      </c>
      <c r="AL1568" s="3">
        <f>AI1568+AK1568</f>
        <v/>
      </c>
      <c r="AM1568" s="3">
        <f>AE1568-AL1568</f>
        <v/>
      </c>
      <c r="AN1568" s="4">
        <f>AM1568/AE1568</f>
        <v/>
      </c>
      <c r="AO1568" s="3" t="inlineStr">
        <is>
          <t>60 mins</t>
        </is>
      </c>
      <c r="AQ1568" s="3" t="inlineStr">
        <is>
          <t>Weight</t>
        </is>
      </c>
      <c r="AT1568" s="3" t="inlineStr">
        <is>
          <t>Inactive</t>
        </is>
      </c>
    </row>
    <row r="1569" ht="15.75" customHeight="1">
      <c r="A1569" s="3" t="inlineStr">
        <is>
          <t>PROD_0297</t>
        </is>
      </c>
      <c r="B1569" s="3" t="inlineStr">
        <is>
          <t>VAR_7</t>
        </is>
      </c>
      <c r="C1569" s="3" t="inlineStr">
        <is>
          <t>Plumbing</t>
        </is>
      </c>
      <c r="D1569" s="3" t="inlineStr">
        <is>
          <t>Pipes</t>
        </is>
      </c>
      <c r="E1569" s="3" t="inlineStr">
        <is>
          <t>Prince</t>
        </is>
      </c>
      <c r="F1569" s="3" t="inlineStr">
        <is>
          <t>SDR 11</t>
        </is>
      </c>
      <c r="H1569" s="3" t="inlineStr">
        <is>
          <t>Diameter</t>
        </is>
      </c>
      <c r="I1569" s="3" t="inlineStr">
        <is>
          <t>15 mm (.5 inch)</t>
        </is>
      </c>
      <c r="J1569" s="3" t="inlineStr">
        <is>
          <t>Length</t>
        </is>
      </c>
      <c r="K1569" s="3" t="inlineStr">
        <is>
          <t>5 meter</t>
        </is>
      </c>
      <c r="Q1569" s="3" t="inlineStr">
        <is>
          <t>Manufacturer's Warranty</t>
        </is>
      </c>
      <c r="R1569" s="3" t="inlineStr">
        <is>
          <t>SIM204947</t>
        </is>
      </c>
      <c r="Y1569" s="3" t="inlineStr">
        <is>
          <t>PLB_PRNC_CPVC</t>
        </is>
      </c>
      <c r="Z1569" s="3" t="n">
        <v>3917</v>
      </c>
      <c r="AE1569" s="3" t="n">
        <v>455</v>
      </c>
      <c r="AF1569" s="4" t="n">
        <v>0.37</v>
      </c>
      <c r="AG1569" s="3">
        <f>ROUND(AE1569-(AE1569*AF1569),2)</f>
        <v/>
      </c>
      <c r="AH1569" s="4" t="n">
        <v>0.18</v>
      </c>
      <c r="AI1569" s="3">
        <f>ROUND(AG1569+(AG1569*AH1569),2)</f>
        <v/>
      </c>
      <c r="AJ1569" s="4" t="n">
        <v>0.15</v>
      </c>
      <c r="AK1569" s="3">
        <f>ROUND(AI1569*AJ1569,2)</f>
        <v/>
      </c>
      <c r="AL1569" s="3">
        <f>AI1569+AK1569</f>
        <v/>
      </c>
      <c r="AM1569" s="3">
        <f>AE1569-AL1569</f>
        <v/>
      </c>
      <c r="AN1569" s="4">
        <f>AM1569/AE1569</f>
        <v/>
      </c>
      <c r="AO1569" s="3" t="inlineStr">
        <is>
          <t>60 mins</t>
        </is>
      </c>
      <c r="AQ1569" s="3" t="inlineStr">
        <is>
          <t>Weight</t>
        </is>
      </c>
      <c r="AT1569" s="3" t="inlineStr">
        <is>
          <t>Inactive</t>
        </is>
      </c>
    </row>
    <row r="1570" ht="15.75" customHeight="1">
      <c r="A1570" s="3" t="inlineStr">
        <is>
          <t>PROD_0297</t>
        </is>
      </c>
      <c r="B1570" s="3" t="inlineStr">
        <is>
          <t>VAR_8</t>
        </is>
      </c>
      <c r="C1570" s="3" t="inlineStr">
        <is>
          <t>Plumbing</t>
        </is>
      </c>
      <c r="D1570" s="3" t="inlineStr">
        <is>
          <t>Pipes</t>
        </is>
      </c>
      <c r="E1570" s="3" t="inlineStr">
        <is>
          <t>Prince</t>
        </is>
      </c>
      <c r="F1570" s="3" t="inlineStr">
        <is>
          <t>SDR 11</t>
        </is>
      </c>
      <c r="H1570" s="3" t="inlineStr">
        <is>
          <t>Diameter</t>
        </is>
      </c>
      <c r="I1570" s="3" t="inlineStr">
        <is>
          <t>20 mm (.75 inch)</t>
        </is>
      </c>
      <c r="J1570" s="3" t="inlineStr">
        <is>
          <t>Length</t>
        </is>
      </c>
      <c r="K1570" s="3" t="inlineStr">
        <is>
          <t>5 meter</t>
        </is>
      </c>
      <c r="Q1570" s="3" t="inlineStr">
        <is>
          <t>Manufacturer's Warranty</t>
        </is>
      </c>
      <c r="R1570" s="3" t="inlineStr">
        <is>
          <t>SIM204948</t>
        </is>
      </c>
      <c r="Y1570" s="3" t="inlineStr">
        <is>
          <t>PLB_PRNC_CPVC</t>
        </is>
      </c>
      <c r="Z1570" s="3" t="n">
        <v>3917</v>
      </c>
      <c r="AE1570" s="3" t="n">
        <v>605</v>
      </c>
      <c r="AF1570" s="4" t="n">
        <v>0.37</v>
      </c>
      <c r="AG1570" s="3">
        <f>ROUND(AE1570-(AE1570*AF1570),2)</f>
        <v/>
      </c>
      <c r="AH1570" s="4" t="n">
        <v>0.18</v>
      </c>
      <c r="AI1570" s="3">
        <f>ROUND(AG1570+(AG1570*AH1570),2)</f>
        <v/>
      </c>
      <c r="AJ1570" s="4" t="n">
        <v>0.15</v>
      </c>
      <c r="AK1570" s="3">
        <f>ROUND(AI1570*AJ1570,2)</f>
        <v/>
      </c>
      <c r="AL1570" s="3">
        <f>AI1570+AK1570</f>
        <v/>
      </c>
      <c r="AM1570" s="3">
        <f>AE1570-AL1570</f>
        <v/>
      </c>
      <c r="AN1570" s="4">
        <f>AM1570/AE1570</f>
        <v/>
      </c>
      <c r="AO1570" s="3" t="inlineStr">
        <is>
          <t>60 mins</t>
        </is>
      </c>
      <c r="AQ1570" s="3" t="inlineStr">
        <is>
          <t>Weight</t>
        </is>
      </c>
      <c r="AT1570" s="3" t="inlineStr">
        <is>
          <t>Inactive</t>
        </is>
      </c>
    </row>
    <row r="1571" ht="15.75" customHeight="1">
      <c r="A1571" s="3" t="inlineStr">
        <is>
          <t>PROD_0297</t>
        </is>
      </c>
      <c r="B1571" s="3" t="inlineStr">
        <is>
          <t>VAR_9</t>
        </is>
      </c>
      <c r="C1571" s="3" t="inlineStr">
        <is>
          <t>Plumbing</t>
        </is>
      </c>
      <c r="D1571" s="3" t="inlineStr">
        <is>
          <t>Pipes</t>
        </is>
      </c>
      <c r="E1571" s="3" t="inlineStr">
        <is>
          <t>Prince</t>
        </is>
      </c>
      <c r="F1571" s="3" t="inlineStr">
        <is>
          <t>SDR 11</t>
        </is>
      </c>
      <c r="H1571" s="3" t="inlineStr">
        <is>
          <t>Diameter</t>
        </is>
      </c>
      <c r="I1571" s="3" t="inlineStr">
        <is>
          <t>25 mm (1 inch)</t>
        </is>
      </c>
      <c r="J1571" s="3" t="inlineStr">
        <is>
          <t>Length</t>
        </is>
      </c>
      <c r="K1571" s="3" t="inlineStr">
        <is>
          <t>5 meter</t>
        </is>
      </c>
      <c r="Q1571" s="3" t="inlineStr">
        <is>
          <t>Manufacturer's Warranty</t>
        </is>
      </c>
      <c r="R1571" s="3" t="inlineStr">
        <is>
          <t>SIM204949</t>
        </is>
      </c>
      <c r="Y1571" s="3" t="inlineStr">
        <is>
          <t>PLB_PRNC_CPVC</t>
        </is>
      </c>
      <c r="Z1571" s="3" t="n">
        <v>3917</v>
      </c>
      <c r="AE1571" s="3" t="n">
        <v>940</v>
      </c>
      <c r="AF1571" s="4" t="n">
        <v>0.37</v>
      </c>
      <c r="AG1571" s="3">
        <f>ROUND(AE1571-(AE1571*AF1571),2)</f>
        <v/>
      </c>
      <c r="AH1571" s="4" t="n">
        <v>0.18</v>
      </c>
      <c r="AI1571" s="3">
        <f>ROUND(AG1571+(AG1571*AH1571),2)</f>
        <v/>
      </c>
      <c r="AJ1571" s="4" t="n">
        <v>0.15</v>
      </c>
      <c r="AK1571" s="3">
        <f>ROUND(AI1571*AJ1571,2)</f>
        <v/>
      </c>
      <c r="AL1571" s="3">
        <f>AI1571+AK1571</f>
        <v/>
      </c>
      <c r="AM1571" s="3">
        <f>AE1571-AL1571</f>
        <v/>
      </c>
      <c r="AN1571" s="4">
        <f>AM1571/AE1571</f>
        <v/>
      </c>
      <c r="AO1571" s="3" t="inlineStr">
        <is>
          <t>60 mins</t>
        </is>
      </c>
      <c r="AQ1571" s="3" t="inlineStr">
        <is>
          <t>Weight</t>
        </is>
      </c>
      <c r="AT1571" s="3" t="inlineStr">
        <is>
          <t>Inactive</t>
        </is>
      </c>
    </row>
    <row r="1572" ht="15.75" customHeight="1">
      <c r="A1572" s="3" t="inlineStr">
        <is>
          <t>PROD_0297</t>
        </is>
      </c>
      <c r="B1572" s="3" t="inlineStr">
        <is>
          <t>VAR_10</t>
        </is>
      </c>
      <c r="C1572" s="3" t="inlineStr">
        <is>
          <t>Plumbing</t>
        </is>
      </c>
      <c r="D1572" s="3" t="inlineStr">
        <is>
          <t>Pipes</t>
        </is>
      </c>
      <c r="E1572" s="3" t="inlineStr">
        <is>
          <t>Prince</t>
        </is>
      </c>
      <c r="F1572" s="3" t="inlineStr">
        <is>
          <t>SDR 11</t>
        </is>
      </c>
      <c r="H1572" s="3" t="inlineStr">
        <is>
          <t>Diameter</t>
        </is>
      </c>
      <c r="I1572" s="3" t="inlineStr">
        <is>
          <t>32 mm (1.25 inch)</t>
        </is>
      </c>
      <c r="J1572" s="3" t="inlineStr">
        <is>
          <t>Length</t>
        </is>
      </c>
      <c r="K1572" s="3" t="inlineStr">
        <is>
          <t>5 meter</t>
        </is>
      </c>
      <c r="Q1572" s="3" t="inlineStr">
        <is>
          <t>Manufacturer's Warranty</t>
        </is>
      </c>
      <c r="R1572" s="3" t="inlineStr">
        <is>
          <t>SIM204950</t>
        </is>
      </c>
      <c r="Y1572" s="3" t="inlineStr">
        <is>
          <t>PLB_PRNC_CPVC</t>
        </is>
      </c>
      <c r="Z1572" s="3" t="n">
        <v>3917</v>
      </c>
      <c r="AE1572" s="3" t="n">
        <v>1605</v>
      </c>
      <c r="AF1572" s="4" t="n">
        <v>0.37</v>
      </c>
      <c r="AG1572" s="3">
        <f>ROUND(AE1572-(AE1572*AF1572),2)</f>
        <v/>
      </c>
      <c r="AH1572" s="4" t="n">
        <v>0.18</v>
      </c>
      <c r="AI1572" s="3">
        <f>ROUND(AG1572+(AG1572*AH1572),2)</f>
        <v/>
      </c>
      <c r="AJ1572" s="4" t="n">
        <v>0.15</v>
      </c>
      <c r="AK1572" s="3">
        <f>ROUND(AI1572*AJ1572,2)</f>
        <v/>
      </c>
      <c r="AL1572" s="3">
        <f>AI1572+AK1572</f>
        <v/>
      </c>
      <c r="AM1572" s="3">
        <f>AE1572-AL1572</f>
        <v/>
      </c>
      <c r="AN1572" s="4">
        <f>AM1572/AE1572</f>
        <v/>
      </c>
      <c r="AO1572" s="3" t="inlineStr">
        <is>
          <t>60 mins</t>
        </is>
      </c>
      <c r="AQ1572" s="3" t="inlineStr">
        <is>
          <t>Weight</t>
        </is>
      </c>
      <c r="AT1572" s="3" t="inlineStr">
        <is>
          <t>Inactive</t>
        </is>
      </c>
    </row>
    <row r="1573" ht="15.75" customHeight="1">
      <c r="A1573" s="3" t="inlineStr">
        <is>
          <t>PROD_0297</t>
        </is>
      </c>
      <c r="B1573" s="3" t="inlineStr">
        <is>
          <t>VAR_11</t>
        </is>
      </c>
      <c r="C1573" s="3" t="inlineStr">
        <is>
          <t>Plumbing</t>
        </is>
      </c>
      <c r="D1573" s="3" t="inlineStr">
        <is>
          <t>Pipes</t>
        </is>
      </c>
      <c r="E1573" s="3" t="inlineStr">
        <is>
          <t>Prince</t>
        </is>
      </c>
      <c r="F1573" s="3" t="inlineStr">
        <is>
          <t>SDR 11</t>
        </is>
      </c>
      <c r="H1573" s="3" t="inlineStr">
        <is>
          <t>Diameter</t>
        </is>
      </c>
      <c r="I1573" s="3" t="inlineStr">
        <is>
          <t>40 mm (1.5 inch)</t>
        </is>
      </c>
      <c r="J1573" s="3" t="inlineStr">
        <is>
          <t>Length</t>
        </is>
      </c>
      <c r="K1573" s="3" t="inlineStr">
        <is>
          <t>5 meter</t>
        </is>
      </c>
      <c r="Q1573" s="3" t="inlineStr">
        <is>
          <t>Manufacturer's Warranty</t>
        </is>
      </c>
      <c r="R1573" s="3" t="inlineStr">
        <is>
          <t>SIM204951</t>
        </is>
      </c>
      <c r="Y1573" s="3" t="inlineStr">
        <is>
          <t>PLB_PRNC_CPVC</t>
        </is>
      </c>
      <c r="Z1573" s="3" t="n">
        <v>3917</v>
      </c>
      <c r="AE1573" s="3" t="n">
        <v>2200</v>
      </c>
      <c r="AF1573" s="4" t="n">
        <v>0.37</v>
      </c>
      <c r="AG1573" s="3">
        <f>ROUND(AE1573-(AE1573*AF1573),2)</f>
        <v/>
      </c>
      <c r="AH1573" s="4" t="n">
        <v>0.18</v>
      </c>
      <c r="AI1573" s="3">
        <f>ROUND(AG1573+(AG1573*AH1573),2)</f>
        <v/>
      </c>
      <c r="AJ1573" s="4" t="n">
        <v>0.15</v>
      </c>
      <c r="AK1573" s="3">
        <f>ROUND(AI1573*AJ1573,2)</f>
        <v/>
      </c>
      <c r="AL1573" s="3">
        <f>AI1573+AK1573</f>
        <v/>
      </c>
      <c r="AM1573" s="3">
        <f>AE1573-AL1573</f>
        <v/>
      </c>
      <c r="AN1573" s="4">
        <f>AM1573/AE1573</f>
        <v/>
      </c>
      <c r="AO1573" s="3" t="inlineStr">
        <is>
          <t>60 mins</t>
        </is>
      </c>
      <c r="AQ1573" s="3" t="inlineStr">
        <is>
          <t>Weight</t>
        </is>
      </c>
      <c r="AT1573" s="3" t="inlineStr">
        <is>
          <t>Inactive</t>
        </is>
      </c>
    </row>
    <row r="1574" ht="15.75" customHeight="1">
      <c r="A1574" s="3" t="inlineStr">
        <is>
          <t>PROD_0297</t>
        </is>
      </c>
      <c r="B1574" s="3" t="inlineStr">
        <is>
          <t>VAR_12</t>
        </is>
      </c>
      <c r="C1574" s="3" t="inlineStr">
        <is>
          <t>Plumbing</t>
        </is>
      </c>
      <c r="D1574" s="3" t="inlineStr">
        <is>
          <t>Pipes</t>
        </is>
      </c>
      <c r="E1574" s="3" t="inlineStr">
        <is>
          <t>Prince</t>
        </is>
      </c>
      <c r="F1574" s="3" t="inlineStr">
        <is>
          <t>SDR 11</t>
        </is>
      </c>
      <c r="H1574" s="3" t="inlineStr">
        <is>
          <t>Diameter</t>
        </is>
      </c>
      <c r="I1574" s="3" t="inlineStr">
        <is>
          <t>50 mm (2 inch)</t>
        </is>
      </c>
      <c r="J1574" s="3" t="inlineStr">
        <is>
          <t>Length</t>
        </is>
      </c>
      <c r="K1574" s="3" t="inlineStr">
        <is>
          <t>5 meter</t>
        </is>
      </c>
      <c r="Q1574" s="3" t="inlineStr">
        <is>
          <t>Manufacturer's Warranty</t>
        </is>
      </c>
      <c r="R1574" s="3" t="inlineStr">
        <is>
          <t>SIM204952</t>
        </is>
      </c>
      <c r="Y1574" s="3" t="inlineStr">
        <is>
          <t>PLB_PRNC_CPVC</t>
        </is>
      </c>
      <c r="Z1574" s="3" t="n">
        <v>3917</v>
      </c>
      <c r="AE1574" s="3" t="n">
        <v>3815</v>
      </c>
      <c r="AF1574" s="4" t="n">
        <v>0.37</v>
      </c>
      <c r="AG1574" s="3">
        <f>ROUND(AE1574-(AE1574*AF1574),2)</f>
        <v/>
      </c>
      <c r="AH1574" s="4" t="n">
        <v>0.18</v>
      </c>
      <c r="AI1574" s="3">
        <f>ROUND(AG1574+(AG1574*AH1574),2)</f>
        <v/>
      </c>
      <c r="AJ1574" s="4" t="n">
        <v>0.15</v>
      </c>
      <c r="AK1574" s="3">
        <f>ROUND(AI1574*AJ1574,2)</f>
        <v/>
      </c>
      <c r="AL1574" s="3">
        <f>AI1574+AK1574</f>
        <v/>
      </c>
      <c r="AM1574" s="3">
        <f>AE1574-AL1574</f>
        <v/>
      </c>
      <c r="AN1574" s="4">
        <f>AM1574/AE1574</f>
        <v/>
      </c>
      <c r="AO1574" s="3" t="inlineStr">
        <is>
          <t>60 mins</t>
        </is>
      </c>
      <c r="AQ1574" s="3" t="inlineStr">
        <is>
          <t>Weight</t>
        </is>
      </c>
      <c r="AT1574" s="3" t="inlineStr">
        <is>
          <t>Inactive</t>
        </is>
      </c>
    </row>
    <row r="1575" ht="15.75" customHeight="1">
      <c r="A1575" s="3" t="inlineStr">
        <is>
          <t>PROD_0298</t>
        </is>
      </c>
      <c r="B1575" s="3" t="inlineStr">
        <is>
          <t>VAR_1</t>
        </is>
      </c>
      <c r="C1575" s="3" t="inlineStr">
        <is>
          <t>Plumbing</t>
        </is>
      </c>
      <c r="D1575" s="3" t="inlineStr">
        <is>
          <t>Pipes</t>
        </is>
      </c>
      <c r="E1575" s="3" t="inlineStr">
        <is>
          <t>Prince</t>
        </is>
      </c>
      <c r="F1575" s="3" t="inlineStr">
        <is>
          <t>SDR 13.5</t>
        </is>
      </c>
      <c r="H1575" s="3" t="inlineStr">
        <is>
          <t>Diameter</t>
        </is>
      </c>
      <c r="I1575" s="3" t="inlineStr">
        <is>
          <t>15 mm (.5 inch)</t>
        </is>
      </c>
      <c r="J1575" s="3" t="inlineStr">
        <is>
          <t>Length</t>
        </is>
      </c>
      <c r="K1575" s="3" t="inlineStr">
        <is>
          <t>3 meter</t>
        </is>
      </c>
      <c r="Q1575" s="3" t="inlineStr">
        <is>
          <t>Manufacturer's Warranty</t>
        </is>
      </c>
      <c r="R1575" s="3" t="inlineStr">
        <is>
          <t>SIM204953</t>
        </is>
      </c>
      <c r="Y1575" s="3" t="inlineStr">
        <is>
          <t>PLB_PRNC_CPVC</t>
        </is>
      </c>
      <c r="Z1575" s="3" t="n">
        <v>3917</v>
      </c>
      <c r="AE1575" s="3" t="n">
        <v>237</v>
      </c>
      <c r="AF1575" s="4" t="n">
        <v>0.37</v>
      </c>
      <c r="AG1575" s="3">
        <f>ROUND(AE1575-(AE1575*AF1575),2)</f>
        <v/>
      </c>
      <c r="AH1575" s="4" t="n">
        <v>0.18</v>
      </c>
      <c r="AI1575" s="3">
        <f>ROUND(AG1575+(AG1575*AH1575),2)</f>
        <v/>
      </c>
      <c r="AJ1575" s="4" t="n">
        <v>0.15</v>
      </c>
      <c r="AK1575" s="3">
        <f>ROUND(AI1575*AJ1575,2)</f>
        <v/>
      </c>
      <c r="AL1575" s="3">
        <f>AI1575+AK1575</f>
        <v/>
      </c>
      <c r="AM1575" s="3">
        <f>AE1575-AL1575</f>
        <v/>
      </c>
      <c r="AN1575" s="4">
        <f>AM1575/AE1575</f>
        <v/>
      </c>
      <c r="AO1575" s="3" t="inlineStr">
        <is>
          <t>60 mins</t>
        </is>
      </c>
      <c r="AQ1575" s="3" t="inlineStr">
        <is>
          <t>Weight</t>
        </is>
      </c>
      <c r="AT1575" s="3" t="inlineStr">
        <is>
          <t>Inactive</t>
        </is>
      </c>
    </row>
    <row r="1576" ht="15.75" customHeight="1">
      <c r="A1576" s="3" t="inlineStr">
        <is>
          <t>PROD_0298</t>
        </is>
      </c>
      <c r="B1576" s="3" t="inlineStr">
        <is>
          <t>VAR_2</t>
        </is>
      </c>
      <c r="C1576" s="3" t="inlineStr">
        <is>
          <t>Plumbing</t>
        </is>
      </c>
      <c r="D1576" s="3" t="inlineStr">
        <is>
          <t>Pipes</t>
        </is>
      </c>
      <c r="E1576" s="3" t="inlineStr">
        <is>
          <t>Prince</t>
        </is>
      </c>
      <c r="F1576" s="3" t="inlineStr">
        <is>
          <t>SDR 13.5</t>
        </is>
      </c>
      <c r="H1576" s="3" t="inlineStr">
        <is>
          <t>Diameter</t>
        </is>
      </c>
      <c r="I1576" s="3" t="inlineStr">
        <is>
          <t>20 mm (.75 inch)</t>
        </is>
      </c>
      <c r="J1576" s="3" t="inlineStr">
        <is>
          <t>Length</t>
        </is>
      </c>
      <c r="K1576" s="3" t="inlineStr">
        <is>
          <t>3 meter</t>
        </is>
      </c>
      <c r="Q1576" s="3" t="inlineStr">
        <is>
          <t>Manufacturer's Warranty</t>
        </is>
      </c>
      <c r="R1576" s="3" t="inlineStr">
        <is>
          <t>SIM204954</t>
        </is>
      </c>
      <c r="Y1576" s="3" t="inlineStr">
        <is>
          <t>PLB_PRNC_CPVC</t>
        </is>
      </c>
      <c r="Z1576" s="3" t="n">
        <v>3917</v>
      </c>
      <c r="AE1576" s="3" t="n">
        <v>342</v>
      </c>
      <c r="AF1576" s="4" t="n">
        <v>0.37</v>
      </c>
      <c r="AG1576" s="3">
        <f>ROUND(AE1576-(AE1576*AF1576),2)</f>
        <v/>
      </c>
      <c r="AH1576" s="4" t="n">
        <v>0.18</v>
      </c>
      <c r="AI1576" s="3">
        <f>ROUND(AG1576+(AG1576*AH1576),2)</f>
        <v/>
      </c>
      <c r="AJ1576" s="4" t="n">
        <v>0.15</v>
      </c>
      <c r="AK1576" s="3">
        <f>ROUND(AI1576*AJ1576,2)</f>
        <v/>
      </c>
      <c r="AL1576" s="3">
        <f>AI1576+AK1576</f>
        <v/>
      </c>
      <c r="AM1576" s="3">
        <f>AE1576-AL1576</f>
        <v/>
      </c>
      <c r="AN1576" s="4">
        <f>AM1576/AE1576</f>
        <v/>
      </c>
      <c r="AO1576" s="3" t="inlineStr">
        <is>
          <t>60 mins</t>
        </is>
      </c>
      <c r="AQ1576" s="3" t="inlineStr">
        <is>
          <t>Weight</t>
        </is>
      </c>
      <c r="AT1576" s="3" t="inlineStr">
        <is>
          <t>Inactive</t>
        </is>
      </c>
    </row>
    <row r="1577" ht="15.75" customHeight="1">
      <c r="A1577" s="3" t="inlineStr">
        <is>
          <t>PROD_0298</t>
        </is>
      </c>
      <c r="B1577" s="3" t="inlineStr">
        <is>
          <t>VAR_3</t>
        </is>
      </c>
      <c r="C1577" s="3" t="inlineStr">
        <is>
          <t>Plumbing</t>
        </is>
      </c>
      <c r="D1577" s="3" t="inlineStr">
        <is>
          <t>Pipes</t>
        </is>
      </c>
      <c r="E1577" s="3" t="inlineStr">
        <is>
          <t>Prince</t>
        </is>
      </c>
      <c r="F1577" s="3" t="inlineStr">
        <is>
          <t>SDR 13.5</t>
        </is>
      </c>
      <c r="H1577" s="3" t="inlineStr">
        <is>
          <t>Diameter</t>
        </is>
      </c>
      <c r="I1577" s="3" t="inlineStr">
        <is>
          <t>25 mm (1 inch)</t>
        </is>
      </c>
      <c r="J1577" s="3" t="inlineStr">
        <is>
          <t>Length</t>
        </is>
      </c>
      <c r="K1577" s="3" t="inlineStr">
        <is>
          <t>3 meter</t>
        </is>
      </c>
      <c r="Q1577" s="3" t="inlineStr">
        <is>
          <t>Manufacturer's Warranty</t>
        </is>
      </c>
      <c r="R1577" s="3" t="inlineStr">
        <is>
          <t>SIM204955</t>
        </is>
      </c>
      <c r="Y1577" s="3" t="inlineStr">
        <is>
          <t>PLB_PRNC_CPVC</t>
        </is>
      </c>
      <c r="Z1577" s="3" t="n">
        <v>3917</v>
      </c>
      <c r="AE1577" s="3" t="n">
        <v>504</v>
      </c>
      <c r="AF1577" s="4" t="n">
        <v>0.37</v>
      </c>
      <c r="AG1577" s="3">
        <f>ROUND(AE1577-(AE1577*AF1577),2)</f>
        <v/>
      </c>
      <c r="AH1577" s="4" t="n">
        <v>0.18</v>
      </c>
      <c r="AI1577" s="3">
        <f>ROUND(AG1577+(AG1577*AH1577),2)</f>
        <v/>
      </c>
      <c r="AJ1577" s="4" t="n">
        <v>0.15</v>
      </c>
      <c r="AK1577" s="3">
        <f>ROUND(AI1577*AJ1577,2)</f>
        <v/>
      </c>
      <c r="AL1577" s="3">
        <f>AI1577+AK1577</f>
        <v/>
      </c>
      <c r="AM1577" s="3">
        <f>AE1577-AL1577</f>
        <v/>
      </c>
      <c r="AN1577" s="4">
        <f>AM1577/AE1577</f>
        <v/>
      </c>
      <c r="AO1577" s="3" t="inlineStr">
        <is>
          <t>60 mins</t>
        </is>
      </c>
      <c r="AQ1577" s="3" t="inlineStr">
        <is>
          <t>Weight</t>
        </is>
      </c>
      <c r="AT1577" s="3" t="inlineStr">
        <is>
          <t>Inactive</t>
        </is>
      </c>
    </row>
    <row r="1578" ht="15.75" customHeight="1">
      <c r="A1578" s="3" t="inlineStr">
        <is>
          <t>PROD_0298</t>
        </is>
      </c>
      <c r="B1578" s="3" t="inlineStr">
        <is>
          <t>VAR_4</t>
        </is>
      </c>
      <c r="C1578" s="3" t="inlineStr">
        <is>
          <t>Plumbing</t>
        </is>
      </c>
      <c r="D1578" s="3" t="inlineStr">
        <is>
          <t>Pipes</t>
        </is>
      </c>
      <c r="E1578" s="3" t="inlineStr">
        <is>
          <t>Prince</t>
        </is>
      </c>
      <c r="F1578" s="3" t="inlineStr">
        <is>
          <t>SDR 13.5</t>
        </is>
      </c>
      <c r="H1578" s="3" t="inlineStr">
        <is>
          <t>Diameter</t>
        </is>
      </c>
      <c r="I1578" s="3" t="inlineStr">
        <is>
          <t>32 mm (1.25 inch)</t>
        </is>
      </c>
      <c r="J1578" s="3" t="inlineStr">
        <is>
          <t>Length</t>
        </is>
      </c>
      <c r="K1578" s="3" t="inlineStr">
        <is>
          <t>3 meter</t>
        </is>
      </c>
      <c r="Q1578" s="3" t="inlineStr">
        <is>
          <t>Manufacturer's Warranty</t>
        </is>
      </c>
      <c r="R1578" s="3" t="inlineStr">
        <is>
          <t>SIM204956</t>
        </is>
      </c>
      <c r="Y1578" s="3" t="inlineStr">
        <is>
          <t>PLB_PRNC_CPVC</t>
        </is>
      </c>
      <c r="Z1578" s="3" t="n">
        <v>3917</v>
      </c>
      <c r="AE1578" s="3" t="n">
        <v>822</v>
      </c>
      <c r="AF1578" s="4" t="n">
        <v>0.37</v>
      </c>
      <c r="AG1578" s="3">
        <f>ROUND(AE1578-(AE1578*AF1578),2)</f>
        <v/>
      </c>
      <c r="AH1578" s="4" t="n">
        <v>0.18</v>
      </c>
      <c r="AI1578" s="3">
        <f>ROUND(AG1578+(AG1578*AH1578),2)</f>
        <v/>
      </c>
      <c r="AJ1578" s="4" t="n">
        <v>0.15</v>
      </c>
      <c r="AK1578" s="3">
        <f>ROUND(AI1578*AJ1578,2)</f>
        <v/>
      </c>
      <c r="AL1578" s="3">
        <f>AI1578+AK1578</f>
        <v/>
      </c>
      <c r="AM1578" s="3">
        <f>AE1578-AL1578</f>
        <v/>
      </c>
      <c r="AN1578" s="4">
        <f>AM1578/AE1578</f>
        <v/>
      </c>
      <c r="AO1578" s="3" t="inlineStr">
        <is>
          <t>60 mins</t>
        </is>
      </c>
      <c r="AQ1578" s="3" t="inlineStr">
        <is>
          <t>Weight</t>
        </is>
      </c>
      <c r="AT1578" s="3" t="inlineStr">
        <is>
          <t>Inactive</t>
        </is>
      </c>
    </row>
    <row r="1579" ht="15.75" customHeight="1">
      <c r="A1579" s="3" t="inlineStr">
        <is>
          <t>PROD_0298</t>
        </is>
      </c>
      <c r="B1579" s="3" t="inlineStr">
        <is>
          <t>VAR_5</t>
        </is>
      </c>
      <c r="C1579" s="3" t="inlineStr">
        <is>
          <t>Plumbing</t>
        </is>
      </c>
      <c r="D1579" s="3" t="inlineStr">
        <is>
          <t>Pipes</t>
        </is>
      </c>
      <c r="E1579" s="3" t="inlineStr">
        <is>
          <t>Prince</t>
        </is>
      </c>
      <c r="F1579" s="3" t="inlineStr">
        <is>
          <t>SDR 13.5</t>
        </is>
      </c>
      <c r="H1579" s="3" t="inlineStr">
        <is>
          <t>Diameter</t>
        </is>
      </c>
      <c r="I1579" s="3" t="inlineStr">
        <is>
          <t>40 mm (1.5 inch)</t>
        </is>
      </c>
      <c r="J1579" s="3" t="inlineStr">
        <is>
          <t>Length</t>
        </is>
      </c>
      <c r="K1579" s="3" t="inlineStr">
        <is>
          <t>3 meter</t>
        </is>
      </c>
      <c r="Q1579" s="3" t="inlineStr">
        <is>
          <t>Manufacturer's Warranty</t>
        </is>
      </c>
      <c r="R1579" s="3" t="inlineStr">
        <is>
          <t>SIM204957</t>
        </is>
      </c>
      <c r="Y1579" s="3" t="inlineStr">
        <is>
          <t>PLB_PRNC_CPVC</t>
        </is>
      </c>
      <c r="Z1579" s="3" t="n">
        <v>3917</v>
      </c>
      <c r="AE1579" s="3" t="n">
        <v>1134</v>
      </c>
      <c r="AF1579" s="4" t="n">
        <v>0.37</v>
      </c>
      <c r="AG1579" s="3">
        <f>ROUND(AE1579-(AE1579*AF1579),2)</f>
        <v/>
      </c>
      <c r="AH1579" s="4" t="n">
        <v>0.18</v>
      </c>
      <c r="AI1579" s="3">
        <f>ROUND(AG1579+(AG1579*AH1579),2)</f>
        <v/>
      </c>
      <c r="AJ1579" s="4" t="n">
        <v>0.15</v>
      </c>
      <c r="AK1579" s="3">
        <f>ROUND(AI1579*AJ1579,2)</f>
        <v/>
      </c>
      <c r="AL1579" s="3">
        <f>AI1579+AK1579</f>
        <v/>
      </c>
      <c r="AM1579" s="3">
        <f>AE1579-AL1579</f>
        <v/>
      </c>
      <c r="AN1579" s="4">
        <f>AM1579/AE1579</f>
        <v/>
      </c>
      <c r="AO1579" s="3" t="inlineStr">
        <is>
          <t>60 mins</t>
        </is>
      </c>
      <c r="AQ1579" s="3" t="inlineStr">
        <is>
          <t>Weight</t>
        </is>
      </c>
      <c r="AT1579" s="3" t="inlineStr">
        <is>
          <t>Inactive</t>
        </is>
      </c>
    </row>
    <row r="1580" ht="15.75" customHeight="1">
      <c r="A1580" s="3" t="inlineStr">
        <is>
          <t>PROD_0298</t>
        </is>
      </c>
      <c r="B1580" s="3" t="inlineStr">
        <is>
          <t>VAR_6</t>
        </is>
      </c>
      <c r="C1580" s="3" t="inlineStr">
        <is>
          <t>Plumbing</t>
        </is>
      </c>
      <c r="D1580" s="3" t="inlineStr">
        <is>
          <t>Pipes</t>
        </is>
      </c>
      <c r="E1580" s="3" t="inlineStr">
        <is>
          <t>Prince</t>
        </is>
      </c>
      <c r="F1580" s="3" t="inlineStr">
        <is>
          <t>SDR 13.5</t>
        </is>
      </c>
      <c r="H1580" s="3" t="inlineStr">
        <is>
          <t>Diameter</t>
        </is>
      </c>
      <c r="I1580" s="3" t="inlineStr">
        <is>
          <t>50 mm (2 inch)</t>
        </is>
      </c>
      <c r="J1580" s="3" t="inlineStr">
        <is>
          <t>Length</t>
        </is>
      </c>
      <c r="K1580" s="3" t="inlineStr">
        <is>
          <t>3 meter</t>
        </is>
      </c>
      <c r="Q1580" s="3" t="inlineStr">
        <is>
          <t>Manufacturer's Warranty</t>
        </is>
      </c>
      <c r="R1580" s="3" t="inlineStr">
        <is>
          <t>SIM204958</t>
        </is>
      </c>
      <c r="Y1580" s="3" t="inlineStr">
        <is>
          <t>PLB_PRNC_CPVC</t>
        </is>
      </c>
      <c r="Z1580" s="3" t="n">
        <v>3917</v>
      </c>
      <c r="AE1580" s="3" t="n">
        <v>1929</v>
      </c>
      <c r="AF1580" s="4" t="n">
        <v>0.37</v>
      </c>
      <c r="AG1580" s="3">
        <f>ROUND(AE1580-(AE1580*AF1580),2)</f>
        <v/>
      </c>
      <c r="AH1580" s="4" t="n">
        <v>0.18</v>
      </c>
      <c r="AI1580" s="3">
        <f>ROUND(AG1580+(AG1580*AH1580),2)</f>
        <v/>
      </c>
      <c r="AJ1580" s="4" t="n">
        <v>0.15</v>
      </c>
      <c r="AK1580" s="3">
        <f>ROUND(AI1580*AJ1580,2)</f>
        <v/>
      </c>
      <c r="AL1580" s="3">
        <f>AI1580+AK1580</f>
        <v/>
      </c>
      <c r="AM1580" s="3">
        <f>AE1580-AL1580</f>
        <v/>
      </c>
      <c r="AN1580" s="4">
        <f>AM1580/AE1580</f>
        <v/>
      </c>
      <c r="AO1580" s="3" t="inlineStr">
        <is>
          <t>60 mins</t>
        </is>
      </c>
      <c r="AQ1580" s="3" t="inlineStr">
        <is>
          <t>Weight</t>
        </is>
      </c>
      <c r="AT1580" s="3" t="inlineStr">
        <is>
          <t>Inactive</t>
        </is>
      </c>
    </row>
    <row r="1581" ht="15.75" customHeight="1">
      <c r="A1581" s="3" t="inlineStr">
        <is>
          <t>PROD_0298</t>
        </is>
      </c>
      <c r="B1581" s="3" t="inlineStr">
        <is>
          <t>VAR_7</t>
        </is>
      </c>
      <c r="C1581" s="3" t="inlineStr">
        <is>
          <t>Plumbing</t>
        </is>
      </c>
      <c r="D1581" s="3" t="inlineStr">
        <is>
          <t>Pipes</t>
        </is>
      </c>
      <c r="E1581" s="3" t="inlineStr">
        <is>
          <t>Prince</t>
        </is>
      </c>
      <c r="F1581" s="3" t="inlineStr">
        <is>
          <t>SDR 13.5</t>
        </is>
      </c>
      <c r="H1581" s="3" t="inlineStr">
        <is>
          <t>Diameter</t>
        </is>
      </c>
      <c r="I1581" s="3" t="inlineStr">
        <is>
          <t>15 mm (.5 inch)</t>
        </is>
      </c>
      <c r="J1581" s="3" t="inlineStr">
        <is>
          <t>Length</t>
        </is>
      </c>
      <c r="K1581" s="3" t="inlineStr">
        <is>
          <t>5 meter</t>
        </is>
      </c>
      <c r="Q1581" s="3" t="inlineStr">
        <is>
          <t>Manufacturer's Warranty</t>
        </is>
      </c>
      <c r="R1581" s="3" t="inlineStr">
        <is>
          <t>SIM204959</t>
        </is>
      </c>
      <c r="Y1581" s="3" t="inlineStr">
        <is>
          <t>PLB_PRNC_CPVC</t>
        </is>
      </c>
      <c r="Z1581" s="3" t="n">
        <v>3917</v>
      </c>
      <c r="AE1581" s="3" t="n">
        <v>395</v>
      </c>
      <c r="AF1581" s="4" t="n">
        <v>0.37</v>
      </c>
      <c r="AG1581" s="3">
        <f>ROUND(AE1581-(AE1581*AF1581),2)</f>
        <v/>
      </c>
      <c r="AH1581" s="4" t="n">
        <v>0.18</v>
      </c>
      <c r="AI1581" s="3">
        <f>ROUND(AG1581+(AG1581*AH1581),2)</f>
        <v/>
      </c>
      <c r="AJ1581" s="4" t="n">
        <v>0.15</v>
      </c>
      <c r="AK1581" s="3">
        <f>ROUND(AI1581*AJ1581,2)</f>
        <v/>
      </c>
      <c r="AL1581" s="3">
        <f>AI1581+AK1581</f>
        <v/>
      </c>
      <c r="AM1581" s="3">
        <f>AE1581-AL1581</f>
        <v/>
      </c>
      <c r="AN1581" s="4">
        <f>AM1581/AE1581</f>
        <v/>
      </c>
      <c r="AO1581" s="3" t="inlineStr">
        <is>
          <t>60 mins</t>
        </is>
      </c>
      <c r="AQ1581" s="3" t="inlineStr">
        <is>
          <t>Weight</t>
        </is>
      </c>
      <c r="AT1581" s="3" t="inlineStr">
        <is>
          <t>Inactive</t>
        </is>
      </c>
    </row>
    <row r="1582" ht="15.75" customHeight="1">
      <c r="A1582" s="3" t="inlineStr">
        <is>
          <t>PROD_0298</t>
        </is>
      </c>
      <c r="B1582" s="3" t="inlineStr">
        <is>
          <t>VAR_8</t>
        </is>
      </c>
      <c r="C1582" s="3" t="inlineStr">
        <is>
          <t>Plumbing</t>
        </is>
      </c>
      <c r="D1582" s="3" t="inlineStr">
        <is>
          <t>Pipes</t>
        </is>
      </c>
      <c r="E1582" s="3" t="inlineStr">
        <is>
          <t>Prince</t>
        </is>
      </c>
      <c r="F1582" s="3" t="inlineStr">
        <is>
          <t>SDR 13.5</t>
        </is>
      </c>
      <c r="H1582" s="3" t="inlineStr">
        <is>
          <t>Diameter</t>
        </is>
      </c>
      <c r="I1582" s="3" t="inlineStr">
        <is>
          <t>20 mm (.75 inch)</t>
        </is>
      </c>
      <c r="J1582" s="3" t="inlineStr">
        <is>
          <t>Length</t>
        </is>
      </c>
      <c r="K1582" s="3" t="inlineStr">
        <is>
          <t>5 meter</t>
        </is>
      </c>
      <c r="Q1582" s="3" t="inlineStr">
        <is>
          <t>Manufacturer's Warranty</t>
        </is>
      </c>
      <c r="R1582" s="3" t="inlineStr">
        <is>
          <t>SIM204960</t>
        </is>
      </c>
      <c r="Y1582" s="3" t="inlineStr">
        <is>
          <t>PLB_PRNC_CPVC</t>
        </is>
      </c>
      <c r="Z1582" s="3" t="n">
        <v>3917</v>
      </c>
      <c r="AE1582" s="3" t="n">
        <v>570</v>
      </c>
      <c r="AF1582" s="4" t="n">
        <v>0.37</v>
      </c>
      <c r="AG1582" s="3">
        <f>ROUND(AE1582-(AE1582*AF1582),2)</f>
        <v/>
      </c>
      <c r="AH1582" s="4" t="n">
        <v>0.18</v>
      </c>
      <c r="AI1582" s="3">
        <f>ROUND(AG1582+(AG1582*AH1582),2)</f>
        <v/>
      </c>
      <c r="AJ1582" s="4" t="n">
        <v>0.15</v>
      </c>
      <c r="AK1582" s="3">
        <f>ROUND(AI1582*AJ1582,2)</f>
        <v/>
      </c>
      <c r="AL1582" s="3">
        <f>AI1582+AK1582</f>
        <v/>
      </c>
      <c r="AM1582" s="3">
        <f>AE1582-AL1582</f>
        <v/>
      </c>
      <c r="AN1582" s="4">
        <f>AM1582/AE1582</f>
        <v/>
      </c>
      <c r="AO1582" s="3" t="inlineStr">
        <is>
          <t>60 mins</t>
        </is>
      </c>
      <c r="AQ1582" s="3" t="inlineStr">
        <is>
          <t>Weight</t>
        </is>
      </c>
      <c r="AT1582" s="3" t="inlineStr">
        <is>
          <t>Inactive</t>
        </is>
      </c>
    </row>
    <row r="1583" ht="15.75" customHeight="1">
      <c r="A1583" s="3" t="inlineStr">
        <is>
          <t>PROD_0298</t>
        </is>
      </c>
      <c r="B1583" s="3" t="inlineStr">
        <is>
          <t>VAR_9</t>
        </is>
      </c>
      <c r="C1583" s="3" t="inlineStr">
        <is>
          <t>Plumbing</t>
        </is>
      </c>
      <c r="D1583" s="3" t="inlineStr">
        <is>
          <t>Pipes</t>
        </is>
      </c>
      <c r="E1583" s="3" t="inlineStr">
        <is>
          <t>Prince</t>
        </is>
      </c>
      <c r="F1583" s="3" t="inlineStr">
        <is>
          <t>SDR 13.5</t>
        </is>
      </c>
      <c r="H1583" s="3" t="inlineStr">
        <is>
          <t>Diameter</t>
        </is>
      </c>
      <c r="I1583" s="3" t="inlineStr">
        <is>
          <t>25 mm (1 inch)</t>
        </is>
      </c>
      <c r="J1583" s="3" t="inlineStr">
        <is>
          <t>Length</t>
        </is>
      </c>
      <c r="K1583" s="3" t="inlineStr">
        <is>
          <t>5 meter</t>
        </is>
      </c>
      <c r="Q1583" s="3" t="inlineStr">
        <is>
          <t>Manufacturer's Warranty</t>
        </is>
      </c>
      <c r="R1583" s="3" t="inlineStr">
        <is>
          <t>SIM204961</t>
        </is>
      </c>
      <c r="Y1583" s="3" t="inlineStr">
        <is>
          <t>PLB_PRNC_CPVC</t>
        </is>
      </c>
      <c r="Z1583" s="3" t="n">
        <v>3917</v>
      </c>
      <c r="AE1583" s="3" t="n">
        <v>840</v>
      </c>
      <c r="AF1583" s="4" t="n">
        <v>0.37</v>
      </c>
      <c r="AG1583" s="3">
        <f>ROUND(AE1583-(AE1583*AF1583),2)</f>
        <v/>
      </c>
      <c r="AH1583" s="4" t="n">
        <v>0.18</v>
      </c>
      <c r="AI1583" s="3">
        <f>ROUND(AG1583+(AG1583*AH1583),2)</f>
        <v/>
      </c>
      <c r="AJ1583" s="4" t="n">
        <v>0.15</v>
      </c>
      <c r="AK1583" s="3">
        <f>ROUND(AI1583*AJ1583,2)</f>
        <v/>
      </c>
      <c r="AL1583" s="3">
        <f>AI1583+AK1583</f>
        <v/>
      </c>
      <c r="AM1583" s="3">
        <f>AE1583-AL1583</f>
        <v/>
      </c>
      <c r="AN1583" s="4">
        <f>AM1583/AE1583</f>
        <v/>
      </c>
      <c r="AO1583" s="3" t="inlineStr">
        <is>
          <t>60 mins</t>
        </is>
      </c>
      <c r="AQ1583" s="3" t="inlineStr">
        <is>
          <t>Weight</t>
        </is>
      </c>
      <c r="AT1583" s="3" t="inlineStr">
        <is>
          <t>Inactive</t>
        </is>
      </c>
    </row>
    <row r="1584" ht="15.75" customHeight="1">
      <c r="A1584" s="3" t="inlineStr">
        <is>
          <t>PROD_0298</t>
        </is>
      </c>
      <c r="B1584" s="3" t="inlineStr">
        <is>
          <t>VAR_10</t>
        </is>
      </c>
      <c r="C1584" s="3" t="inlineStr">
        <is>
          <t>Plumbing</t>
        </is>
      </c>
      <c r="D1584" s="3" t="inlineStr">
        <is>
          <t>Pipes</t>
        </is>
      </c>
      <c r="E1584" s="3" t="inlineStr">
        <is>
          <t>Prince</t>
        </is>
      </c>
      <c r="F1584" s="3" t="inlineStr">
        <is>
          <t>SDR 13.5</t>
        </is>
      </c>
      <c r="H1584" s="3" t="inlineStr">
        <is>
          <t>Diameter</t>
        </is>
      </c>
      <c r="I1584" s="3" t="inlineStr">
        <is>
          <t>32 mm (1.25 inch)</t>
        </is>
      </c>
      <c r="J1584" s="3" t="inlineStr">
        <is>
          <t>Length</t>
        </is>
      </c>
      <c r="K1584" s="3" t="inlineStr">
        <is>
          <t>5 meter</t>
        </is>
      </c>
      <c r="Q1584" s="3" t="inlineStr">
        <is>
          <t>Manufacturer's Warranty</t>
        </is>
      </c>
      <c r="R1584" s="3" t="inlineStr">
        <is>
          <t>SIM204962</t>
        </is>
      </c>
      <c r="Y1584" s="3" t="inlineStr">
        <is>
          <t>PLB_PRNC_CPVC</t>
        </is>
      </c>
      <c r="Z1584" s="3" t="n">
        <v>3917</v>
      </c>
      <c r="AE1584" s="3" t="n">
        <v>1370</v>
      </c>
      <c r="AF1584" s="4" t="n">
        <v>0.37</v>
      </c>
      <c r="AG1584" s="3">
        <f>ROUND(AE1584-(AE1584*AF1584),2)</f>
        <v/>
      </c>
      <c r="AH1584" s="4" t="n">
        <v>0.18</v>
      </c>
      <c r="AI1584" s="3">
        <f>ROUND(AG1584+(AG1584*AH1584),2)</f>
        <v/>
      </c>
      <c r="AJ1584" s="4" t="n">
        <v>0.15</v>
      </c>
      <c r="AK1584" s="3">
        <f>ROUND(AI1584*AJ1584,2)</f>
        <v/>
      </c>
      <c r="AL1584" s="3">
        <f>AI1584+AK1584</f>
        <v/>
      </c>
      <c r="AM1584" s="3">
        <f>AE1584-AL1584</f>
        <v/>
      </c>
      <c r="AN1584" s="4">
        <f>AM1584/AE1584</f>
        <v/>
      </c>
      <c r="AO1584" s="3" t="inlineStr">
        <is>
          <t>60 mins</t>
        </is>
      </c>
      <c r="AQ1584" s="3" t="inlineStr">
        <is>
          <t>Weight</t>
        </is>
      </c>
      <c r="AT1584" s="3" t="inlineStr">
        <is>
          <t>Inactive</t>
        </is>
      </c>
    </row>
    <row r="1585" ht="15.75" customHeight="1">
      <c r="A1585" s="3" t="inlineStr">
        <is>
          <t>PROD_0298</t>
        </is>
      </c>
      <c r="B1585" s="3" t="inlineStr">
        <is>
          <t>VAR_11</t>
        </is>
      </c>
      <c r="C1585" s="3" t="inlineStr">
        <is>
          <t>Plumbing</t>
        </is>
      </c>
      <c r="D1585" s="3" t="inlineStr">
        <is>
          <t>Pipes</t>
        </is>
      </c>
      <c r="E1585" s="3" t="inlineStr">
        <is>
          <t>Prince</t>
        </is>
      </c>
      <c r="F1585" s="3" t="inlineStr">
        <is>
          <t>SDR 13.5</t>
        </is>
      </c>
      <c r="H1585" s="3" t="inlineStr">
        <is>
          <t>Diameter</t>
        </is>
      </c>
      <c r="I1585" s="3" t="inlineStr">
        <is>
          <t>40 mm (1.5 inch)</t>
        </is>
      </c>
      <c r="J1585" s="3" t="inlineStr">
        <is>
          <t>Length</t>
        </is>
      </c>
      <c r="K1585" s="3" t="inlineStr">
        <is>
          <t>5 meter</t>
        </is>
      </c>
      <c r="Q1585" s="3" t="inlineStr">
        <is>
          <t>Manufacturer's Warranty</t>
        </is>
      </c>
      <c r="R1585" s="3" t="inlineStr">
        <is>
          <t>SIM204963</t>
        </is>
      </c>
      <c r="Y1585" s="3" t="inlineStr">
        <is>
          <t>PLB_PRNC_CPVC</t>
        </is>
      </c>
      <c r="Z1585" s="3" t="n">
        <v>3917</v>
      </c>
      <c r="AE1585" s="3" t="n">
        <v>1890</v>
      </c>
      <c r="AF1585" s="4" t="n">
        <v>0.37</v>
      </c>
      <c r="AG1585" s="3">
        <f>ROUND(AE1585-(AE1585*AF1585),2)</f>
        <v/>
      </c>
      <c r="AH1585" s="4" t="n">
        <v>0.18</v>
      </c>
      <c r="AI1585" s="3">
        <f>ROUND(AG1585+(AG1585*AH1585),2)</f>
        <v/>
      </c>
      <c r="AJ1585" s="4" t="n">
        <v>0.15</v>
      </c>
      <c r="AK1585" s="3">
        <f>ROUND(AI1585*AJ1585,2)</f>
        <v/>
      </c>
      <c r="AL1585" s="3">
        <f>AI1585+AK1585</f>
        <v/>
      </c>
      <c r="AM1585" s="3">
        <f>AE1585-AL1585</f>
        <v/>
      </c>
      <c r="AN1585" s="4">
        <f>AM1585/AE1585</f>
        <v/>
      </c>
      <c r="AO1585" s="3" t="inlineStr">
        <is>
          <t>60 mins</t>
        </is>
      </c>
      <c r="AQ1585" s="3" t="inlineStr">
        <is>
          <t>Weight</t>
        </is>
      </c>
      <c r="AT1585" s="3" t="inlineStr">
        <is>
          <t>Inactive</t>
        </is>
      </c>
    </row>
    <row r="1586" ht="15.75" customHeight="1">
      <c r="A1586" s="3" t="inlineStr">
        <is>
          <t>PROD_0298</t>
        </is>
      </c>
      <c r="B1586" s="3" t="inlineStr">
        <is>
          <t>VAR_12</t>
        </is>
      </c>
      <c r="C1586" s="3" t="inlineStr">
        <is>
          <t>Plumbing</t>
        </is>
      </c>
      <c r="D1586" s="3" t="inlineStr">
        <is>
          <t>Pipes</t>
        </is>
      </c>
      <c r="E1586" s="3" t="inlineStr">
        <is>
          <t>Prince</t>
        </is>
      </c>
      <c r="F1586" s="3" t="inlineStr">
        <is>
          <t>SDR 13.5</t>
        </is>
      </c>
      <c r="H1586" s="3" t="inlineStr">
        <is>
          <t>Diameter</t>
        </is>
      </c>
      <c r="I1586" s="3" t="inlineStr">
        <is>
          <t>50 mm (2 inch)</t>
        </is>
      </c>
      <c r="J1586" s="3" t="inlineStr">
        <is>
          <t>Length</t>
        </is>
      </c>
      <c r="K1586" s="3" t="inlineStr">
        <is>
          <t>5 meter</t>
        </is>
      </c>
      <c r="Q1586" s="3" t="inlineStr">
        <is>
          <t>Manufacturer's Warranty</t>
        </is>
      </c>
      <c r="R1586" s="3" t="inlineStr">
        <is>
          <t>SIM204964</t>
        </is>
      </c>
      <c r="Y1586" s="3" t="inlineStr">
        <is>
          <t>PLB_PRNC_CPVC</t>
        </is>
      </c>
      <c r="Z1586" s="3" t="n">
        <v>3917</v>
      </c>
      <c r="AE1586" s="3" t="n">
        <v>3215</v>
      </c>
      <c r="AF1586" s="4" t="n">
        <v>0.37</v>
      </c>
      <c r="AG1586" s="3">
        <f>ROUND(AE1586-(AE1586*AF1586),2)</f>
        <v/>
      </c>
      <c r="AH1586" s="4" t="n">
        <v>0.18</v>
      </c>
      <c r="AI1586" s="3">
        <f>ROUND(AG1586+(AG1586*AH1586),2)</f>
        <v/>
      </c>
      <c r="AJ1586" s="4" t="n">
        <v>0.15</v>
      </c>
      <c r="AK1586" s="3">
        <f>ROUND(AI1586*AJ1586,2)</f>
        <v/>
      </c>
      <c r="AL1586" s="3">
        <f>AI1586+AK1586</f>
        <v/>
      </c>
      <c r="AM1586" s="3">
        <f>AE1586-AL1586</f>
        <v/>
      </c>
      <c r="AN1586" s="4">
        <f>AM1586/AE1586</f>
        <v/>
      </c>
      <c r="AO1586" s="3" t="inlineStr">
        <is>
          <t>60 mins</t>
        </is>
      </c>
      <c r="AQ1586" s="3" t="inlineStr">
        <is>
          <t>Weight</t>
        </is>
      </c>
      <c r="AT1586" s="3" t="inlineStr">
        <is>
          <t>Inactive</t>
        </is>
      </c>
    </row>
    <row r="1587" ht="15.75" customHeight="1">
      <c r="A1587" s="3" t="inlineStr">
        <is>
          <t>PROD_0299</t>
        </is>
      </c>
      <c r="B1587" s="3" t="inlineStr">
        <is>
          <t>VAR_1</t>
        </is>
      </c>
      <c r="C1587" s="3" t="inlineStr">
        <is>
          <t>Plumbing</t>
        </is>
      </c>
      <c r="D1587" s="3" t="inlineStr">
        <is>
          <t>Pipes</t>
        </is>
      </c>
      <c r="E1587" s="3" t="inlineStr">
        <is>
          <t>Prince</t>
        </is>
      </c>
      <c r="F1587" s="3" t="inlineStr">
        <is>
          <t>SCH 40</t>
        </is>
      </c>
      <c r="H1587" s="3" t="inlineStr">
        <is>
          <t>Diameter</t>
        </is>
      </c>
      <c r="I1587" s="3" t="inlineStr">
        <is>
          <t>65 mm (2.5 inch)</t>
        </is>
      </c>
      <c r="J1587" s="3" t="inlineStr">
        <is>
          <t>Length</t>
        </is>
      </c>
      <c r="K1587" s="3" t="inlineStr">
        <is>
          <t>3 meter</t>
        </is>
      </c>
      <c r="Q1587" s="3" t="inlineStr">
        <is>
          <t>Manufacturer's Warranty</t>
        </is>
      </c>
      <c r="R1587" s="3" t="inlineStr">
        <is>
          <t>SIM204972</t>
        </is>
      </c>
      <c r="Y1587" s="3" t="inlineStr">
        <is>
          <t>PLB_PRNC_CPVC</t>
        </is>
      </c>
      <c r="Z1587" s="3" t="n">
        <v>3917</v>
      </c>
      <c r="AE1587" s="3" t="n">
        <v>3774</v>
      </c>
      <c r="AF1587" s="4" t="n">
        <v>0.37</v>
      </c>
      <c r="AG1587" s="3">
        <f>ROUND(AE1587-(AE1587*AF1587),2)</f>
        <v/>
      </c>
      <c r="AH1587" s="4" t="n">
        <v>0.18</v>
      </c>
      <c r="AI1587" s="3">
        <f>ROUND(AG1587+(AG1587*AH1587),2)</f>
        <v/>
      </c>
      <c r="AJ1587" s="4" t="n">
        <v>0.15</v>
      </c>
      <c r="AK1587" s="3">
        <f>ROUND(AI1587*AJ1587,2)</f>
        <v/>
      </c>
      <c r="AL1587" s="3">
        <f>AI1587+AK1587</f>
        <v/>
      </c>
      <c r="AM1587" s="3">
        <f>AE1587-AL1587</f>
        <v/>
      </c>
      <c r="AN1587" s="4">
        <f>AM1587/AE1587</f>
        <v/>
      </c>
      <c r="AO1587" s="3" t="inlineStr">
        <is>
          <t>60 mins</t>
        </is>
      </c>
      <c r="AQ1587" s="3" t="inlineStr">
        <is>
          <t>Weight</t>
        </is>
      </c>
      <c r="AT1587" s="3" t="inlineStr">
        <is>
          <t>Inactive</t>
        </is>
      </c>
    </row>
    <row r="1588" ht="15.75" customHeight="1">
      <c r="A1588" s="3" t="inlineStr">
        <is>
          <t>PROD_0299</t>
        </is>
      </c>
      <c r="B1588" s="3" t="inlineStr">
        <is>
          <t>VAR_2</t>
        </is>
      </c>
      <c r="C1588" s="3" t="inlineStr">
        <is>
          <t>Plumbing</t>
        </is>
      </c>
      <c r="D1588" s="3" t="inlineStr">
        <is>
          <t>Pipes</t>
        </is>
      </c>
      <c r="E1588" s="3" t="inlineStr">
        <is>
          <t>Prince</t>
        </is>
      </c>
      <c r="F1588" s="3" t="inlineStr">
        <is>
          <t>SCH 40</t>
        </is>
      </c>
      <c r="H1588" s="3" t="inlineStr">
        <is>
          <t>Diameter</t>
        </is>
      </c>
      <c r="I1588" s="3" t="inlineStr">
        <is>
          <t>80 mm (3 inch)</t>
        </is>
      </c>
      <c r="J1588" s="3" t="inlineStr">
        <is>
          <t>Length</t>
        </is>
      </c>
      <c r="K1588" s="3" t="inlineStr">
        <is>
          <t>3 meter</t>
        </is>
      </c>
      <c r="Q1588" s="3" t="inlineStr">
        <is>
          <t>Manufacturer's Warranty</t>
        </is>
      </c>
      <c r="R1588" s="3" t="inlineStr">
        <is>
          <t>SIM204973</t>
        </is>
      </c>
      <c r="Y1588" s="3" t="inlineStr">
        <is>
          <t>PLB_PRNC_CPVC</t>
        </is>
      </c>
      <c r="Z1588" s="3" t="n">
        <v>3917</v>
      </c>
      <c r="AE1588" s="3" t="n">
        <v>5124</v>
      </c>
      <c r="AF1588" s="4" t="n">
        <v>0.37</v>
      </c>
      <c r="AG1588" s="3">
        <f>ROUND(AE1588-(AE1588*AF1588),2)</f>
        <v/>
      </c>
      <c r="AH1588" s="4" t="n">
        <v>0.18</v>
      </c>
      <c r="AI1588" s="3">
        <f>ROUND(AG1588+(AG1588*AH1588),2)</f>
        <v/>
      </c>
      <c r="AJ1588" s="4" t="n">
        <v>0.15</v>
      </c>
      <c r="AK1588" s="3">
        <f>ROUND(AI1588*AJ1588,2)</f>
        <v/>
      </c>
      <c r="AL1588" s="3">
        <f>AI1588+AK1588</f>
        <v/>
      </c>
      <c r="AM1588" s="3">
        <f>AE1588-AL1588</f>
        <v/>
      </c>
      <c r="AN1588" s="4">
        <f>AM1588/AE1588</f>
        <v/>
      </c>
      <c r="AO1588" s="3" t="inlineStr">
        <is>
          <t>60 mins</t>
        </is>
      </c>
      <c r="AQ1588" s="3" t="inlineStr">
        <is>
          <t>Weight</t>
        </is>
      </c>
      <c r="AT1588" s="3" t="inlineStr">
        <is>
          <t>Inactive</t>
        </is>
      </c>
    </row>
    <row r="1589" ht="15.75" customHeight="1">
      <c r="A1589" s="3" t="inlineStr">
        <is>
          <t>PROD_0299</t>
        </is>
      </c>
      <c r="B1589" s="3" t="inlineStr">
        <is>
          <t>VAR_3</t>
        </is>
      </c>
      <c r="C1589" s="3" t="inlineStr">
        <is>
          <t>Plumbing</t>
        </is>
      </c>
      <c r="D1589" s="3" t="inlineStr">
        <is>
          <t>Pipes</t>
        </is>
      </c>
      <c r="E1589" s="3" t="inlineStr">
        <is>
          <t>Prince</t>
        </is>
      </c>
      <c r="F1589" s="3" t="inlineStr">
        <is>
          <t>SCH 40</t>
        </is>
      </c>
      <c r="H1589" s="3" t="inlineStr">
        <is>
          <t>Diameter</t>
        </is>
      </c>
      <c r="I1589" s="3" t="inlineStr">
        <is>
          <t>100 mm (4 inch)</t>
        </is>
      </c>
      <c r="J1589" s="3" t="inlineStr">
        <is>
          <t>Length</t>
        </is>
      </c>
      <c r="K1589" s="3" t="inlineStr">
        <is>
          <t>3 meter</t>
        </is>
      </c>
      <c r="Q1589" s="3" t="inlineStr">
        <is>
          <t>Manufacturer's Warranty</t>
        </is>
      </c>
      <c r="R1589" s="3" t="inlineStr">
        <is>
          <t>SIM204974</t>
        </is>
      </c>
      <c r="Y1589" s="3" t="inlineStr">
        <is>
          <t>PLB_PRNC_CPVC</t>
        </is>
      </c>
      <c r="Z1589" s="3" t="n">
        <v>3917</v>
      </c>
      <c r="AE1589" s="3" t="n">
        <v>7464</v>
      </c>
      <c r="AF1589" s="4" t="n">
        <v>0.37</v>
      </c>
      <c r="AG1589" s="3">
        <f>ROUND(AE1589-(AE1589*AF1589),2)</f>
        <v/>
      </c>
      <c r="AH1589" s="4" t="n">
        <v>0.18</v>
      </c>
      <c r="AI1589" s="3">
        <f>ROUND(AG1589+(AG1589*AH1589),2)</f>
        <v/>
      </c>
      <c r="AJ1589" s="4" t="n">
        <v>0.15</v>
      </c>
      <c r="AK1589" s="3">
        <f>ROUND(AI1589*AJ1589,2)</f>
        <v/>
      </c>
      <c r="AL1589" s="3">
        <f>AI1589+AK1589</f>
        <v/>
      </c>
      <c r="AM1589" s="3">
        <f>AE1589-AL1589</f>
        <v/>
      </c>
      <c r="AN1589" s="4">
        <f>AM1589/AE1589</f>
        <v/>
      </c>
      <c r="AO1589" s="3" t="inlineStr">
        <is>
          <t>60 mins</t>
        </is>
      </c>
      <c r="AQ1589" s="3" t="inlineStr">
        <is>
          <t>Weight</t>
        </is>
      </c>
      <c r="AT1589" s="3" t="inlineStr">
        <is>
          <t>Inactive</t>
        </is>
      </c>
    </row>
    <row r="1590" ht="15.75" customHeight="1">
      <c r="A1590" s="3" t="inlineStr">
        <is>
          <t>PROD_0299</t>
        </is>
      </c>
      <c r="B1590" s="3" t="inlineStr">
        <is>
          <t>VAR_4</t>
        </is>
      </c>
      <c r="C1590" s="3" t="inlineStr">
        <is>
          <t>Plumbing</t>
        </is>
      </c>
      <c r="D1590" s="3" t="inlineStr">
        <is>
          <t>Pipes</t>
        </is>
      </c>
      <c r="E1590" s="3" t="inlineStr">
        <is>
          <t>Prince</t>
        </is>
      </c>
      <c r="F1590" s="3" t="inlineStr">
        <is>
          <t>SCH 40</t>
        </is>
      </c>
      <c r="H1590" s="3" t="inlineStr">
        <is>
          <t>Diameter</t>
        </is>
      </c>
      <c r="I1590" s="3" t="inlineStr">
        <is>
          <t>150 mm (6 inch)</t>
        </is>
      </c>
      <c r="J1590" s="3" t="inlineStr">
        <is>
          <t>Length</t>
        </is>
      </c>
      <c r="K1590" s="3" t="inlineStr">
        <is>
          <t>3 meter</t>
        </is>
      </c>
      <c r="Q1590" s="3" t="inlineStr">
        <is>
          <t>Manufacturer's Warranty</t>
        </is>
      </c>
      <c r="R1590" s="3" t="inlineStr">
        <is>
          <t>SIM204991</t>
        </is>
      </c>
      <c r="Y1590" s="3" t="inlineStr">
        <is>
          <t>PLB_PRNC_CPVC</t>
        </is>
      </c>
      <c r="Z1590" s="3" t="n">
        <v>3917</v>
      </c>
      <c r="AE1590" s="3" t="n">
        <v>13479</v>
      </c>
      <c r="AF1590" s="4" t="n">
        <v>0.37</v>
      </c>
      <c r="AG1590" s="3">
        <f>ROUND(AE1590-(AE1590*AF1590),2)</f>
        <v/>
      </c>
      <c r="AH1590" s="4" t="n">
        <v>0.18</v>
      </c>
      <c r="AI1590" s="3">
        <f>ROUND(AG1590+(AG1590*AH1590),2)</f>
        <v/>
      </c>
      <c r="AJ1590" s="4" t="n">
        <v>0.15</v>
      </c>
      <c r="AK1590" s="3">
        <f>ROUND(AI1590*AJ1590,2)</f>
        <v/>
      </c>
      <c r="AL1590" s="3">
        <f>AI1590+AK1590</f>
        <v/>
      </c>
      <c r="AM1590" s="3">
        <f>AE1590-AL1590</f>
        <v/>
      </c>
      <c r="AN1590" s="4">
        <f>AM1590/AE1590</f>
        <v/>
      </c>
      <c r="AO1590" s="3" t="inlineStr">
        <is>
          <t>60 mins</t>
        </is>
      </c>
      <c r="AQ1590" s="3" t="inlineStr">
        <is>
          <t>Weight</t>
        </is>
      </c>
      <c r="AT1590" s="3" t="inlineStr">
        <is>
          <t>Inactive</t>
        </is>
      </c>
    </row>
    <row r="1591" ht="15.75" customHeight="1">
      <c r="A1591" s="3" t="inlineStr">
        <is>
          <t>PROD_0299</t>
        </is>
      </c>
      <c r="B1591" s="3" t="inlineStr">
        <is>
          <t>VAR_5</t>
        </is>
      </c>
      <c r="C1591" s="3" t="inlineStr">
        <is>
          <t>Plumbing</t>
        </is>
      </c>
      <c r="D1591" s="3" t="inlineStr">
        <is>
          <t>Pipes</t>
        </is>
      </c>
      <c r="E1591" s="3" t="inlineStr">
        <is>
          <t>Prince</t>
        </is>
      </c>
      <c r="F1591" s="3" t="inlineStr">
        <is>
          <t>SCH 40</t>
        </is>
      </c>
      <c r="H1591" s="3" t="inlineStr">
        <is>
          <t>Diameter</t>
        </is>
      </c>
      <c r="I1591" s="3" t="inlineStr">
        <is>
          <t>200 mm (8 inch)</t>
        </is>
      </c>
      <c r="J1591" s="3" t="inlineStr">
        <is>
          <t>Length</t>
        </is>
      </c>
      <c r="K1591" s="3" t="inlineStr">
        <is>
          <t>3 meter</t>
        </is>
      </c>
      <c r="Q1591" s="3" t="inlineStr">
        <is>
          <t>Manufacturer's Warranty</t>
        </is>
      </c>
      <c r="R1591" s="3" t="inlineStr">
        <is>
          <t>SIM205192</t>
        </is>
      </c>
      <c r="Y1591" s="3" t="inlineStr">
        <is>
          <t>PLB_PRNC_CPVC</t>
        </is>
      </c>
      <c r="Z1591" s="3" t="n">
        <v>3917</v>
      </c>
      <c r="AE1591" s="3" t="n">
        <v>20442</v>
      </c>
      <c r="AF1591" s="4" t="n">
        <v>0.37</v>
      </c>
      <c r="AG1591" s="3">
        <f>ROUND(AE1591-(AE1591*AF1591),2)</f>
        <v/>
      </c>
      <c r="AH1591" s="4" t="n">
        <v>0.18</v>
      </c>
      <c r="AI1591" s="3">
        <f>ROUND(AG1591+(AG1591*AH1591),2)</f>
        <v/>
      </c>
      <c r="AJ1591" s="4" t="n">
        <v>0.15</v>
      </c>
      <c r="AK1591" s="3">
        <f>ROUND(AI1591*AJ1591,2)</f>
        <v/>
      </c>
      <c r="AL1591" s="3">
        <f>AI1591+AK1591</f>
        <v/>
      </c>
      <c r="AM1591" s="3">
        <f>AE1591-AL1591</f>
        <v/>
      </c>
      <c r="AN1591" s="4">
        <f>AM1591/AE1591</f>
        <v/>
      </c>
      <c r="AO1591" s="3" t="inlineStr">
        <is>
          <t>60 mins</t>
        </is>
      </c>
      <c r="AQ1591" s="3" t="inlineStr">
        <is>
          <t>Weight</t>
        </is>
      </c>
      <c r="AT1591" s="3" t="inlineStr">
        <is>
          <t>Inactive</t>
        </is>
      </c>
    </row>
    <row r="1592" ht="15.75" customHeight="1">
      <c r="A1592" s="3" t="inlineStr">
        <is>
          <t>PROD_0299</t>
        </is>
      </c>
      <c r="B1592" s="3" t="inlineStr">
        <is>
          <t>VAR_6</t>
        </is>
      </c>
      <c r="C1592" s="3" t="inlineStr">
        <is>
          <t>Plumbing</t>
        </is>
      </c>
      <c r="D1592" s="3" t="inlineStr">
        <is>
          <t>Pipes</t>
        </is>
      </c>
      <c r="E1592" s="3" t="inlineStr">
        <is>
          <t>Prince</t>
        </is>
      </c>
      <c r="F1592" s="3" t="inlineStr">
        <is>
          <t>SCH 40</t>
        </is>
      </c>
      <c r="H1592" s="3" t="inlineStr">
        <is>
          <t>Diameter</t>
        </is>
      </c>
      <c r="I1592" s="3" t="inlineStr">
        <is>
          <t>65 mm (2.5 inch)</t>
        </is>
      </c>
      <c r="J1592" s="3" t="inlineStr">
        <is>
          <t>Length</t>
        </is>
      </c>
      <c r="K1592" s="3" t="inlineStr">
        <is>
          <t>5 meter</t>
        </is>
      </c>
      <c r="Q1592" s="3" t="inlineStr">
        <is>
          <t>Manufacturer's Warranty</t>
        </is>
      </c>
      <c r="R1592" s="3" t="inlineStr">
        <is>
          <t>SIM204992</t>
        </is>
      </c>
      <c r="Y1592" s="3" t="inlineStr">
        <is>
          <t>PLB_PRNC_CPVC</t>
        </is>
      </c>
      <c r="Z1592" s="3" t="n">
        <v>3917</v>
      </c>
      <c r="AE1592" s="3" t="n">
        <v>6290</v>
      </c>
      <c r="AF1592" s="4" t="n">
        <v>0.37</v>
      </c>
      <c r="AG1592" s="3">
        <f>ROUND(AE1592-(AE1592*AF1592),2)</f>
        <v/>
      </c>
      <c r="AH1592" s="4" t="n">
        <v>0.18</v>
      </c>
      <c r="AI1592" s="3">
        <f>ROUND(AG1592+(AG1592*AH1592),2)</f>
        <v/>
      </c>
      <c r="AJ1592" s="4" t="n">
        <v>0.15</v>
      </c>
      <c r="AK1592" s="3">
        <f>ROUND(AI1592*AJ1592,2)</f>
        <v/>
      </c>
      <c r="AL1592" s="3">
        <f>AI1592+AK1592</f>
        <v/>
      </c>
      <c r="AM1592" s="3">
        <f>AE1592-AL1592</f>
        <v/>
      </c>
      <c r="AN1592" s="4">
        <f>AM1592/AE1592</f>
        <v/>
      </c>
      <c r="AO1592" s="3" t="inlineStr">
        <is>
          <t>60 mins</t>
        </is>
      </c>
      <c r="AQ1592" s="3" t="inlineStr">
        <is>
          <t>Weight</t>
        </is>
      </c>
      <c r="AT1592" s="3" t="inlineStr">
        <is>
          <t>Inactive</t>
        </is>
      </c>
    </row>
    <row r="1593" ht="15.75" customHeight="1">
      <c r="A1593" s="3" t="inlineStr">
        <is>
          <t>PROD_0299</t>
        </is>
      </c>
      <c r="B1593" s="3" t="inlineStr">
        <is>
          <t>VAR_7</t>
        </is>
      </c>
      <c r="C1593" s="3" t="inlineStr">
        <is>
          <t>Plumbing</t>
        </is>
      </c>
      <c r="D1593" s="3" t="inlineStr">
        <is>
          <t>Pipes</t>
        </is>
      </c>
      <c r="E1593" s="3" t="inlineStr">
        <is>
          <t>Prince</t>
        </is>
      </c>
      <c r="F1593" s="3" t="inlineStr">
        <is>
          <t>SCH 40</t>
        </is>
      </c>
      <c r="H1593" s="3" t="inlineStr">
        <is>
          <t>Diameter</t>
        </is>
      </c>
      <c r="I1593" s="3" t="inlineStr">
        <is>
          <t>80 mm (3 inch)</t>
        </is>
      </c>
      <c r="J1593" s="3" t="inlineStr">
        <is>
          <t>Length</t>
        </is>
      </c>
      <c r="K1593" s="3" t="inlineStr">
        <is>
          <t>5 meter</t>
        </is>
      </c>
      <c r="Q1593" s="3" t="inlineStr">
        <is>
          <t>Manufacturer's Warranty</t>
        </is>
      </c>
      <c r="R1593" s="3" t="inlineStr">
        <is>
          <t>SIM204978</t>
        </is>
      </c>
      <c r="Y1593" s="3" t="inlineStr">
        <is>
          <t>PLB_PRNC_CPVC</t>
        </is>
      </c>
      <c r="Z1593" s="3" t="n">
        <v>3917</v>
      </c>
      <c r="AE1593" s="3" t="n">
        <v>8540</v>
      </c>
      <c r="AF1593" s="4" t="n">
        <v>0.37</v>
      </c>
      <c r="AG1593" s="3">
        <f>ROUND(AE1593-(AE1593*AF1593),2)</f>
        <v/>
      </c>
      <c r="AH1593" s="4" t="n">
        <v>0.18</v>
      </c>
      <c r="AI1593" s="3">
        <f>ROUND(AG1593+(AG1593*AH1593),2)</f>
        <v/>
      </c>
      <c r="AJ1593" s="4" t="n">
        <v>0.15</v>
      </c>
      <c r="AK1593" s="3">
        <f>ROUND(AI1593*AJ1593,2)</f>
        <v/>
      </c>
      <c r="AL1593" s="3">
        <f>AI1593+AK1593</f>
        <v/>
      </c>
      <c r="AM1593" s="3">
        <f>AE1593-AL1593</f>
        <v/>
      </c>
      <c r="AN1593" s="4">
        <f>AM1593/AE1593</f>
        <v/>
      </c>
      <c r="AO1593" s="3" t="inlineStr">
        <is>
          <t>60 mins</t>
        </is>
      </c>
      <c r="AQ1593" s="3" t="inlineStr">
        <is>
          <t>Weight</t>
        </is>
      </c>
      <c r="AT1593" s="3" t="inlineStr">
        <is>
          <t>Inactive</t>
        </is>
      </c>
    </row>
    <row r="1594" ht="15.75" customHeight="1">
      <c r="A1594" s="3" t="inlineStr">
        <is>
          <t>PROD_0299</t>
        </is>
      </c>
      <c r="B1594" s="3" t="inlineStr">
        <is>
          <t>VAR_8</t>
        </is>
      </c>
      <c r="C1594" s="3" t="inlineStr">
        <is>
          <t>Plumbing</t>
        </is>
      </c>
      <c r="D1594" s="3" t="inlineStr">
        <is>
          <t>Pipes</t>
        </is>
      </c>
      <c r="E1594" s="3" t="inlineStr">
        <is>
          <t>Prince</t>
        </is>
      </c>
      <c r="F1594" s="3" t="inlineStr">
        <is>
          <t>SCH 40</t>
        </is>
      </c>
      <c r="H1594" s="3" t="inlineStr">
        <is>
          <t>Diameter</t>
        </is>
      </c>
      <c r="I1594" s="3" t="inlineStr">
        <is>
          <t>100 mm (4 inch)</t>
        </is>
      </c>
      <c r="J1594" s="3" t="inlineStr">
        <is>
          <t>Length</t>
        </is>
      </c>
      <c r="K1594" s="3" t="inlineStr">
        <is>
          <t>5 meter</t>
        </is>
      </c>
      <c r="Q1594" s="3" t="inlineStr">
        <is>
          <t>Manufacturer's Warranty</t>
        </is>
      </c>
      <c r="R1594" s="3" t="inlineStr">
        <is>
          <t>SIM204979</t>
        </is>
      </c>
      <c r="Y1594" s="3" t="inlineStr">
        <is>
          <t>PLB_PRNC_CPVC</t>
        </is>
      </c>
      <c r="Z1594" s="3" t="n">
        <v>3917</v>
      </c>
      <c r="AE1594" s="3" t="n">
        <v>12440</v>
      </c>
      <c r="AF1594" s="4" t="n">
        <v>0.37</v>
      </c>
      <c r="AG1594" s="3">
        <f>ROUND(AE1594-(AE1594*AF1594),2)</f>
        <v/>
      </c>
      <c r="AH1594" s="4" t="n">
        <v>0.18</v>
      </c>
      <c r="AI1594" s="3">
        <f>ROUND(AG1594+(AG1594*AH1594),2)</f>
        <v/>
      </c>
      <c r="AJ1594" s="4" t="n">
        <v>0.15</v>
      </c>
      <c r="AK1594" s="3">
        <f>ROUND(AI1594*AJ1594,2)</f>
        <v/>
      </c>
      <c r="AL1594" s="3">
        <f>AI1594+AK1594</f>
        <v/>
      </c>
      <c r="AM1594" s="3">
        <f>AE1594-AL1594</f>
        <v/>
      </c>
      <c r="AN1594" s="4">
        <f>AM1594/AE1594</f>
        <v/>
      </c>
      <c r="AO1594" s="3" t="inlineStr">
        <is>
          <t>60 mins</t>
        </is>
      </c>
      <c r="AQ1594" s="3" t="inlineStr">
        <is>
          <t>Weight</t>
        </is>
      </c>
      <c r="AT1594" s="3" t="inlineStr">
        <is>
          <t>Inactive</t>
        </is>
      </c>
    </row>
    <row r="1595" ht="15.75" customHeight="1">
      <c r="A1595" s="3" t="inlineStr">
        <is>
          <t>PROD_0299</t>
        </is>
      </c>
      <c r="B1595" s="3" t="inlineStr">
        <is>
          <t>VAR_9</t>
        </is>
      </c>
      <c r="C1595" s="3" t="inlineStr">
        <is>
          <t>Plumbing</t>
        </is>
      </c>
      <c r="D1595" s="3" t="inlineStr">
        <is>
          <t>Pipes</t>
        </is>
      </c>
      <c r="E1595" s="3" t="inlineStr">
        <is>
          <t>Prince</t>
        </is>
      </c>
      <c r="F1595" s="3" t="inlineStr">
        <is>
          <t>SCH 40</t>
        </is>
      </c>
      <c r="H1595" s="3" t="inlineStr">
        <is>
          <t>Diameter</t>
        </is>
      </c>
      <c r="I1595" s="3" t="inlineStr">
        <is>
          <t>150 mm (6 inch)</t>
        </is>
      </c>
      <c r="J1595" s="3" t="inlineStr">
        <is>
          <t>Length</t>
        </is>
      </c>
      <c r="K1595" s="3" t="inlineStr">
        <is>
          <t>5 meter</t>
        </is>
      </c>
      <c r="Q1595" s="3" t="inlineStr">
        <is>
          <t>Manufacturer's Warranty</t>
        </is>
      </c>
      <c r="R1595" s="3" t="inlineStr">
        <is>
          <t>SIM204980</t>
        </is>
      </c>
      <c r="Y1595" s="3" t="inlineStr">
        <is>
          <t>PLB_PRNC_CPVC</t>
        </is>
      </c>
      <c r="Z1595" s="3" t="n">
        <v>3917</v>
      </c>
      <c r="AE1595" s="3" t="n">
        <v>22465</v>
      </c>
      <c r="AF1595" s="4" t="n">
        <v>0.37</v>
      </c>
      <c r="AG1595" s="3">
        <f>ROUND(AE1595-(AE1595*AF1595),2)</f>
        <v/>
      </c>
      <c r="AH1595" s="4" t="n">
        <v>0.18</v>
      </c>
      <c r="AI1595" s="3">
        <f>ROUND(AG1595+(AG1595*AH1595),2)</f>
        <v/>
      </c>
      <c r="AJ1595" s="4" t="n">
        <v>0.15</v>
      </c>
      <c r="AK1595" s="3">
        <f>ROUND(AI1595*AJ1595,2)</f>
        <v/>
      </c>
      <c r="AL1595" s="3">
        <f>AI1595+AK1595</f>
        <v/>
      </c>
      <c r="AM1595" s="3">
        <f>AE1595-AL1595</f>
        <v/>
      </c>
      <c r="AN1595" s="4">
        <f>AM1595/AE1595</f>
        <v/>
      </c>
      <c r="AO1595" s="3" t="inlineStr">
        <is>
          <t>60 mins</t>
        </is>
      </c>
      <c r="AQ1595" s="3" t="inlineStr">
        <is>
          <t>Weight</t>
        </is>
      </c>
      <c r="AT1595" s="3" t="inlineStr">
        <is>
          <t>Inactive</t>
        </is>
      </c>
    </row>
    <row r="1596" ht="15.75" customHeight="1">
      <c r="A1596" s="3" t="inlineStr">
        <is>
          <t>PROD_0299</t>
        </is>
      </c>
      <c r="B1596" s="3" t="inlineStr">
        <is>
          <t>VAR_10</t>
        </is>
      </c>
      <c r="C1596" s="3" t="inlineStr">
        <is>
          <t>Plumbing</t>
        </is>
      </c>
      <c r="D1596" s="3" t="inlineStr">
        <is>
          <t>Pipes</t>
        </is>
      </c>
      <c r="E1596" s="3" t="inlineStr">
        <is>
          <t>Prince</t>
        </is>
      </c>
      <c r="F1596" s="3" t="inlineStr">
        <is>
          <t>SCH 40</t>
        </is>
      </c>
      <c r="H1596" s="3" t="inlineStr">
        <is>
          <t>Diameter</t>
        </is>
      </c>
      <c r="I1596" s="3" t="inlineStr">
        <is>
          <t>200 mm (8 inch)</t>
        </is>
      </c>
      <c r="J1596" s="3" t="inlineStr">
        <is>
          <t>Length</t>
        </is>
      </c>
      <c r="K1596" s="3" t="inlineStr">
        <is>
          <t>5 meter</t>
        </is>
      </c>
      <c r="Q1596" s="3" t="inlineStr">
        <is>
          <t>Manufacturer's Warranty</t>
        </is>
      </c>
      <c r="R1596" s="3" t="inlineStr">
        <is>
          <t>SIM205193</t>
        </is>
      </c>
      <c r="Y1596" s="3" t="inlineStr">
        <is>
          <t>PLB_PRNC_CPVC</t>
        </is>
      </c>
      <c r="Z1596" s="3" t="n">
        <v>3917</v>
      </c>
      <c r="AE1596" s="3" t="n">
        <v>34070</v>
      </c>
      <c r="AF1596" s="4" t="n">
        <v>0.37</v>
      </c>
      <c r="AG1596" s="3">
        <f>ROUND(AE1596-(AE1596*AF1596),2)</f>
        <v/>
      </c>
      <c r="AH1596" s="4" t="n">
        <v>0.18</v>
      </c>
      <c r="AI1596" s="3">
        <f>ROUND(AG1596+(AG1596*AH1596),2)</f>
        <v/>
      </c>
      <c r="AJ1596" s="4" t="n">
        <v>0.15</v>
      </c>
      <c r="AK1596" s="3">
        <f>ROUND(AI1596*AJ1596,2)</f>
        <v/>
      </c>
      <c r="AL1596" s="3">
        <f>AI1596+AK1596</f>
        <v/>
      </c>
      <c r="AM1596" s="3">
        <f>AE1596-AL1596</f>
        <v/>
      </c>
      <c r="AN1596" s="4">
        <f>AM1596/AE1596</f>
        <v/>
      </c>
      <c r="AO1596" s="3" t="inlineStr">
        <is>
          <t>60 mins</t>
        </is>
      </c>
      <c r="AQ1596" s="3" t="inlineStr">
        <is>
          <t>Weight</t>
        </is>
      </c>
      <c r="AT1596" s="3" t="inlineStr">
        <is>
          <t>Inactive</t>
        </is>
      </c>
    </row>
    <row r="1597" ht="15.75" customHeight="1">
      <c r="A1597" s="3" t="inlineStr">
        <is>
          <t>PROD_0300</t>
        </is>
      </c>
      <c r="B1597" s="3" t="inlineStr">
        <is>
          <t>VAR_1</t>
        </is>
      </c>
      <c r="C1597" s="3" t="inlineStr">
        <is>
          <t>Plumbing</t>
        </is>
      </c>
      <c r="D1597" s="3" t="inlineStr">
        <is>
          <t>Pipes</t>
        </is>
      </c>
      <c r="E1597" s="3" t="inlineStr">
        <is>
          <t>Prince</t>
        </is>
      </c>
      <c r="F1597" s="3" t="inlineStr">
        <is>
          <t>SCH 80</t>
        </is>
      </c>
      <c r="H1597" s="3" t="inlineStr">
        <is>
          <t>Diameter</t>
        </is>
      </c>
      <c r="I1597" s="3" t="inlineStr">
        <is>
          <t>65 mm (2.5 inch)</t>
        </is>
      </c>
      <c r="J1597" s="3" t="inlineStr">
        <is>
          <t>Length</t>
        </is>
      </c>
      <c r="K1597" s="3" t="inlineStr">
        <is>
          <t>3 meter</t>
        </is>
      </c>
      <c r="Q1597" s="3" t="inlineStr">
        <is>
          <t>Manufacturer's Warranty</t>
        </is>
      </c>
      <c r="R1597" s="3" t="inlineStr">
        <is>
          <t>SIM204975</t>
        </is>
      </c>
      <c r="Y1597" s="3" t="inlineStr">
        <is>
          <t>PLB_PRNC_CPVC</t>
        </is>
      </c>
      <c r="Z1597" s="3" t="n">
        <v>3917</v>
      </c>
      <c r="AE1597" s="3" t="n">
        <v>5286</v>
      </c>
      <c r="AF1597" s="4" t="n">
        <v>0.37</v>
      </c>
      <c r="AG1597" s="3">
        <f>ROUND(AE1597-(AE1597*AF1597),2)</f>
        <v/>
      </c>
      <c r="AH1597" s="4" t="n">
        <v>0.18</v>
      </c>
      <c r="AI1597" s="3">
        <f>ROUND(AG1597+(AG1597*AH1597),2)</f>
        <v/>
      </c>
      <c r="AJ1597" s="4" t="n">
        <v>0.15</v>
      </c>
      <c r="AK1597" s="3">
        <f>ROUND(AI1597*AJ1597,2)</f>
        <v/>
      </c>
      <c r="AL1597" s="3">
        <f>AI1597+AK1597</f>
        <v/>
      </c>
      <c r="AM1597" s="3">
        <f>AE1597-AL1597</f>
        <v/>
      </c>
      <c r="AN1597" s="4">
        <f>AM1597/AE1597</f>
        <v/>
      </c>
      <c r="AO1597" s="3" t="inlineStr">
        <is>
          <t>60 mins</t>
        </is>
      </c>
      <c r="AQ1597" s="3" t="inlineStr">
        <is>
          <t>Weight</t>
        </is>
      </c>
      <c r="AT1597" s="3" t="inlineStr">
        <is>
          <t>Inactive</t>
        </is>
      </c>
    </row>
    <row r="1598" ht="15.75" customHeight="1">
      <c r="A1598" s="3" t="inlineStr">
        <is>
          <t>PROD_0300</t>
        </is>
      </c>
      <c r="B1598" s="3" t="inlineStr">
        <is>
          <t>VAR_2</t>
        </is>
      </c>
      <c r="C1598" s="3" t="inlineStr">
        <is>
          <t>Plumbing</t>
        </is>
      </c>
      <c r="D1598" s="3" t="inlineStr">
        <is>
          <t>Pipes</t>
        </is>
      </c>
      <c r="E1598" s="3" t="inlineStr">
        <is>
          <t>Prince</t>
        </is>
      </c>
      <c r="F1598" s="3" t="inlineStr">
        <is>
          <t>SCH 80</t>
        </is>
      </c>
      <c r="H1598" s="3" t="inlineStr">
        <is>
          <t>Diameter</t>
        </is>
      </c>
      <c r="I1598" s="3" t="inlineStr">
        <is>
          <t>80 mm (3 inch)</t>
        </is>
      </c>
      <c r="J1598" s="3" t="inlineStr">
        <is>
          <t>Length</t>
        </is>
      </c>
      <c r="K1598" s="3" t="inlineStr">
        <is>
          <t>3 meter</t>
        </is>
      </c>
      <c r="Q1598" s="3" t="inlineStr">
        <is>
          <t>Manufacturer's Warranty</t>
        </is>
      </c>
      <c r="R1598" s="3" t="inlineStr">
        <is>
          <t>SIM204976</t>
        </is>
      </c>
      <c r="Y1598" s="3" t="inlineStr">
        <is>
          <t>PLB_PRNC_CPVC</t>
        </is>
      </c>
      <c r="Z1598" s="3" t="n">
        <v>3917</v>
      </c>
      <c r="AE1598" s="3" t="n">
        <v>7125</v>
      </c>
      <c r="AF1598" s="4" t="n">
        <v>0.37</v>
      </c>
      <c r="AG1598" s="3">
        <f>ROUND(AE1598-(AE1598*AF1598),2)</f>
        <v/>
      </c>
      <c r="AH1598" s="4" t="n">
        <v>0.18</v>
      </c>
      <c r="AI1598" s="3">
        <f>ROUND(AG1598+(AG1598*AH1598),2)</f>
        <v/>
      </c>
      <c r="AJ1598" s="4" t="n">
        <v>0.15</v>
      </c>
      <c r="AK1598" s="3">
        <f>ROUND(AI1598*AJ1598,2)</f>
        <v/>
      </c>
      <c r="AL1598" s="3">
        <f>AI1598+AK1598</f>
        <v/>
      </c>
      <c r="AM1598" s="3">
        <f>AE1598-AL1598</f>
        <v/>
      </c>
      <c r="AN1598" s="4">
        <f>AM1598/AE1598</f>
        <v/>
      </c>
      <c r="AO1598" s="3" t="inlineStr">
        <is>
          <t>60 mins</t>
        </is>
      </c>
      <c r="AQ1598" s="3" t="inlineStr">
        <is>
          <t>Weight</t>
        </is>
      </c>
      <c r="AT1598" s="3" t="inlineStr">
        <is>
          <t>Inactive</t>
        </is>
      </c>
    </row>
    <row r="1599" ht="15.75" customHeight="1">
      <c r="A1599" s="3" t="inlineStr">
        <is>
          <t>PROD_0300</t>
        </is>
      </c>
      <c r="B1599" s="3" t="inlineStr">
        <is>
          <t>VAR_3</t>
        </is>
      </c>
      <c r="C1599" s="3" t="inlineStr">
        <is>
          <t>Plumbing</t>
        </is>
      </c>
      <c r="D1599" s="3" t="inlineStr">
        <is>
          <t>Pipes</t>
        </is>
      </c>
      <c r="E1599" s="3" t="inlineStr">
        <is>
          <t>Prince</t>
        </is>
      </c>
      <c r="F1599" s="3" t="inlineStr">
        <is>
          <t>SCH 80</t>
        </is>
      </c>
      <c r="H1599" s="3" t="inlineStr">
        <is>
          <t>Diameter</t>
        </is>
      </c>
      <c r="I1599" s="3" t="inlineStr">
        <is>
          <t>100 mm (4 inch)</t>
        </is>
      </c>
      <c r="J1599" s="3" t="inlineStr">
        <is>
          <t>Length</t>
        </is>
      </c>
      <c r="K1599" s="3" t="inlineStr">
        <is>
          <t>3 meter</t>
        </is>
      </c>
      <c r="Q1599" s="3" t="inlineStr">
        <is>
          <t>Manufacturer's Warranty</t>
        </is>
      </c>
      <c r="R1599" s="3" t="inlineStr">
        <is>
          <t>SIM204977</t>
        </is>
      </c>
      <c r="Y1599" s="3" t="inlineStr">
        <is>
          <t>PLB_PRNC_CPVC</t>
        </is>
      </c>
      <c r="Z1599" s="3" t="n">
        <v>3917</v>
      </c>
      <c r="AE1599" s="3" t="n">
        <v>10383</v>
      </c>
      <c r="AF1599" s="4" t="n">
        <v>0.37</v>
      </c>
      <c r="AG1599" s="3">
        <f>ROUND(AE1599-(AE1599*AF1599),2)</f>
        <v/>
      </c>
      <c r="AH1599" s="4" t="n">
        <v>0.18</v>
      </c>
      <c r="AI1599" s="3">
        <f>ROUND(AG1599+(AG1599*AH1599),2)</f>
        <v/>
      </c>
      <c r="AJ1599" s="4" t="n">
        <v>0.15</v>
      </c>
      <c r="AK1599" s="3">
        <f>ROUND(AI1599*AJ1599,2)</f>
        <v/>
      </c>
      <c r="AL1599" s="3">
        <f>AI1599+AK1599</f>
        <v/>
      </c>
      <c r="AM1599" s="3">
        <f>AE1599-AL1599</f>
        <v/>
      </c>
      <c r="AN1599" s="4">
        <f>AM1599/AE1599</f>
        <v/>
      </c>
      <c r="AO1599" s="3" t="inlineStr">
        <is>
          <t>60 mins</t>
        </is>
      </c>
      <c r="AQ1599" s="3" t="inlineStr">
        <is>
          <t>Weight</t>
        </is>
      </c>
      <c r="AT1599" s="3" t="inlineStr">
        <is>
          <t>Inactive</t>
        </is>
      </c>
    </row>
    <row r="1600" ht="15.75" customHeight="1">
      <c r="A1600" s="3" t="inlineStr">
        <is>
          <t>PROD_0300</t>
        </is>
      </c>
      <c r="B1600" s="3" t="inlineStr">
        <is>
          <t>VAR_4</t>
        </is>
      </c>
      <c r="C1600" s="3" t="inlineStr">
        <is>
          <t>Plumbing</t>
        </is>
      </c>
      <c r="D1600" s="3" t="inlineStr">
        <is>
          <t>Pipes</t>
        </is>
      </c>
      <c r="E1600" s="3" t="inlineStr">
        <is>
          <t>Prince</t>
        </is>
      </c>
      <c r="F1600" s="3" t="inlineStr">
        <is>
          <t>SCH 80</t>
        </is>
      </c>
      <c r="H1600" s="3" t="inlineStr">
        <is>
          <t>Diameter</t>
        </is>
      </c>
      <c r="I1600" s="3" t="inlineStr">
        <is>
          <t>150 mm (6 inch)</t>
        </is>
      </c>
      <c r="J1600" s="3" t="inlineStr">
        <is>
          <t>Length</t>
        </is>
      </c>
      <c r="K1600" s="3" t="inlineStr">
        <is>
          <t>3 meter</t>
        </is>
      </c>
      <c r="Q1600" s="3" t="inlineStr">
        <is>
          <t>Manufacturer's Warranty</t>
        </is>
      </c>
      <c r="R1600" s="3" t="inlineStr">
        <is>
          <t>SIM204990</t>
        </is>
      </c>
      <c r="Y1600" s="3" t="inlineStr">
        <is>
          <t>PLB_PRNC_CPVC</t>
        </is>
      </c>
      <c r="Z1600" s="3" t="n">
        <v>3917</v>
      </c>
      <c r="AE1600" s="3" t="n">
        <v>21207</v>
      </c>
      <c r="AF1600" s="4" t="n">
        <v>0.37</v>
      </c>
      <c r="AG1600" s="3">
        <f>ROUND(AE1600-(AE1600*AF1600),2)</f>
        <v/>
      </c>
      <c r="AH1600" s="4" t="n">
        <v>0.18</v>
      </c>
      <c r="AI1600" s="3">
        <f>ROUND(AG1600+(AG1600*AH1600),2)</f>
        <v/>
      </c>
      <c r="AJ1600" s="4" t="n">
        <v>0.15</v>
      </c>
      <c r="AK1600" s="3">
        <f>ROUND(AI1600*AJ1600,2)</f>
        <v/>
      </c>
      <c r="AL1600" s="3">
        <f>AI1600+AK1600</f>
        <v/>
      </c>
      <c r="AM1600" s="3">
        <f>AE1600-AL1600</f>
        <v/>
      </c>
      <c r="AN1600" s="4">
        <f>AM1600/AE1600</f>
        <v/>
      </c>
      <c r="AO1600" s="3" t="inlineStr">
        <is>
          <t>60 mins</t>
        </is>
      </c>
      <c r="AQ1600" s="3" t="inlineStr">
        <is>
          <t>Weight</t>
        </is>
      </c>
      <c r="AT1600" s="3" t="inlineStr">
        <is>
          <t>Inactive</t>
        </is>
      </c>
    </row>
    <row r="1601" ht="15.75" customHeight="1">
      <c r="A1601" s="3" t="inlineStr">
        <is>
          <t>PROD_0300</t>
        </is>
      </c>
      <c r="B1601" s="3" t="inlineStr">
        <is>
          <t>VAR_5</t>
        </is>
      </c>
      <c r="C1601" s="3" t="inlineStr">
        <is>
          <t>Plumbing</t>
        </is>
      </c>
      <c r="D1601" s="3" t="inlineStr">
        <is>
          <t>Pipes</t>
        </is>
      </c>
      <c r="E1601" s="3" t="inlineStr">
        <is>
          <t>Prince</t>
        </is>
      </c>
      <c r="F1601" s="3" t="inlineStr">
        <is>
          <t>SCH 80</t>
        </is>
      </c>
      <c r="H1601" s="3" t="inlineStr">
        <is>
          <t>Diameter</t>
        </is>
      </c>
      <c r="I1601" s="3" t="inlineStr">
        <is>
          <t>200 mm (8 inch)</t>
        </is>
      </c>
      <c r="J1601" s="3" t="inlineStr">
        <is>
          <t>Length</t>
        </is>
      </c>
      <c r="K1601" s="3" t="inlineStr">
        <is>
          <t>3 meter</t>
        </is>
      </c>
      <c r="Q1601" s="3" t="inlineStr">
        <is>
          <t>Manufacturer's Warranty</t>
        </is>
      </c>
      <c r="R1601" s="3" t="inlineStr">
        <is>
          <t xml:space="preserve">SIM205000 </t>
        </is>
      </c>
      <c r="Y1601" s="3" t="inlineStr">
        <is>
          <t>PLB_PRNC_CPVC</t>
        </is>
      </c>
      <c r="Z1601" s="3" t="n">
        <v>3917</v>
      </c>
      <c r="AE1601" s="3" t="n">
        <v>33531</v>
      </c>
      <c r="AF1601" s="4" t="n">
        <v>0.37</v>
      </c>
      <c r="AG1601" s="3">
        <f>ROUND(AE1601-(AE1601*AF1601),2)</f>
        <v/>
      </c>
      <c r="AH1601" s="4" t="n">
        <v>0.18</v>
      </c>
      <c r="AI1601" s="3">
        <f>ROUND(AG1601+(AG1601*AH1601),2)</f>
        <v/>
      </c>
      <c r="AJ1601" s="4" t="n">
        <v>0.15</v>
      </c>
      <c r="AK1601" s="3">
        <f>ROUND(AI1601*AJ1601,2)</f>
        <v/>
      </c>
      <c r="AL1601" s="3">
        <f>AI1601+AK1601</f>
        <v/>
      </c>
      <c r="AM1601" s="3">
        <f>AE1601-AL1601</f>
        <v/>
      </c>
      <c r="AN1601" s="4">
        <f>AM1601/AE1601</f>
        <v/>
      </c>
      <c r="AO1601" s="3" t="inlineStr">
        <is>
          <t>60 mins</t>
        </is>
      </c>
      <c r="AQ1601" s="3" t="inlineStr">
        <is>
          <t>Weight</t>
        </is>
      </c>
      <c r="AT1601" s="3" t="inlineStr">
        <is>
          <t>Inactive</t>
        </is>
      </c>
    </row>
    <row r="1602" ht="15.75" customHeight="1">
      <c r="A1602" s="3" t="inlineStr">
        <is>
          <t>PROD_0300</t>
        </is>
      </c>
      <c r="B1602" s="3" t="inlineStr">
        <is>
          <t>VAR_6</t>
        </is>
      </c>
      <c r="C1602" s="3" t="inlineStr">
        <is>
          <t>Plumbing</t>
        </is>
      </c>
      <c r="D1602" s="3" t="inlineStr">
        <is>
          <t>Pipes</t>
        </is>
      </c>
      <c r="E1602" s="3" t="inlineStr">
        <is>
          <t>Prince</t>
        </is>
      </c>
      <c r="F1602" s="3" t="inlineStr">
        <is>
          <t>SCH 80</t>
        </is>
      </c>
      <c r="H1602" s="3" t="inlineStr">
        <is>
          <t>Diameter</t>
        </is>
      </c>
      <c r="I1602" s="3" t="inlineStr">
        <is>
          <t>250 mm (10 inch)</t>
        </is>
      </c>
      <c r="J1602" s="3" t="inlineStr">
        <is>
          <t>Length</t>
        </is>
      </c>
      <c r="K1602" s="3" t="inlineStr">
        <is>
          <t>3 meter</t>
        </is>
      </c>
      <c r="Q1602" s="3" t="inlineStr">
        <is>
          <t>Manufacturer's Warranty</t>
        </is>
      </c>
      <c r="R1602" s="3" t="inlineStr">
        <is>
          <t>SIM204993</t>
        </is>
      </c>
      <c r="Y1602" s="3" t="inlineStr">
        <is>
          <t>PLB_PRNC_CPVC</t>
        </is>
      </c>
      <c r="Z1602" s="3" t="n">
        <v>3917</v>
      </c>
      <c r="AE1602" s="3" t="n">
        <v>42150</v>
      </c>
      <c r="AF1602" s="4" t="n">
        <v>0.37</v>
      </c>
      <c r="AG1602" s="3">
        <f>ROUND(AE1602-(AE1602*AF1602),2)</f>
        <v/>
      </c>
      <c r="AH1602" s="4" t="n">
        <v>0.18</v>
      </c>
      <c r="AI1602" s="3">
        <f>ROUND(AG1602+(AG1602*AH1602),2)</f>
        <v/>
      </c>
      <c r="AJ1602" s="4" t="n">
        <v>0.15</v>
      </c>
      <c r="AK1602" s="3">
        <f>ROUND(AI1602*AJ1602,2)</f>
        <v/>
      </c>
      <c r="AL1602" s="3">
        <f>AI1602+AK1602</f>
        <v/>
      </c>
      <c r="AM1602" s="3">
        <f>AE1602-AL1602</f>
        <v/>
      </c>
      <c r="AN1602" s="4">
        <f>AM1602/AE1602</f>
        <v/>
      </c>
      <c r="AO1602" s="3" t="inlineStr">
        <is>
          <t>60 mins</t>
        </is>
      </c>
      <c r="AQ1602" s="3" t="inlineStr">
        <is>
          <t>Weight</t>
        </is>
      </c>
      <c r="AT1602" s="3" t="inlineStr">
        <is>
          <t>Inactive</t>
        </is>
      </c>
    </row>
    <row r="1603" ht="15.75" customHeight="1">
      <c r="A1603" s="3" t="inlineStr">
        <is>
          <t>PROD_0300</t>
        </is>
      </c>
      <c r="B1603" s="3" t="inlineStr">
        <is>
          <t>VAR_7</t>
        </is>
      </c>
      <c r="C1603" s="3" t="inlineStr">
        <is>
          <t>Plumbing</t>
        </is>
      </c>
      <c r="D1603" s="3" t="inlineStr">
        <is>
          <t>Pipes</t>
        </is>
      </c>
      <c r="E1603" s="3" t="inlineStr">
        <is>
          <t>Prince</t>
        </is>
      </c>
      <c r="F1603" s="3" t="inlineStr">
        <is>
          <t>SCH 80</t>
        </is>
      </c>
      <c r="H1603" s="3" t="inlineStr">
        <is>
          <t>Diameter</t>
        </is>
      </c>
      <c r="I1603" s="3" t="inlineStr">
        <is>
          <t>65 mm (2.5 inch)</t>
        </is>
      </c>
      <c r="J1603" s="3" t="inlineStr">
        <is>
          <t>Length</t>
        </is>
      </c>
      <c r="K1603" s="3" t="inlineStr">
        <is>
          <t>5 meter</t>
        </is>
      </c>
      <c r="Q1603" s="3" t="inlineStr">
        <is>
          <t>Manufacturer's Warranty</t>
        </is>
      </c>
      <c r="R1603" s="3" t="inlineStr">
        <is>
          <t>SIM204981</t>
        </is>
      </c>
      <c r="Y1603" s="3" t="inlineStr">
        <is>
          <t>PLB_PRNC_CPVC</t>
        </is>
      </c>
      <c r="Z1603" s="3" t="n">
        <v>3917</v>
      </c>
      <c r="AE1603" s="3" t="n">
        <v>8810</v>
      </c>
      <c r="AF1603" s="4" t="n">
        <v>0.37</v>
      </c>
      <c r="AG1603" s="3">
        <f>ROUND(AE1603-(AE1603*AF1603),2)</f>
        <v/>
      </c>
      <c r="AH1603" s="4" t="n">
        <v>0.18</v>
      </c>
      <c r="AI1603" s="3">
        <f>ROUND(AG1603+(AG1603*AH1603),2)</f>
        <v/>
      </c>
      <c r="AJ1603" s="4" t="n">
        <v>0.15</v>
      </c>
      <c r="AK1603" s="3">
        <f>ROUND(AI1603*AJ1603,2)</f>
        <v/>
      </c>
      <c r="AL1603" s="3">
        <f>AI1603+AK1603</f>
        <v/>
      </c>
      <c r="AM1603" s="3">
        <f>AE1603-AL1603</f>
        <v/>
      </c>
      <c r="AN1603" s="4">
        <f>AM1603/AE1603</f>
        <v/>
      </c>
      <c r="AO1603" s="3" t="inlineStr">
        <is>
          <t>60 mins</t>
        </is>
      </c>
      <c r="AQ1603" s="3" t="inlineStr">
        <is>
          <t>Weight</t>
        </is>
      </c>
      <c r="AT1603" s="3" t="inlineStr">
        <is>
          <t>Inactive</t>
        </is>
      </c>
    </row>
    <row r="1604" ht="15.75" customHeight="1">
      <c r="A1604" s="3" t="inlineStr">
        <is>
          <t>PROD_0300</t>
        </is>
      </c>
      <c r="B1604" s="3" t="inlineStr">
        <is>
          <t>VAR_8</t>
        </is>
      </c>
      <c r="C1604" s="3" t="inlineStr">
        <is>
          <t>Plumbing</t>
        </is>
      </c>
      <c r="D1604" s="3" t="inlineStr">
        <is>
          <t>Pipes</t>
        </is>
      </c>
      <c r="E1604" s="3" t="inlineStr">
        <is>
          <t>Prince</t>
        </is>
      </c>
      <c r="F1604" s="3" t="inlineStr">
        <is>
          <t>SCH 80</t>
        </is>
      </c>
      <c r="H1604" s="3" t="inlineStr">
        <is>
          <t>Diameter</t>
        </is>
      </c>
      <c r="I1604" s="3" t="inlineStr">
        <is>
          <t>80 mm (3 inch)</t>
        </is>
      </c>
      <c r="J1604" s="3" t="inlineStr">
        <is>
          <t>Length</t>
        </is>
      </c>
      <c r="K1604" s="3" t="inlineStr">
        <is>
          <t>5 meter</t>
        </is>
      </c>
      <c r="Q1604" s="3" t="inlineStr">
        <is>
          <t>Manufacturer's Warranty</t>
        </is>
      </c>
      <c r="R1604" s="3" t="inlineStr">
        <is>
          <t>SIM204982</t>
        </is>
      </c>
      <c r="Y1604" s="3" t="inlineStr">
        <is>
          <t>PLB_PRNC_CPVC</t>
        </is>
      </c>
      <c r="Z1604" s="3" t="n">
        <v>3917</v>
      </c>
      <c r="AE1604" s="3" t="n">
        <v>11875</v>
      </c>
      <c r="AF1604" s="4" t="n">
        <v>0.37</v>
      </c>
      <c r="AG1604" s="3">
        <f>ROUND(AE1604-(AE1604*AF1604),2)</f>
        <v/>
      </c>
      <c r="AH1604" s="4" t="n">
        <v>0.18</v>
      </c>
      <c r="AI1604" s="3">
        <f>ROUND(AG1604+(AG1604*AH1604),2)</f>
        <v/>
      </c>
      <c r="AJ1604" s="4" t="n">
        <v>0.15</v>
      </c>
      <c r="AK1604" s="3">
        <f>ROUND(AI1604*AJ1604,2)</f>
        <v/>
      </c>
      <c r="AL1604" s="3">
        <f>AI1604+AK1604</f>
        <v/>
      </c>
      <c r="AM1604" s="3">
        <f>AE1604-AL1604</f>
        <v/>
      </c>
      <c r="AN1604" s="4">
        <f>AM1604/AE1604</f>
        <v/>
      </c>
      <c r="AO1604" s="3" t="inlineStr">
        <is>
          <t>60 mins</t>
        </is>
      </c>
      <c r="AQ1604" s="3" t="inlineStr">
        <is>
          <t>Weight</t>
        </is>
      </c>
      <c r="AT1604" s="3" t="inlineStr">
        <is>
          <t>Inactive</t>
        </is>
      </c>
    </row>
    <row r="1605" ht="15.75" customHeight="1">
      <c r="A1605" s="3" t="inlineStr">
        <is>
          <t>PROD_0300</t>
        </is>
      </c>
      <c r="B1605" s="3" t="inlineStr">
        <is>
          <t>VAR_9</t>
        </is>
      </c>
      <c r="C1605" s="3" t="inlineStr">
        <is>
          <t>Plumbing</t>
        </is>
      </c>
      <c r="D1605" s="3" t="inlineStr">
        <is>
          <t>Pipes</t>
        </is>
      </c>
      <c r="E1605" s="3" t="inlineStr">
        <is>
          <t>Prince</t>
        </is>
      </c>
      <c r="F1605" s="3" t="inlineStr">
        <is>
          <t>SCH 80</t>
        </is>
      </c>
      <c r="H1605" s="3" t="inlineStr">
        <is>
          <t>Diameter</t>
        </is>
      </c>
      <c r="I1605" s="3" t="inlineStr">
        <is>
          <t>100 mm (4 inch)</t>
        </is>
      </c>
      <c r="J1605" s="3" t="inlineStr">
        <is>
          <t>Length</t>
        </is>
      </c>
      <c r="K1605" s="3" t="inlineStr">
        <is>
          <t>5 meter</t>
        </is>
      </c>
      <c r="Q1605" s="3" t="inlineStr">
        <is>
          <t>Manufacturer's Warranty</t>
        </is>
      </c>
      <c r="R1605" s="3" t="inlineStr">
        <is>
          <t>SIM204983</t>
        </is>
      </c>
      <c r="Y1605" s="3" t="inlineStr">
        <is>
          <t>PLB_PRNC_CPVC</t>
        </is>
      </c>
      <c r="Z1605" s="3" t="n">
        <v>3917</v>
      </c>
      <c r="AE1605" s="3" t="n">
        <v>17305</v>
      </c>
      <c r="AF1605" s="4" t="n">
        <v>0.37</v>
      </c>
      <c r="AG1605" s="3">
        <f>ROUND(AE1605-(AE1605*AF1605),2)</f>
        <v/>
      </c>
      <c r="AH1605" s="4" t="n">
        <v>0.18</v>
      </c>
      <c r="AI1605" s="3">
        <f>ROUND(AG1605+(AG1605*AH1605),2)</f>
        <v/>
      </c>
      <c r="AJ1605" s="4" t="n">
        <v>0.15</v>
      </c>
      <c r="AK1605" s="3">
        <f>ROUND(AI1605*AJ1605,2)</f>
        <v/>
      </c>
      <c r="AL1605" s="3">
        <f>AI1605+AK1605</f>
        <v/>
      </c>
      <c r="AM1605" s="3">
        <f>AE1605-AL1605</f>
        <v/>
      </c>
      <c r="AN1605" s="4">
        <f>AM1605/AE1605</f>
        <v/>
      </c>
      <c r="AO1605" s="3" t="inlineStr">
        <is>
          <t>60 mins</t>
        </is>
      </c>
      <c r="AQ1605" s="3" t="inlineStr">
        <is>
          <t>Weight</t>
        </is>
      </c>
      <c r="AT1605" s="3" t="inlineStr">
        <is>
          <t>Inactive</t>
        </is>
      </c>
    </row>
    <row r="1606" ht="15.75" customHeight="1">
      <c r="A1606" s="3" t="inlineStr">
        <is>
          <t>PROD_0300</t>
        </is>
      </c>
      <c r="B1606" s="3" t="inlineStr">
        <is>
          <t>VAR_10</t>
        </is>
      </c>
      <c r="C1606" s="3" t="inlineStr">
        <is>
          <t>Plumbing</t>
        </is>
      </c>
      <c r="D1606" s="3" t="inlineStr">
        <is>
          <t>Pipes</t>
        </is>
      </c>
      <c r="E1606" s="3" t="inlineStr">
        <is>
          <t>Prince</t>
        </is>
      </c>
      <c r="F1606" s="3" t="inlineStr">
        <is>
          <t>SCH 80</t>
        </is>
      </c>
      <c r="H1606" s="3" t="inlineStr">
        <is>
          <t>Diameter</t>
        </is>
      </c>
      <c r="I1606" s="3" t="inlineStr">
        <is>
          <t>150 mm (6 inch)</t>
        </is>
      </c>
      <c r="J1606" s="3" t="inlineStr">
        <is>
          <t>Length</t>
        </is>
      </c>
      <c r="K1606" s="3" t="inlineStr">
        <is>
          <t>5 meter</t>
        </is>
      </c>
      <c r="Q1606" s="3" t="inlineStr">
        <is>
          <t>Manufacturer's Warranty</t>
        </is>
      </c>
      <c r="R1606" s="3" t="inlineStr">
        <is>
          <t>SIM205135</t>
        </is>
      </c>
      <c r="Y1606" s="3" t="inlineStr">
        <is>
          <t>PLB_PRNC_CPVC</t>
        </is>
      </c>
      <c r="Z1606" s="3" t="n">
        <v>3917</v>
      </c>
      <c r="AE1606" s="3" t="n">
        <v>35345</v>
      </c>
      <c r="AF1606" s="4" t="n">
        <v>0.37</v>
      </c>
      <c r="AG1606" s="3">
        <f>ROUND(AE1606-(AE1606*AF1606),2)</f>
        <v/>
      </c>
      <c r="AH1606" s="4" t="n">
        <v>0.18</v>
      </c>
      <c r="AI1606" s="3">
        <f>ROUND(AG1606+(AG1606*AH1606),2)</f>
        <v/>
      </c>
      <c r="AJ1606" s="4" t="n">
        <v>0.15</v>
      </c>
      <c r="AK1606" s="3">
        <f>ROUND(AI1606*AJ1606,2)</f>
        <v/>
      </c>
      <c r="AL1606" s="3">
        <f>AI1606+AK1606</f>
        <v/>
      </c>
      <c r="AM1606" s="3">
        <f>AE1606-AL1606</f>
        <v/>
      </c>
      <c r="AN1606" s="4">
        <f>AM1606/AE1606</f>
        <v/>
      </c>
      <c r="AO1606" s="3" t="inlineStr">
        <is>
          <t>60 mins</t>
        </is>
      </c>
      <c r="AQ1606" s="3" t="inlineStr">
        <is>
          <t>Weight</t>
        </is>
      </c>
      <c r="AT1606" s="3" t="inlineStr">
        <is>
          <t>Inactive</t>
        </is>
      </c>
    </row>
    <row r="1607" ht="15.75" customHeight="1">
      <c r="A1607" s="3" t="inlineStr">
        <is>
          <t>PROD_0300</t>
        </is>
      </c>
      <c r="B1607" s="3" t="inlineStr">
        <is>
          <t>VAR_11</t>
        </is>
      </c>
      <c r="C1607" s="3" t="inlineStr">
        <is>
          <t>Plumbing</t>
        </is>
      </c>
      <c r="D1607" s="3" t="inlineStr">
        <is>
          <t>Pipes</t>
        </is>
      </c>
      <c r="E1607" s="3" t="inlineStr">
        <is>
          <t>Prince</t>
        </is>
      </c>
      <c r="F1607" s="3" t="inlineStr">
        <is>
          <t>SCH 80</t>
        </is>
      </c>
      <c r="H1607" s="3" t="inlineStr">
        <is>
          <t>Diameter</t>
        </is>
      </c>
      <c r="I1607" s="3" t="inlineStr">
        <is>
          <t>200 mm (8 inch)</t>
        </is>
      </c>
      <c r="J1607" s="3" t="inlineStr">
        <is>
          <t>Length</t>
        </is>
      </c>
      <c r="K1607" s="3" t="inlineStr">
        <is>
          <t>5 meter</t>
        </is>
      </c>
      <c r="Q1607" s="3" t="inlineStr">
        <is>
          <t>Manufacturer's Warranty</t>
        </is>
      </c>
      <c r="R1607" s="3" t="inlineStr">
        <is>
          <t xml:space="preserve">SIM205406 </t>
        </is>
      </c>
      <c r="Y1607" s="3" t="inlineStr">
        <is>
          <t>PLB_PRNC_CPVC</t>
        </is>
      </c>
      <c r="Z1607" s="3" t="n">
        <v>3917</v>
      </c>
      <c r="AE1607" s="3" t="n">
        <v>55885</v>
      </c>
      <c r="AF1607" s="4" t="n">
        <v>0.37</v>
      </c>
      <c r="AG1607" s="3">
        <f>ROUND(AE1607-(AE1607*AF1607),2)</f>
        <v/>
      </c>
      <c r="AH1607" s="4" t="n">
        <v>0.18</v>
      </c>
      <c r="AI1607" s="3">
        <f>ROUND(AG1607+(AG1607*AH1607),2)</f>
        <v/>
      </c>
      <c r="AJ1607" s="4" t="n">
        <v>0.15</v>
      </c>
      <c r="AK1607" s="3">
        <f>ROUND(AI1607*AJ1607,2)</f>
        <v/>
      </c>
      <c r="AL1607" s="3">
        <f>AI1607+AK1607</f>
        <v/>
      </c>
      <c r="AM1607" s="3">
        <f>AE1607-AL1607</f>
        <v/>
      </c>
      <c r="AN1607" s="4">
        <f>AM1607/AE1607</f>
        <v/>
      </c>
      <c r="AO1607" s="3" t="inlineStr">
        <is>
          <t>60 mins</t>
        </is>
      </c>
      <c r="AQ1607" s="3" t="inlineStr">
        <is>
          <t>Weight</t>
        </is>
      </c>
      <c r="AT1607" s="3" t="inlineStr">
        <is>
          <t>Inactive</t>
        </is>
      </c>
    </row>
    <row r="1608" ht="15.75" customHeight="1">
      <c r="A1608" s="3" t="inlineStr">
        <is>
          <t>PROD_0300</t>
        </is>
      </c>
      <c r="B1608" s="3" t="inlineStr">
        <is>
          <t>VAR_12</t>
        </is>
      </c>
      <c r="C1608" s="3" t="inlineStr">
        <is>
          <t>Plumbing</t>
        </is>
      </c>
      <c r="D1608" s="3" t="inlineStr">
        <is>
          <t>Pipes</t>
        </is>
      </c>
      <c r="E1608" s="3" t="inlineStr">
        <is>
          <t>Prince</t>
        </is>
      </c>
      <c r="F1608" s="3" t="inlineStr">
        <is>
          <t>SCH 80</t>
        </is>
      </c>
      <c r="H1608" s="3" t="inlineStr">
        <is>
          <t>Diameter</t>
        </is>
      </c>
      <c r="I1608" s="3" t="inlineStr">
        <is>
          <t>250 mm (10 inch)</t>
        </is>
      </c>
      <c r="J1608" s="3" t="inlineStr">
        <is>
          <t>Length</t>
        </is>
      </c>
      <c r="K1608" s="3" t="inlineStr">
        <is>
          <t>5 meter</t>
        </is>
      </c>
      <c r="Q1608" s="3" t="inlineStr">
        <is>
          <t>Manufacturer's Warranty</t>
        </is>
      </c>
      <c r="R1608" s="3" t="inlineStr">
        <is>
          <t>SIM205434</t>
        </is>
      </c>
      <c r="Y1608" s="3" t="inlineStr">
        <is>
          <t>PLB_PRNC_CPVC</t>
        </is>
      </c>
      <c r="Z1608" s="3" t="n">
        <v>3917</v>
      </c>
      <c r="AE1608" s="3" t="n">
        <v>70250</v>
      </c>
      <c r="AF1608" s="4" t="n">
        <v>0.37</v>
      </c>
      <c r="AG1608" s="3">
        <f>ROUND(AE1608-(AE1608*AF1608),2)</f>
        <v/>
      </c>
      <c r="AH1608" s="4" t="n">
        <v>0.18</v>
      </c>
      <c r="AI1608" s="3">
        <f>ROUND(AG1608+(AG1608*AH1608),2)</f>
        <v/>
      </c>
      <c r="AJ1608" s="4" t="n">
        <v>0.15</v>
      </c>
      <c r="AK1608" s="3">
        <f>ROUND(AI1608*AJ1608,2)</f>
        <v/>
      </c>
      <c r="AL1608" s="3">
        <f>AI1608+AK1608</f>
        <v/>
      </c>
      <c r="AM1608" s="3">
        <f>AE1608-AL1608</f>
        <v/>
      </c>
      <c r="AN1608" s="4">
        <f>AM1608/AE1608</f>
        <v/>
      </c>
      <c r="AO1608" s="3" t="inlineStr">
        <is>
          <t>60 mins</t>
        </is>
      </c>
      <c r="AQ1608" s="3" t="inlineStr">
        <is>
          <t>Weight</t>
        </is>
      </c>
      <c r="AT1608" s="3" t="inlineStr">
        <is>
          <t>Inactive</t>
        </is>
      </c>
    </row>
    <row r="1609" ht="15.75" customHeight="1">
      <c r="A1609" s="3" t="inlineStr">
        <is>
          <t>PROD_0301</t>
        </is>
      </c>
      <c r="B1609" s="3" t="inlineStr">
        <is>
          <t>VAR_1</t>
        </is>
      </c>
      <c r="C1609" s="3" t="inlineStr">
        <is>
          <t>Plumbing</t>
        </is>
      </c>
      <c r="D1609" s="3" t="inlineStr">
        <is>
          <t>Bends &amp; Connectors</t>
        </is>
      </c>
      <c r="E1609" s="3" t="inlineStr">
        <is>
          <t>Astral</t>
        </is>
      </c>
      <c r="F1609" s="3" t="inlineStr">
        <is>
          <t>Coupler (SOC)</t>
        </is>
      </c>
      <c r="H1609" s="3" t="inlineStr">
        <is>
          <t>Diameter</t>
        </is>
      </c>
      <c r="I1609" s="3" t="inlineStr">
        <is>
          <t>15 mm (.5 inch)</t>
        </is>
      </c>
      <c r="Q1609" s="3" t="inlineStr">
        <is>
          <t>Manufacturer's Warranty</t>
        </is>
      </c>
      <c r="R1609" s="3" t="inlineStr">
        <is>
          <t>M512111001^</t>
        </is>
      </c>
      <c r="Y1609" s="3" t="inlineStr">
        <is>
          <t>PLB_AST_CPLR</t>
        </is>
      </c>
      <c r="Z1609" s="3" t="n">
        <v>3917</v>
      </c>
      <c r="AE1609" s="3" t="n">
        <v>21</v>
      </c>
      <c r="AF1609" s="4" t="n">
        <v>0.5</v>
      </c>
      <c r="AG1609" s="3">
        <f>ROUND(AE1609-(AE1609*AF1609),2)</f>
        <v/>
      </c>
      <c r="AH1609" s="4" t="n">
        <v>0.18</v>
      </c>
      <c r="AI1609" s="3">
        <f>ROUND(AG1609+(AG1609*AH1609),2)</f>
        <v/>
      </c>
      <c r="AJ1609" s="4" t="n">
        <v>0.15</v>
      </c>
      <c r="AK1609" s="3">
        <f>ROUND(AI1609*AJ1609,2)</f>
        <v/>
      </c>
      <c r="AL1609" s="3">
        <f>AI1609+AK1609</f>
        <v/>
      </c>
      <c r="AM1609" s="3">
        <f>AE1609-AL1609</f>
        <v/>
      </c>
      <c r="AN1609" s="4">
        <f>AM1609/AE1609</f>
        <v/>
      </c>
      <c r="AO1609" s="3" t="inlineStr">
        <is>
          <t>60 mins</t>
        </is>
      </c>
      <c r="AQ1609" s="3" t="inlineStr">
        <is>
          <t>Weight</t>
        </is>
      </c>
      <c r="AT1609" s="3" t="inlineStr">
        <is>
          <t>Active</t>
        </is>
      </c>
    </row>
    <row r="1610" ht="15.75" customHeight="1">
      <c r="A1610" s="3" t="inlineStr">
        <is>
          <t>PROD_0301</t>
        </is>
      </c>
      <c r="B1610" s="3" t="inlineStr">
        <is>
          <t>VAR_2</t>
        </is>
      </c>
      <c r="C1610" s="3" t="inlineStr">
        <is>
          <t>Plumbing</t>
        </is>
      </c>
      <c r="D1610" s="3" t="inlineStr">
        <is>
          <t>Bends &amp; Connectors</t>
        </is>
      </c>
      <c r="E1610" s="3" t="inlineStr">
        <is>
          <t>Astral</t>
        </is>
      </c>
      <c r="F1610" s="3" t="inlineStr">
        <is>
          <t>Coupler (SOC)</t>
        </is>
      </c>
      <c r="H1610" s="3" t="inlineStr">
        <is>
          <t>Diameter</t>
        </is>
      </c>
      <c r="I1610" s="3" t="inlineStr">
        <is>
          <t>20 mm (.75 inch)</t>
        </is>
      </c>
      <c r="Q1610" s="3" t="inlineStr">
        <is>
          <t>Manufacturer's Warranty</t>
        </is>
      </c>
      <c r="R1610" s="3" t="inlineStr">
        <is>
          <t>M512111002^</t>
        </is>
      </c>
      <c r="Y1610" s="3" t="inlineStr">
        <is>
          <t>PLB_AST_CPLR</t>
        </is>
      </c>
      <c r="Z1610" s="3" t="n">
        <v>3917</v>
      </c>
      <c r="AE1610" s="3" t="n">
        <v>2</v>
      </c>
      <c r="AF1610" s="4" t="n">
        <v>0.5</v>
      </c>
      <c r="AG1610" s="3">
        <f>ROUND(AE1610-(AE1610*AF1610),2)</f>
        <v/>
      </c>
      <c r="AH1610" s="4" t="n">
        <v>0.18</v>
      </c>
      <c r="AI1610" s="3">
        <f>ROUND(AG1610+(AG1610*AH1610),2)</f>
        <v/>
      </c>
      <c r="AJ1610" s="4" t="n">
        <v>0.15</v>
      </c>
      <c r="AK1610" s="3">
        <f>ROUND(AI1610*AJ1610,2)</f>
        <v/>
      </c>
      <c r="AL1610" s="3">
        <f>AI1610+AK1610</f>
        <v/>
      </c>
      <c r="AM1610" s="3">
        <f>AE1610-AL1610</f>
        <v/>
      </c>
      <c r="AN1610" s="4">
        <f>AM1610/AE1610</f>
        <v/>
      </c>
      <c r="AO1610" s="3" t="inlineStr">
        <is>
          <t>60 mins</t>
        </is>
      </c>
      <c r="AQ1610" s="3" t="inlineStr">
        <is>
          <t>Weight</t>
        </is>
      </c>
      <c r="AT1610" s="3" t="inlineStr">
        <is>
          <t>Active</t>
        </is>
      </c>
    </row>
    <row r="1611" ht="15.75" customHeight="1">
      <c r="A1611" s="3" t="inlineStr">
        <is>
          <t>PROD_0301</t>
        </is>
      </c>
      <c r="B1611" s="3" t="inlineStr">
        <is>
          <t>VAR_3</t>
        </is>
      </c>
      <c r="C1611" s="3" t="inlineStr">
        <is>
          <t>Plumbing</t>
        </is>
      </c>
      <c r="D1611" s="3" t="inlineStr">
        <is>
          <t>Bends &amp; Connectors</t>
        </is>
      </c>
      <c r="E1611" s="3" t="inlineStr">
        <is>
          <t>Astral</t>
        </is>
      </c>
      <c r="F1611" s="3" t="inlineStr">
        <is>
          <t>Coupler (SOC)</t>
        </is>
      </c>
      <c r="H1611" s="3" t="inlineStr">
        <is>
          <t>Diameter</t>
        </is>
      </c>
      <c r="I1611" s="3" t="inlineStr">
        <is>
          <t>25 mm (1 inch)</t>
        </is>
      </c>
      <c r="Q1611" s="3" t="inlineStr">
        <is>
          <t>Manufacturer's Warranty</t>
        </is>
      </c>
      <c r="R1611" s="3" t="inlineStr">
        <is>
          <t>M512111003^</t>
        </is>
      </c>
      <c r="Y1611" s="3" t="inlineStr">
        <is>
          <t>PLB_AST_CPLR</t>
        </is>
      </c>
      <c r="Z1611" s="3" t="n">
        <v>3917</v>
      </c>
      <c r="AE1611" s="3" t="n">
        <v>39</v>
      </c>
      <c r="AF1611" s="4" t="n">
        <v>0.5</v>
      </c>
      <c r="AG1611" s="3">
        <f>ROUND(AE1611-(AE1611*AF1611),2)</f>
        <v/>
      </c>
      <c r="AH1611" s="4" t="n">
        <v>0.18</v>
      </c>
      <c r="AI1611" s="3">
        <f>ROUND(AG1611+(AG1611*AH1611),2)</f>
        <v/>
      </c>
      <c r="AJ1611" s="4" t="n">
        <v>0.15</v>
      </c>
      <c r="AK1611" s="3">
        <f>ROUND(AI1611*AJ1611,2)</f>
        <v/>
      </c>
      <c r="AL1611" s="3">
        <f>AI1611+AK1611</f>
        <v/>
      </c>
      <c r="AM1611" s="3">
        <f>AE1611-AL1611</f>
        <v/>
      </c>
      <c r="AN1611" s="4">
        <f>AM1611/AE1611</f>
        <v/>
      </c>
      <c r="AO1611" s="3" t="inlineStr">
        <is>
          <t>60 mins</t>
        </is>
      </c>
      <c r="AQ1611" s="3" t="inlineStr">
        <is>
          <t>Weight</t>
        </is>
      </c>
      <c r="AT1611" s="3" t="inlineStr">
        <is>
          <t>Active</t>
        </is>
      </c>
    </row>
    <row r="1612" ht="15.75" customHeight="1">
      <c r="A1612" s="3" t="inlineStr">
        <is>
          <t>PROD_0301</t>
        </is>
      </c>
      <c r="B1612" s="3" t="inlineStr">
        <is>
          <t>VAR_4</t>
        </is>
      </c>
      <c r="C1612" s="3" t="inlineStr">
        <is>
          <t>Plumbing</t>
        </is>
      </c>
      <c r="D1612" s="3" t="inlineStr">
        <is>
          <t>Bends &amp; Connectors</t>
        </is>
      </c>
      <c r="E1612" s="3" t="inlineStr">
        <is>
          <t>Astral</t>
        </is>
      </c>
      <c r="F1612" s="3" t="inlineStr">
        <is>
          <t>Coupler (SOC)</t>
        </is>
      </c>
      <c r="H1612" s="3" t="inlineStr">
        <is>
          <t>Diameter</t>
        </is>
      </c>
      <c r="I1612" s="3" t="inlineStr">
        <is>
          <t>32 mm (1.25 inch)</t>
        </is>
      </c>
      <c r="Q1612" s="3" t="inlineStr">
        <is>
          <t>Manufacturer's Warranty</t>
        </is>
      </c>
      <c r="R1612" s="3" t="inlineStr">
        <is>
          <t>M512111004^</t>
        </is>
      </c>
      <c r="Y1612" s="3" t="inlineStr">
        <is>
          <t>PLB_AST_CPLR</t>
        </is>
      </c>
      <c r="Z1612" s="3" t="n">
        <v>3917</v>
      </c>
      <c r="AE1612" s="3" t="n">
        <v>80</v>
      </c>
      <c r="AF1612" s="4" t="n">
        <v>0.5</v>
      </c>
      <c r="AG1612" s="3">
        <f>ROUND(AE1612-(AE1612*AF1612),2)</f>
        <v/>
      </c>
      <c r="AH1612" s="4" t="n">
        <v>0.18</v>
      </c>
      <c r="AI1612" s="3">
        <f>ROUND(AG1612+(AG1612*AH1612),2)</f>
        <v/>
      </c>
      <c r="AJ1612" s="4" t="n">
        <v>0.15</v>
      </c>
      <c r="AK1612" s="3">
        <f>ROUND(AI1612*AJ1612,2)</f>
        <v/>
      </c>
      <c r="AL1612" s="3">
        <f>AI1612+AK1612</f>
        <v/>
      </c>
      <c r="AM1612" s="3">
        <f>AE1612-AL1612</f>
        <v/>
      </c>
      <c r="AN1612" s="4">
        <f>AM1612/AE1612</f>
        <v/>
      </c>
      <c r="AO1612" s="3" t="inlineStr">
        <is>
          <t>60 mins</t>
        </is>
      </c>
      <c r="AQ1612" s="3" t="inlineStr">
        <is>
          <t>Weight</t>
        </is>
      </c>
      <c r="AT1612" s="3" t="inlineStr">
        <is>
          <t>Active</t>
        </is>
      </c>
    </row>
    <row r="1613" ht="15.75" customHeight="1">
      <c r="A1613" s="3" t="inlineStr">
        <is>
          <t>PROD_0301</t>
        </is>
      </c>
      <c r="B1613" s="3" t="inlineStr">
        <is>
          <t>VAR_5</t>
        </is>
      </c>
      <c r="C1613" s="3" t="inlineStr">
        <is>
          <t>Plumbing</t>
        </is>
      </c>
      <c r="D1613" s="3" t="inlineStr">
        <is>
          <t>Bends &amp; Connectors</t>
        </is>
      </c>
      <c r="E1613" s="3" t="inlineStr">
        <is>
          <t>Astral</t>
        </is>
      </c>
      <c r="F1613" s="3" t="inlineStr">
        <is>
          <t>Coupler (SOC)</t>
        </is>
      </c>
      <c r="H1613" s="3" t="inlineStr">
        <is>
          <t>Diameter</t>
        </is>
      </c>
      <c r="I1613" s="3" t="inlineStr">
        <is>
          <t>40 mm (1.5 inch)</t>
        </is>
      </c>
      <c r="Q1613" s="3" t="inlineStr">
        <is>
          <t>Manufacturer's Warranty</t>
        </is>
      </c>
      <c r="R1613" s="3" t="inlineStr">
        <is>
          <t>M512111005^</t>
        </is>
      </c>
      <c r="Y1613" s="3" t="inlineStr">
        <is>
          <t>PLB_AST_CPLR</t>
        </is>
      </c>
      <c r="Z1613" s="3" t="n">
        <v>3917</v>
      </c>
      <c r="AE1613" s="3" t="n">
        <v>146</v>
      </c>
      <c r="AF1613" s="4" t="n">
        <v>0.5</v>
      </c>
      <c r="AG1613" s="3">
        <f>ROUND(AE1613-(AE1613*AF1613),2)</f>
        <v/>
      </c>
      <c r="AH1613" s="4" t="n">
        <v>0.18</v>
      </c>
      <c r="AI1613" s="3">
        <f>ROUND(AG1613+(AG1613*AH1613),2)</f>
        <v/>
      </c>
      <c r="AJ1613" s="4" t="n">
        <v>0.15</v>
      </c>
      <c r="AK1613" s="3">
        <f>ROUND(AI1613*AJ1613,2)</f>
        <v/>
      </c>
      <c r="AL1613" s="3">
        <f>AI1613+AK1613</f>
        <v/>
      </c>
      <c r="AM1613" s="3">
        <f>AE1613-AL1613</f>
        <v/>
      </c>
      <c r="AN1613" s="4">
        <f>AM1613/AE1613</f>
        <v/>
      </c>
      <c r="AO1613" s="3" t="inlineStr">
        <is>
          <t>60 mins</t>
        </is>
      </c>
      <c r="AQ1613" s="3" t="inlineStr">
        <is>
          <t>Weight</t>
        </is>
      </c>
      <c r="AT1613" s="3" t="inlineStr">
        <is>
          <t>Active</t>
        </is>
      </c>
    </row>
    <row r="1614" ht="15.75" customHeight="1">
      <c r="A1614" s="3" t="inlineStr">
        <is>
          <t>PROD_0301</t>
        </is>
      </c>
      <c r="B1614" s="3" t="inlineStr">
        <is>
          <t>VAR_6</t>
        </is>
      </c>
      <c r="C1614" s="3" t="inlineStr">
        <is>
          <t>Plumbing</t>
        </is>
      </c>
      <c r="D1614" s="3" t="inlineStr">
        <is>
          <t>Bends &amp; Connectors</t>
        </is>
      </c>
      <c r="E1614" s="3" t="inlineStr">
        <is>
          <t>Astral</t>
        </is>
      </c>
      <c r="F1614" s="3" t="inlineStr">
        <is>
          <t>Coupler (SOC)</t>
        </is>
      </c>
      <c r="H1614" s="3" t="inlineStr">
        <is>
          <t>Diameter</t>
        </is>
      </c>
      <c r="I1614" s="3" t="inlineStr">
        <is>
          <t>50 mm (2 inch)</t>
        </is>
      </c>
      <c r="Q1614" s="3" t="inlineStr">
        <is>
          <t>Manufacturer's Warranty</t>
        </is>
      </c>
      <c r="R1614" s="3" t="inlineStr">
        <is>
          <t>M512111006^</t>
        </is>
      </c>
      <c r="Y1614" s="3" t="inlineStr">
        <is>
          <t>PLB_AST_CPLR</t>
        </is>
      </c>
      <c r="Z1614" s="3" t="n">
        <v>3917</v>
      </c>
      <c r="AE1614" s="3" t="n">
        <v>301</v>
      </c>
      <c r="AF1614" s="4" t="n">
        <v>0.5</v>
      </c>
      <c r="AG1614" s="3">
        <f>ROUND(AE1614-(AE1614*AF1614),2)</f>
        <v/>
      </c>
      <c r="AH1614" s="4" t="n">
        <v>0.18</v>
      </c>
      <c r="AI1614" s="3">
        <f>ROUND(AG1614+(AG1614*AH1614),2)</f>
        <v/>
      </c>
      <c r="AJ1614" s="4" t="n">
        <v>0.15</v>
      </c>
      <c r="AK1614" s="3">
        <f>ROUND(AI1614*AJ1614,2)</f>
        <v/>
      </c>
      <c r="AL1614" s="3">
        <f>AI1614+AK1614</f>
        <v/>
      </c>
      <c r="AM1614" s="3">
        <f>AE1614-AL1614</f>
        <v/>
      </c>
      <c r="AN1614" s="4">
        <f>AM1614/AE1614</f>
        <v/>
      </c>
      <c r="AO1614" s="3" t="inlineStr">
        <is>
          <t>60 mins</t>
        </is>
      </c>
      <c r="AQ1614" s="3" t="inlineStr">
        <is>
          <t>Weight</t>
        </is>
      </c>
      <c r="AT1614" s="3" t="inlineStr">
        <is>
          <t>Active</t>
        </is>
      </c>
    </row>
    <row r="1615" ht="15.75" customHeight="1">
      <c r="A1615" s="3" t="inlineStr">
        <is>
          <t>PROD_0302</t>
        </is>
      </c>
      <c r="B1615" s="3" t="inlineStr">
        <is>
          <t>VAR_1</t>
        </is>
      </c>
      <c r="C1615" s="3" t="inlineStr">
        <is>
          <t>Plumbing</t>
        </is>
      </c>
      <c r="D1615" s="3" t="inlineStr">
        <is>
          <t>Bends &amp; Connectors</t>
        </is>
      </c>
      <c r="E1615" s="3" t="inlineStr">
        <is>
          <t>Astral</t>
        </is>
      </c>
      <c r="F1615" s="3" t="inlineStr">
        <is>
          <t>Cross (SOC)</t>
        </is>
      </c>
      <c r="H1615" s="3" t="inlineStr">
        <is>
          <t>Diameter</t>
        </is>
      </c>
      <c r="I1615" s="3" t="inlineStr">
        <is>
          <t>15 mm (.5 inch)</t>
        </is>
      </c>
      <c r="Q1615" s="3" t="inlineStr">
        <is>
          <t>Manufacturer's Warranty</t>
        </is>
      </c>
      <c r="R1615" s="3" t="inlineStr">
        <is>
          <t>M512112401^</t>
        </is>
      </c>
      <c r="Y1615" s="3" t="inlineStr">
        <is>
          <t>PLB_AST_CRSS</t>
        </is>
      </c>
      <c r="Z1615" s="3" t="n">
        <v>3917</v>
      </c>
      <c r="AE1615" s="3" t="n">
        <v>47</v>
      </c>
      <c r="AF1615" s="4" t="n">
        <v>0.5</v>
      </c>
      <c r="AG1615" s="3">
        <f>ROUND(AE1615-(AE1615*AF1615),2)</f>
        <v/>
      </c>
      <c r="AH1615" s="4" t="n">
        <v>0.18</v>
      </c>
      <c r="AI1615" s="3">
        <f>ROUND(AG1615+(AG1615*AH1615),2)</f>
        <v/>
      </c>
      <c r="AJ1615" s="4" t="n">
        <v>0.15</v>
      </c>
      <c r="AK1615" s="3">
        <f>ROUND(AI1615*AJ1615,2)</f>
        <v/>
      </c>
      <c r="AL1615" s="3">
        <f>AI1615+AK1615</f>
        <v/>
      </c>
      <c r="AM1615" s="3">
        <f>AE1615-AL1615</f>
        <v/>
      </c>
      <c r="AN1615" s="4">
        <f>AM1615/AE1615</f>
        <v/>
      </c>
      <c r="AO1615" s="3" t="inlineStr">
        <is>
          <t>60 mins</t>
        </is>
      </c>
      <c r="AQ1615" s="3" t="inlineStr">
        <is>
          <t>Weight</t>
        </is>
      </c>
      <c r="AT1615" s="3" t="inlineStr">
        <is>
          <t>Active</t>
        </is>
      </c>
    </row>
    <row r="1616" ht="15.75" customHeight="1">
      <c r="A1616" s="3" t="inlineStr">
        <is>
          <t>PROD_0302</t>
        </is>
      </c>
      <c r="B1616" s="3" t="inlineStr">
        <is>
          <t>VAR_2</t>
        </is>
      </c>
      <c r="C1616" s="3" t="inlineStr">
        <is>
          <t>Plumbing</t>
        </is>
      </c>
      <c r="D1616" s="3" t="inlineStr">
        <is>
          <t>Bends &amp; Connectors</t>
        </is>
      </c>
      <c r="E1616" s="3" t="inlineStr">
        <is>
          <t>Astral</t>
        </is>
      </c>
      <c r="F1616" s="3" t="inlineStr">
        <is>
          <t>Cross (SOC)</t>
        </is>
      </c>
      <c r="H1616" s="3" t="inlineStr">
        <is>
          <t>Diameter</t>
        </is>
      </c>
      <c r="I1616" s="3" t="inlineStr">
        <is>
          <t>20 mm (.75 inch)</t>
        </is>
      </c>
      <c r="Q1616" s="3" t="inlineStr">
        <is>
          <t>Manufacturer's Warranty</t>
        </is>
      </c>
      <c r="R1616" s="3" t="inlineStr">
        <is>
          <t>M512112402^</t>
        </is>
      </c>
      <c r="Y1616" s="3" t="inlineStr">
        <is>
          <t>PLB_AST_CRSS</t>
        </is>
      </c>
      <c r="Z1616" s="3" t="n">
        <v>3917</v>
      </c>
      <c r="AE1616" s="3" t="n">
        <v>99</v>
      </c>
      <c r="AF1616" s="4" t="n">
        <v>0.5</v>
      </c>
      <c r="AG1616" s="3">
        <f>ROUND(AE1616-(AE1616*AF1616),2)</f>
        <v/>
      </c>
      <c r="AH1616" s="4" t="n">
        <v>0.18</v>
      </c>
      <c r="AI1616" s="3">
        <f>ROUND(AG1616+(AG1616*AH1616),2)</f>
        <v/>
      </c>
      <c r="AJ1616" s="4" t="n">
        <v>0.15</v>
      </c>
      <c r="AK1616" s="3">
        <f>ROUND(AI1616*AJ1616,2)</f>
        <v/>
      </c>
      <c r="AL1616" s="3">
        <f>AI1616+AK1616</f>
        <v/>
      </c>
      <c r="AM1616" s="3">
        <f>AE1616-AL1616</f>
        <v/>
      </c>
      <c r="AN1616" s="4">
        <f>AM1616/AE1616</f>
        <v/>
      </c>
      <c r="AO1616" s="3" t="inlineStr">
        <is>
          <t>60 mins</t>
        </is>
      </c>
      <c r="AQ1616" s="3" t="inlineStr">
        <is>
          <t>Weight</t>
        </is>
      </c>
      <c r="AT1616" s="3" t="inlineStr">
        <is>
          <t>Active</t>
        </is>
      </c>
    </row>
    <row r="1617" ht="15.75" customHeight="1">
      <c r="A1617" s="3" t="inlineStr">
        <is>
          <t>PROD_0302</t>
        </is>
      </c>
      <c r="B1617" s="3" t="inlineStr">
        <is>
          <t>VAR_3</t>
        </is>
      </c>
      <c r="C1617" s="3" t="inlineStr">
        <is>
          <t>Plumbing</t>
        </is>
      </c>
      <c r="D1617" s="3" t="inlineStr">
        <is>
          <t>Bends &amp; Connectors</t>
        </is>
      </c>
      <c r="E1617" s="3" t="inlineStr">
        <is>
          <t>Astral</t>
        </is>
      </c>
      <c r="F1617" s="3" t="inlineStr">
        <is>
          <t>Cross (SOC)</t>
        </is>
      </c>
      <c r="H1617" s="3" t="inlineStr">
        <is>
          <t>Diameter</t>
        </is>
      </c>
      <c r="I1617" s="3" t="inlineStr">
        <is>
          <t>25 mm (1 inch)</t>
        </is>
      </c>
      <c r="Q1617" s="3" t="inlineStr">
        <is>
          <t>Manufacturer's Warranty</t>
        </is>
      </c>
      <c r="R1617" s="3" t="inlineStr">
        <is>
          <t>M512112403^</t>
        </is>
      </c>
      <c r="Y1617" s="3" t="inlineStr">
        <is>
          <t>PLB_AST_CRSS</t>
        </is>
      </c>
      <c r="Z1617" s="3" t="n">
        <v>3917</v>
      </c>
      <c r="AE1617" s="3" t="n">
        <v>166</v>
      </c>
      <c r="AF1617" s="4" t="n">
        <v>0.5</v>
      </c>
      <c r="AG1617" s="3">
        <f>ROUND(AE1617-(AE1617*AF1617),2)</f>
        <v/>
      </c>
      <c r="AH1617" s="4" t="n">
        <v>0.18</v>
      </c>
      <c r="AI1617" s="3">
        <f>ROUND(AG1617+(AG1617*AH1617),2)</f>
        <v/>
      </c>
      <c r="AJ1617" s="4" t="n">
        <v>0.15</v>
      </c>
      <c r="AK1617" s="3">
        <f>ROUND(AI1617*AJ1617,2)</f>
        <v/>
      </c>
      <c r="AL1617" s="3">
        <f>AI1617+AK1617</f>
        <v/>
      </c>
      <c r="AM1617" s="3">
        <f>AE1617-AL1617</f>
        <v/>
      </c>
      <c r="AN1617" s="4">
        <f>AM1617/AE1617</f>
        <v/>
      </c>
      <c r="AO1617" s="3" t="inlineStr">
        <is>
          <t>60 mins</t>
        </is>
      </c>
      <c r="AQ1617" s="3" t="inlineStr">
        <is>
          <t>Weight</t>
        </is>
      </c>
      <c r="AT1617" s="3" t="inlineStr">
        <is>
          <t>Active</t>
        </is>
      </c>
    </row>
    <row r="1618" ht="15.75" customHeight="1">
      <c r="A1618" s="3" t="inlineStr">
        <is>
          <t>PROD_0302</t>
        </is>
      </c>
      <c r="B1618" s="3" t="inlineStr">
        <is>
          <t>VAR_4</t>
        </is>
      </c>
      <c r="C1618" s="3" t="inlineStr">
        <is>
          <t>Plumbing</t>
        </is>
      </c>
      <c r="D1618" s="3" t="inlineStr">
        <is>
          <t>Bends &amp; Connectors</t>
        </is>
      </c>
      <c r="E1618" s="3" t="inlineStr">
        <is>
          <t>Astral</t>
        </is>
      </c>
      <c r="F1618" s="3" t="inlineStr">
        <is>
          <t>Cross (SOC)</t>
        </is>
      </c>
      <c r="H1618" s="3" t="inlineStr">
        <is>
          <t>Diameter</t>
        </is>
      </c>
      <c r="I1618" s="3" t="inlineStr">
        <is>
          <t>32 mm (1.25 inch)</t>
        </is>
      </c>
      <c r="Q1618" s="3" t="inlineStr">
        <is>
          <t>Manufacturer's Warranty</t>
        </is>
      </c>
      <c r="R1618" s="3" t="inlineStr">
        <is>
          <t>M512112404</t>
        </is>
      </c>
      <c r="Y1618" s="3" t="inlineStr">
        <is>
          <t>PLB_AST_CRSS</t>
        </is>
      </c>
      <c r="Z1618" s="3" t="n">
        <v>3917</v>
      </c>
      <c r="AE1618" s="3" t="n">
        <v>217</v>
      </c>
      <c r="AF1618" s="4" t="n">
        <v>0.5</v>
      </c>
      <c r="AG1618" s="3">
        <f>ROUND(AE1618-(AE1618*AF1618),2)</f>
        <v/>
      </c>
      <c r="AH1618" s="4" t="n">
        <v>0.18</v>
      </c>
      <c r="AI1618" s="3">
        <f>ROUND(AG1618+(AG1618*AH1618),2)</f>
        <v/>
      </c>
      <c r="AJ1618" s="4" t="n">
        <v>0.15</v>
      </c>
      <c r="AK1618" s="3">
        <f>ROUND(AI1618*AJ1618,2)</f>
        <v/>
      </c>
      <c r="AL1618" s="3">
        <f>AI1618+AK1618</f>
        <v/>
      </c>
      <c r="AM1618" s="3">
        <f>AE1618-AL1618</f>
        <v/>
      </c>
      <c r="AN1618" s="4">
        <f>AM1618/AE1618</f>
        <v/>
      </c>
      <c r="AO1618" s="3" t="inlineStr">
        <is>
          <t>60 mins</t>
        </is>
      </c>
      <c r="AQ1618" s="3" t="inlineStr">
        <is>
          <t>Weight</t>
        </is>
      </c>
      <c r="AT1618" s="3" t="inlineStr">
        <is>
          <t>Active</t>
        </is>
      </c>
    </row>
    <row r="1619" ht="15.75" customHeight="1">
      <c r="A1619" s="3" t="inlineStr">
        <is>
          <t>PROD_0302</t>
        </is>
      </c>
      <c r="B1619" s="3" t="inlineStr">
        <is>
          <t>VAR_5</t>
        </is>
      </c>
      <c r="C1619" s="3" t="inlineStr">
        <is>
          <t>Plumbing</t>
        </is>
      </c>
      <c r="D1619" s="3" t="inlineStr">
        <is>
          <t>Bends &amp; Connectors</t>
        </is>
      </c>
      <c r="E1619" s="3" t="inlineStr">
        <is>
          <t>Astral</t>
        </is>
      </c>
      <c r="F1619" s="3" t="inlineStr">
        <is>
          <t>Cross (SOC)</t>
        </is>
      </c>
      <c r="H1619" s="3" t="inlineStr">
        <is>
          <t>Diameter</t>
        </is>
      </c>
      <c r="I1619" s="3" t="inlineStr">
        <is>
          <t>40 mm (1.5 inch)</t>
        </is>
      </c>
      <c r="Q1619" s="3" t="inlineStr">
        <is>
          <t>Manufacturer's Warranty</t>
        </is>
      </c>
      <c r="R1619" s="3" t="inlineStr">
        <is>
          <t>M512112405</t>
        </is>
      </c>
      <c r="Y1619" s="3" t="inlineStr">
        <is>
          <t>PLB_AST_CRSS</t>
        </is>
      </c>
      <c r="Z1619" s="3" t="n">
        <v>3917</v>
      </c>
      <c r="AE1619" s="3" t="n">
        <v>267</v>
      </c>
      <c r="AF1619" s="4" t="n">
        <v>0.5</v>
      </c>
      <c r="AG1619" s="3">
        <f>ROUND(AE1619-(AE1619*AF1619),2)</f>
        <v/>
      </c>
      <c r="AH1619" s="4" t="n">
        <v>0.18</v>
      </c>
      <c r="AI1619" s="3">
        <f>ROUND(AG1619+(AG1619*AH1619),2)</f>
        <v/>
      </c>
      <c r="AJ1619" s="4" t="n">
        <v>0.15</v>
      </c>
      <c r="AK1619" s="3">
        <f>ROUND(AI1619*AJ1619,2)</f>
        <v/>
      </c>
      <c r="AL1619" s="3">
        <f>AI1619+AK1619</f>
        <v/>
      </c>
      <c r="AM1619" s="3">
        <f>AE1619-AL1619</f>
        <v/>
      </c>
      <c r="AN1619" s="4">
        <f>AM1619/AE1619</f>
        <v/>
      </c>
      <c r="AO1619" s="3" t="inlineStr">
        <is>
          <t>60 mins</t>
        </is>
      </c>
      <c r="AQ1619" s="3" t="inlineStr">
        <is>
          <t>Weight</t>
        </is>
      </c>
      <c r="AT1619" s="3" t="inlineStr">
        <is>
          <t>Active</t>
        </is>
      </c>
    </row>
    <row r="1620" ht="15.75" customHeight="1">
      <c r="A1620" s="3" t="inlineStr">
        <is>
          <t>PROD_0302</t>
        </is>
      </c>
      <c r="B1620" s="3" t="inlineStr">
        <is>
          <t>VAR_6</t>
        </is>
      </c>
      <c r="C1620" s="3" t="inlineStr">
        <is>
          <t>Plumbing</t>
        </is>
      </c>
      <c r="D1620" s="3" t="inlineStr">
        <is>
          <t>Bends &amp; Connectors</t>
        </is>
      </c>
      <c r="E1620" s="3" t="inlineStr">
        <is>
          <t>Astral</t>
        </is>
      </c>
      <c r="F1620" s="3" t="inlineStr">
        <is>
          <t>Cross (SOC)</t>
        </is>
      </c>
      <c r="H1620" s="3" t="inlineStr">
        <is>
          <t>Diameter</t>
        </is>
      </c>
      <c r="I1620" s="3" t="inlineStr">
        <is>
          <t>50 mm (2 inch)</t>
        </is>
      </c>
      <c r="Q1620" s="3" t="inlineStr">
        <is>
          <t>Manufacturer's Warranty</t>
        </is>
      </c>
      <c r="R1620" s="3" t="inlineStr">
        <is>
          <t>M512112406</t>
        </is>
      </c>
      <c r="Y1620" s="3" t="inlineStr">
        <is>
          <t>PLB_AST_CRSS</t>
        </is>
      </c>
      <c r="Z1620" s="3" t="n">
        <v>3917</v>
      </c>
      <c r="AE1620" s="3" t="n">
        <v>543</v>
      </c>
      <c r="AF1620" s="4" t="n">
        <v>0.5</v>
      </c>
      <c r="AG1620" s="3">
        <f>ROUND(AE1620-(AE1620*AF1620),2)</f>
        <v/>
      </c>
      <c r="AH1620" s="4" t="n">
        <v>0.18</v>
      </c>
      <c r="AI1620" s="3">
        <f>ROUND(AG1620+(AG1620*AH1620),2)</f>
        <v/>
      </c>
      <c r="AJ1620" s="4" t="n">
        <v>0.15</v>
      </c>
      <c r="AK1620" s="3">
        <f>ROUND(AI1620*AJ1620,2)</f>
        <v/>
      </c>
      <c r="AL1620" s="3">
        <f>AI1620+AK1620</f>
        <v/>
      </c>
      <c r="AM1620" s="3">
        <f>AE1620-AL1620</f>
        <v/>
      </c>
      <c r="AN1620" s="4">
        <f>AM1620/AE1620</f>
        <v/>
      </c>
      <c r="AO1620" s="3" t="inlineStr">
        <is>
          <t>60 mins</t>
        </is>
      </c>
      <c r="AQ1620" s="3" t="inlineStr">
        <is>
          <t>Weight</t>
        </is>
      </c>
      <c r="AT1620" s="3" t="inlineStr">
        <is>
          <t>Active</t>
        </is>
      </c>
    </row>
    <row r="1621" ht="15.75" customHeight="1">
      <c r="A1621" s="3" t="inlineStr">
        <is>
          <t>PROD_0303</t>
        </is>
      </c>
      <c r="B1621" s="3" t="inlineStr">
        <is>
          <t>VAR_1</t>
        </is>
      </c>
      <c r="C1621" s="3" t="inlineStr">
        <is>
          <t>Plumbing</t>
        </is>
      </c>
      <c r="D1621" s="3" t="inlineStr">
        <is>
          <t>Bends &amp; Connectors</t>
        </is>
      </c>
      <c r="E1621" s="3" t="inlineStr">
        <is>
          <t>Astral</t>
        </is>
      </c>
      <c r="F1621" s="3" t="inlineStr">
        <is>
          <t>Union (SOC)</t>
        </is>
      </c>
      <c r="H1621" s="3" t="inlineStr">
        <is>
          <t>Diameter</t>
        </is>
      </c>
      <c r="I1621" s="3" t="inlineStr">
        <is>
          <t>15 mm (.5 inch)</t>
        </is>
      </c>
      <c r="Q1621" s="3" t="inlineStr">
        <is>
          <t>Manufacturer's Warranty</t>
        </is>
      </c>
      <c r="R1621" s="3" t="inlineStr">
        <is>
          <t>M512112601</t>
        </is>
      </c>
      <c r="Y1621" s="3" t="inlineStr">
        <is>
          <t>PLB_AST_UN</t>
        </is>
      </c>
      <c r="Z1621" s="3" t="n">
        <v>3917</v>
      </c>
      <c r="AE1621" s="3" t="n">
        <v>84</v>
      </c>
      <c r="AF1621" s="4" t="n">
        <v>0.5</v>
      </c>
      <c r="AG1621" s="3">
        <f>ROUND(AE1621-(AE1621*AF1621),2)</f>
        <v/>
      </c>
      <c r="AH1621" s="4" t="n">
        <v>0.18</v>
      </c>
      <c r="AI1621" s="3">
        <f>ROUND(AG1621+(AG1621*AH1621),2)</f>
        <v/>
      </c>
      <c r="AJ1621" s="4" t="n">
        <v>0.15</v>
      </c>
      <c r="AK1621" s="3">
        <f>ROUND(AI1621*AJ1621,2)</f>
        <v/>
      </c>
      <c r="AL1621" s="3">
        <f>AI1621+AK1621</f>
        <v/>
      </c>
      <c r="AM1621" s="3">
        <f>AE1621-AL1621</f>
        <v/>
      </c>
      <c r="AN1621" s="4">
        <f>AM1621/AE1621</f>
        <v/>
      </c>
      <c r="AO1621" s="3" t="inlineStr">
        <is>
          <t>60 mins</t>
        </is>
      </c>
      <c r="AQ1621" s="3" t="inlineStr">
        <is>
          <t>Weight</t>
        </is>
      </c>
      <c r="AT1621" s="3" t="inlineStr">
        <is>
          <t>Active</t>
        </is>
      </c>
    </row>
    <row r="1622" ht="15.75" customHeight="1">
      <c r="A1622" s="3" t="inlineStr">
        <is>
          <t>PROD_0303</t>
        </is>
      </c>
      <c r="B1622" s="3" t="inlineStr">
        <is>
          <t>VAR_2</t>
        </is>
      </c>
      <c r="C1622" s="3" t="inlineStr">
        <is>
          <t>Plumbing</t>
        </is>
      </c>
      <c r="D1622" s="3" t="inlineStr">
        <is>
          <t>Bends &amp; Connectors</t>
        </is>
      </c>
      <c r="E1622" s="3" t="inlineStr">
        <is>
          <t>Astral</t>
        </is>
      </c>
      <c r="F1622" s="3" t="inlineStr">
        <is>
          <t>Union (SOC)</t>
        </is>
      </c>
      <c r="H1622" s="3" t="inlineStr">
        <is>
          <t>Diameter</t>
        </is>
      </c>
      <c r="I1622" s="3" t="inlineStr">
        <is>
          <t>20 mm (.75 inch)</t>
        </is>
      </c>
      <c r="Q1622" s="3" t="inlineStr">
        <is>
          <t>Manufacturer's Warranty</t>
        </is>
      </c>
      <c r="R1622" s="3" t="inlineStr">
        <is>
          <t>M512112602</t>
        </is>
      </c>
      <c r="Y1622" s="3" t="inlineStr">
        <is>
          <t>PLB_AST_UN</t>
        </is>
      </c>
      <c r="Z1622" s="3" t="n">
        <v>3917</v>
      </c>
      <c r="AE1622" s="3" t="n">
        <v>138</v>
      </c>
      <c r="AF1622" s="4" t="n">
        <v>0.5</v>
      </c>
      <c r="AG1622" s="3">
        <f>ROUND(AE1622-(AE1622*AF1622),2)</f>
        <v/>
      </c>
      <c r="AH1622" s="4" t="n">
        <v>0.18</v>
      </c>
      <c r="AI1622" s="3">
        <f>ROUND(AG1622+(AG1622*AH1622),2)</f>
        <v/>
      </c>
      <c r="AJ1622" s="4" t="n">
        <v>0.15</v>
      </c>
      <c r="AK1622" s="3">
        <f>ROUND(AI1622*AJ1622,2)</f>
        <v/>
      </c>
      <c r="AL1622" s="3">
        <f>AI1622+AK1622</f>
        <v/>
      </c>
      <c r="AM1622" s="3">
        <f>AE1622-AL1622</f>
        <v/>
      </c>
      <c r="AN1622" s="4">
        <f>AM1622/AE1622</f>
        <v/>
      </c>
      <c r="AO1622" s="3" t="inlineStr">
        <is>
          <t>60 mins</t>
        </is>
      </c>
      <c r="AQ1622" s="3" t="inlineStr">
        <is>
          <t>Weight</t>
        </is>
      </c>
      <c r="AT1622" s="3" t="inlineStr">
        <is>
          <t>Active</t>
        </is>
      </c>
    </row>
    <row r="1623" ht="15.75" customHeight="1">
      <c r="A1623" s="3" t="inlineStr">
        <is>
          <t>PROD_0303</t>
        </is>
      </c>
      <c r="B1623" s="3" t="inlineStr">
        <is>
          <t>VAR_3</t>
        </is>
      </c>
      <c r="C1623" s="3" t="inlineStr">
        <is>
          <t>Plumbing</t>
        </is>
      </c>
      <c r="D1623" s="3" t="inlineStr">
        <is>
          <t>Bends &amp; Connectors</t>
        </is>
      </c>
      <c r="E1623" s="3" t="inlineStr">
        <is>
          <t>Astral</t>
        </is>
      </c>
      <c r="F1623" s="3" t="inlineStr">
        <is>
          <t>Union (SOC)</t>
        </is>
      </c>
      <c r="H1623" s="3" t="inlineStr">
        <is>
          <t>Diameter</t>
        </is>
      </c>
      <c r="I1623" s="3" t="inlineStr">
        <is>
          <t>25 mm (1 inch)</t>
        </is>
      </c>
      <c r="Q1623" s="3" t="inlineStr">
        <is>
          <t>Manufacturer's Warranty</t>
        </is>
      </c>
      <c r="R1623" s="3" t="inlineStr">
        <is>
          <t>M512112603</t>
        </is>
      </c>
      <c r="Y1623" s="3" t="inlineStr">
        <is>
          <t>PLB_AST_UN</t>
        </is>
      </c>
      <c r="Z1623" s="3" t="n">
        <v>3917</v>
      </c>
      <c r="AE1623" s="3" t="n">
        <v>164</v>
      </c>
      <c r="AF1623" s="4" t="n">
        <v>0.5</v>
      </c>
      <c r="AG1623" s="3">
        <f>ROUND(AE1623-(AE1623*AF1623),2)</f>
        <v/>
      </c>
      <c r="AH1623" s="4" t="n">
        <v>0.18</v>
      </c>
      <c r="AI1623" s="3">
        <f>ROUND(AG1623+(AG1623*AH1623),2)</f>
        <v/>
      </c>
      <c r="AJ1623" s="4" t="n">
        <v>0.15</v>
      </c>
      <c r="AK1623" s="3">
        <f>ROUND(AI1623*AJ1623,2)</f>
        <v/>
      </c>
      <c r="AL1623" s="3">
        <f>AI1623+AK1623</f>
        <v/>
      </c>
      <c r="AM1623" s="3">
        <f>AE1623-AL1623</f>
        <v/>
      </c>
      <c r="AN1623" s="4">
        <f>AM1623/AE1623</f>
        <v/>
      </c>
      <c r="AO1623" s="3" t="inlineStr">
        <is>
          <t>60 mins</t>
        </is>
      </c>
      <c r="AQ1623" s="3" t="inlineStr">
        <is>
          <t>Weight</t>
        </is>
      </c>
      <c r="AT1623" s="3" t="inlineStr">
        <is>
          <t>Active</t>
        </is>
      </c>
    </row>
    <row r="1624" ht="15.75" customHeight="1">
      <c r="A1624" s="3" t="inlineStr">
        <is>
          <t>PROD_0303</t>
        </is>
      </c>
      <c r="B1624" s="3" t="inlineStr">
        <is>
          <t>VAR_4</t>
        </is>
      </c>
      <c r="C1624" s="3" t="inlineStr">
        <is>
          <t>Plumbing</t>
        </is>
      </c>
      <c r="D1624" s="3" t="inlineStr">
        <is>
          <t>Bends &amp; Connectors</t>
        </is>
      </c>
      <c r="E1624" s="3" t="inlineStr">
        <is>
          <t>Astral</t>
        </is>
      </c>
      <c r="F1624" s="3" t="inlineStr">
        <is>
          <t>Union (SOC)</t>
        </is>
      </c>
      <c r="H1624" s="3" t="inlineStr">
        <is>
          <t>Diameter</t>
        </is>
      </c>
      <c r="I1624" s="3" t="inlineStr">
        <is>
          <t>32 mm (1.25 inch)</t>
        </is>
      </c>
      <c r="Q1624" s="3" t="inlineStr">
        <is>
          <t>Manufacturer's Warranty</t>
        </is>
      </c>
      <c r="R1624" s="3" t="inlineStr">
        <is>
          <t>M512112604</t>
        </is>
      </c>
      <c r="Y1624" s="3" t="inlineStr">
        <is>
          <t>PLB_AST_UN</t>
        </is>
      </c>
      <c r="Z1624" s="3" t="n">
        <v>3917</v>
      </c>
      <c r="AE1624" s="3" t="n">
        <v>267</v>
      </c>
      <c r="AF1624" s="4" t="n">
        <v>0.5</v>
      </c>
      <c r="AG1624" s="3">
        <f>ROUND(AE1624-(AE1624*AF1624),2)</f>
        <v/>
      </c>
      <c r="AH1624" s="4" t="n">
        <v>0.18</v>
      </c>
      <c r="AI1624" s="3">
        <f>ROUND(AG1624+(AG1624*AH1624),2)</f>
        <v/>
      </c>
      <c r="AJ1624" s="4" t="n">
        <v>0.15</v>
      </c>
      <c r="AK1624" s="3">
        <f>ROUND(AI1624*AJ1624,2)</f>
        <v/>
      </c>
      <c r="AL1624" s="3">
        <f>AI1624+AK1624</f>
        <v/>
      </c>
      <c r="AM1624" s="3">
        <f>AE1624-AL1624</f>
        <v/>
      </c>
      <c r="AN1624" s="4">
        <f>AM1624/AE1624</f>
        <v/>
      </c>
      <c r="AO1624" s="3" t="inlineStr">
        <is>
          <t>60 mins</t>
        </is>
      </c>
      <c r="AQ1624" s="3" t="inlineStr">
        <is>
          <t>Weight</t>
        </is>
      </c>
      <c r="AT1624" s="3" t="inlineStr">
        <is>
          <t>Active</t>
        </is>
      </c>
    </row>
    <row r="1625" ht="15.75" customHeight="1">
      <c r="A1625" s="3" t="inlineStr">
        <is>
          <t>PROD_0303</t>
        </is>
      </c>
      <c r="B1625" s="3" t="inlineStr">
        <is>
          <t>VAR_5</t>
        </is>
      </c>
      <c r="C1625" s="3" t="inlineStr">
        <is>
          <t>Plumbing</t>
        </is>
      </c>
      <c r="D1625" s="3" t="inlineStr">
        <is>
          <t>Bends &amp; Connectors</t>
        </is>
      </c>
      <c r="E1625" s="3" t="inlineStr">
        <is>
          <t>Astral</t>
        </is>
      </c>
      <c r="F1625" s="3" t="inlineStr">
        <is>
          <t>Union (SOC)</t>
        </is>
      </c>
      <c r="H1625" s="3" t="inlineStr">
        <is>
          <t>Diameter</t>
        </is>
      </c>
      <c r="I1625" s="3" t="inlineStr">
        <is>
          <t>40 mm (1.5 inch)</t>
        </is>
      </c>
      <c r="Q1625" s="3" t="inlineStr">
        <is>
          <t>Manufacturer's Warranty</t>
        </is>
      </c>
      <c r="R1625" s="3" t="inlineStr">
        <is>
          <t>M512112605</t>
        </is>
      </c>
      <c r="Y1625" s="3" t="inlineStr">
        <is>
          <t>PLB_AST_UN</t>
        </is>
      </c>
      <c r="Z1625" s="3" t="n">
        <v>3917</v>
      </c>
      <c r="AE1625" s="3" t="n">
        <v>439</v>
      </c>
      <c r="AF1625" s="4" t="n">
        <v>0.5</v>
      </c>
      <c r="AG1625" s="3">
        <f>ROUND(AE1625-(AE1625*AF1625),2)</f>
        <v/>
      </c>
      <c r="AH1625" s="4" t="n">
        <v>0.18</v>
      </c>
      <c r="AI1625" s="3">
        <f>ROUND(AG1625+(AG1625*AH1625),2)</f>
        <v/>
      </c>
      <c r="AJ1625" s="4" t="n">
        <v>0.15</v>
      </c>
      <c r="AK1625" s="3">
        <f>ROUND(AI1625*AJ1625,2)</f>
        <v/>
      </c>
      <c r="AL1625" s="3">
        <f>AI1625+AK1625</f>
        <v/>
      </c>
      <c r="AM1625" s="3">
        <f>AE1625-AL1625</f>
        <v/>
      </c>
      <c r="AN1625" s="4">
        <f>AM1625/AE1625</f>
        <v/>
      </c>
      <c r="AO1625" s="3" t="inlineStr">
        <is>
          <t>60 mins</t>
        </is>
      </c>
      <c r="AQ1625" s="3" t="inlineStr">
        <is>
          <t>Weight</t>
        </is>
      </c>
      <c r="AT1625" s="3" t="inlineStr">
        <is>
          <t>Active</t>
        </is>
      </c>
    </row>
    <row r="1626" ht="15.75" customHeight="1">
      <c r="A1626" s="3" t="inlineStr">
        <is>
          <t>PROD_0303</t>
        </is>
      </c>
      <c r="B1626" s="3" t="inlineStr">
        <is>
          <t>VAR_6</t>
        </is>
      </c>
      <c r="C1626" s="3" t="inlineStr">
        <is>
          <t>Plumbing</t>
        </is>
      </c>
      <c r="D1626" s="3" t="inlineStr">
        <is>
          <t>Bends &amp; Connectors</t>
        </is>
      </c>
      <c r="E1626" s="3" t="inlineStr">
        <is>
          <t>Astral</t>
        </is>
      </c>
      <c r="F1626" s="3" t="inlineStr">
        <is>
          <t>Union (SOC)</t>
        </is>
      </c>
      <c r="H1626" s="3" t="inlineStr">
        <is>
          <t>Diameter</t>
        </is>
      </c>
      <c r="I1626" s="3" t="inlineStr">
        <is>
          <t>50 mm (2 inch)</t>
        </is>
      </c>
      <c r="Q1626" s="3" t="inlineStr">
        <is>
          <t>Manufacturer's Warranty</t>
        </is>
      </c>
      <c r="R1626" s="3" t="inlineStr">
        <is>
          <t>M512112606</t>
        </is>
      </c>
      <c r="Y1626" s="3" t="inlineStr">
        <is>
          <t>PLB_AST_UN</t>
        </is>
      </c>
      <c r="Z1626" s="3" t="n">
        <v>3917</v>
      </c>
      <c r="AE1626" s="3" t="n">
        <v>792</v>
      </c>
      <c r="AF1626" s="4" t="n">
        <v>0.5</v>
      </c>
      <c r="AG1626" s="3">
        <f>ROUND(AE1626-(AE1626*AF1626),2)</f>
        <v/>
      </c>
      <c r="AH1626" s="4" t="n">
        <v>0.18</v>
      </c>
      <c r="AI1626" s="3">
        <f>ROUND(AG1626+(AG1626*AH1626),2)</f>
        <v/>
      </c>
      <c r="AJ1626" s="4" t="n">
        <v>0.15</v>
      </c>
      <c r="AK1626" s="3">
        <f>ROUND(AI1626*AJ1626,2)</f>
        <v/>
      </c>
      <c r="AL1626" s="3">
        <f>AI1626+AK1626</f>
        <v/>
      </c>
      <c r="AM1626" s="3">
        <f>AE1626-AL1626</f>
        <v/>
      </c>
      <c r="AN1626" s="4">
        <f>AM1626/AE1626</f>
        <v/>
      </c>
      <c r="AO1626" s="3" t="inlineStr">
        <is>
          <t>60 mins</t>
        </is>
      </c>
      <c r="AQ1626" s="3" t="inlineStr">
        <is>
          <t>Weight</t>
        </is>
      </c>
      <c r="AT1626" s="3" t="inlineStr">
        <is>
          <t>Active</t>
        </is>
      </c>
    </row>
    <row r="1627" ht="15.75" customHeight="1">
      <c r="A1627" s="3" t="inlineStr">
        <is>
          <t>PROD_0304</t>
        </is>
      </c>
      <c r="B1627" s="3" t="inlineStr">
        <is>
          <t>VAR_1</t>
        </is>
      </c>
      <c r="C1627" s="3" t="inlineStr">
        <is>
          <t>Plumbing</t>
        </is>
      </c>
      <c r="D1627" s="3" t="inlineStr">
        <is>
          <t>Bends &amp; Connectors</t>
        </is>
      </c>
      <c r="E1627" s="3" t="inlineStr">
        <is>
          <t>Astral</t>
        </is>
      </c>
      <c r="F1627" s="3" t="inlineStr">
        <is>
          <t>Elbow 90 (SOC)</t>
        </is>
      </c>
      <c r="H1627" s="3" t="inlineStr">
        <is>
          <t>Diameter</t>
        </is>
      </c>
      <c r="I1627" s="3" t="inlineStr">
        <is>
          <t>15 mm (.5 inch)</t>
        </is>
      </c>
      <c r="Q1627" s="3" t="inlineStr">
        <is>
          <t>Manufacturer's Warranty</t>
        </is>
      </c>
      <c r="R1627" s="3" t="inlineStr">
        <is>
          <t>M512110501^</t>
        </is>
      </c>
      <c r="Y1627" s="3" t="inlineStr">
        <is>
          <t>PLB_AST_ELBW90</t>
        </is>
      </c>
      <c r="Z1627" s="3" t="n">
        <v>3917</v>
      </c>
      <c r="AE1627" s="3" t="n">
        <v>26</v>
      </c>
      <c r="AF1627" s="4" t="n">
        <v>0.5</v>
      </c>
      <c r="AG1627" s="3">
        <f>ROUND(AE1627-(AE1627*AF1627),2)</f>
        <v/>
      </c>
      <c r="AH1627" s="4" t="n">
        <v>0.18</v>
      </c>
      <c r="AI1627" s="3">
        <f>ROUND(AG1627+(AG1627*AH1627),2)</f>
        <v/>
      </c>
      <c r="AJ1627" s="4" t="n">
        <v>0.15</v>
      </c>
      <c r="AK1627" s="3">
        <f>ROUND(AI1627*AJ1627,2)</f>
        <v/>
      </c>
      <c r="AL1627" s="3">
        <f>AI1627+AK1627</f>
        <v/>
      </c>
      <c r="AM1627" s="3">
        <f>AE1627-AL1627</f>
        <v/>
      </c>
      <c r="AN1627" s="4">
        <f>AM1627/AE1627</f>
        <v/>
      </c>
      <c r="AO1627" s="3" t="inlineStr">
        <is>
          <t>60 mins</t>
        </is>
      </c>
      <c r="AQ1627" s="3" t="inlineStr">
        <is>
          <t>Weight</t>
        </is>
      </c>
      <c r="AT1627" s="3" t="inlineStr">
        <is>
          <t>Active</t>
        </is>
      </c>
    </row>
    <row r="1628" ht="15.75" customHeight="1">
      <c r="A1628" s="3" t="inlineStr">
        <is>
          <t>PROD_0304</t>
        </is>
      </c>
      <c r="B1628" s="3" t="inlineStr">
        <is>
          <t>VAR_2</t>
        </is>
      </c>
      <c r="C1628" s="3" t="inlineStr">
        <is>
          <t>Plumbing</t>
        </is>
      </c>
      <c r="D1628" s="3" t="inlineStr">
        <is>
          <t>Bends &amp; Connectors</t>
        </is>
      </c>
      <c r="E1628" s="3" t="inlineStr">
        <is>
          <t>Astral</t>
        </is>
      </c>
      <c r="F1628" s="3" t="inlineStr">
        <is>
          <t>Elbow 90 (SOC)</t>
        </is>
      </c>
      <c r="H1628" s="3" t="inlineStr">
        <is>
          <t>Diameter</t>
        </is>
      </c>
      <c r="I1628" s="3" t="inlineStr">
        <is>
          <t>20 mm (.75 inch)</t>
        </is>
      </c>
      <c r="Q1628" s="3" t="inlineStr">
        <is>
          <t>Manufacturer's Warranty</t>
        </is>
      </c>
      <c r="R1628" s="3" t="inlineStr">
        <is>
          <t>M512110502^</t>
        </is>
      </c>
      <c r="Y1628" s="3" t="inlineStr">
        <is>
          <t>PLB_AST_ELBW90</t>
        </is>
      </c>
      <c r="Z1628" s="3" t="n">
        <v>3917</v>
      </c>
      <c r="AE1628" s="3" t="n">
        <v>29</v>
      </c>
      <c r="AF1628" s="4" t="n">
        <v>0.5</v>
      </c>
      <c r="AG1628" s="3">
        <f>ROUND(AE1628-(AE1628*AF1628),2)</f>
        <v/>
      </c>
      <c r="AH1628" s="4" t="n">
        <v>0.18</v>
      </c>
      <c r="AI1628" s="3">
        <f>ROUND(AG1628+(AG1628*AH1628),2)</f>
        <v/>
      </c>
      <c r="AJ1628" s="4" t="n">
        <v>0.15</v>
      </c>
      <c r="AK1628" s="3">
        <f>ROUND(AI1628*AJ1628,2)</f>
        <v/>
      </c>
      <c r="AL1628" s="3">
        <f>AI1628+AK1628</f>
        <v/>
      </c>
      <c r="AM1628" s="3">
        <f>AE1628-AL1628</f>
        <v/>
      </c>
      <c r="AN1628" s="4">
        <f>AM1628/AE1628</f>
        <v/>
      </c>
      <c r="AO1628" s="3" t="inlineStr">
        <is>
          <t>60 mins</t>
        </is>
      </c>
      <c r="AQ1628" s="3" t="inlineStr">
        <is>
          <t>Weight</t>
        </is>
      </c>
      <c r="AT1628" s="3" t="inlineStr">
        <is>
          <t>Active</t>
        </is>
      </c>
    </row>
    <row r="1629" ht="15.75" customHeight="1">
      <c r="A1629" s="3" t="inlineStr">
        <is>
          <t>PROD_0304</t>
        </is>
      </c>
      <c r="B1629" s="3" t="inlineStr">
        <is>
          <t>VAR_3</t>
        </is>
      </c>
      <c r="C1629" s="3" t="inlineStr">
        <is>
          <t>Plumbing</t>
        </is>
      </c>
      <c r="D1629" s="3" t="inlineStr">
        <is>
          <t>Bends &amp; Connectors</t>
        </is>
      </c>
      <c r="E1629" s="3" t="inlineStr">
        <is>
          <t>Astral</t>
        </is>
      </c>
      <c r="F1629" s="3" t="inlineStr">
        <is>
          <t>Elbow 90 (SOC)</t>
        </is>
      </c>
      <c r="H1629" s="3" t="inlineStr">
        <is>
          <t>Diameter</t>
        </is>
      </c>
      <c r="I1629" s="3" t="inlineStr">
        <is>
          <t>25 mm (1 inch)</t>
        </is>
      </c>
      <c r="Q1629" s="3" t="inlineStr">
        <is>
          <t>Manufacturer's Warranty</t>
        </is>
      </c>
      <c r="R1629" s="3" t="inlineStr">
        <is>
          <t>M512110503^</t>
        </is>
      </c>
      <c r="Y1629" s="3" t="inlineStr">
        <is>
          <t>PLB_AST_ELBW90</t>
        </is>
      </c>
      <c r="Z1629" s="3" t="n">
        <v>3917</v>
      </c>
      <c r="AE1629" s="3" t="n">
        <v>55</v>
      </c>
      <c r="AF1629" s="4" t="n">
        <v>0.5</v>
      </c>
      <c r="AG1629" s="3">
        <f>ROUND(AE1629-(AE1629*AF1629),2)</f>
        <v/>
      </c>
      <c r="AH1629" s="4" t="n">
        <v>0.18</v>
      </c>
      <c r="AI1629" s="3">
        <f>ROUND(AG1629+(AG1629*AH1629),2)</f>
        <v/>
      </c>
      <c r="AJ1629" s="4" t="n">
        <v>0.15</v>
      </c>
      <c r="AK1629" s="3">
        <f>ROUND(AI1629*AJ1629,2)</f>
        <v/>
      </c>
      <c r="AL1629" s="3">
        <f>AI1629+AK1629</f>
        <v/>
      </c>
      <c r="AM1629" s="3">
        <f>AE1629-AL1629</f>
        <v/>
      </c>
      <c r="AN1629" s="4">
        <f>AM1629/AE1629</f>
        <v/>
      </c>
      <c r="AO1629" s="3" t="inlineStr">
        <is>
          <t>60 mins</t>
        </is>
      </c>
      <c r="AQ1629" s="3" t="inlineStr">
        <is>
          <t>Weight</t>
        </is>
      </c>
      <c r="AT1629" s="3" t="inlineStr">
        <is>
          <t>Active</t>
        </is>
      </c>
    </row>
    <row r="1630" ht="15.75" customHeight="1">
      <c r="A1630" s="3" t="inlineStr">
        <is>
          <t>PROD_0304</t>
        </is>
      </c>
      <c r="B1630" s="3" t="inlineStr">
        <is>
          <t>VAR_4</t>
        </is>
      </c>
      <c r="C1630" s="3" t="inlineStr">
        <is>
          <t>Plumbing</t>
        </is>
      </c>
      <c r="D1630" s="3" t="inlineStr">
        <is>
          <t>Bends &amp; Connectors</t>
        </is>
      </c>
      <c r="E1630" s="3" t="inlineStr">
        <is>
          <t>Astral</t>
        </is>
      </c>
      <c r="F1630" s="3" t="inlineStr">
        <is>
          <t>Elbow 90 (SOC)</t>
        </is>
      </c>
      <c r="H1630" s="3" t="inlineStr">
        <is>
          <t>Diameter</t>
        </is>
      </c>
      <c r="I1630" s="3" t="inlineStr">
        <is>
          <t>32 mm (1.25 inch)</t>
        </is>
      </c>
      <c r="Q1630" s="3" t="inlineStr">
        <is>
          <t>Manufacturer's Warranty</t>
        </is>
      </c>
      <c r="R1630" s="3" t="inlineStr">
        <is>
          <t>M512110504^</t>
        </is>
      </c>
      <c r="Y1630" s="3" t="inlineStr">
        <is>
          <t>PLB_AST_ELBW90</t>
        </is>
      </c>
      <c r="Z1630" s="3" t="n">
        <v>3917</v>
      </c>
      <c r="AE1630" s="3" t="n">
        <v>124</v>
      </c>
      <c r="AF1630" s="4" t="n">
        <v>0.5</v>
      </c>
      <c r="AG1630" s="3">
        <f>ROUND(AE1630-(AE1630*AF1630),2)</f>
        <v/>
      </c>
      <c r="AH1630" s="4" t="n">
        <v>0.18</v>
      </c>
      <c r="AI1630" s="3">
        <f>ROUND(AG1630+(AG1630*AH1630),2)</f>
        <v/>
      </c>
      <c r="AJ1630" s="4" t="n">
        <v>0.15</v>
      </c>
      <c r="AK1630" s="3">
        <f>ROUND(AI1630*AJ1630,2)</f>
        <v/>
      </c>
      <c r="AL1630" s="3">
        <f>AI1630+AK1630</f>
        <v/>
      </c>
      <c r="AM1630" s="3">
        <f>AE1630-AL1630</f>
        <v/>
      </c>
      <c r="AN1630" s="4">
        <f>AM1630/AE1630</f>
        <v/>
      </c>
      <c r="AO1630" s="3" t="inlineStr">
        <is>
          <t>60 mins</t>
        </is>
      </c>
      <c r="AQ1630" s="3" t="inlineStr">
        <is>
          <t>Weight</t>
        </is>
      </c>
      <c r="AT1630" s="3" t="inlineStr">
        <is>
          <t>Active</t>
        </is>
      </c>
    </row>
    <row r="1631" ht="15.75" customHeight="1">
      <c r="A1631" s="3" t="inlineStr">
        <is>
          <t>PROD_0304</t>
        </is>
      </c>
      <c r="B1631" s="3" t="inlineStr">
        <is>
          <t>VAR_5</t>
        </is>
      </c>
      <c r="C1631" s="3" t="inlineStr">
        <is>
          <t>Plumbing</t>
        </is>
      </c>
      <c r="D1631" s="3" t="inlineStr">
        <is>
          <t>Bends &amp; Connectors</t>
        </is>
      </c>
      <c r="E1631" s="3" t="inlineStr">
        <is>
          <t>Astral</t>
        </is>
      </c>
      <c r="F1631" s="3" t="inlineStr">
        <is>
          <t>Elbow 90 (SOC)</t>
        </is>
      </c>
      <c r="H1631" s="3" t="inlineStr">
        <is>
          <t>Diameter</t>
        </is>
      </c>
      <c r="I1631" s="3" t="inlineStr">
        <is>
          <t>40 mm (1.5 inch)</t>
        </is>
      </c>
      <c r="Q1631" s="3" t="inlineStr">
        <is>
          <t>Manufacturer's Warranty</t>
        </is>
      </c>
      <c r="R1631" s="3" t="inlineStr">
        <is>
          <t>M512110505^</t>
        </is>
      </c>
      <c r="Y1631" s="3" t="inlineStr">
        <is>
          <t>PLB_AST_ELBW90</t>
        </is>
      </c>
      <c r="Z1631" s="3" t="n">
        <v>3917</v>
      </c>
      <c r="AE1631" s="3" t="n">
        <v>239</v>
      </c>
      <c r="AF1631" s="4" t="n">
        <v>0.5</v>
      </c>
      <c r="AG1631" s="3">
        <f>ROUND(AE1631-(AE1631*AF1631),2)</f>
        <v/>
      </c>
      <c r="AH1631" s="4" t="n">
        <v>0.18</v>
      </c>
      <c r="AI1631" s="3">
        <f>ROUND(AG1631+(AG1631*AH1631),2)</f>
        <v/>
      </c>
      <c r="AJ1631" s="4" t="n">
        <v>0.15</v>
      </c>
      <c r="AK1631" s="3">
        <f>ROUND(AI1631*AJ1631,2)</f>
        <v/>
      </c>
      <c r="AL1631" s="3">
        <f>AI1631+AK1631</f>
        <v/>
      </c>
      <c r="AM1631" s="3">
        <f>AE1631-AL1631</f>
        <v/>
      </c>
      <c r="AN1631" s="4">
        <f>AM1631/AE1631</f>
        <v/>
      </c>
      <c r="AO1631" s="3" t="inlineStr">
        <is>
          <t>60 mins</t>
        </is>
      </c>
      <c r="AQ1631" s="3" t="inlineStr">
        <is>
          <t>Weight</t>
        </is>
      </c>
      <c r="AT1631" s="3" t="inlineStr">
        <is>
          <t>Active</t>
        </is>
      </c>
    </row>
    <row r="1632" ht="15.75" customHeight="1">
      <c r="A1632" s="3" t="inlineStr">
        <is>
          <t>PROD_0304</t>
        </is>
      </c>
      <c r="B1632" s="3" t="inlineStr">
        <is>
          <t>VAR_6</t>
        </is>
      </c>
      <c r="C1632" s="3" t="inlineStr">
        <is>
          <t>Plumbing</t>
        </is>
      </c>
      <c r="D1632" s="3" t="inlineStr">
        <is>
          <t>Bends &amp; Connectors</t>
        </is>
      </c>
      <c r="E1632" s="3" t="inlineStr">
        <is>
          <t>Astral</t>
        </is>
      </c>
      <c r="F1632" s="3" t="inlineStr">
        <is>
          <t>Elbow 90 (SOC)</t>
        </is>
      </c>
      <c r="H1632" s="3" t="inlineStr">
        <is>
          <t>Diameter</t>
        </is>
      </c>
      <c r="I1632" s="3" t="inlineStr">
        <is>
          <t>50 mm (2 inch)</t>
        </is>
      </c>
      <c r="Q1632" s="3" t="inlineStr">
        <is>
          <t>Manufacturer's Warranty</t>
        </is>
      </c>
      <c r="R1632" s="3" t="inlineStr">
        <is>
          <t>M512110506^</t>
        </is>
      </c>
      <c r="Y1632" s="3" t="inlineStr">
        <is>
          <t>PLB_AST_ELBW90</t>
        </is>
      </c>
      <c r="Z1632" s="3" t="n">
        <v>3917</v>
      </c>
      <c r="AE1632" s="3" t="n">
        <v>474</v>
      </c>
      <c r="AF1632" s="4" t="n">
        <v>0.5</v>
      </c>
      <c r="AG1632" s="3">
        <f>ROUND(AE1632-(AE1632*AF1632),2)</f>
        <v/>
      </c>
      <c r="AH1632" s="4" t="n">
        <v>0.18</v>
      </c>
      <c r="AI1632" s="3">
        <f>ROUND(AG1632+(AG1632*AH1632),2)</f>
        <v/>
      </c>
      <c r="AJ1632" s="4" t="n">
        <v>0.15</v>
      </c>
      <c r="AK1632" s="3">
        <f>ROUND(AI1632*AJ1632,2)</f>
        <v/>
      </c>
      <c r="AL1632" s="3">
        <f>AI1632+AK1632</f>
        <v/>
      </c>
      <c r="AM1632" s="3">
        <f>AE1632-AL1632</f>
        <v/>
      </c>
      <c r="AN1632" s="4">
        <f>AM1632/AE1632</f>
        <v/>
      </c>
      <c r="AO1632" s="3" t="inlineStr">
        <is>
          <t>60 mins</t>
        </is>
      </c>
      <c r="AQ1632" s="3" t="inlineStr">
        <is>
          <t>Weight</t>
        </is>
      </c>
      <c r="AT1632" s="3" t="inlineStr">
        <is>
          <t>Active</t>
        </is>
      </c>
    </row>
    <row r="1633" ht="15.75" customHeight="1">
      <c r="A1633" s="3" t="inlineStr">
        <is>
          <t>PROD_0305</t>
        </is>
      </c>
      <c r="B1633" s="3" t="inlineStr">
        <is>
          <t>VAR_1</t>
        </is>
      </c>
      <c r="C1633" s="3" t="inlineStr">
        <is>
          <t>Plumbing</t>
        </is>
      </c>
      <c r="D1633" s="3" t="inlineStr">
        <is>
          <t>Bends &amp; Connectors</t>
        </is>
      </c>
      <c r="E1633" s="3" t="inlineStr">
        <is>
          <t>Astral</t>
        </is>
      </c>
      <c r="F1633" s="3" t="inlineStr">
        <is>
          <t>Male Adaptor (THD X SOC)</t>
        </is>
      </c>
      <c r="H1633" s="3" t="inlineStr">
        <is>
          <t>Diameter</t>
        </is>
      </c>
      <c r="I1633" s="3" t="inlineStr">
        <is>
          <t>15 mm (.5 inch)</t>
        </is>
      </c>
      <c r="Q1633" s="3" t="inlineStr">
        <is>
          <t>Manufacturer's Warranty</t>
        </is>
      </c>
      <c r="R1633" s="3" t="inlineStr">
        <is>
          <t>M512111301^</t>
        </is>
      </c>
      <c r="Y1633" s="3" t="inlineStr">
        <is>
          <t>PLB_AST_MALADAP</t>
        </is>
      </c>
      <c r="Z1633" s="3" t="n">
        <v>3917</v>
      </c>
      <c r="AE1633" s="3" t="n">
        <v>25</v>
      </c>
      <c r="AF1633" s="4" t="n">
        <v>0.5</v>
      </c>
      <c r="AG1633" s="3">
        <f>ROUND(AE1633-(AE1633*AF1633),2)</f>
        <v/>
      </c>
      <c r="AH1633" s="4" t="n">
        <v>0.18</v>
      </c>
      <c r="AI1633" s="3">
        <f>ROUND(AG1633+(AG1633*AH1633),2)</f>
        <v/>
      </c>
      <c r="AJ1633" s="4" t="n">
        <v>0.2</v>
      </c>
      <c r="AK1633" s="3">
        <f>ROUND(AI1633*AJ1633,2)</f>
        <v/>
      </c>
      <c r="AL1633" s="3">
        <f>AI1633+AK1633</f>
        <v/>
      </c>
      <c r="AM1633" s="3">
        <f>AE1633-AL1633</f>
        <v/>
      </c>
      <c r="AN1633" s="4">
        <f>AM1633/AE1633</f>
        <v/>
      </c>
      <c r="AO1633" s="3" t="inlineStr">
        <is>
          <t>60 mins</t>
        </is>
      </c>
      <c r="AQ1633" s="3" t="inlineStr">
        <is>
          <t>Weight</t>
        </is>
      </c>
      <c r="AT1633" s="3" t="inlineStr">
        <is>
          <t>Active</t>
        </is>
      </c>
    </row>
    <row r="1634" ht="15.75" customHeight="1">
      <c r="A1634" s="3" t="inlineStr">
        <is>
          <t>PROD_0305</t>
        </is>
      </c>
      <c r="B1634" s="3" t="inlineStr">
        <is>
          <t>VAR_2</t>
        </is>
      </c>
      <c r="C1634" s="3" t="inlineStr">
        <is>
          <t>Plumbing</t>
        </is>
      </c>
      <c r="D1634" s="3" t="inlineStr">
        <is>
          <t>Bends &amp; Connectors</t>
        </is>
      </c>
      <c r="E1634" s="3" t="inlineStr">
        <is>
          <t>Astral</t>
        </is>
      </c>
      <c r="F1634" s="3" t="inlineStr">
        <is>
          <t>Male Adaptor (THD X SOC)</t>
        </is>
      </c>
      <c r="H1634" s="3" t="inlineStr">
        <is>
          <t>Diameter</t>
        </is>
      </c>
      <c r="I1634" s="3" t="inlineStr">
        <is>
          <t>20 mm (.75 inch)</t>
        </is>
      </c>
      <c r="Q1634" s="3" t="inlineStr">
        <is>
          <t>Manufacturer's Warranty</t>
        </is>
      </c>
      <c r="R1634" s="3" t="inlineStr">
        <is>
          <t>M512111302^</t>
        </is>
      </c>
      <c r="Y1634" s="3" t="inlineStr">
        <is>
          <t>PLB_AST_MALADAP</t>
        </is>
      </c>
      <c r="Z1634" s="3" t="n">
        <v>3917</v>
      </c>
      <c r="AE1634" s="3" t="n">
        <v>35</v>
      </c>
      <c r="AF1634" s="4" t="n">
        <v>0.5</v>
      </c>
      <c r="AG1634" s="3">
        <f>ROUND(AE1634-(AE1634*AF1634),2)</f>
        <v/>
      </c>
      <c r="AH1634" s="4" t="n">
        <v>0.18</v>
      </c>
      <c r="AI1634" s="3">
        <f>ROUND(AG1634+(AG1634*AH1634),2)</f>
        <v/>
      </c>
      <c r="AJ1634" s="4" t="n">
        <v>0.2</v>
      </c>
      <c r="AK1634" s="3">
        <f>ROUND(AI1634*AJ1634,2)</f>
        <v/>
      </c>
      <c r="AL1634" s="3">
        <f>AI1634+AK1634</f>
        <v/>
      </c>
      <c r="AM1634" s="3">
        <f>AE1634-AL1634</f>
        <v/>
      </c>
      <c r="AN1634" s="4">
        <f>AM1634/AE1634</f>
        <v/>
      </c>
      <c r="AO1634" s="3" t="inlineStr">
        <is>
          <t>60 mins</t>
        </is>
      </c>
      <c r="AQ1634" s="3" t="inlineStr">
        <is>
          <t>Weight</t>
        </is>
      </c>
      <c r="AT1634" s="3" t="inlineStr">
        <is>
          <t>Active</t>
        </is>
      </c>
    </row>
    <row r="1635" ht="15.75" customHeight="1">
      <c r="A1635" s="3" t="inlineStr">
        <is>
          <t>PROD_0305</t>
        </is>
      </c>
      <c r="B1635" s="3" t="inlineStr">
        <is>
          <t>VAR_3</t>
        </is>
      </c>
      <c r="C1635" s="3" t="inlineStr">
        <is>
          <t>Plumbing</t>
        </is>
      </c>
      <c r="D1635" s="3" t="inlineStr">
        <is>
          <t>Bends &amp; Connectors</t>
        </is>
      </c>
      <c r="E1635" s="3" t="inlineStr">
        <is>
          <t>Astral</t>
        </is>
      </c>
      <c r="F1635" s="3" t="inlineStr">
        <is>
          <t>Male Adaptor (THD X SOC)</t>
        </is>
      </c>
      <c r="H1635" s="3" t="inlineStr">
        <is>
          <t>Diameter</t>
        </is>
      </c>
      <c r="I1635" s="3" t="inlineStr">
        <is>
          <t>25 mm (1 inch)</t>
        </is>
      </c>
      <c r="Q1635" s="3" t="inlineStr">
        <is>
          <t>Manufacturer's Warranty</t>
        </is>
      </c>
      <c r="R1635" s="3" t="inlineStr">
        <is>
          <t>M512111303^</t>
        </is>
      </c>
      <c r="Y1635" s="3" t="inlineStr">
        <is>
          <t>PLB_AST_MALADAP</t>
        </is>
      </c>
      <c r="Z1635" s="3" t="n">
        <v>3917</v>
      </c>
      <c r="AE1635" s="3" t="n">
        <v>52</v>
      </c>
      <c r="AF1635" s="4" t="n">
        <v>0.5</v>
      </c>
      <c r="AG1635" s="3">
        <f>ROUND(AE1635-(AE1635*AF1635),2)</f>
        <v/>
      </c>
      <c r="AH1635" s="4" t="n">
        <v>0.18</v>
      </c>
      <c r="AI1635" s="3">
        <f>ROUND(AG1635+(AG1635*AH1635),2)</f>
        <v/>
      </c>
      <c r="AJ1635" s="4" t="n">
        <v>0.2</v>
      </c>
      <c r="AK1635" s="3">
        <f>ROUND(AI1635*AJ1635,2)</f>
        <v/>
      </c>
      <c r="AL1635" s="3">
        <f>AI1635+AK1635</f>
        <v/>
      </c>
      <c r="AM1635" s="3">
        <f>AE1635-AL1635</f>
        <v/>
      </c>
      <c r="AN1635" s="4">
        <f>AM1635/AE1635</f>
        <v/>
      </c>
      <c r="AO1635" s="3" t="inlineStr">
        <is>
          <t>60 mins</t>
        </is>
      </c>
      <c r="AQ1635" s="3" t="inlineStr">
        <is>
          <t>Weight</t>
        </is>
      </c>
      <c r="AT1635" s="3" t="inlineStr">
        <is>
          <t>Active</t>
        </is>
      </c>
    </row>
    <row r="1636" ht="15.75" customHeight="1">
      <c r="A1636" s="3" t="inlineStr">
        <is>
          <t>PROD_0305</t>
        </is>
      </c>
      <c r="B1636" s="3" t="inlineStr">
        <is>
          <t>VAR_4</t>
        </is>
      </c>
      <c r="C1636" s="3" t="inlineStr">
        <is>
          <t>Plumbing</t>
        </is>
      </c>
      <c r="D1636" s="3" t="inlineStr">
        <is>
          <t>Bends &amp; Connectors</t>
        </is>
      </c>
      <c r="E1636" s="3" t="inlineStr">
        <is>
          <t>Astral</t>
        </is>
      </c>
      <c r="F1636" s="3" t="inlineStr">
        <is>
          <t>Male Adaptor (THD X SOC)</t>
        </is>
      </c>
      <c r="H1636" s="3" t="inlineStr">
        <is>
          <t>Diameter</t>
        </is>
      </c>
      <c r="I1636" s="3" t="inlineStr">
        <is>
          <t>32 mm (1.25 inch)</t>
        </is>
      </c>
      <c r="Q1636" s="3" t="inlineStr">
        <is>
          <t>Manufacturer's Warranty</t>
        </is>
      </c>
      <c r="R1636" s="3" t="inlineStr">
        <is>
          <t>M512111304^</t>
        </is>
      </c>
      <c r="Y1636" s="3" t="inlineStr">
        <is>
          <t>PLB_AST_MALADAP</t>
        </is>
      </c>
      <c r="Z1636" s="3" t="n">
        <v>3917</v>
      </c>
      <c r="AE1636" s="3" t="n">
        <v>91</v>
      </c>
      <c r="AF1636" s="4" t="n">
        <v>0.5</v>
      </c>
      <c r="AG1636" s="3">
        <f>ROUND(AE1636-(AE1636*AF1636),2)</f>
        <v/>
      </c>
      <c r="AH1636" s="4" t="n">
        <v>0.18</v>
      </c>
      <c r="AI1636" s="3">
        <f>ROUND(AG1636+(AG1636*AH1636),2)</f>
        <v/>
      </c>
      <c r="AJ1636" s="4" t="n">
        <v>0.2</v>
      </c>
      <c r="AK1636" s="3">
        <f>ROUND(AI1636*AJ1636,2)</f>
        <v/>
      </c>
      <c r="AL1636" s="3">
        <f>AI1636+AK1636</f>
        <v/>
      </c>
      <c r="AM1636" s="3">
        <f>AE1636-AL1636</f>
        <v/>
      </c>
      <c r="AN1636" s="4">
        <f>AM1636/AE1636</f>
        <v/>
      </c>
      <c r="AO1636" s="3" t="inlineStr">
        <is>
          <t>60 mins</t>
        </is>
      </c>
      <c r="AQ1636" s="3" t="inlineStr">
        <is>
          <t>Weight</t>
        </is>
      </c>
      <c r="AT1636" s="3" t="inlineStr">
        <is>
          <t>Active</t>
        </is>
      </c>
    </row>
    <row r="1637" ht="15.75" customHeight="1">
      <c r="A1637" s="3" t="inlineStr">
        <is>
          <t>PROD_0305</t>
        </is>
      </c>
      <c r="B1637" s="3" t="inlineStr">
        <is>
          <t>VAR_5</t>
        </is>
      </c>
      <c r="C1637" s="3" t="inlineStr">
        <is>
          <t>Plumbing</t>
        </is>
      </c>
      <c r="D1637" s="3" t="inlineStr">
        <is>
          <t>Bends &amp; Connectors</t>
        </is>
      </c>
      <c r="E1637" s="3" t="inlineStr">
        <is>
          <t>Astral</t>
        </is>
      </c>
      <c r="F1637" s="3" t="inlineStr">
        <is>
          <t>Male Adaptor (THD X SOC)</t>
        </is>
      </c>
      <c r="H1637" s="3" t="inlineStr">
        <is>
          <t>Diameter</t>
        </is>
      </c>
      <c r="I1637" s="3" t="inlineStr">
        <is>
          <t>40 mm (1.5 inch)</t>
        </is>
      </c>
      <c r="Q1637" s="3" t="inlineStr">
        <is>
          <t>Manufacturer's Warranty</t>
        </is>
      </c>
      <c r="R1637" s="3" t="inlineStr">
        <is>
          <t>M512111305^</t>
        </is>
      </c>
      <c r="Y1637" s="3" t="inlineStr">
        <is>
          <t>PLB_AST_MALADAP</t>
        </is>
      </c>
      <c r="Z1637" s="3" t="n">
        <v>3917</v>
      </c>
      <c r="AE1637" s="3" t="n">
        <v>129</v>
      </c>
      <c r="AF1637" s="4" t="n">
        <v>0.5</v>
      </c>
      <c r="AG1637" s="3">
        <f>ROUND(AE1637-(AE1637*AF1637),2)</f>
        <v/>
      </c>
      <c r="AH1637" s="4" t="n">
        <v>0.18</v>
      </c>
      <c r="AI1637" s="3">
        <f>ROUND(AG1637+(AG1637*AH1637),2)</f>
        <v/>
      </c>
      <c r="AJ1637" s="4" t="n">
        <v>0.2</v>
      </c>
      <c r="AK1637" s="3">
        <f>ROUND(AI1637*AJ1637,2)</f>
        <v/>
      </c>
      <c r="AL1637" s="3">
        <f>AI1637+AK1637</f>
        <v/>
      </c>
      <c r="AM1637" s="3">
        <f>AE1637-AL1637</f>
        <v/>
      </c>
      <c r="AN1637" s="4">
        <f>AM1637/AE1637</f>
        <v/>
      </c>
      <c r="AO1637" s="3" t="inlineStr">
        <is>
          <t>60 mins</t>
        </is>
      </c>
      <c r="AQ1637" s="3" t="inlineStr">
        <is>
          <t>Weight</t>
        </is>
      </c>
      <c r="AT1637" s="3" t="inlineStr">
        <is>
          <t>Active</t>
        </is>
      </c>
    </row>
    <row r="1638" ht="15.75" customHeight="1">
      <c r="A1638" s="3" t="inlineStr">
        <is>
          <t>PROD_0305</t>
        </is>
      </c>
      <c r="B1638" s="3" t="inlineStr">
        <is>
          <t>VAR_6</t>
        </is>
      </c>
      <c r="C1638" s="3" t="inlineStr">
        <is>
          <t>Plumbing</t>
        </is>
      </c>
      <c r="D1638" s="3" t="inlineStr">
        <is>
          <t>Bends &amp; Connectors</t>
        </is>
      </c>
      <c r="E1638" s="3" t="inlineStr">
        <is>
          <t>Astral</t>
        </is>
      </c>
      <c r="F1638" s="3" t="inlineStr">
        <is>
          <t>Male Adaptor (THD X SOC)</t>
        </is>
      </c>
      <c r="H1638" s="3" t="inlineStr">
        <is>
          <t>Diameter</t>
        </is>
      </c>
      <c r="I1638" s="3" t="inlineStr">
        <is>
          <t>50 mm (2 inch)</t>
        </is>
      </c>
      <c r="Q1638" s="3" t="inlineStr">
        <is>
          <t>Manufacturer's Warranty</t>
        </is>
      </c>
      <c r="R1638" s="3" t="inlineStr">
        <is>
          <t>M512111306^</t>
        </is>
      </c>
      <c r="Y1638" s="3" t="inlineStr">
        <is>
          <t>PLB_AST_MALADAP</t>
        </is>
      </c>
      <c r="Z1638" s="3" t="n">
        <v>3917</v>
      </c>
      <c r="AE1638" s="3" t="n">
        <v>252</v>
      </c>
      <c r="AF1638" s="4" t="n">
        <v>0.5</v>
      </c>
      <c r="AG1638" s="3">
        <f>ROUND(AE1638-(AE1638*AF1638),2)</f>
        <v/>
      </c>
      <c r="AH1638" s="4" t="n">
        <v>0.18</v>
      </c>
      <c r="AI1638" s="3">
        <f>ROUND(AG1638+(AG1638*AH1638),2)</f>
        <v/>
      </c>
      <c r="AJ1638" s="4" t="n">
        <v>0.2</v>
      </c>
      <c r="AK1638" s="3">
        <f>ROUND(AI1638*AJ1638,2)</f>
        <v/>
      </c>
      <c r="AL1638" s="3">
        <f>AI1638+AK1638</f>
        <v/>
      </c>
      <c r="AM1638" s="3">
        <f>AE1638-AL1638</f>
        <v/>
      </c>
      <c r="AN1638" s="4">
        <f>AM1638/AE1638</f>
        <v/>
      </c>
      <c r="AO1638" s="3" t="inlineStr">
        <is>
          <t>60 mins</t>
        </is>
      </c>
      <c r="AQ1638" s="3" t="inlineStr">
        <is>
          <t>Weight</t>
        </is>
      </c>
      <c r="AT1638" s="3" t="inlineStr">
        <is>
          <t>Active</t>
        </is>
      </c>
    </row>
    <row r="1639" ht="15.75" customHeight="1">
      <c r="A1639" s="3" t="inlineStr">
        <is>
          <t>PROD_0306</t>
        </is>
      </c>
      <c r="B1639" s="3" t="inlineStr">
        <is>
          <t>VAR_1</t>
        </is>
      </c>
      <c r="C1639" s="3" t="inlineStr">
        <is>
          <t>Plumbing</t>
        </is>
      </c>
      <c r="D1639" s="3" t="inlineStr">
        <is>
          <t>Bends &amp; Connectors</t>
        </is>
      </c>
      <c r="E1639" s="3" t="inlineStr">
        <is>
          <t>Astral</t>
        </is>
      </c>
      <c r="F1639" s="3" t="inlineStr">
        <is>
          <t xml:space="preserve">Tank Adaptor (THD X THD) </t>
        </is>
      </c>
      <c r="H1639" s="3" t="inlineStr">
        <is>
          <t>Diameter</t>
        </is>
      </c>
      <c r="I1639" s="3" t="inlineStr">
        <is>
          <t>15 mm (.5 inch)</t>
        </is>
      </c>
      <c r="Q1639" s="3" t="inlineStr">
        <is>
          <t>Manufacturer's Warranty</t>
        </is>
      </c>
      <c r="R1639" s="3" t="inlineStr">
        <is>
          <t>M512112501</t>
        </is>
      </c>
      <c r="Y1639" s="3" t="inlineStr">
        <is>
          <t>PLB_AST_TNKADAP</t>
        </is>
      </c>
      <c r="Z1639" s="3" t="n">
        <v>3917</v>
      </c>
      <c r="AE1639" s="3" t="n">
        <v>88</v>
      </c>
      <c r="AF1639" s="4" t="n">
        <v>0.5</v>
      </c>
      <c r="AG1639" s="3">
        <f>ROUND(AE1639-(AE1639*AF1639),2)</f>
        <v/>
      </c>
      <c r="AH1639" s="4" t="n">
        <v>0.18</v>
      </c>
      <c r="AI1639" s="3">
        <f>ROUND(AG1639+(AG1639*AH1639),2)</f>
        <v/>
      </c>
      <c r="AJ1639" s="4" t="n">
        <v>0.2</v>
      </c>
      <c r="AK1639" s="3">
        <f>ROUND(AI1639*AJ1639,2)</f>
        <v/>
      </c>
      <c r="AL1639" s="3">
        <f>AI1639+AK1639</f>
        <v/>
      </c>
      <c r="AM1639" s="3">
        <f>AE1639-AL1639</f>
        <v/>
      </c>
      <c r="AN1639" s="4">
        <f>AM1639/AE1639</f>
        <v/>
      </c>
      <c r="AO1639" s="3" t="inlineStr">
        <is>
          <t>60 mins</t>
        </is>
      </c>
      <c r="AQ1639" s="3" t="inlineStr">
        <is>
          <t>Weight</t>
        </is>
      </c>
      <c r="AT1639" s="3" t="inlineStr">
        <is>
          <t>Active</t>
        </is>
      </c>
    </row>
    <row r="1640" ht="15.75" customHeight="1">
      <c r="A1640" s="3" t="inlineStr">
        <is>
          <t>PROD_0306</t>
        </is>
      </c>
      <c r="B1640" s="3" t="inlineStr">
        <is>
          <t>VAR_2</t>
        </is>
      </c>
      <c r="C1640" s="3" t="inlineStr">
        <is>
          <t>Plumbing</t>
        </is>
      </c>
      <c r="D1640" s="3" t="inlineStr">
        <is>
          <t>Bends &amp; Connectors</t>
        </is>
      </c>
      <c r="E1640" s="3" t="inlineStr">
        <is>
          <t>Astral</t>
        </is>
      </c>
      <c r="F1640" s="3" t="inlineStr">
        <is>
          <t xml:space="preserve">Tank Adaptor (THD X THD) </t>
        </is>
      </c>
      <c r="H1640" s="3" t="inlineStr">
        <is>
          <t>Diameter</t>
        </is>
      </c>
      <c r="I1640" s="3" t="inlineStr">
        <is>
          <t>20 mm (.75 inch)</t>
        </is>
      </c>
      <c r="Q1640" s="3" t="inlineStr">
        <is>
          <t>Manufacturer's Warranty</t>
        </is>
      </c>
      <c r="R1640" s="3" t="inlineStr">
        <is>
          <t>M512112502</t>
        </is>
      </c>
      <c r="Y1640" s="3" t="inlineStr">
        <is>
          <t>PLB_AST_TNKADAP</t>
        </is>
      </c>
      <c r="Z1640" s="3" t="n">
        <v>3917</v>
      </c>
      <c r="AE1640" s="3" t="n">
        <v>97</v>
      </c>
      <c r="AF1640" s="4" t="n">
        <v>0.5</v>
      </c>
      <c r="AG1640" s="3">
        <f>ROUND(AE1640-(AE1640*AF1640),2)</f>
        <v/>
      </c>
      <c r="AH1640" s="4" t="n">
        <v>0.18</v>
      </c>
      <c r="AI1640" s="3">
        <f>ROUND(AG1640+(AG1640*AH1640),2)</f>
        <v/>
      </c>
      <c r="AJ1640" s="4" t="n">
        <v>0.2</v>
      </c>
      <c r="AK1640" s="3">
        <f>ROUND(AI1640*AJ1640,2)</f>
        <v/>
      </c>
      <c r="AL1640" s="3">
        <f>AI1640+AK1640</f>
        <v/>
      </c>
      <c r="AM1640" s="3">
        <f>AE1640-AL1640</f>
        <v/>
      </c>
      <c r="AN1640" s="4">
        <f>AM1640/AE1640</f>
        <v/>
      </c>
      <c r="AO1640" s="3" t="inlineStr">
        <is>
          <t>60 mins</t>
        </is>
      </c>
      <c r="AQ1640" s="3" t="inlineStr">
        <is>
          <t>Weight</t>
        </is>
      </c>
      <c r="AT1640" s="3" t="inlineStr">
        <is>
          <t>Active</t>
        </is>
      </c>
    </row>
    <row r="1641" ht="15.75" customHeight="1">
      <c r="A1641" s="3" t="inlineStr">
        <is>
          <t>PROD_0306</t>
        </is>
      </c>
      <c r="B1641" s="3" t="inlineStr">
        <is>
          <t>VAR_3</t>
        </is>
      </c>
      <c r="C1641" s="3" t="inlineStr">
        <is>
          <t>Plumbing</t>
        </is>
      </c>
      <c r="D1641" s="3" t="inlineStr">
        <is>
          <t>Bends &amp; Connectors</t>
        </is>
      </c>
      <c r="E1641" s="3" t="inlineStr">
        <is>
          <t>Astral</t>
        </is>
      </c>
      <c r="F1641" s="3" t="inlineStr">
        <is>
          <t xml:space="preserve">Tank Adaptor (THD X THD) </t>
        </is>
      </c>
      <c r="H1641" s="3" t="inlineStr">
        <is>
          <t>Diameter</t>
        </is>
      </c>
      <c r="I1641" s="3" t="inlineStr">
        <is>
          <t>25 mm (1 inch)</t>
        </is>
      </c>
      <c r="Q1641" s="3" t="inlineStr">
        <is>
          <t>Manufacturer's Warranty</t>
        </is>
      </c>
      <c r="R1641" s="3" t="inlineStr">
        <is>
          <t>M512112503</t>
        </is>
      </c>
      <c r="Y1641" s="3" t="inlineStr">
        <is>
          <t>PLB_AST_TNKADAP</t>
        </is>
      </c>
      <c r="Z1641" s="3" t="n">
        <v>3917</v>
      </c>
      <c r="AE1641" s="3" t="n">
        <v>149</v>
      </c>
      <c r="AF1641" s="4" t="n">
        <v>0.5</v>
      </c>
      <c r="AG1641" s="3">
        <f>ROUND(AE1641-(AE1641*AF1641),2)</f>
        <v/>
      </c>
      <c r="AH1641" s="4" t="n">
        <v>0.18</v>
      </c>
      <c r="AI1641" s="3">
        <f>ROUND(AG1641+(AG1641*AH1641),2)</f>
        <v/>
      </c>
      <c r="AJ1641" s="4" t="n">
        <v>0.2</v>
      </c>
      <c r="AK1641" s="3">
        <f>ROUND(AI1641*AJ1641,2)</f>
        <v/>
      </c>
      <c r="AL1641" s="3">
        <f>AI1641+AK1641</f>
        <v/>
      </c>
      <c r="AM1641" s="3">
        <f>AE1641-AL1641</f>
        <v/>
      </c>
      <c r="AN1641" s="4">
        <f>AM1641/AE1641</f>
        <v/>
      </c>
      <c r="AO1641" s="3" t="inlineStr">
        <is>
          <t>60 mins</t>
        </is>
      </c>
      <c r="AQ1641" s="3" t="inlineStr">
        <is>
          <t>Weight</t>
        </is>
      </c>
      <c r="AT1641" s="3" t="inlineStr">
        <is>
          <t>Active</t>
        </is>
      </c>
    </row>
    <row r="1642" ht="15.75" customHeight="1">
      <c r="A1642" s="3" t="inlineStr">
        <is>
          <t>PROD_0306</t>
        </is>
      </c>
      <c r="B1642" s="3" t="inlineStr">
        <is>
          <t>VAR_4</t>
        </is>
      </c>
      <c r="C1642" s="3" t="inlineStr">
        <is>
          <t>Plumbing</t>
        </is>
      </c>
      <c r="D1642" s="3" t="inlineStr">
        <is>
          <t>Bends &amp; Connectors</t>
        </is>
      </c>
      <c r="E1642" s="3" t="inlineStr">
        <is>
          <t>Astral</t>
        </is>
      </c>
      <c r="F1642" s="3" t="inlineStr">
        <is>
          <t xml:space="preserve">Tank Adaptor (THD X THD) </t>
        </is>
      </c>
      <c r="H1642" s="3" t="inlineStr">
        <is>
          <t>Diameter</t>
        </is>
      </c>
      <c r="I1642" s="3" t="inlineStr">
        <is>
          <t>32 mm (1.25 inch)</t>
        </is>
      </c>
      <c r="Q1642" s="3" t="inlineStr">
        <is>
          <t>Manufacturer's Warranty</t>
        </is>
      </c>
      <c r="R1642" s="3" t="inlineStr">
        <is>
          <t>M512112504</t>
        </is>
      </c>
      <c r="Y1642" s="3" t="inlineStr">
        <is>
          <t>PLB_AST_TNKADAP</t>
        </is>
      </c>
      <c r="Z1642" s="3" t="n">
        <v>3917</v>
      </c>
      <c r="AE1642" s="3" t="n">
        <v>237</v>
      </c>
      <c r="AF1642" s="4" t="n">
        <v>0.5</v>
      </c>
      <c r="AG1642" s="3">
        <f>ROUND(AE1642-(AE1642*AF1642),2)</f>
        <v/>
      </c>
      <c r="AH1642" s="4" t="n">
        <v>0.18</v>
      </c>
      <c r="AI1642" s="3">
        <f>ROUND(AG1642+(AG1642*AH1642),2)</f>
        <v/>
      </c>
      <c r="AJ1642" s="4" t="n">
        <v>0.2</v>
      </c>
      <c r="AK1642" s="3">
        <f>ROUND(AI1642*AJ1642,2)</f>
        <v/>
      </c>
      <c r="AL1642" s="3">
        <f>AI1642+AK1642</f>
        <v/>
      </c>
      <c r="AM1642" s="3">
        <f>AE1642-AL1642</f>
        <v/>
      </c>
      <c r="AN1642" s="4">
        <f>AM1642/AE1642</f>
        <v/>
      </c>
      <c r="AO1642" s="3" t="inlineStr">
        <is>
          <t>60 mins</t>
        </is>
      </c>
      <c r="AQ1642" s="3" t="inlineStr">
        <is>
          <t>Weight</t>
        </is>
      </c>
      <c r="AT1642" s="3" t="inlineStr">
        <is>
          <t>Active</t>
        </is>
      </c>
    </row>
    <row r="1643" ht="15.75" customHeight="1">
      <c r="A1643" s="3" t="inlineStr">
        <is>
          <t>PROD_0306</t>
        </is>
      </c>
      <c r="B1643" s="3" t="inlineStr">
        <is>
          <t>VAR_5</t>
        </is>
      </c>
      <c r="C1643" s="3" t="inlineStr">
        <is>
          <t>Plumbing</t>
        </is>
      </c>
      <c r="D1643" s="3" t="inlineStr">
        <is>
          <t>Bends &amp; Connectors</t>
        </is>
      </c>
      <c r="E1643" s="3" t="inlineStr">
        <is>
          <t>Astral</t>
        </is>
      </c>
      <c r="F1643" s="3" t="inlineStr">
        <is>
          <t xml:space="preserve">Tank Adaptor (THD X THD) </t>
        </is>
      </c>
      <c r="H1643" s="3" t="inlineStr">
        <is>
          <t>Diameter</t>
        </is>
      </c>
      <c r="I1643" s="3" t="inlineStr">
        <is>
          <t>40 mm (1.5 inch)</t>
        </is>
      </c>
      <c r="Q1643" s="3" t="inlineStr">
        <is>
          <t>Manufacturer's Warranty</t>
        </is>
      </c>
      <c r="R1643" s="3" t="inlineStr">
        <is>
          <t>M512112505</t>
        </is>
      </c>
      <c r="Y1643" s="3" t="inlineStr">
        <is>
          <t>PLB_AST_TNKADAP</t>
        </is>
      </c>
      <c r="Z1643" s="3" t="n">
        <v>3917</v>
      </c>
      <c r="AE1643" s="3" t="n">
        <v>343</v>
      </c>
      <c r="AF1643" s="4" t="n">
        <v>0.5</v>
      </c>
      <c r="AG1643" s="3">
        <f>ROUND(AE1643-(AE1643*AF1643),2)</f>
        <v/>
      </c>
      <c r="AH1643" s="4" t="n">
        <v>0.18</v>
      </c>
      <c r="AI1643" s="3">
        <f>ROUND(AG1643+(AG1643*AH1643),2)</f>
        <v/>
      </c>
      <c r="AJ1643" s="4" t="n">
        <v>0.2</v>
      </c>
      <c r="AK1643" s="3">
        <f>ROUND(AI1643*AJ1643,2)</f>
        <v/>
      </c>
      <c r="AL1643" s="3">
        <f>AI1643+AK1643</f>
        <v/>
      </c>
      <c r="AM1643" s="3">
        <f>AE1643-AL1643</f>
        <v/>
      </c>
      <c r="AN1643" s="4">
        <f>AM1643/AE1643</f>
        <v/>
      </c>
      <c r="AO1643" s="3" t="inlineStr">
        <is>
          <t>60 mins</t>
        </is>
      </c>
      <c r="AQ1643" s="3" t="inlineStr">
        <is>
          <t>Weight</t>
        </is>
      </c>
      <c r="AT1643" s="3" t="inlineStr">
        <is>
          <t>Active</t>
        </is>
      </c>
    </row>
    <row r="1644" ht="15.75" customHeight="1">
      <c r="A1644" s="3" t="inlineStr">
        <is>
          <t>PROD_0306</t>
        </is>
      </c>
      <c r="B1644" s="3" t="inlineStr">
        <is>
          <t>VAR_6</t>
        </is>
      </c>
      <c r="C1644" s="3" t="inlineStr">
        <is>
          <t>Plumbing</t>
        </is>
      </c>
      <c r="D1644" s="3" t="inlineStr">
        <is>
          <t>Bends &amp; Connectors</t>
        </is>
      </c>
      <c r="E1644" s="3" t="inlineStr">
        <is>
          <t>Astral</t>
        </is>
      </c>
      <c r="F1644" s="3" t="inlineStr">
        <is>
          <t xml:space="preserve">Tank Adaptor (THD X THD) </t>
        </is>
      </c>
      <c r="H1644" s="3" t="inlineStr">
        <is>
          <t>Diameter</t>
        </is>
      </c>
      <c r="I1644" s="3" t="inlineStr">
        <is>
          <t>50 mm (2 inch)</t>
        </is>
      </c>
      <c r="Q1644" s="3" t="inlineStr">
        <is>
          <t>Manufacturer's Warranty</t>
        </is>
      </c>
      <c r="R1644" s="3" t="inlineStr">
        <is>
          <t>M512112506</t>
        </is>
      </c>
      <c r="Y1644" s="3" t="inlineStr">
        <is>
          <t>PLB_AST_TNKADAP</t>
        </is>
      </c>
      <c r="Z1644" s="3" t="n">
        <v>3917</v>
      </c>
      <c r="AE1644" s="3" t="n">
        <v>534</v>
      </c>
      <c r="AF1644" s="4" t="n">
        <v>0.5</v>
      </c>
      <c r="AG1644" s="3">
        <f>ROUND(AE1644-(AE1644*AF1644),2)</f>
        <v/>
      </c>
      <c r="AH1644" s="4" t="n">
        <v>0.18</v>
      </c>
      <c r="AI1644" s="3">
        <f>ROUND(AG1644+(AG1644*AH1644),2)</f>
        <v/>
      </c>
      <c r="AJ1644" s="4" t="n">
        <v>0.2</v>
      </c>
      <c r="AK1644" s="3">
        <f>ROUND(AI1644*AJ1644,2)</f>
        <v/>
      </c>
      <c r="AL1644" s="3">
        <f>AI1644+AK1644</f>
        <v/>
      </c>
      <c r="AM1644" s="3">
        <f>AE1644-AL1644</f>
        <v/>
      </c>
      <c r="AN1644" s="4">
        <f>AM1644/AE1644</f>
        <v/>
      </c>
      <c r="AO1644" s="3" t="inlineStr">
        <is>
          <t>60 mins</t>
        </is>
      </c>
      <c r="AQ1644" s="3" t="inlineStr">
        <is>
          <t>Weight</t>
        </is>
      </c>
      <c r="AT1644" s="3" t="inlineStr">
        <is>
          <t>Active</t>
        </is>
      </c>
    </row>
    <row r="1645" ht="15.75" customHeight="1">
      <c r="A1645" s="3" t="inlineStr">
        <is>
          <t>PROD_0307</t>
        </is>
      </c>
      <c r="B1645" s="3" t="inlineStr">
        <is>
          <t>VAR_1</t>
        </is>
      </c>
      <c r="C1645" s="3" t="inlineStr">
        <is>
          <t>Plumbing</t>
        </is>
      </c>
      <c r="D1645" s="3" t="inlineStr">
        <is>
          <t>Bends &amp; Connectors</t>
        </is>
      </c>
      <c r="E1645" s="3" t="inlineStr">
        <is>
          <t>Astral</t>
        </is>
      </c>
      <c r="F1645" s="3" t="inlineStr">
        <is>
          <t>End Cap (SOC)</t>
        </is>
      </c>
      <c r="H1645" s="3" t="inlineStr">
        <is>
          <t>Diameter</t>
        </is>
      </c>
      <c r="I1645" s="3" t="inlineStr">
        <is>
          <t>15 mm (.5 inch)</t>
        </is>
      </c>
      <c r="Q1645" s="3" t="inlineStr">
        <is>
          <t>Manufacturer's Warranty</t>
        </is>
      </c>
      <c r="R1645" s="3" t="inlineStr">
        <is>
          <t>M512114101^</t>
        </is>
      </c>
      <c r="Y1645" s="3" t="inlineStr">
        <is>
          <t>PLB_AST_NDCP</t>
        </is>
      </c>
      <c r="Z1645" s="3" t="n">
        <v>3917</v>
      </c>
      <c r="AE1645" s="3" t="n">
        <v>17</v>
      </c>
      <c r="AF1645" s="4" t="n">
        <v>0.5</v>
      </c>
      <c r="AG1645" s="3">
        <f>ROUND(AE1645-(AE1645*AF1645),2)</f>
        <v/>
      </c>
      <c r="AH1645" s="4" t="n">
        <v>0.18</v>
      </c>
      <c r="AI1645" s="3">
        <f>ROUND(AG1645+(AG1645*AH1645),2)</f>
        <v/>
      </c>
      <c r="AJ1645" s="4" t="n">
        <v>0.2</v>
      </c>
      <c r="AK1645" s="3">
        <f>ROUND(AI1645*AJ1645,2)</f>
        <v/>
      </c>
      <c r="AL1645" s="3">
        <f>AI1645+AK1645</f>
        <v/>
      </c>
      <c r="AM1645" s="3">
        <f>AE1645-AL1645</f>
        <v/>
      </c>
      <c r="AN1645" s="4">
        <f>AM1645/AE1645</f>
        <v/>
      </c>
      <c r="AO1645" s="3" t="inlineStr">
        <is>
          <t>60 mins</t>
        </is>
      </c>
      <c r="AQ1645" s="3" t="inlineStr">
        <is>
          <t>Weight</t>
        </is>
      </c>
      <c r="AT1645" s="3" t="inlineStr">
        <is>
          <t>Active</t>
        </is>
      </c>
    </row>
    <row r="1646" ht="15.75" customHeight="1">
      <c r="A1646" s="3" t="inlineStr">
        <is>
          <t>PROD_0307</t>
        </is>
      </c>
      <c r="B1646" s="3" t="inlineStr">
        <is>
          <t>VAR_2</t>
        </is>
      </c>
      <c r="C1646" s="3" t="inlineStr">
        <is>
          <t>Plumbing</t>
        </is>
      </c>
      <c r="D1646" s="3" t="inlineStr">
        <is>
          <t>Bends &amp; Connectors</t>
        </is>
      </c>
      <c r="E1646" s="3" t="inlineStr">
        <is>
          <t>Astral</t>
        </is>
      </c>
      <c r="F1646" s="3" t="inlineStr">
        <is>
          <t>End Cap (SOC)</t>
        </is>
      </c>
      <c r="H1646" s="3" t="inlineStr">
        <is>
          <t>Diameter</t>
        </is>
      </c>
      <c r="I1646" s="3" t="inlineStr">
        <is>
          <t>20 mm (.75 inch)</t>
        </is>
      </c>
      <c r="Q1646" s="3" t="inlineStr">
        <is>
          <t>Manufacturer's Warranty</t>
        </is>
      </c>
      <c r="R1646" s="3" t="inlineStr">
        <is>
          <t>M512114102^</t>
        </is>
      </c>
      <c r="Y1646" s="3" t="inlineStr">
        <is>
          <t>PLB_AST_NDCP</t>
        </is>
      </c>
      <c r="Z1646" s="3" t="n">
        <v>3917</v>
      </c>
      <c r="AE1646" s="3" t="n">
        <v>23</v>
      </c>
      <c r="AF1646" s="4" t="n">
        <v>0.5</v>
      </c>
      <c r="AG1646" s="3">
        <f>ROUND(AE1646-(AE1646*AF1646),2)</f>
        <v/>
      </c>
      <c r="AH1646" s="4" t="n">
        <v>0.18</v>
      </c>
      <c r="AI1646" s="3">
        <f>ROUND(AG1646+(AG1646*AH1646),2)</f>
        <v/>
      </c>
      <c r="AJ1646" s="4" t="n">
        <v>0.2</v>
      </c>
      <c r="AK1646" s="3">
        <f>ROUND(AI1646*AJ1646,2)</f>
        <v/>
      </c>
      <c r="AL1646" s="3">
        <f>AI1646+AK1646</f>
        <v/>
      </c>
      <c r="AM1646" s="3">
        <f>AE1646-AL1646</f>
        <v/>
      </c>
      <c r="AN1646" s="4">
        <f>AM1646/AE1646</f>
        <v/>
      </c>
      <c r="AO1646" s="3" t="inlineStr">
        <is>
          <t>60 mins</t>
        </is>
      </c>
      <c r="AQ1646" s="3" t="inlineStr">
        <is>
          <t>Weight</t>
        </is>
      </c>
      <c r="AT1646" s="3" t="inlineStr">
        <is>
          <t>Active</t>
        </is>
      </c>
    </row>
    <row r="1647" ht="15.75" customHeight="1">
      <c r="A1647" s="3" t="inlineStr">
        <is>
          <t>PROD_0307</t>
        </is>
      </c>
      <c r="B1647" s="3" t="inlineStr">
        <is>
          <t>VAR_3</t>
        </is>
      </c>
      <c r="C1647" s="3" t="inlineStr">
        <is>
          <t>Plumbing</t>
        </is>
      </c>
      <c r="D1647" s="3" t="inlineStr">
        <is>
          <t>Bends &amp; Connectors</t>
        </is>
      </c>
      <c r="E1647" s="3" t="inlineStr">
        <is>
          <t>Astral</t>
        </is>
      </c>
      <c r="F1647" s="3" t="inlineStr">
        <is>
          <t>End Cap (SOC)</t>
        </is>
      </c>
      <c r="H1647" s="3" t="inlineStr">
        <is>
          <t>Diameter</t>
        </is>
      </c>
      <c r="I1647" s="3" t="inlineStr">
        <is>
          <t>25 mm (1 inch)</t>
        </is>
      </c>
      <c r="Q1647" s="3" t="inlineStr">
        <is>
          <t>Manufacturer's Warranty</t>
        </is>
      </c>
      <c r="R1647" s="3" t="inlineStr">
        <is>
          <t>M512114103^</t>
        </is>
      </c>
      <c r="Y1647" s="3" t="inlineStr">
        <is>
          <t>PLB_AST_NDCP</t>
        </is>
      </c>
      <c r="Z1647" s="3" t="n">
        <v>3917</v>
      </c>
      <c r="AE1647" s="3" t="n">
        <v>35</v>
      </c>
      <c r="AF1647" s="4" t="n">
        <v>0.5</v>
      </c>
      <c r="AG1647" s="3">
        <f>ROUND(AE1647-(AE1647*AF1647),2)</f>
        <v/>
      </c>
      <c r="AH1647" s="4" t="n">
        <v>0.18</v>
      </c>
      <c r="AI1647" s="3">
        <f>ROUND(AG1647+(AG1647*AH1647),2)</f>
        <v/>
      </c>
      <c r="AJ1647" s="4" t="n">
        <v>0.2</v>
      </c>
      <c r="AK1647" s="3">
        <f>ROUND(AI1647*AJ1647,2)</f>
        <v/>
      </c>
      <c r="AL1647" s="3">
        <f>AI1647+AK1647</f>
        <v/>
      </c>
      <c r="AM1647" s="3">
        <f>AE1647-AL1647</f>
        <v/>
      </c>
      <c r="AN1647" s="4">
        <f>AM1647/AE1647</f>
        <v/>
      </c>
      <c r="AO1647" s="3" t="inlineStr">
        <is>
          <t>60 mins</t>
        </is>
      </c>
      <c r="AQ1647" s="3" t="inlineStr">
        <is>
          <t>Weight</t>
        </is>
      </c>
      <c r="AT1647" s="3" t="inlineStr">
        <is>
          <t>Active</t>
        </is>
      </c>
    </row>
    <row r="1648" ht="15.75" customHeight="1">
      <c r="A1648" s="3" t="inlineStr">
        <is>
          <t>PROD_0307</t>
        </is>
      </c>
      <c r="B1648" s="3" t="inlineStr">
        <is>
          <t>VAR_4</t>
        </is>
      </c>
      <c r="C1648" s="3" t="inlineStr">
        <is>
          <t>Plumbing</t>
        </is>
      </c>
      <c r="D1648" s="3" t="inlineStr">
        <is>
          <t>Bends &amp; Connectors</t>
        </is>
      </c>
      <c r="E1648" s="3" t="inlineStr">
        <is>
          <t>Astral</t>
        </is>
      </c>
      <c r="F1648" s="3" t="inlineStr">
        <is>
          <t>End Cap (SOC)</t>
        </is>
      </c>
      <c r="H1648" s="3" t="inlineStr">
        <is>
          <t>Diameter</t>
        </is>
      </c>
      <c r="I1648" s="3" t="inlineStr">
        <is>
          <t>32 mm (1.25 inch)</t>
        </is>
      </c>
      <c r="Q1648" s="3" t="inlineStr">
        <is>
          <t>Manufacturer's Warranty</t>
        </is>
      </c>
      <c r="R1648" s="3" t="inlineStr">
        <is>
          <t>M512114104^</t>
        </is>
      </c>
      <c r="Y1648" s="3" t="inlineStr">
        <is>
          <t>PLB_AST_NDCP</t>
        </is>
      </c>
      <c r="Z1648" s="3" t="n">
        <v>3917</v>
      </c>
      <c r="AE1648" s="3" t="n">
        <v>71</v>
      </c>
      <c r="AF1648" s="4" t="n">
        <v>0.5</v>
      </c>
      <c r="AG1648" s="3">
        <f>ROUND(AE1648-(AE1648*AF1648),2)</f>
        <v/>
      </c>
      <c r="AH1648" s="4" t="n">
        <v>0.18</v>
      </c>
      <c r="AI1648" s="3">
        <f>ROUND(AG1648+(AG1648*AH1648),2)</f>
        <v/>
      </c>
      <c r="AJ1648" s="4" t="n">
        <v>0.2</v>
      </c>
      <c r="AK1648" s="3">
        <f>ROUND(AI1648*AJ1648,2)</f>
        <v/>
      </c>
      <c r="AL1648" s="3">
        <f>AI1648+AK1648</f>
        <v/>
      </c>
      <c r="AM1648" s="3">
        <f>AE1648-AL1648</f>
        <v/>
      </c>
      <c r="AN1648" s="4">
        <f>AM1648/AE1648</f>
        <v/>
      </c>
      <c r="AO1648" s="3" t="inlineStr">
        <is>
          <t>60 mins</t>
        </is>
      </c>
      <c r="AQ1648" s="3" t="inlineStr">
        <is>
          <t>Weight</t>
        </is>
      </c>
      <c r="AT1648" s="3" t="inlineStr">
        <is>
          <t>Active</t>
        </is>
      </c>
    </row>
    <row r="1649" ht="15.75" customHeight="1">
      <c r="A1649" s="3" t="inlineStr">
        <is>
          <t>PROD_0307</t>
        </is>
      </c>
      <c r="B1649" s="3" t="inlineStr">
        <is>
          <t>VAR_5</t>
        </is>
      </c>
      <c r="C1649" s="3" t="inlineStr">
        <is>
          <t>Plumbing</t>
        </is>
      </c>
      <c r="D1649" s="3" t="inlineStr">
        <is>
          <t>Bends &amp; Connectors</t>
        </is>
      </c>
      <c r="E1649" s="3" t="inlineStr">
        <is>
          <t>Astral</t>
        </is>
      </c>
      <c r="F1649" s="3" t="inlineStr">
        <is>
          <t>End Cap (SOC)</t>
        </is>
      </c>
      <c r="H1649" s="3" t="inlineStr">
        <is>
          <t>Diameter</t>
        </is>
      </c>
      <c r="I1649" s="3" t="inlineStr">
        <is>
          <t>40 mm (1.5 inch)</t>
        </is>
      </c>
      <c r="Q1649" s="3" t="inlineStr">
        <is>
          <t>Manufacturer's Warranty</t>
        </is>
      </c>
      <c r="R1649" s="3" t="inlineStr">
        <is>
          <t>M512114105^</t>
        </is>
      </c>
      <c r="Y1649" s="3" t="inlineStr">
        <is>
          <t>PLB_AST_NDCP</t>
        </is>
      </c>
      <c r="Z1649" s="3" t="n">
        <v>3917</v>
      </c>
      <c r="AE1649" s="3" t="n">
        <v>104</v>
      </c>
      <c r="AF1649" s="4" t="n">
        <v>0.5</v>
      </c>
      <c r="AG1649" s="3">
        <f>ROUND(AE1649-(AE1649*AF1649),2)</f>
        <v/>
      </c>
      <c r="AH1649" s="4" t="n">
        <v>0.18</v>
      </c>
      <c r="AI1649" s="3">
        <f>ROUND(AG1649+(AG1649*AH1649),2)</f>
        <v/>
      </c>
      <c r="AJ1649" s="4" t="n">
        <v>0.2</v>
      </c>
      <c r="AK1649" s="3">
        <f>ROUND(AI1649*AJ1649,2)</f>
        <v/>
      </c>
      <c r="AL1649" s="3">
        <f>AI1649+AK1649</f>
        <v/>
      </c>
      <c r="AM1649" s="3">
        <f>AE1649-AL1649</f>
        <v/>
      </c>
      <c r="AN1649" s="4">
        <f>AM1649/AE1649</f>
        <v/>
      </c>
      <c r="AO1649" s="3" t="inlineStr">
        <is>
          <t>60 mins</t>
        </is>
      </c>
      <c r="AQ1649" s="3" t="inlineStr">
        <is>
          <t>Weight</t>
        </is>
      </c>
      <c r="AT1649" s="3" t="inlineStr">
        <is>
          <t>Active</t>
        </is>
      </c>
    </row>
    <row r="1650" ht="15.75" customHeight="1">
      <c r="A1650" s="3" t="inlineStr">
        <is>
          <t>PROD_0307</t>
        </is>
      </c>
      <c r="B1650" s="3" t="inlineStr">
        <is>
          <t>VAR_6</t>
        </is>
      </c>
      <c r="C1650" s="3" t="inlineStr">
        <is>
          <t>Plumbing</t>
        </is>
      </c>
      <c r="D1650" s="3" t="inlineStr">
        <is>
          <t>Bends &amp; Connectors</t>
        </is>
      </c>
      <c r="E1650" s="3" t="inlineStr">
        <is>
          <t>Astral</t>
        </is>
      </c>
      <c r="F1650" s="3" t="inlineStr">
        <is>
          <t>End Cap (SOC)</t>
        </is>
      </c>
      <c r="H1650" s="3" t="inlineStr">
        <is>
          <t>Diameter</t>
        </is>
      </c>
      <c r="I1650" s="3" t="inlineStr">
        <is>
          <t>50 mm (2 inch)</t>
        </is>
      </c>
      <c r="Q1650" s="3" t="inlineStr">
        <is>
          <t>Manufacturer's Warranty</t>
        </is>
      </c>
      <c r="R1650" s="3" t="inlineStr">
        <is>
          <t>M512114106^</t>
        </is>
      </c>
      <c r="Y1650" s="3" t="inlineStr">
        <is>
          <t>PLB_AST_NDCP</t>
        </is>
      </c>
      <c r="Z1650" s="3" t="n">
        <v>3917</v>
      </c>
      <c r="AE1650" s="3" t="n">
        <v>219</v>
      </c>
      <c r="AF1650" s="4" t="n">
        <v>0.5</v>
      </c>
      <c r="AG1650" s="3">
        <f>ROUND(AE1650-(AE1650*AF1650),2)</f>
        <v/>
      </c>
      <c r="AH1650" s="4" t="n">
        <v>0.18</v>
      </c>
      <c r="AI1650" s="3">
        <f>ROUND(AG1650+(AG1650*AH1650),2)</f>
        <v/>
      </c>
      <c r="AJ1650" s="4" t="n">
        <v>0.2</v>
      </c>
      <c r="AK1650" s="3">
        <f>ROUND(AI1650*AJ1650,2)</f>
        <v/>
      </c>
      <c r="AL1650" s="3">
        <f>AI1650+AK1650</f>
        <v/>
      </c>
      <c r="AM1650" s="3">
        <f>AE1650-AL1650</f>
        <v/>
      </c>
      <c r="AN1650" s="4">
        <f>AM1650/AE1650</f>
        <v/>
      </c>
      <c r="AO1650" s="3" t="inlineStr">
        <is>
          <t>60 mins</t>
        </is>
      </c>
      <c r="AQ1650" s="3" t="inlineStr">
        <is>
          <t>Weight</t>
        </is>
      </c>
      <c r="AT1650" s="3" t="inlineStr">
        <is>
          <t>Active</t>
        </is>
      </c>
    </row>
    <row r="1651" ht="15.75" customHeight="1">
      <c r="A1651" s="3" t="inlineStr">
        <is>
          <t>PROD_0308</t>
        </is>
      </c>
      <c r="B1651" s="3" t="inlineStr">
        <is>
          <t>VAR_1</t>
        </is>
      </c>
      <c r="C1651" s="3" t="inlineStr">
        <is>
          <t>Plumbing</t>
        </is>
      </c>
      <c r="D1651" s="3" t="inlineStr">
        <is>
          <t>Bends &amp; Connectors</t>
        </is>
      </c>
      <c r="E1651" s="3" t="inlineStr">
        <is>
          <t>Astral</t>
        </is>
      </c>
      <c r="F1651" s="3" t="inlineStr">
        <is>
          <t>Reducer Male Adaptor (THD X SOC)</t>
        </is>
      </c>
      <c r="H1651" s="3" t="inlineStr">
        <is>
          <t>Size</t>
        </is>
      </c>
      <c r="I1651" s="3" t="inlineStr">
        <is>
          <t>20 mm X 15 mm (.75 inch X .5 inch)</t>
        </is>
      </c>
      <c r="Q1651" s="3" t="inlineStr">
        <is>
          <t>Manufacturer's Warranty</t>
        </is>
      </c>
      <c r="R1651" s="3" t="inlineStr">
        <is>
          <t>M512111314^</t>
        </is>
      </c>
      <c r="Y1651" s="3" t="inlineStr">
        <is>
          <t>PLB_AST_REDMLADAP</t>
        </is>
      </c>
      <c r="Z1651" s="3" t="n">
        <v>3917</v>
      </c>
      <c r="AE1651" s="3" t="n">
        <v>42</v>
      </c>
      <c r="AF1651" s="4" t="n">
        <v>0.37</v>
      </c>
      <c r="AG1651" s="3">
        <f>ROUND(AE1651-(AE1651*AF1651),2)</f>
        <v/>
      </c>
      <c r="AH1651" s="4" t="n">
        <v>0.18</v>
      </c>
      <c r="AI1651" s="3">
        <f>ROUND(AG1651+(AG1651*AH1651),2)</f>
        <v/>
      </c>
      <c r="AJ1651" s="4" t="n">
        <v>0.15</v>
      </c>
      <c r="AK1651" s="3">
        <f>ROUND(AI1651*AJ1651,2)</f>
        <v/>
      </c>
      <c r="AL1651" s="3">
        <f>AI1651+AK1651</f>
        <v/>
      </c>
      <c r="AM1651" s="3">
        <f>AE1651-AL1651</f>
        <v/>
      </c>
      <c r="AN1651" s="4">
        <f>AM1651/AE1651</f>
        <v/>
      </c>
      <c r="AO1651" s="3" t="inlineStr">
        <is>
          <t>60 mins</t>
        </is>
      </c>
      <c r="AQ1651" s="3" t="inlineStr">
        <is>
          <t>Weight</t>
        </is>
      </c>
      <c r="AT1651" s="3" t="inlineStr">
        <is>
          <t>Active</t>
        </is>
      </c>
    </row>
    <row r="1652" ht="15.75" customHeight="1">
      <c r="A1652" s="3" t="inlineStr">
        <is>
          <t>PROD_0308</t>
        </is>
      </c>
      <c r="B1652" s="3" t="inlineStr">
        <is>
          <t>VAR_2</t>
        </is>
      </c>
      <c r="C1652" s="3" t="inlineStr">
        <is>
          <t>Plumbing</t>
        </is>
      </c>
      <c r="D1652" s="3" t="inlineStr">
        <is>
          <t>Bends &amp; Connectors</t>
        </is>
      </c>
      <c r="E1652" s="3" t="inlineStr">
        <is>
          <t>Astral</t>
        </is>
      </c>
      <c r="F1652" s="3" t="inlineStr">
        <is>
          <t>Reducer Male Adaptor (THD X SOC)</t>
        </is>
      </c>
      <c r="H1652" s="3" t="inlineStr">
        <is>
          <t>Size</t>
        </is>
      </c>
      <c r="I1652" s="3" t="inlineStr">
        <is>
          <t>25 mm X 20 mm (1 inch X .75 inch)</t>
        </is>
      </c>
      <c r="Q1652" s="3" t="inlineStr">
        <is>
          <t>Manufacturer's Warranty</t>
        </is>
      </c>
      <c r="R1652" s="3" t="inlineStr">
        <is>
          <t>M512111316^</t>
        </is>
      </c>
      <c r="Y1652" s="3" t="inlineStr">
        <is>
          <t>PLB_AST_REDMLADAP</t>
        </is>
      </c>
      <c r="Z1652" s="3" t="n">
        <v>3917</v>
      </c>
      <c r="AE1652" s="3" t="n">
        <v>50</v>
      </c>
      <c r="AF1652" s="4" t="n">
        <v>0.37</v>
      </c>
      <c r="AG1652" s="3">
        <f>ROUND(AE1652-(AE1652*AF1652),2)</f>
        <v/>
      </c>
      <c r="AH1652" s="4" t="n">
        <v>0.18</v>
      </c>
      <c r="AI1652" s="3">
        <f>ROUND(AG1652+(AG1652*AH1652),2)</f>
        <v/>
      </c>
      <c r="AJ1652" s="4" t="n">
        <v>0.15</v>
      </c>
      <c r="AK1652" s="3">
        <f>ROUND(AI1652*AJ1652,2)</f>
        <v/>
      </c>
      <c r="AL1652" s="3">
        <f>AI1652+AK1652</f>
        <v/>
      </c>
      <c r="AM1652" s="3">
        <f>AE1652-AL1652</f>
        <v/>
      </c>
      <c r="AN1652" s="4">
        <f>AM1652/AE1652</f>
        <v/>
      </c>
      <c r="AO1652" s="3" t="inlineStr">
        <is>
          <t>60 mins</t>
        </is>
      </c>
      <c r="AQ1652" s="3" t="inlineStr">
        <is>
          <t>Weight</t>
        </is>
      </c>
      <c r="AT1652" s="3" t="inlineStr">
        <is>
          <t>Active</t>
        </is>
      </c>
    </row>
    <row r="1653" ht="15.75" customHeight="1">
      <c r="A1653" s="3" t="inlineStr">
        <is>
          <t>PROD_0309</t>
        </is>
      </c>
      <c r="B1653" s="3" t="inlineStr">
        <is>
          <t>VAR_1</t>
        </is>
      </c>
      <c r="C1653" s="3" t="inlineStr">
        <is>
          <t>Plumbing</t>
        </is>
      </c>
      <c r="D1653" s="3" t="inlineStr">
        <is>
          <t>Bends &amp; Connectors</t>
        </is>
      </c>
      <c r="E1653" s="3" t="inlineStr">
        <is>
          <t>Astral</t>
        </is>
      </c>
      <c r="F1653" s="3" t="inlineStr">
        <is>
          <t>Reducer Elbow 90˚ (SOC)</t>
        </is>
      </c>
      <c r="H1653" s="3" t="inlineStr">
        <is>
          <t>Size</t>
        </is>
      </c>
      <c r="I1653" s="3" t="inlineStr">
        <is>
          <t>20 mm X 15 mm (.75 inch X .5 inch)</t>
        </is>
      </c>
      <c r="Q1653" s="3" t="inlineStr">
        <is>
          <t>Manufacturer's Warranty</t>
        </is>
      </c>
      <c r="R1653" s="3" t="inlineStr">
        <is>
          <t>M512110614^</t>
        </is>
      </c>
      <c r="Y1653" s="3" t="inlineStr">
        <is>
          <t>PLB_AST_REDELB90</t>
        </is>
      </c>
      <c r="Z1653" s="3" t="n">
        <v>3917</v>
      </c>
      <c r="AE1653" s="3" t="n">
        <v>37</v>
      </c>
      <c r="AF1653" s="4" t="n">
        <v>0.37</v>
      </c>
      <c r="AG1653" s="3">
        <f>ROUND(AE1653-(AE1653*AF1653),2)</f>
        <v/>
      </c>
      <c r="AH1653" s="4" t="n">
        <v>0.18</v>
      </c>
      <c r="AI1653" s="3">
        <f>ROUND(AG1653+(AG1653*AH1653),2)</f>
        <v/>
      </c>
      <c r="AJ1653" s="4" t="n">
        <v>0.15</v>
      </c>
      <c r="AK1653" s="3">
        <f>ROUND(AI1653*AJ1653,2)</f>
        <v/>
      </c>
      <c r="AL1653" s="3">
        <f>AI1653+AK1653</f>
        <v/>
      </c>
      <c r="AM1653" s="3">
        <f>AE1653-AL1653</f>
        <v/>
      </c>
      <c r="AN1653" s="4">
        <f>AM1653/AE1653</f>
        <v/>
      </c>
      <c r="AO1653" s="3" t="inlineStr">
        <is>
          <t>60 mins</t>
        </is>
      </c>
      <c r="AQ1653" s="3" t="inlineStr">
        <is>
          <t>Weight</t>
        </is>
      </c>
      <c r="AT1653" s="3" t="inlineStr">
        <is>
          <t>Active</t>
        </is>
      </c>
    </row>
    <row r="1654" ht="15.75" customHeight="1">
      <c r="A1654" s="3" t="inlineStr">
        <is>
          <t>PROD_0309</t>
        </is>
      </c>
      <c r="B1654" s="3" t="inlineStr">
        <is>
          <t>VAR_2</t>
        </is>
      </c>
      <c r="C1654" s="3" t="inlineStr">
        <is>
          <t>Plumbing</t>
        </is>
      </c>
      <c r="D1654" s="3" t="inlineStr">
        <is>
          <t>Bends &amp; Connectors</t>
        </is>
      </c>
      <c r="E1654" s="3" t="inlineStr">
        <is>
          <t>Astral</t>
        </is>
      </c>
      <c r="F1654" s="3" t="inlineStr">
        <is>
          <t>Reducer Elbow 90˚ (SOC)</t>
        </is>
      </c>
      <c r="H1654" s="3" t="inlineStr">
        <is>
          <t>Size</t>
        </is>
      </c>
      <c r="I1654" s="3" t="inlineStr">
        <is>
          <t>25 mm X 15 mm (1 inch X .5 inch)</t>
        </is>
      </c>
      <c r="Q1654" s="3" t="inlineStr">
        <is>
          <t>Manufacturer's Warranty</t>
        </is>
      </c>
      <c r="R1654" s="3" t="inlineStr">
        <is>
          <t>M512110615^</t>
        </is>
      </c>
      <c r="Y1654" s="3" t="inlineStr">
        <is>
          <t>PLB_AST_REDELB90</t>
        </is>
      </c>
      <c r="Z1654" s="3" t="n">
        <v>3917</v>
      </c>
      <c r="AE1654" s="3" t="n">
        <v>70</v>
      </c>
      <c r="AF1654" s="4" t="n">
        <v>0.37</v>
      </c>
      <c r="AG1654" s="3">
        <f>ROUND(AE1654-(AE1654*AF1654),2)</f>
        <v/>
      </c>
      <c r="AH1654" s="4" t="n">
        <v>0.18</v>
      </c>
      <c r="AI1654" s="3">
        <f>ROUND(AG1654+(AG1654*AH1654),2)</f>
        <v/>
      </c>
      <c r="AJ1654" s="4" t="n">
        <v>0.15</v>
      </c>
      <c r="AK1654" s="3">
        <f>ROUND(AI1654*AJ1654,2)</f>
        <v/>
      </c>
      <c r="AL1654" s="3">
        <f>AI1654+AK1654</f>
        <v/>
      </c>
      <c r="AM1654" s="3">
        <f>AE1654-AL1654</f>
        <v/>
      </c>
      <c r="AN1654" s="4">
        <f>AM1654/AE1654</f>
        <v/>
      </c>
      <c r="AO1654" s="3" t="inlineStr">
        <is>
          <t>60 mins</t>
        </is>
      </c>
      <c r="AQ1654" s="3" t="inlineStr">
        <is>
          <t>Weight</t>
        </is>
      </c>
      <c r="AT1654" s="3" t="inlineStr">
        <is>
          <t>Active</t>
        </is>
      </c>
    </row>
    <row r="1655" ht="15.75" customHeight="1">
      <c r="A1655" s="3" t="inlineStr">
        <is>
          <t>PROD_0309</t>
        </is>
      </c>
      <c r="B1655" s="3" t="inlineStr">
        <is>
          <t>VAR_3</t>
        </is>
      </c>
      <c r="C1655" s="3" t="inlineStr">
        <is>
          <t>Plumbing</t>
        </is>
      </c>
      <c r="D1655" s="3" t="inlineStr">
        <is>
          <t>Bends &amp; Connectors</t>
        </is>
      </c>
      <c r="E1655" s="3" t="inlineStr">
        <is>
          <t>Astral</t>
        </is>
      </c>
      <c r="F1655" s="3" t="inlineStr">
        <is>
          <t>Reducer Elbow 90˚ (SOC)</t>
        </is>
      </c>
      <c r="H1655" s="3" t="inlineStr">
        <is>
          <t>Size</t>
        </is>
      </c>
      <c r="I1655" s="3" t="inlineStr">
        <is>
          <t>25 mm X 20 mm (1 inch X .75 inch)</t>
        </is>
      </c>
      <c r="Q1655" s="3" t="inlineStr">
        <is>
          <t>Manufacturer's Warranty</t>
        </is>
      </c>
      <c r="R1655" s="3" t="inlineStr">
        <is>
          <t>M512110616^</t>
        </is>
      </c>
      <c r="Y1655" s="3" t="inlineStr">
        <is>
          <t>PLB_AST_REDELB90</t>
        </is>
      </c>
      <c r="Z1655" s="3" t="n">
        <v>3917</v>
      </c>
      <c r="AE1655" s="3" t="n">
        <v>95</v>
      </c>
      <c r="AF1655" s="4" t="n">
        <v>0.37</v>
      </c>
      <c r="AG1655" s="3">
        <f>ROUND(AE1655-(AE1655*AF1655),2)</f>
        <v/>
      </c>
      <c r="AH1655" s="4" t="n">
        <v>0.18</v>
      </c>
      <c r="AI1655" s="3">
        <f>ROUND(AG1655+(AG1655*AH1655),2)</f>
        <v/>
      </c>
      <c r="AJ1655" s="4" t="n">
        <v>0.15</v>
      </c>
      <c r="AK1655" s="3">
        <f>ROUND(AI1655*AJ1655,2)</f>
        <v/>
      </c>
      <c r="AL1655" s="3">
        <f>AI1655+AK1655</f>
        <v/>
      </c>
      <c r="AM1655" s="3">
        <f>AE1655-AL1655</f>
        <v/>
      </c>
      <c r="AN1655" s="4">
        <f>AM1655/AE1655</f>
        <v/>
      </c>
      <c r="AO1655" s="3" t="inlineStr">
        <is>
          <t>60 mins</t>
        </is>
      </c>
      <c r="AQ1655" s="3" t="inlineStr">
        <is>
          <t>Weight</t>
        </is>
      </c>
      <c r="AT1655" s="3" t="inlineStr">
        <is>
          <t>Active</t>
        </is>
      </c>
    </row>
    <row r="1656" ht="15.75" customHeight="1">
      <c r="A1656" s="3" t="inlineStr">
        <is>
          <t>PROD_0309</t>
        </is>
      </c>
      <c r="B1656" s="3" t="inlineStr">
        <is>
          <t>VAR_4</t>
        </is>
      </c>
      <c r="C1656" s="3" t="inlineStr">
        <is>
          <t>Plumbing</t>
        </is>
      </c>
      <c r="D1656" s="3" t="inlineStr">
        <is>
          <t>Bends &amp; Connectors</t>
        </is>
      </c>
      <c r="E1656" s="3" t="inlineStr">
        <is>
          <t>Astral</t>
        </is>
      </c>
      <c r="F1656" s="3" t="inlineStr">
        <is>
          <t>Reducer Elbow 90˚ (SOC)</t>
        </is>
      </c>
      <c r="H1656" s="3" t="inlineStr">
        <is>
          <t>Size</t>
        </is>
      </c>
      <c r="I1656" s="3" t="inlineStr">
        <is>
          <t>32 mm X 15 mm (1.25 inch X .5 inch)</t>
        </is>
      </c>
      <c r="Q1656" s="3" t="inlineStr">
        <is>
          <t>Manufacturer's Warranty</t>
        </is>
      </c>
      <c r="R1656" s="3" t="inlineStr">
        <is>
          <t>A512110617*</t>
        </is>
      </c>
      <c r="Y1656" s="3" t="inlineStr">
        <is>
          <t>PLB_AST_REDELB90</t>
        </is>
      </c>
      <c r="Z1656" s="3" t="n">
        <v>3917</v>
      </c>
      <c r="AE1656" s="3" t="n">
        <v>102</v>
      </c>
      <c r="AF1656" s="4" t="n">
        <v>0.37</v>
      </c>
      <c r="AG1656" s="3">
        <f>ROUND(AE1656-(AE1656*AF1656),2)</f>
        <v/>
      </c>
      <c r="AH1656" s="4" t="n">
        <v>0.18</v>
      </c>
      <c r="AI1656" s="3">
        <f>ROUND(AG1656+(AG1656*AH1656),2)</f>
        <v/>
      </c>
      <c r="AJ1656" s="4" t="n">
        <v>0.15</v>
      </c>
      <c r="AK1656" s="3">
        <f>ROUND(AI1656*AJ1656,2)</f>
        <v/>
      </c>
      <c r="AL1656" s="3">
        <f>AI1656+AK1656</f>
        <v/>
      </c>
      <c r="AM1656" s="3">
        <f>AE1656-AL1656</f>
        <v/>
      </c>
      <c r="AN1656" s="4">
        <f>AM1656/AE1656</f>
        <v/>
      </c>
      <c r="AO1656" s="3" t="inlineStr">
        <is>
          <t>60 mins</t>
        </is>
      </c>
      <c r="AQ1656" s="3" t="inlineStr">
        <is>
          <t>Weight</t>
        </is>
      </c>
      <c r="AT1656" s="3" t="inlineStr">
        <is>
          <t>Active</t>
        </is>
      </c>
    </row>
    <row r="1657" ht="15.75" customHeight="1">
      <c r="A1657" s="3" t="inlineStr">
        <is>
          <t>PROD_0309</t>
        </is>
      </c>
      <c r="B1657" s="3" t="inlineStr">
        <is>
          <t>VAR_5</t>
        </is>
      </c>
      <c r="C1657" s="3" t="inlineStr">
        <is>
          <t>Plumbing</t>
        </is>
      </c>
      <c r="D1657" s="3" t="inlineStr">
        <is>
          <t>Bends &amp; Connectors</t>
        </is>
      </c>
      <c r="E1657" s="3" t="inlineStr">
        <is>
          <t>Astral</t>
        </is>
      </c>
      <c r="F1657" s="3" t="inlineStr">
        <is>
          <t>Reducer Elbow 90˚ (SOC)</t>
        </is>
      </c>
      <c r="H1657" s="3" t="inlineStr">
        <is>
          <t>Size</t>
        </is>
      </c>
      <c r="I1657" s="3" t="inlineStr">
        <is>
          <t>32 mm X 20 mm (1.25 inch X .75 inch)</t>
        </is>
      </c>
      <c r="Q1657" s="3" t="inlineStr">
        <is>
          <t>Manufacturer's Warranty</t>
        </is>
      </c>
      <c r="R1657" s="3" t="inlineStr">
        <is>
          <t>M512110618^</t>
        </is>
      </c>
      <c r="Y1657" s="3" t="inlineStr">
        <is>
          <t>PLB_AST_REDELB90</t>
        </is>
      </c>
      <c r="Z1657" s="3" t="n">
        <v>3917</v>
      </c>
      <c r="AE1657" s="3" t="n">
        <v>109</v>
      </c>
      <c r="AF1657" s="4" t="n">
        <v>0.37</v>
      </c>
      <c r="AG1657" s="3">
        <f>ROUND(AE1657-(AE1657*AF1657),2)</f>
        <v/>
      </c>
      <c r="AH1657" s="4" t="n">
        <v>0.18</v>
      </c>
      <c r="AI1657" s="3">
        <f>ROUND(AG1657+(AG1657*AH1657),2)</f>
        <v/>
      </c>
      <c r="AJ1657" s="4" t="n">
        <v>0.15</v>
      </c>
      <c r="AK1657" s="3">
        <f>ROUND(AI1657*AJ1657,2)</f>
        <v/>
      </c>
      <c r="AL1657" s="3">
        <f>AI1657+AK1657</f>
        <v/>
      </c>
      <c r="AM1657" s="3">
        <f>AE1657-AL1657</f>
        <v/>
      </c>
      <c r="AN1657" s="4">
        <f>AM1657/AE1657</f>
        <v/>
      </c>
      <c r="AO1657" s="3" t="inlineStr">
        <is>
          <t>60 mins</t>
        </is>
      </c>
      <c r="AQ1657" s="3" t="inlineStr">
        <is>
          <t>Weight</t>
        </is>
      </c>
      <c r="AT1657" s="3" t="inlineStr">
        <is>
          <t>Active</t>
        </is>
      </c>
    </row>
    <row r="1658" ht="15.75" customHeight="1">
      <c r="A1658" s="3" t="inlineStr">
        <is>
          <t>PROD_0309</t>
        </is>
      </c>
      <c r="B1658" s="3" t="inlineStr">
        <is>
          <t>VAR_6</t>
        </is>
      </c>
      <c r="C1658" s="3" t="inlineStr">
        <is>
          <t>Plumbing</t>
        </is>
      </c>
      <c r="D1658" s="3" t="inlineStr">
        <is>
          <t>Bends &amp; Connectors</t>
        </is>
      </c>
      <c r="E1658" s="3" t="inlineStr">
        <is>
          <t>Astral</t>
        </is>
      </c>
      <c r="F1658" s="3" t="inlineStr">
        <is>
          <t>Reducer Elbow 90˚ (SOC)</t>
        </is>
      </c>
      <c r="H1658" s="3" t="inlineStr">
        <is>
          <t>Size</t>
        </is>
      </c>
      <c r="I1658" s="3" t="inlineStr">
        <is>
          <t>32 mm X 25 mm (1.25 inch X 1 inch)</t>
        </is>
      </c>
      <c r="Q1658" s="3" t="inlineStr">
        <is>
          <t>Manufacturer's Warranty</t>
        </is>
      </c>
      <c r="R1658" s="3" t="inlineStr">
        <is>
          <t>M512110619^</t>
        </is>
      </c>
      <c r="Y1658" s="3" t="inlineStr">
        <is>
          <t>PLB_AST_REDELB90</t>
        </is>
      </c>
      <c r="Z1658" s="3" t="n">
        <v>3917</v>
      </c>
      <c r="AE1658" s="3" t="n">
        <v>146</v>
      </c>
      <c r="AF1658" s="4" t="n">
        <v>0.37</v>
      </c>
      <c r="AG1658" s="3">
        <f>ROUND(AE1658-(AE1658*AF1658),2)</f>
        <v/>
      </c>
      <c r="AH1658" s="4" t="n">
        <v>0.18</v>
      </c>
      <c r="AI1658" s="3">
        <f>ROUND(AG1658+(AG1658*AH1658),2)</f>
        <v/>
      </c>
      <c r="AJ1658" s="4" t="n">
        <v>0.15</v>
      </c>
      <c r="AK1658" s="3">
        <f>ROUND(AI1658*AJ1658,2)</f>
        <v/>
      </c>
      <c r="AL1658" s="3">
        <f>AI1658+AK1658</f>
        <v/>
      </c>
      <c r="AM1658" s="3">
        <f>AE1658-AL1658</f>
        <v/>
      </c>
      <c r="AN1658" s="4">
        <f>AM1658/AE1658</f>
        <v/>
      </c>
      <c r="AO1658" s="3" t="inlineStr">
        <is>
          <t>60 mins</t>
        </is>
      </c>
      <c r="AQ1658" s="3" t="inlineStr">
        <is>
          <t>Weight</t>
        </is>
      </c>
      <c r="AT1658" s="3" t="inlineStr">
        <is>
          <t>Active</t>
        </is>
      </c>
    </row>
    <row r="1659" ht="15.75" customHeight="1">
      <c r="A1659" s="3" t="inlineStr">
        <is>
          <t>PROD_0309</t>
        </is>
      </c>
      <c r="B1659" s="3" t="inlineStr">
        <is>
          <t>VAR_7</t>
        </is>
      </c>
      <c r="C1659" s="3" t="inlineStr">
        <is>
          <t>Plumbing</t>
        </is>
      </c>
      <c r="D1659" s="3" t="inlineStr">
        <is>
          <t>Bends &amp; Connectors</t>
        </is>
      </c>
      <c r="E1659" s="3" t="inlineStr">
        <is>
          <t>Astral</t>
        </is>
      </c>
      <c r="F1659" s="3" t="inlineStr">
        <is>
          <t>Reducer Elbow 90˚ (SOC)</t>
        </is>
      </c>
      <c r="H1659" s="3" t="inlineStr">
        <is>
          <t>Size</t>
        </is>
      </c>
      <c r="I1659" s="3" t="inlineStr">
        <is>
          <t>50 mm X 25 mm (2 inch X 1 inch)</t>
        </is>
      </c>
      <c r="Q1659" s="3" t="inlineStr">
        <is>
          <t>Manufacturer's Warranty</t>
        </is>
      </c>
      <c r="R1659" s="3" t="inlineStr">
        <is>
          <t>A512110626*</t>
        </is>
      </c>
      <c r="Y1659" s="3" t="inlineStr">
        <is>
          <t>PLB_AST_REDELB90</t>
        </is>
      </c>
      <c r="Z1659" s="3" t="n">
        <v>3917</v>
      </c>
      <c r="AE1659" s="3" t="n">
        <v>462</v>
      </c>
      <c r="AF1659" s="4" t="n">
        <v>0.37</v>
      </c>
      <c r="AG1659" s="3">
        <f>ROUND(AE1659-(AE1659*AF1659),2)</f>
        <v/>
      </c>
      <c r="AH1659" s="4" t="n">
        <v>0.18</v>
      </c>
      <c r="AI1659" s="3">
        <f>ROUND(AG1659+(AG1659*AH1659),2)</f>
        <v/>
      </c>
      <c r="AJ1659" s="4" t="n">
        <v>0.15</v>
      </c>
      <c r="AK1659" s="3">
        <f>ROUND(AI1659*AJ1659,2)</f>
        <v/>
      </c>
      <c r="AL1659" s="3">
        <f>AI1659+AK1659</f>
        <v/>
      </c>
      <c r="AM1659" s="3">
        <f>AE1659-AL1659</f>
        <v/>
      </c>
      <c r="AN1659" s="4">
        <f>AM1659/AE1659</f>
        <v/>
      </c>
      <c r="AO1659" s="3" t="inlineStr">
        <is>
          <t>60 mins</t>
        </is>
      </c>
      <c r="AQ1659" s="3" t="inlineStr">
        <is>
          <t>Weight</t>
        </is>
      </c>
      <c r="AT1659" s="3" t="inlineStr">
        <is>
          <t>Active</t>
        </is>
      </c>
    </row>
    <row r="1660" ht="15.75" customHeight="1">
      <c r="A1660" s="3" t="inlineStr">
        <is>
          <t>PROD_0310</t>
        </is>
      </c>
      <c r="B1660" s="3" t="inlineStr">
        <is>
          <t>VAR_1</t>
        </is>
      </c>
      <c r="C1660" s="3" t="inlineStr">
        <is>
          <t>Plumbing</t>
        </is>
      </c>
      <c r="D1660" s="3" t="inlineStr">
        <is>
          <t>Bends &amp; Connectors</t>
        </is>
      </c>
      <c r="E1660" s="3" t="inlineStr">
        <is>
          <t>Astral</t>
        </is>
      </c>
      <c r="F1660" s="3" t="inlineStr">
        <is>
          <t>Reducer Elbow 45˚ (SOC)</t>
        </is>
      </c>
      <c r="H1660" s="3" t="inlineStr">
        <is>
          <t>Diameter</t>
        </is>
      </c>
      <c r="I1660" s="3" t="inlineStr">
        <is>
          <t>15 mm (.5 inch)</t>
        </is>
      </c>
      <c r="Q1660" s="3" t="inlineStr">
        <is>
          <t>Manufacturer's Warranty</t>
        </is>
      </c>
      <c r="R1660" s="3" t="inlineStr">
        <is>
          <t>M512112301^</t>
        </is>
      </c>
      <c r="Y1660" s="3" t="inlineStr">
        <is>
          <t>PLB_AST_REDELB45</t>
        </is>
      </c>
      <c r="Z1660" s="3" t="n">
        <v>3917</v>
      </c>
      <c r="AE1660" s="3" t="n">
        <v>25</v>
      </c>
      <c r="AF1660" s="4" t="n">
        <v>0.37</v>
      </c>
      <c r="AG1660" s="3">
        <f>ROUND(AE1660-(AE1660*AF1660),2)</f>
        <v/>
      </c>
      <c r="AH1660" s="4" t="n">
        <v>0.18</v>
      </c>
      <c r="AI1660" s="3">
        <f>ROUND(AG1660+(AG1660*AH1660),2)</f>
        <v/>
      </c>
      <c r="AJ1660" s="4" t="n">
        <v>0.15</v>
      </c>
      <c r="AK1660" s="3">
        <f>ROUND(AI1660*AJ1660,2)</f>
        <v/>
      </c>
      <c r="AL1660" s="3">
        <f>AI1660+AK1660</f>
        <v/>
      </c>
      <c r="AM1660" s="3">
        <f>AE1660-AL1660</f>
        <v/>
      </c>
      <c r="AN1660" s="4">
        <f>AM1660/AE1660</f>
        <v/>
      </c>
      <c r="AO1660" s="3" t="inlineStr">
        <is>
          <t>60 mins</t>
        </is>
      </c>
      <c r="AQ1660" s="3" t="inlineStr">
        <is>
          <t>Weight</t>
        </is>
      </c>
      <c r="AT1660" s="3" t="inlineStr">
        <is>
          <t>Active</t>
        </is>
      </c>
    </row>
    <row r="1661" ht="15.75" customHeight="1">
      <c r="A1661" s="3" t="inlineStr">
        <is>
          <t>PROD_0310</t>
        </is>
      </c>
      <c r="B1661" s="3" t="inlineStr">
        <is>
          <t>VAR_2</t>
        </is>
      </c>
      <c r="C1661" s="3" t="inlineStr">
        <is>
          <t>Plumbing</t>
        </is>
      </c>
      <c r="D1661" s="3" t="inlineStr">
        <is>
          <t>Bends &amp; Connectors</t>
        </is>
      </c>
      <c r="E1661" s="3" t="inlineStr">
        <is>
          <t>Astral</t>
        </is>
      </c>
      <c r="F1661" s="3" t="inlineStr">
        <is>
          <t>Reducer Elbow 45˚ (SOC)</t>
        </is>
      </c>
      <c r="H1661" s="3" t="inlineStr">
        <is>
          <t>Diameter</t>
        </is>
      </c>
      <c r="I1661" s="3" t="inlineStr">
        <is>
          <t>20 mm (.75 inch)</t>
        </is>
      </c>
      <c r="Q1661" s="3" t="inlineStr">
        <is>
          <t>Manufacturer's Warranty</t>
        </is>
      </c>
      <c r="R1661" s="3" t="inlineStr">
        <is>
          <t>M512112302^</t>
        </is>
      </c>
      <c r="Y1661" s="3" t="inlineStr">
        <is>
          <t>PLB_AST_REDELB45</t>
        </is>
      </c>
      <c r="Z1661" s="3" t="n">
        <v>3917</v>
      </c>
      <c r="AE1661" s="3" t="n">
        <v>36</v>
      </c>
      <c r="AF1661" s="4" t="n">
        <v>0.37</v>
      </c>
      <c r="AG1661" s="3">
        <f>ROUND(AE1661-(AE1661*AF1661),2)</f>
        <v/>
      </c>
      <c r="AH1661" s="4" t="n">
        <v>0.18</v>
      </c>
      <c r="AI1661" s="3">
        <f>ROUND(AG1661+(AG1661*AH1661),2)</f>
        <v/>
      </c>
      <c r="AJ1661" s="4" t="n">
        <v>0.15</v>
      </c>
      <c r="AK1661" s="3">
        <f>ROUND(AI1661*AJ1661,2)</f>
        <v/>
      </c>
      <c r="AL1661" s="3">
        <f>AI1661+AK1661</f>
        <v/>
      </c>
      <c r="AM1661" s="3">
        <f>AE1661-AL1661</f>
        <v/>
      </c>
      <c r="AN1661" s="4">
        <f>AM1661/AE1661</f>
        <v/>
      </c>
      <c r="AO1661" s="3" t="inlineStr">
        <is>
          <t>60 mins</t>
        </is>
      </c>
      <c r="AQ1661" s="3" t="inlineStr">
        <is>
          <t>Weight</t>
        </is>
      </c>
      <c r="AT1661" s="3" t="inlineStr">
        <is>
          <t>Active</t>
        </is>
      </c>
    </row>
    <row r="1662" ht="15.75" customHeight="1">
      <c r="A1662" s="3" t="inlineStr">
        <is>
          <t>PROD_0310</t>
        </is>
      </c>
      <c r="B1662" s="3" t="inlineStr">
        <is>
          <t>VAR_3</t>
        </is>
      </c>
      <c r="C1662" s="3" t="inlineStr">
        <is>
          <t>Plumbing</t>
        </is>
      </c>
      <c r="D1662" s="3" t="inlineStr">
        <is>
          <t>Bends &amp; Connectors</t>
        </is>
      </c>
      <c r="E1662" s="3" t="inlineStr">
        <is>
          <t>Astral</t>
        </is>
      </c>
      <c r="F1662" s="3" t="inlineStr">
        <is>
          <t>Reducer Elbow 45˚ (SOC)</t>
        </is>
      </c>
      <c r="H1662" s="3" t="inlineStr">
        <is>
          <t>Diameter</t>
        </is>
      </c>
      <c r="I1662" s="3" t="inlineStr">
        <is>
          <t>25 mm (1 inch)</t>
        </is>
      </c>
      <c r="Q1662" s="3" t="inlineStr">
        <is>
          <t>Manufacturer's Warranty</t>
        </is>
      </c>
      <c r="R1662" s="3" t="inlineStr">
        <is>
          <t>M512112303^</t>
        </is>
      </c>
      <c r="Y1662" s="3" t="inlineStr">
        <is>
          <t>PLB_AST_REDELB45</t>
        </is>
      </c>
      <c r="Z1662" s="3" t="n">
        <v>3917</v>
      </c>
      <c r="AE1662" s="3" t="n">
        <v>64</v>
      </c>
      <c r="AF1662" s="4" t="n">
        <v>0.37</v>
      </c>
      <c r="AG1662" s="3">
        <f>ROUND(AE1662-(AE1662*AF1662),2)</f>
        <v/>
      </c>
      <c r="AH1662" s="4" t="n">
        <v>0.18</v>
      </c>
      <c r="AI1662" s="3">
        <f>ROUND(AG1662+(AG1662*AH1662),2)</f>
        <v/>
      </c>
      <c r="AJ1662" s="4" t="n">
        <v>0.15</v>
      </c>
      <c r="AK1662" s="3">
        <f>ROUND(AI1662*AJ1662,2)</f>
        <v/>
      </c>
      <c r="AL1662" s="3">
        <f>AI1662+AK1662</f>
        <v/>
      </c>
      <c r="AM1662" s="3">
        <f>AE1662-AL1662</f>
        <v/>
      </c>
      <c r="AN1662" s="4">
        <f>AM1662/AE1662</f>
        <v/>
      </c>
      <c r="AO1662" s="3" t="inlineStr">
        <is>
          <t>60 mins</t>
        </is>
      </c>
      <c r="AQ1662" s="3" t="inlineStr">
        <is>
          <t>Weight</t>
        </is>
      </c>
      <c r="AT1662" s="3" t="inlineStr">
        <is>
          <t>Active</t>
        </is>
      </c>
    </row>
    <row r="1663" ht="15.75" customHeight="1">
      <c r="A1663" s="3" t="inlineStr">
        <is>
          <t>PROD_0310</t>
        </is>
      </c>
      <c r="B1663" s="3" t="inlineStr">
        <is>
          <t>VAR_4</t>
        </is>
      </c>
      <c r="C1663" s="3" t="inlineStr">
        <is>
          <t>Plumbing</t>
        </is>
      </c>
      <c r="D1663" s="3" t="inlineStr">
        <is>
          <t>Bends &amp; Connectors</t>
        </is>
      </c>
      <c r="E1663" s="3" t="inlineStr">
        <is>
          <t>Astral</t>
        </is>
      </c>
      <c r="F1663" s="3" t="inlineStr">
        <is>
          <t>Reducer Elbow 45˚ (SOC)</t>
        </is>
      </c>
      <c r="H1663" s="3" t="inlineStr">
        <is>
          <t>Diameter</t>
        </is>
      </c>
      <c r="I1663" s="3" t="inlineStr">
        <is>
          <t>32 mm (1.25 inch)</t>
        </is>
      </c>
      <c r="Q1663" s="3" t="inlineStr">
        <is>
          <t>Manufacturer's Warranty</t>
        </is>
      </c>
      <c r="R1663" s="3" t="inlineStr">
        <is>
          <t>M512112304^</t>
        </is>
      </c>
      <c r="Y1663" s="3" t="inlineStr">
        <is>
          <t>PLB_AST_REDELB45</t>
        </is>
      </c>
      <c r="Z1663" s="3" t="n">
        <v>3917</v>
      </c>
      <c r="AE1663" s="3" t="n">
        <v>134</v>
      </c>
      <c r="AF1663" s="4" t="n">
        <v>0.37</v>
      </c>
      <c r="AG1663" s="3">
        <f>ROUND(AE1663-(AE1663*AF1663),2)</f>
        <v/>
      </c>
      <c r="AH1663" s="4" t="n">
        <v>0.18</v>
      </c>
      <c r="AI1663" s="3">
        <f>ROUND(AG1663+(AG1663*AH1663),2)</f>
        <v/>
      </c>
      <c r="AJ1663" s="4" t="n">
        <v>0.15</v>
      </c>
      <c r="AK1663" s="3">
        <f>ROUND(AI1663*AJ1663,2)</f>
        <v/>
      </c>
      <c r="AL1663" s="3">
        <f>AI1663+AK1663</f>
        <v/>
      </c>
      <c r="AM1663" s="3">
        <f>AE1663-AL1663</f>
        <v/>
      </c>
      <c r="AN1663" s="4">
        <f>AM1663/AE1663</f>
        <v/>
      </c>
      <c r="AO1663" s="3" t="inlineStr">
        <is>
          <t>60 mins</t>
        </is>
      </c>
      <c r="AQ1663" s="3" t="inlineStr">
        <is>
          <t>Weight</t>
        </is>
      </c>
      <c r="AT1663" s="3" t="inlineStr">
        <is>
          <t>Active</t>
        </is>
      </c>
    </row>
    <row r="1664" ht="15.75" customHeight="1">
      <c r="A1664" s="3" t="inlineStr">
        <is>
          <t>PROD_0310</t>
        </is>
      </c>
      <c r="B1664" s="3" t="inlineStr">
        <is>
          <t>VAR_5</t>
        </is>
      </c>
      <c r="C1664" s="3" t="inlineStr">
        <is>
          <t>Plumbing</t>
        </is>
      </c>
      <c r="D1664" s="3" t="inlineStr">
        <is>
          <t>Bends &amp; Connectors</t>
        </is>
      </c>
      <c r="E1664" s="3" t="inlineStr">
        <is>
          <t>Astral</t>
        </is>
      </c>
      <c r="F1664" s="3" t="inlineStr">
        <is>
          <t>Reducer Elbow 45˚ (SOC)</t>
        </is>
      </c>
      <c r="H1664" s="3" t="inlineStr">
        <is>
          <t>Diameter</t>
        </is>
      </c>
      <c r="I1664" s="3" t="inlineStr">
        <is>
          <t>40 mm (1.5 inch)</t>
        </is>
      </c>
      <c r="Q1664" s="3" t="inlineStr">
        <is>
          <t>Manufacturer's Warranty</t>
        </is>
      </c>
      <c r="R1664" s="3" t="inlineStr">
        <is>
          <t>M512112305^</t>
        </is>
      </c>
      <c r="Y1664" s="3" t="inlineStr">
        <is>
          <t>PLB_AST_REDELB45</t>
        </is>
      </c>
      <c r="Z1664" s="3" t="n">
        <v>3917</v>
      </c>
      <c r="AE1664" s="3" t="n">
        <v>214</v>
      </c>
      <c r="AF1664" s="4" t="n">
        <v>0.37</v>
      </c>
      <c r="AG1664" s="3">
        <f>ROUND(AE1664-(AE1664*AF1664),2)</f>
        <v/>
      </c>
      <c r="AH1664" s="4" t="n">
        <v>0.18</v>
      </c>
      <c r="AI1664" s="3">
        <f>ROUND(AG1664+(AG1664*AH1664),2)</f>
        <v/>
      </c>
      <c r="AJ1664" s="4" t="n">
        <v>0.15</v>
      </c>
      <c r="AK1664" s="3">
        <f>ROUND(AI1664*AJ1664,2)</f>
        <v/>
      </c>
      <c r="AL1664" s="3">
        <f>AI1664+AK1664</f>
        <v/>
      </c>
      <c r="AM1664" s="3">
        <f>AE1664-AL1664</f>
        <v/>
      </c>
      <c r="AN1664" s="4">
        <f>AM1664/AE1664</f>
        <v/>
      </c>
      <c r="AO1664" s="3" t="inlineStr">
        <is>
          <t>60 mins</t>
        </is>
      </c>
      <c r="AQ1664" s="3" t="inlineStr">
        <is>
          <t>Weight</t>
        </is>
      </c>
      <c r="AT1664" s="3" t="inlineStr">
        <is>
          <t>Active</t>
        </is>
      </c>
    </row>
    <row r="1665" ht="15.75" customHeight="1">
      <c r="A1665" s="3" t="inlineStr">
        <is>
          <t>PROD_0310</t>
        </is>
      </c>
      <c r="B1665" s="3" t="inlineStr">
        <is>
          <t>VAR_6</t>
        </is>
      </c>
      <c r="C1665" s="3" t="inlineStr">
        <is>
          <t>Plumbing</t>
        </is>
      </c>
      <c r="D1665" s="3" t="inlineStr">
        <is>
          <t>Bends &amp; Connectors</t>
        </is>
      </c>
      <c r="E1665" s="3" t="inlineStr">
        <is>
          <t>Astral</t>
        </is>
      </c>
      <c r="F1665" s="3" t="inlineStr">
        <is>
          <t>Reducer Elbow 45˚ (SOC)</t>
        </is>
      </c>
      <c r="H1665" s="3" t="inlineStr">
        <is>
          <t>Diameter</t>
        </is>
      </c>
      <c r="I1665" s="3" t="inlineStr">
        <is>
          <t>50 mm (2 inch)</t>
        </is>
      </c>
      <c r="Q1665" s="3" t="inlineStr">
        <is>
          <t>Manufacturer's Warranty</t>
        </is>
      </c>
      <c r="R1665" s="3" t="inlineStr">
        <is>
          <t>M512112306^</t>
        </is>
      </c>
      <c r="Y1665" s="3" t="inlineStr">
        <is>
          <t>PLB_AST_REDELB45</t>
        </is>
      </c>
      <c r="Z1665" s="3" t="n">
        <v>3917</v>
      </c>
      <c r="AE1665" s="3" t="n">
        <v>424</v>
      </c>
      <c r="AF1665" s="4" t="n">
        <v>0.37</v>
      </c>
      <c r="AG1665" s="3">
        <f>ROUND(AE1665-(AE1665*AF1665),2)</f>
        <v/>
      </c>
      <c r="AH1665" s="4" t="n">
        <v>0.18</v>
      </c>
      <c r="AI1665" s="3">
        <f>ROUND(AG1665+(AG1665*AH1665),2)</f>
        <v/>
      </c>
      <c r="AJ1665" s="4" t="n">
        <v>0.15</v>
      </c>
      <c r="AK1665" s="3">
        <f>ROUND(AI1665*AJ1665,2)</f>
        <v/>
      </c>
      <c r="AL1665" s="3">
        <f>AI1665+AK1665</f>
        <v/>
      </c>
      <c r="AM1665" s="3">
        <f>AE1665-AL1665</f>
        <v/>
      </c>
      <c r="AN1665" s="4">
        <f>AM1665/AE1665</f>
        <v/>
      </c>
      <c r="AO1665" s="3" t="inlineStr">
        <is>
          <t>60 mins</t>
        </is>
      </c>
      <c r="AQ1665" s="3" t="inlineStr">
        <is>
          <t>Weight</t>
        </is>
      </c>
      <c r="AT1665" s="3" t="inlineStr">
        <is>
          <t>Active</t>
        </is>
      </c>
    </row>
    <row r="1666" ht="15.75" customHeight="1">
      <c r="A1666" s="3" t="inlineStr">
        <is>
          <t>PROD_0311</t>
        </is>
      </c>
      <c r="B1666" s="3" t="inlineStr">
        <is>
          <t>VAR_1</t>
        </is>
      </c>
      <c r="C1666" s="3" t="inlineStr">
        <is>
          <t>Plumbing</t>
        </is>
      </c>
      <c r="D1666" s="3" t="inlineStr">
        <is>
          <t>Bends &amp; Connectors</t>
        </is>
      </c>
      <c r="E1666" s="3" t="inlineStr">
        <is>
          <t>Astral</t>
        </is>
      </c>
      <c r="F1666" s="3" t="inlineStr">
        <is>
          <t>Female Adaptor (THD X SOC)</t>
        </is>
      </c>
      <c r="H1666" s="3" t="inlineStr">
        <is>
          <t>Diameter</t>
        </is>
      </c>
      <c r="I1666" s="3" t="inlineStr">
        <is>
          <t>15 mm (.5 inch)</t>
        </is>
      </c>
      <c r="Q1666" s="3" t="inlineStr">
        <is>
          <t>Manufacturer's Warranty</t>
        </is>
      </c>
      <c r="R1666" s="3" t="inlineStr">
        <is>
          <t>M512111601^</t>
        </is>
      </c>
      <c r="Y1666" s="3" t="inlineStr">
        <is>
          <t>PLB_AST_FEMADAP</t>
        </is>
      </c>
      <c r="Z1666" s="3" t="n">
        <v>3917</v>
      </c>
      <c r="AE1666" s="3" t="n">
        <v>27</v>
      </c>
      <c r="AF1666" s="4" t="n">
        <v>0.37</v>
      </c>
      <c r="AG1666" s="3">
        <f>ROUND(AE1666-(AE1666*AF1666),2)</f>
        <v/>
      </c>
      <c r="AH1666" s="4" t="n">
        <v>0.18</v>
      </c>
      <c r="AI1666" s="3">
        <f>ROUND(AG1666+(AG1666*AH1666),2)</f>
        <v/>
      </c>
      <c r="AJ1666" s="4" t="n">
        <v>0.15</v>
      </c>
      <c r="AK1666" s="3">
        <f>ROUND(AI1666*AJ1666,2)</f>
        <v/>
      </c>
      <c r="AL1666" s="3">
        <f>AI1666+AK1666</f>
        <v/>
      </c>
      <c r="AM1666" s="3">
        <f>AE1666-AL1666</f>
        <v/>
      </c>
      <c r="AN1666" s="4">
        <f>AM1666/AE1666</f>
        <v/>
      </c>
      <c r="AO1666" s="3" t="inlineStr">
        <is>
          <t>60 mins</t>
        </is>
      </c>
      <c r="AQ1666" s="3" t="inlineStr">
        <is>
          <t>Weight</t>
        </is>
      </c>
      <c r="AT1666" s="3" t="inlineStr">
        <is>
          <t>Active</t>
        </is>
      </c>
    </row>
    <row r="1667" ht="15.75" customHeight="1">
      <c r="A1667" s="3" t="inlineStr">
        <is>
          <t>PROD_0311</t>
        </is>
      </c>
      <c r="B1667" s="3" t="inlineStr">
        <is>
          <t>VAR_2</t>
        </is>
      </c>
      <c r="C1667" s="3" t="inlineStr">
        <is>
          <t>Plumbing</t>
        </is>
      </c>
      <c r="D1667" s="3" t="inlineStr">
        <is>
          <t>Bends &amp; Connectors</t>
        </is>
      </c>
      <c r="E1667" s="3" t="inlineStr">
        <is>
          <t>Astral</t>
        </is>
      </c>
      <c r="F1667" s="3" t="inlineStr">
        <is>
          <t>Female Adaptor (THD X SOC)</t>
        </is>
      </c>
      <c r="H1667" s="3" t="inlineStr">
        <is>
          <t>Diameter</t>
        </is>
      </c>
      <c r="I1667" s="3" t="inlineStr">
        <is>
          <t>20 mm (.75 inch)</t>
        </is>
      </c>
      <c r="Q1667" s="3" t="inlineStr">
        <is>
          <t>Manufacturer's Warranty</t>
        </is>
      </c>
      <c r="R1667" s="3" t="inlineStr">
        <is>
          <t>M512111602^</t>
        </is>
      </c>
      <c r="Y1667" s="3" t="inlineStr">
        <is>
          <t>PLB_AST_FEMADAP</t>
        </is>
      </c>
      <c r="Z1667" s="3" t="n">
        <v>3917</v>
      </c>
      <c r="AE1667" s="3" t="n">
        <v>39</v>
      </c>
      <c r="AF1667" s="4" t="n">
        <v>0.37</v>
      </c>
      <c r="AG1667" s="3">
        <f>ROUND(AE1667-(AE1667*AF1667),2)</f>
        <v/>
      </c>
      <c r="AH1667" s="4" t="n">
        <v>0.18</v>
      </c>
      <c r="AI1667" s="3">
        <f>ROUND(AG1667+(AG1667*AH1667),2)</f>
        <v/>
      </c>
      <c r="AJ1667" s="4" t="n">
        <v>0.15</v>
      </c>
      <c r="AK1667" s="3">
        <f>ROUND(AI1667*AJ1667,2)</f>
        <v/>
      </c>
      <c r="AL1667" s="3">
        <f>AI1667+AK1667</f>
        <v/>
      </c>
      <c r="AM1667" s="3">
        <f>AE1667-AL1667</f>
        <v/>
      </c>
      <c r="AN1667" s="4">
        <f>AM1667/AE1667</f>
        <v/>
      </c>
      <c r="AO1667" s="3" t="inlineStr">
        <is>
          <t>60 mins</t>
        </is>
      </c>
      <c r="AQ1667" s="3" t="inlineStr">
        <is>
          <t>Weight</t>
        </is>
      </c>
      <c r="AT1667" s="3" t="inlineStr">
        <is>
          <t>Active</t>
        </is>
      </c>
    </row>
    <row r="1668" ht="15.75" customHeight="1">
      <c r="A1668" s="3" t="inlineStr">
        <is>
          <t>PROD_0311</t>
        </is>
      </c>
      <c r="B1668" s="3" t="inlineStr">
        <is>
          <t>VAR_3</t>
        </is>
      </c>
      <c r="C1668" s="3" t="inlineStr">
        <is>
          <t>Plumbing</t>
        </is>
      </c>
      <c r="D1668" s="3" t="inlineStr">
        <is>
          <t>Bends &amp; Connectors</t>
        </is>
      </c>
      <c r="E1668" s="3" t="inlineStr">
        <is>
          <t>Astral</t>
        </is>
      </c>
      <c r="F1668" s="3" t="inlineStr">
        <is>
          <t>Female Adaptor (THD X SOC)</t>
        </is>
      </c>
      <c r="H1668" s="3" t="inlineStr">
        <is>
          <t>Diameter</t>
        </is>
      </c>
      <c r="I1668" s="3" t="inlineStr">
        <is>
          <t>25 mm (1 inch)</t>
        </is>
      </c>
      <c r="Q1668" s="3" t="inlineStr">
        <is>
          <t>Manufacturer's Warranty</t>
        </is>
      </c>
      <c r="R1668" s="3" t="inlineStr">
        <is>
          <t>M512111603^</t>
        </is>
      </c>
      <c r="Y1668" s="3" t="inlineStr">
        <is>
          <t>PLB_AST_FEMADAP</t>
        </is>
      </c>
      <c r="Z1668" s="3" t="n">
        <v>3917</v>
      </c>
      <c r="AE1668" s="3" t="n">
        <v>58</v>
      </c>
      <c r="AF1668" s="4" t="n">
        <v>0.37</v>
      </c>
      <c r="AG1668" s="3">
        <f>ROUND(AE1668-(AE1668*AF1668),2)</f>
        <v/>
      </c>
      <c r="AH1668" s="4" t="n">
        <v>0.18</v>
      </c>
      <c r="AI1668" s="3">
        <f>ROUND(AG1668+(AG1668*AH1668),2)</f>
        <v/>
      </c>
      <c r="AJ1668" s="4" t="n">
        <v>0.15</v>
      </c>
      <c r="AK1668" s="3">
        <f>ROUND(AI1668*AJ1668,2)</f>
        <v/>
      </c>
      <c r="AL1668" s="3">
        <f>AI1668+AK1668</f>
        <v/>
      </c>
      <c r="AM1668" s="3">
        <f>AE1668-AL1668</f>
        <v/>
      </c>
      <c r="AN1668" s="4">
        <f>AM1668/AE1668</f>
        <v/>
      </c>
      <c r="AO1668" s="3" t="inlineStr">
        <is>
          <t>60 mins</t>
        </is>
      </c>
      <c r="AQ1668" s="3" t="inlineStr">
        <is>
          <t>Weight</t>
        </is>
      </c>
      <c r="AT1668" s="3" t="inlineStr">
        <is>
          <t>Active</t>
        </is>
      </c>
    </row>
    <row r="1669" ht="15.75" customHeight="1">
      <c r="A1669" s="3" t="inlineStr">
        <is>
          <t>PROD_0311</t>
        </is>
      </c>
      <c r="B1669" s="3" t="inlineStr">
        <is>
          <t>VAR_4</t>
        </is>
      </c>
      <c r="C1669" s="3" t="inlineStr">
        <is>
          <t>Plumbing</t>
        </is>
      </c>
      <c r="D1669" s="3" t="inlineStr">
        <is>
          <t>Bends &amp; Connectors</t>
        </is>
      </c>
      <c r="E1669" s="3" t="inlineStr">
        <is>
          <t>Astral</t>
        </is>
      </c>
      <c r="F1669" s="3" t="inlineStr">
        <is>
          <t>Female Adaptor (THD X SOC)</t>
        </is>
      </c>
      <c r="H1669" s="3" t="inlineStr">
        <is>
          <t>Diameter</t>
        </is>
      </c>
      <c r="I1669" s="3" t="inlineStr">
        <is>
          <t>32 mm (1.25 inch)</t>
        </is>
      </c>
      <c r="Q1669" s="3" t="inlineStr">
        <is>
          <t>Manufacturer's Warranty</t>
        </is>
      </c>
      <c r="R1669" s="3" t="inlineStr">
        <is>
          <t>M512111604^</t>
        </is>
      </c>
      <c r="Y1669" s="3" t="inlineStr">
        <is>
          <t>PLB_AST_FEMADAP</t>
        </is>
      </c>
      <c r="Z1669" s="3" t="n">
        <v>3917</v>
      </c>
      <c r="AE1669" s="3" t="n">
        <v>156</v>
      </c>
      <c r="AF1669" s="4" t="n">
        <v>0.37</v>
      </c>
      <c r="AG1669" s="3">
        <f>ROUND(AE1669-(AE1669*AF1669),2)</f>
        <v/>
      </c>
      <c r="AH1669" s="4" t="n">
        <v>0.18</v>
      </c>
      <c r="AI1669" s="3">
        <f>ROUND(AG1669+(AG1669*AH1669),2)</f>
        <v/>
      </c>
      <c r="AJ1669" s="4" t="n">
        <v>0.15</v>
      </c>
      <c r="AK1669" s="3">
        <f>ROUND(AI1669*AJ1669,2)</f>
        <v/>
      </c>
      <c r="AL1669" s="3">
        <f>AI1669+AK1669</f>
        <v/>
      </c>
      <c r="AM1669" s="3">
        <f>AE1669-AL1669</f>
        <v/>
      </c>
      <c r="AN1669" s="4">
        <f>AM1669/AE1669</f>
        <v/>
      </c>
      <c r="AO1669" s="3" t="inlineStr">
        <is>
          <t>60 mins</t>
        </is>
      </c>
      <c r="AQ1669" s="3" t="inlineStr">
        <is>
          <t>Weight</t>
        </is>
      </c>
      <c r="AT1669" s="3" t="inlineStr">
        <is>
          <t>Active</t>
        </is>
      </c>
    </row>
    <row r="1670" ht="15.75" customHeight="1">
      <c r="A1670" s="3" t="inlineStr">
        <is>
          <t>PROD_0311</t>
        </is>
      </c>
      <c r="B1670" s="3" t="inlineStr">
        <is>
          <t>VAR_5</t>
        </is>
      </c>
      <c r="C1670" s="3" t="inlineStr">
        <is>
          <t>Plumbing</t>
        </is>
      </c>
      <c r="D1670" s="3" t="inlineStr">
        <is>
          <t>Bends &amp; Connectors</t>
        </is>
      </c>
      <c r="E1670" s="3" t="inlineStr">
        <is>
          <t>Astral</t>
        </is>
      </c>
      <c r="F1670" s="3" t="inlineStr">
        <is>
          <t>Female Adaptor (THD X SOC)</t>
        </is>
      </c>
      <c r="H1670" s="3" t="inlineStr">
        <is>
          <t>Diameter</t>
        </is>
      </c>
      <c r="I1670" s="3" t="inlineStr">
        <is>
          <t>40 mm (1.5 inch)</t>
        </is>
      </c>
      <c r="Q1670" s="3" t="inlineStr">
        <is>
          <t>Manufacturer's Warranty</t>
        </is>
      </c>
      <c r="R1670" s="3" t="inlineStr">
        <is>
          <t>M512111605^</t>
        </is>
      </c>
      <c r="Y1670" s="3" t="inlineStr">
        <is>
          <t>PLB_AST_FEMADAP</t>
        </is>
      </c>
      <c r="Z1670" s="3" t="n">
        <v>3917</v>
      </c>
      <c r="AE1670" s="3" t="n">
        <v>200</v>
      </c>
      <c r="AF1670" s="4" t="n">
        <v>0.37</v>
      </c>
      <c r="AG1670" s="3">
        <f>ROUND(AE1670-(AE1670*AF1670),2)</f>
        <v/>
      </c>
      <c r="AH1670" s="4" t="n">
        <v>0.18</v>
      </c>
      <c r="AI1670" s="3">
        <f>ROUND(AG1670+(AG1670*AH1670),2)</f>
        <v/>
      </c>
      <c r="AJ1670" s="4" t="n">
        <v>0.15</v>
      </c>
      <c r="AK1670" s="3">
        <f>ROUND(AI1670*AJ1670,2)</f>
        <v/>
      </c>
      <c r="AL1670" s="3">
        <f>AI1670+AK1670</f>
        <v/>
      </c>
      <c r="AM1670" s="3">
        <f>AE1670-AL1670</f>
        <v/>
      </c>
      <c r="AN1670" s="4">
        <f>AM1670/AE1670</f>
        <v/>
      </c>
      <c r="AO1670" s="3" t="inlineStr">
        <is>
          <t>60 mins</t>
        </is>
      </c>
      <c r="AQ1670" s="3" t="inlineStr">
        <is>
          <t>Weight</t>
        </is>
      </c>
      <c r="AT1670" s="3" t="inlineStr">
        <is>
          <t>Active</t>
        </is>
      </c>
    </row>
    <row r="1671" ht="15.75" customHeight="1">
      <c r="A1671" s="3" t="inlineStr">
        <is>
          <t>PROD_0311</t>
        </is>
      </c>
      <c r="B1671" s="3" t="inlineStr">
        <is>
          <t>VAR_6</t>
        </is>
      </c>
      <c r="C1671" s="3" t="inlineStr">
        <is>
          <t>Plumbing</t>
        </is>
      </c>
      <c r="D1671" s="3" t="inlineStr">
        <is>
          <t>Bends &amp; Connectors</t>
        </is>
      </c>
      <c r="E1671" s="3" t="inlineStr">
        <is>
          <t>Astral</t>
        </is>
      </c>
      <c r="F1671" s="3" t="inlineStr">
        <is>
          <t>Female Adaptor (THD X SOC)</t>
        </is>
      </c>
      <c r="H1671" s="3" t="inlineStr">
        <is>
          <t>Diameter</t>
        </is>
      </c>
      <c r="I1671" s="3" t="inlineStr">
        <is>
          <t>50 mm (2 inch)</t>
        </is>
      </c>
      <c r="Q1671" s="3" t="inlineStr">
        <is>
          <t>Manufacturer's Warranty</t>
        </is>
      </c>
      <c r="R1671" s="3" t="inlineStr">
        <is>
          <t>M512111606^</t>
        </is>
      </c>
      <c r="Y1671" s="3" t="inlineStr">
        <is>
          <t>PLB_AST_FEMADAP</t>
        </is>
      </c>
      <c r="Z1671" s="3" t="n">
        <v>3917</v>
      </c>
      <c r="AE1671" s="3" t="n">
        <v>136</v>
      </c>
      <c r="AF1671" s="4" t="n">
        <v>0.37</v>
      </c>
      <c r="AG1671" s="3">
        <f>ROUND(AE1671-(AE1671*AF1671),2)</f>
        <v/>
      </c>
      <c r="AH1671" s="4" t="n">
        <v>0.18</v>
      </c>
      <c r="AI1671" s="3">
        <f>ROUND(AG1671+(AG1671*AH1671),2)</f>
        <v/>
      </c>
      <c r="AJ1671" s="4" t="n">
        <v>0.15</v>
      </c>
      <c r="AK1671" s="3">
        <f>ROUND(AI1671*AJ1671,2)</f>
        <v/>
      </c>
      <c r="AL1671" s="3">
        <f>AI1671+AK1671</f>
        <v/>
      </c>
      <c r="AM1671" s="3">
        <f>AE1671-AL1671</f>
        <v/>
      </c>
      <c r="AN1671" s="4">
        <f>AM1671/AE1671</f>
        <v/>
      </c>
      <c r="AO1671" s="3" t="inlineStr">
        <is>
          <t>60 mins</t>
        </is>
      </c>
      <c r="AQ1671" s="3" t="inlineStr">
        <is>
          <t>Weight</t>
        </is>
      </c>
      <c r="AT1671" s="3" t="inlineStr">
        <is>
          <t>Active</t>
        </is>
      </c>
    </row>
    <row r="1672" ht="15.75" customHeight="1">
      <c r="A1672" s="3" t="inlineStr">
        <is>
          <t>PROD_0312</t>
        </is>
      </c>
      <c r="B1672" s="3" t="inlineStr">
        <is>
          <t>VAR_1</t>
        </is>
      </c>
      <c r="C1672" s="3" t="inlineStr">
        <is>
          <t>Plumbing</t>
        </is>
      </c>
      <c r="D1672" s="3" t="inlineStr">
        <is>
          <t>Bends &amp; Connectors</t>
        </is>
      </c>
      <c r="E1672" s="3" t="inlineStr">
        <is>
          <t>Astral</t>
        </is>
      </c>
      <c r="F1672" s="3" t="inlineStr">
        <is>
          <t>Reducer Tee (SOC)</t>
        </is>
      </c>
      <c r="H1672" s="3" t="inlineStr">
        <is>
          <t>Size</t>
        </is>
      </c>
      <c r="I1672" s="3" t="inlineStr">
        <is>
          <t>15 mm X 15 mm X 20 mm
(.5 inch X .5 inch X .75 inch)</t>
        </is>
      </c>
      <c r="Q1672" s="3" t="inlineStr">
        <is>
          <t>Manufacturer's Warranty</t>
        </is>
      </c>
      <c r="R1672" s="3" t="inlineStr">
        <is>
          <t>A512110291*</t>
        </is>
      </c>
      <c r="Y1672" s="3" t="inlineStr">
        <is>
          <t>PLB_AST_REDTEE</t>
        </is>
      </c>
      <c r="Z1672" s="3" t="n">
        <v>3917</v>
      </c>
      <c r="AE1672" s="3" t="n">
        <v>64</v>
      </c>
      <c r="AF1672" s="4" t="n">
        <v>0.37</v>
      </c>
      <c r="AG1672" s="3">
        <f>ROUND(AE1672-(AE1672*AF1672),2)</f>
        <v/>
      </c>
      <c r="AH1672" s="4" t="n">
        <v>0.18</v>
      </c>
      <c r="AI1672" s="3">
        <f>ROUND(AG1672+(AG1672*AH1672),2)</f>
        <v/>
      </c>
      <c r="AJ1672" s="4" t="n">
        <v>0.15</v>
      </c>
      <c r="AK1672" s="3">
        <f>ROUND(AI1672*AJ1672,2)</f>
        <v/>
      </c>
      <c r="AL1672" s="3">
        <f>AI1672+AK1672</f>
        <v/>
      </c>
      <c r="AM1672" s="3">
        <f>AE1672-AL1672</f>
        <v/>
      </c>
      <c r="AN1672" s="4">
        <f>AM1672/AE1672</f>
        <v/>
      </c>
      <c r="AO1672" s="3" t="inlineStr">
        <is>
          <t>60 mins</t>
        </is>
      </c>
      <c r="AQ1672" s="3" t="inlineStr">
        <is>
          <t>Weight</t>
        </is>
      </c>
      <c r="AT1672" s="3" t="inlineStr">
        <is>
          <t>Active</t>
        </is>
      </c>
    </row>
    <row r="1673" ht="15.75" customHeight="1">
      <c r="A1673" s="3" t="inlineStr">
        <is>
          <t>PROD_0312</t>
        </is>
      </c>
      <c r="B1673" s="3" t="inlineStr">
        <is>
          <t>VAR_2</t>
        </is>
      </c>
      <c r="C1673" s="3" t="inlineStr">
        <is>
          <t>Plumbing</t>
        </is>
      </c>
      <c r="D1673" s="3" t="inlineStr">
        <is>
          <t>Bends &amp; Connectors</t>
        </is>
      </c>
      <c r="E1673" s="3" t="inlineStr">
        <is>
          <t>Astral</t>
        </is>
      </c>
      <c r="F1673" s="3" t="inlineStr">
        <is>
          <t>Reducer Tee (SOC)</t>
        </is>
      </c>
      <c r="H1673" s="3" t="inlineStr">
        <is>
          <t>Size</t>
        </is>
      </c>
      <c r="I1673" s="3" t="inlineStr">
        <is>
          <t>20 mm X 15 mm X 20 mm
(.75 inch X .5 inch X .75 inch)</t>
        </is>
      </c>
      <c r="Q1673" s="3" t="inlineStr">
        <is>
          <t>Manufacturer's Warranty</t>
        </is>
      </c>
      <c r="R1673" s="3" t="inlineStr">
        <is>
          <t>A512110292*</t>
        </is>
      </c>
      <c r="Y1673" s="3" t="inlineStr">
        <is>
          <t>PLB_AST_REDTEE</t>
        </is>
      </c>
      <c r="Z1673" s="3" t="n">
        <v>3917</v>
      </c>
      <c r="AE1673" s="3" t="n">
        <v>65</v>
      </c>
      <c r="AF1673" s="4" t="n">
        <v>0.37</v>
      </c>
      <c r="AG1673" s="3">
        <f>ROUND(AE1673-(AE1673*AF1673),2)</f>
        <v/>
      </c>
      <c r="AH1673" s="4" t="n">
        <v>0.18</v>
      </c>
      <c r="AI1673" s="3">
        <f>ROUND(AG1673+(AG1673*AH1673),2)</f>
        <v/>
      </c>
      <c r="AJ1673" s="4" t="n">
        <v>0.15</v>
      </c>
      <c r="AK1673" s="3">
        <f>ROUND(AI1673*AJ1673,2)</f>
        <v/>
      </c>
      <c r="AL1673" s="3">
        <f>AI1673+AK1673</f>
        <v/>
      </c>
      <c r="AM1673" s="3">
        <f>AE1673-AL1673</f>
        <v/>
      </c>
      <c r="AN1673" s="4">
        <f>AM1673/AE1673</f>
        <v/>
      </c>
      <c r="AO1673" s="3" t="inlineStr">
        <is>
          <t>60 mins</t>
        </is>
      </c>
      <c r="AQ1673" s="3" t="inlineStr">
        <is>
          <t>Weight</t>
        </is>
      </c>
      <c r="AT1673" s="3" t="inlineStr">
        <is>
          <t>Active</t>
        </is>
      </c>
    </row>
    <row r="1674" ht="15.75" customHeight="1">
      <c r="A1674" s="3" t="inlineStr">
        <is>
          <t>PROD_0312</t>
        </is>
      </c>
      <c r="B1674" s="3" t="inlineStr">
        <is>
          <t>VAR_3</t>
        </is>
      </c>
      <c r="C1674" s="3" t="inlineStr">
        <is>
          <t>Plumbing</t>
        </is>
      </c>
      <c r="D1674" s="3" t="inlineStr">
        <is>
          <t>Bends &amp; Connectors</t>
        </is>
      </c>
      <c r="E1674" s="3" t="inlineStr">
        <is>
          <t>Astral</t>
        </is>
      </c>
      <c r="F1674" s="3" t="inlineStr">
        <is>
          <t>Reducer Tee (SOC)</t>
        </is>
      </c>
      <c r="H1674" s="3" t="inlineStr">
        <is>
          <t>Size</t>
        </is>
      </c>
      <c r="I1674" s="3" t="inlineStr">
        <is>
          <t>20 mm X 15 mm X 15 mm
(.75 inch X .5 inch X .5 inch)</t>
        </is>
      </c>
      <c r="Q1674" s="3" t="inlineStr">
        <is>
          <t>Manufacturer's Warranty</t>
        </is>
      </c>
      <c r="R1674" s="3" t="inlineStr">
        <is>
          <t>A512110293*</t>
        </is>
      </c>
      <c r="Y1674" s="3" t="inlineStr">
        <is>
          <t>PLB_AST_REDTEE</t>
        </is>
      </c>
      <c r="Z1674" s="3" t="n">
        <v>3917</v>
      </c>
      <c r="AE1674" s="3" t="n">
        <v>65</v>
      </c>
      <c r="AF1674" s="4" t="n">
        <v>0.37</v>
      </c>
      <c r="AG1674" s="3">
        <f>ROUND(AE1674-(AE1674*AF1674),2)</f>
        <v/>
      </c>
      <c r="AH1674" s="4" t="n">
        <v>0.18</v>
      </c>
      <c r="AI1674" s="3">
        <f>ROUND(AG1674+(AG1674*AH1674),2)</f>
        <v/>
      </c>
      <c r="AJ1674" s="4" t="n">
        <v>0.15</v>
      </c>
      <c r="AK1674" s="3">
        <f>ROUND(AI1674*AJ1674,2)</f>
        <v/>
      </c>
      <c r="AL1674" s="3">
        <f>AI1674+AK1674</f>
        <v/>
      </c>
      <c r="AM1674" s="3">
        <f>AE1674-AL1674</f>
        <v/>
      </c>
      <c r="AN1674" s="4">
        <f>AM1674/AE1674</f>
        <v/>
      </c>
      <c r="AO1674" s="3" t="inlineStr">
        <is>
          <t>60 mins</t>
        </is>
      </c>
      <c r="AQ1674" s="3" t="inlineStr">
        <is>
          <t>Weight</t>
        </is>
      </c>
      <c r="AT1674" s="3" t="inlineStr">
        <is>
          <t>Active</t>
        </is>
      </c>
    </row>
    <row r="1675" ht="15.75" customHeight="1">
      <c r="A1675" s="3" t="inlineStr">
        <is>
          <t>PROD_0312</t>
        </is>
      </c>
      <c r="B1675" s="3" t="inlineStr">
        <is>
          <t>VAR_4</t>
        </is>
      </c>
      <c r="C1675" s="3" t="inlineStr">
        <is>
          <t>Plumbing</t>
        </is>
      </c>
      <c r="D1675" s="3" t="inlineStr">
        <is>
          <t>Bends &amp; Connectors</t>
        </is>
      </c>
      <c r="E1675" s="3" t="inlineStr">
        <is>
          <t>Astral</t>
        </is>
      </c>
      <c r="F1675" s="3" t="inlineStr">
        <is>
          <t>Reducer Tee (SOC)</t>
        </is>
      </c>
      <c r="H1675" s="3" t="inlineStr">
        <is>
          <t>Size</t>
        </is>
      </c>
      <c r="I1675" s="3" t="inlineStr">
        <is>
          <t>20 mm X 20 mm X 15 mm
(.75 inch X .75 inch X .5 inch)</t>
        </is>
      </c>
      <c r="Q1675" s="3" t="inlineStr">
        <is>
          <t>Manufacturer's Warranty</t>
        </is>
      </c>
      <c r="R1675" s="3" t="inlineStr">
        <is>
          <t>M512110214^</t>
        </is>
      </c>
      <c r="Y1675" s="3" t="inlineStr">
        <is>
          <t>PLB_AST_REDTEE</t>
        </is>
      </c>
      <c r="Z1675" s="3" t="n">
        <v>3917</v>
      </c>
      <c r="AE1675" s="3" t="n">
        <v>67</v>
      </c>
      <c r="AF1675" s="4" t="n">
        <v>0.37</v>
      </c>
      <c r="AG1675" s="3">
        <f>ROUND(AE1675-(AE1675*AF1675),2)</f>
        <v/>
      </c>
      <c r="AH1675" s="4" t="n">
        <v>0.18</v>
      </c>
      <c r="AI1675" s="3">
        <f>ROUND(AG1675+(AG1675*AH1675),2)</f>
        <v/>
      </c>
      <c r="AJ1675" s="4" t="n">
        <v>0.15</v>
      </c>
      <c r="AK1675" s="3">
        <f>ROUND(AI1675*AJ1675,2)</f>
        <v/>
      </c>
      <c r="AL1675" s="3">
        <f>AI1675+AK1675</f>
        <v/>
      </c>
      <c r="AM1675" s="3">
        <f>AE1675-AL1675</f>
        <v/>
      </c>
      <c r="AN1675" s="4">
        <f>AM1675/AE1675</f>
        <v/>
      </c>
      <c r="AO1675" s="3" t="inlineStr">
        <is>
          <t>60 mins</t>
        </is>
      </c>
      <c r="AQ1675" s="3" t="inlineStr">
        <is>
          <t>Weight</t>
        </is>
      </c>
      <c r="AT1675" s="3" t="inlineStr">
        <is>
          <t>Active</t>
        </is>
      </c>
    </row>
    <row r="1676" ht="15.75" customHeight="1">
      <c r="A1676" s="3" t="inlineStr">
        <is>
          <t>PROD_0312</t>
        </is>
      </c>
      <c r="B1676" s="3" t="inlineStr">
        <is>
          <t>VAR_5</t>
        </is>
      </c>
      <c r="C1676" s="3" t="inlineStr">
        <is>
          <t>Plumbing</t>
        </is>
      </c>
      <c r="D1676" s="3" t="inlineStr">
        <is>
          <t>Bends &amp; Connectors</t>
        </is>
      </c>
      <c r="E1676" s="3" t="inlineStr">
        <is>
          <t>Astral</t>
        </is>
      </c>
      <c r="F1676" s="3" t="inlineStr">
        <is>
          <t>Reducer Tee (SOC)</t>
        </is>
      </c>
      <c r="H1676" s="3" t="inlineStr">
        <is>
          <t>Size</t>
        </is>
      </c>
      <c r="I1676" s="3" t="inlineStr">
        <is>
          <t>25 mm X 25 mm X 15 mm
(1 inch X 1 inch X .5 inch)</t>
        </is>
      </c>
      <c r="Q1676" s="3" t="inlineStr">
        <is>
          <t>Manufacturer's Warranty</t>
        </is>
      </c>
      <c r="R1676" s="3" t="inlineStr">
        <is>
          <t>M512110215^</t>
        </is>
      </c>
      <c r="Y1676" s="3" t="inlineStr">
        <is>
          <t>PLB_AST_REDTEE</t>
        </is>
      </c>
      <c r="Z1676" s="3" t="n">
        <v>3917</v>
      </c>
      <c r="AE1676" s="3" t="n">
        <v>103</v>
      </c>
      <c r="AF1676" s="4" t="n">
        <v>0.37</v>
      </c>
      <c r="AG1676" s="3">
        <f>ROUND(AE1676-(AE1676*AF1676),2)</f>
        <v/>
      </c>
      <c r="AH1676" s="4" t="n">
        <v>0.18</v>
      </c>
      <c r="AI1676" s="3">
        <f>ROUND(AG1676+(AG1676*AH1676),2)</f>
        <v/>
      </c>
      <c r="AJ1676" s="4" t="n">
        <v>0.15</v>
      </c>
      <c r="AK1676" s="3">
        <f>ROUND(AI1676*AJ1676,2)</f>
        <v/>
      </c>
      <c r="AL1676" s="3">
        <f>AI1676+AK1676</f>
        <v/>
      </c>
      <c r="AM1676" s="3">
        <f>AE1676-AL1676</f>
        <v/>
      </c>
      <c r="AN1676" s="4">
        <f>AM1676/AE1676</f>
        <v/>
      </c>
      <c r="AO1676" s="3" t="inlineStr">
        <is>
          <t>60 mins</t>
        </is>
      </c>
      <c r="AQ1676" s="3" t="inlineStr">
        <is>
          <t>Weight</t>
        </is>
      </c>
      <c r="AT1676" s="3" t="inlineStr">
        <is>
          <t>Active</t>
        </is>
      </c>
    </row>
    <row r="1677" ht="15.75" customHeight="1">
      <c r="A1677" s="3" t="inlineStr">
        <is>
          <t>PROD_0312</t>
        </is>
      </c>
      <c r="B1677" s="3" t="inlineStr">
        <is>
          <t>VAR_6</t>
        </is>
      </c>
      <c r="C1677" s="3" t="inlineStr">
        <is>
          <t>Plumbing</t>
        </is>
      </c>
      <c r="D1677" s="3" t="inlineStr">
        <is>
          <t>Bends &amp; Connectors</t>
        </is>
      </c>
      <c r="E1677" s="3" t="inlineStr">
        <is>
          <t>Astral</t>
        </is>
      </c>
      <c r="F1677" s="3" t="inlineStr">
        <is>
          <t>Reducer Tee (SOC)</t>
        </is>
      </c>
      <c r="H1677" s="3" t="inlineStr">
        <is>
          <t>Size</t>
        </is>
      </c>
      <c r="I1677" s="3" t="inlineStr">
        <is>
          <t>25 mm X 25 mm X 20 mm
(1 inch X 1 inch X .75 inch)</t>
        </is>
      </c>
      <c r="Q1677" s="3" t="inlineStr">
        <is>
          <t>Manufacturer's Warranty</t>
        </is>
      </c>
      <c r="R1677" s="3" t="inlineStr">
        <is>
          <t>M512110216^</t>
        </is>
      </c>
      <c r="Y1677" s="3" t="inlineStr">
        <is>
          <t>PLB_AST_REDTEE</t>
        </is>
      </c>
      <c r="Z1677" s="3" t="n">
        <v>3917</v>
      </c>
      <c r="AE1677" s="3" t="n">
        <v>112</v>
      </c>
      <c r="AF1677" s="4" t="n">
        <v>0.37</v>
      </c>
      <c r="AG1677" s="3">
        <f>ROUND(AE1677-(AE1677*AF1677),2)</f>
        <v/>
      </c>
      <c r="AH1677" s="4" t="n">
        <v>0.18</v>
      </c>
      <c r="AI1677" s="3">
        <f>ROUND(AG1677+(AG1677*AH1677),2)</f>
        <v/>
      </c>
      <c r="AJ1677" s="4" t="n">
        <v>0.15</v>
      </c>
      <c r="AK1677" s="3">
        <f>ROUND(AI1677*AJ1677,2)</f>
        <v/>
      </c>
      <c r="AL1677" s="3">
        <f>AI1677+AK1677</f>
        <v/>
      </c>
      <c r="AM1677" s="3">
        <f>AE1677-AL1677</f>
        <v/>
      </c>
      <c r="AN1677" s="4">
        <f>AM1677/AE1677</f>
        <v/>
      </c>
      <c r="AO1677" s="3" t="inlineStr">
        <is>
          <t>60 mins</t>
        </is>
      </c>
      <c r="AQ1677" s="3" t="inlineStr">
        <is>
          <t>Weight</t>
        </is>
      </c>
      <c r="AT1677" s="3" t="inlineStr">
        <is>
          <t>Active</t>
        </is>
      </c>
    </row>
    <row r="1678" ht="15.75" customHeight="1">
      <c r="A1678" s="3" t="inlineStr">
        <is>
          <t>PROD_0312</t>
        </is>
      </c>
      <c r="B1678" s="3" t="inlineStr">
        <is>
          <t>VAR_7</t>
        </is>
      </c>
      <c r="C1678" s="3" t="inlineStr">
        <is>
          <t>Plumbing</t>
        </is>
      </c>
      <c r="D1678" s="3" t="inlineStr">
        <is>
          <t>Bends &amp; Connectors</t>
        </is>
      </c>
      <c r="E1678" s="3" t="inlineStr">
        <is>
          <t>Astral</t>
        </is>
      </c>
      <c r="F1678" s="3" t="inlineStr">
        <is>
          <t>Reducer Tee (SOC)</t>
        </is>
      </c>
      <c r="H1678" s="3" t="inlineStr">
        <is>
          <t>Size</t>
        </is>
      </c>
      <c r="I1678" s="3" t="inlineStr">
        <is>
          <t>32 mm X 32 mm X 15 mm
(1.25 inch X 1.25 inch X .5 inch)</t>
        </is>
      </c>
      <c r="Q1678" s="3" t="inlineStr">
        <is>
          <t>Manufacturer's Warranty</t>
        </is>
      </c>
      <c r="R1678" s="3" t="inlineStr">
        <is>
          <t>M512110217^</t>
        </is>
      </c>
      <c r="Y1678" s="3" t="inlineStr">
        <is>
          <t>PLB_AST_REDTEE</t>
        </is>
      </c>
      <c r="Z1678" s="3" t="n">
        <v>3917</v>
      </c>
      <c r="AE1678" s="3" t="n">
        <v>187</v>
      </c>
      <c r="AF1678" s="4" t="n">
        <v>0.37</v>
      </c>
      <c r="AG1678" s="3">
        <f>ROUND(AE1678-(AE1678*AF1678),2)</f>
        <v/>
      </c>
      <c r="AH1678" s="4" t="n">
        <v>0.18</v>
      </c>
      <c r="AI1678" s="3">
        <f>ROUND(AG1678+(AG1678*AH1678),2)</f>
        <v/>
      </c>
      <c r="AJ1678" s="4" t="n">
        <v>0.15</v>
      </c>
      <c r="AK1678" s="3">
        <f>ROUND(AI1678*AJ1678,2)</f>
        <v/>
      </c>
      <c r="AL1678" s="3">
        <f>AI1678+AK1678</f>
        <v/>
      </c>
      <c r="AM1678" s="3">
        <f>AE1678-AL1678</f>
        <v/>
      </c>
      <c r="AN1678" s="4">
        <f>AM1678/AE1678</f>
        <v/>
      </c>
      <c r="AO1678" s="3" t="inlineStr">
        <is>
          <t>60 mins</t>
        </is>
      </c>
      <c r="AQ1678" s="3" t="inlineStr">
        <is>
          <t>Weight</t>
        </is>
      </c>
      <c r="AT1678" s="3" t="inlineStr">
        <is>
          <t>Active</t>
        </is>
      </c>
    </row>
    <row r="1679" ht="15.75" customHeight="1">
      <c r="A1679" s="3" t="inlineStr">
        <is>
          <t>PROD_0312</t>
        </is>
      </c>
      <c r="B1679" s="3" t="inlineStr">
        <is>
          <t>VAR_8</t>
        </is>
      </c>
      <c r="C1679" s="3" t="inlineStr">
        <is>
          <t>Plumbing</t>
        </is>
      </c>
      <c r="D1679" s="3" t="inlineStr">
        <is>
          <t>Bends &amp; Connectors</t>
        </is>
      </c>
      <c r="E1679" s="3" t="inlineStr">
        <is>
          <t>Astral</t>
        </is>
      </c>
      <c r="F1679" s="3" t="inlineStr">
        <is>
          <t>Reducer Tee (SOC)</t>
        </is>
      </c>
      <c r="H1679" s="3" t="inlineStr">
        <is>
          <t>Size</t>
        </is>
      </c>
      <c r="I1679" s="3" t="inlineStr">
        <is>
          <t>32 mm X 32 mm X 20 mm
(1.25 inch X 1.25 inch X.75 inch)</t>
        </is>
      </c>
      <c r="Q1679" s="3" t="inlineStr">
        <is>
          <t>Manufacturer's Warranty</t>
        </is>
      </c>
      <c r="R1679" s="3" t="inlineStr">
        <is>
          <t>M512110218^</t>
        </is>
      </c>
      <c r="Y1679" s="3" t="inlineStr">
        <is>
          <t>PLB_AST_REDTEE</t>
        </is>
      </c>
      <c r="Z1679" s="3" t="n">
        <v>3917</v>
      </c>
      <c r="AE1679" s="3" t="n">
        <v>216</v>
      </c>
      <c r="AF1679" s="4" t="n">
        <v>0.37</v>
      </c>
      <c r="AG1679" s="3">
        <f>ROUND(AE1679-(AE1679*AF1679),2)</f>
        <v/>
      </c>
      <c r="AH1679" s="4" t="n">
        <v>0.18</v>
      </c>
      <c r="AI1679" s="3">
        <f>ROUND(AG1679+(AG1679*AH1679),2)</f>
        <v/>
      </c>
      <c r="AJ1679" s="4" t="n">
        <v>0.15</v>
      </c>
      <c r="AK1679" s="3">
        <f>ROUND(AI1679*AJ1679,2)</f>
        <v/>
      </c>
      <c r="AL1679" s="3">
        <f>AI1679+AK1679</f>
        <v/>
      </c>
      <c r="AM1679" s="3">
        <f>AE1679-AL1679</f>
        <v/>
      </c>
      <c r="AN1679" s="4">
        <f>AM1679/AE1679</f>
        <v/>
      </c>
      <c r="AO1679" s="3" t="inlineStr">
        <is>
          <t>60 mins</t>
        </is>
      </c>
      <c r="AQ1679" s="3" t="inlineStr">
        <is>
          <t>Weight</t>
        </is>
      </c>
      <c r="AT1679" s="3" t="inlineStr">
        <is>
          <t>Active</t>
        </is>
      </c>
    </row>
    <row r="1680" ht="15.75" customHeight="1">
      <c r="A1680" s="3" t="inlineStr">
        <is>
          <t>PROD_0312</t>
        </is>
      </c>
      <c r="B1680" s="3" t="inlineStr">
        <is>
          <t>VAR_9</t>
        </is>
      </c>
      <c r="C1680" s="3" t="inlineStr">
        <is>
          <t>Plumbing</t>
        </is>
      </c>
      <c r="D1680" s="3" t="inlineStr">
        <is>
          <t>Bends &amp; Connectors</t>
        </is>
      </c>
      <c r="E1680" s="3" t="inlineStr">
        <is>
          <t>Astral</t>
        </is>
      </c>
      <c r="F1680" s="3" t="inlineStr">
        <is>
          <t>Reducer Tee (SOC)</t>
        </is>
      </c>
      <c r="H1680" s="3" t="inlineStr">
        <is>
          <t>Size</t>
        </is>
      </c>
      <c r="I1680" s="3" t="inlineStr">
        <is>
          <t>32 mm X 32 mm X 25 mm
(1.25 inch X 1.25 inch X 1 inch)</t>
        </is>
      </c>
      <c r="Q1680" s="3" t="inlineStr">
        <is>
          <t>Manufacturer's Warranty</t>
        </is>
      </c>
      <c r="R1680" s="3" t="inlineStr">
        <is>
          <t>M512110219^</t>
        </is>
      </c>
      <c r="Y1680" s="3" t="inlineStr">
        <is>
          <t>PLB_AST_REDTEE</t>
        </is>
      </c>
      <c r="Z1680" s="3" t="n">
        <v>3917</v>
      </c>
      <c r="AE1680" s="3" t="n">
        <v>200</v>
      </c>
      <c r="AF1680" s="4" t="n">
        <v>0.37</v>
      </c>
      <c r="AG1680" s="3">
        <f>ROUND(AE1680-(AE1680*AF1680),2)</f>
        <v/>
      </c>
      <c r="AH1680" s="4" t="n">
        <v>0.18</v>
      </c>
      <c r="AI1680" s="3">
        <f>ROUND(AG1680+(AG1680*AH1680),2)</f>
        <v/>
      </c>
      <c r="AJ1680" s="4" t="n">
        <v>0.15</v>
      </c>
      <c r="AK1680" s="3">
        <f>ROUND(AI1680*AJ1680,2)</f>
        <v/>
      </c>
      <c r="AL1680" s="3">
        <f>AI1680+AK1680</f>
        <v/>
      </c>
      <c r="AM1680" s="3">
        <f>AE1680-AL1680</f>
        <v/>
      </c>
      <c r="AN1680" s="4">
        <f>AM1680/AE1680</f>
        <v/>
      </c>
      <c r="AO1680" s="3" t="inlineStr">
        <is>
          <t>60 mins</t>
        </is>
      </c>
      <c r="AQ1680" s="3" t="inlineStr">
        <is>
          <t>Weight</t>
        </is>
      </c>
      <c r="AT1680" s="3" t="inlineStr">
        <is>
          <t>Active</t>
        </is>
      </c>
    </row>
    <row r="1681" ht="15.75" customHeight="1">
      <c r="A1681" s="3" t="inlineStr">
        <is>
          <t>PROD_0312</t>
        </is>
      </c>
      <c r="B1681" s="3" t="inlineStr">
        <is>
          <t>VAR_10</t>
        </is>
      </c>
      <c r="C1681" s="3" t="inlineStr">
        <is>
          <t>Plumbing</t>
        </is>
      </c>
      <c r="D1681" s="3" t="inlineStr">
        <is>
          <t>Bends &amp; Connectors</t>
        </is>
      </c>
      <c r="E1681" s="3" t="inlineStr">
        <is>
          <t>Astral</t>
        </is>
      </c>
      <c r="F1681" s="3" t="inlineStr">
        <is>
          <t>Reducer Tee (SOC)</t>
        </is>
      </c>
      <c r="H1681" s="3" t="inlineStr">
        <is>
          <t>Size</t>
        </is>
      </c>
      <c r="I1681" s="3" t="inlineStr">
        <is>
          <t>40 mm X 40 mm X 15 mm
(1.5 inch X 1.5 inch X .5 inch)</t>
        </is>
      </c>
      <c r="Q1681" s="3" t="inlineStr">
        <is>
          <t>Manufacturer's Warranty</t>
        </is>
      </c>
      <c r="R1681" s="3" t="inlineStr">
        <is>
          <t>M512110220^</t>
        </is>
      </c>
      <c r="Y1681" s="3" t="inlineStr">
        <is>
          <t>PLB_AST_REDTEE</t>
        </is>
      </c>
      <c r="Z1681" s="3" t="n">
        <v>3917</v>
      </c>
      <c r="AE1681" s="3" t="n">
        <v>309</v>
      </c>
      <c r="AF1681" s="4" t="n">
        <v>0.37</v>
      </c>
      <c r="AG1681" s="3">
        <f>ROUND(AE1681-(AE1681*AF1681),2)</f>
        <v/>
      </c>
      <c r="AH1681" s="4" t="n">
        <v>0.18</v>
      </c>
      <c r="AI1681" s="3">
        <f>ROUND(AG1681+(AG1681*AH1681),2)</f>
        <v/>
      </c>
      <c r="AJ1681" s="4" t="n">
        <v>0.15</v>
      </c>
      <c r="AK1681" s="3">
        <f>ROUND(AI1681*AJ1681,2)</f>
        <v/>
      </c>
      <c r="AL1681" s="3">
        <f>AI1681+AK1681</f>
        <v/>
      </c>
      <c r="AM1681" s="3">
        <f>AE1681-AL1681</f>
        <v/>
      </c>
      <c r="AN1681" s="4">
        <f>AM1681/AE1681</f>
        <v/>
      </c>
      <c r="AO1681" s="3" t="inlineStr">
        <is>
          <t>60 mins</t>
        </is>
      </c>
      <c r="AQ1681" s="3" t="inlineStr">
        <is>
          <t>Weight</t>
        </is>
      </c>
      <c r="AT1681" s="3" t="inlineStr">
        <is>
          <t>Active</t>
        </is>
      </c>
    </row>
    <row r="1682" ht="15.75" customHeight="1">
      <c r="A1682" s="3" t="inlineStr">
        <is>
          <t>PROD_0312</t>
        </is>
      </c>
      <c r="B1682" s="3" t="inlineStr">
        <is>
          <t>VAR_11</t>
        </is>
      </c>
      <c r="C1682" s="3" t="inlineStr">
        <is>
          <t>Plumbing</t>
        </is>
      </c>
      <c r="D1682" s="3" t="inlineStr">
        <is>
          <t>Bends &amp; Connectors</t>
        </is>
      </c>
      <c r="E1682" s="3" t="inlineStr">
        <is>
          <t>Astral</t>
        </is>
      </c>
      <c r="F1682" s="3" t="inlineStr">
        <is>
          <t>Reducer Tee (SOC)</t>
        </is>
      </c>
      <c r="H1682" s="3" t="inlineStr">
        <is>
          <t>Size</t>
        </is>
      </c>
      <c r="I1682" s="3" t="inlineStr">
        <is>
          <t>40 mm X 40 mm X 20 mm
(1.5 inch X 1.5 inch X .75 inch)</t>
        </is>
      </c>
      <c r="Q1682" s="3" t="inlineStr">
        <is>
          <t>Manufacturer's Warranty</t>
        </is>
      </c>
      <c r="R1682" s="3" t="inlineStr">
        <is>
          <t>M512110221^</t>
        </is>
      </c>
      <c r="Y1682" s="3" t="inlineStr">
        <is>
          <t>PLB_AST_REDTEE</t>
        </is>
      </c>
      <c r="Z1682" s="3" t="n">
        <v>3917</v>
      </c>
      <c r="AE1682" s="3" t="n">
        <v>306</v>
      </c>
      <c r="AF1682" s="4" t="n">
        <v>0.37</v>
      </c>
      <c r="AG1682" s="3">
        <f>ROUND(AE1682-(AE1682*AF1682),2)</f>
        <v/>
      </c>
      <c r="AH1682" s="4" t="n">
        <v>0.18</v>
      </c>
      <c r="AI1682" s="3">
        <f>ROUND(AG1682+(AG1682*AH1682),2)</f>
        <v/>
      </c>
      <c r="AJ1682" s="4" t="n">
        <v>0.15</v>
      </c>
      <c r="AK1682" s="3">
        <f>ROUND(AI1682*AJ1682,2)</f>
        <v/>
      </c>
      <c r="AL1682" s="3">
        <f>AI1682+AK1682</f>
        <v/>
      </c>
      <c r="AM1682" s="3">
        <f>AE1682-AL1682</f>
        <v/>
      </c>
      <c r="AN1682" s="4">
        <f>AM1682/AE1682</f>
        <v/>
      </c>
      <c r="AO1682" s="3" t="inlineStr">
        <is>
          <t>60 mins</t>
        </is>
      </c>
      <c r="AQ1682" s="3" t="inlineStr">
        <is>
          <t>Weight</t>
        </is>
      </c>
      <c r="AT1682" s="3" t="inlineStr">
        <is>
          <t>Active</t>
        </is>
      </c>
    </row>
    <row r="1683" ht="15.75" customHeight="1">
      <c r="A1683" s="3" t="inlineStr">
        <is>
          <t>PROD_0312</t>
        </is>
      </c>
      <c r="B1683" s="3" t="inlineStr">
        <is>
          <t>VAR_12</t>
        </is>
      </c>
      <c r="C1683" s="3" t="inlineStr">
        <is>
          <t>Plumbing</t>
        </is>
      </c>
      <c r="D1683" s="3" t="inlineStr">
        <is>
          <t>Bends &amp; Connectors</t>
        </is>
      </c>
      <c r="E1683" s="3" t="inlineStr">
        <is>
          <t>Astral</t>
        </is>
      </c>
      <c r="F1683" s="3" t="inlineStr">
        <is>
          <t>Reducer Tee (SOC)</t>
        </is>
      </c>
      <c r="H1683" s="3" t="inlineStr">
        <is>
          <t>Size</t>
        </is>
      </c>
      <c r="I1683" s="3" t="inlineStr">
        <is>
          <t>40 mm X 40 mm X 25 mm
(1.5 inch X 1.5 inch X 1 inch)</t>
        </is>
      </c>
      <c r="Q1683" s="3" t="inlineStr">
        <is>
          <t>Manufacturer's Warranty</t>
        </is>
      </c>
      <c r="R1683" s="3" t="inlineStr">
        <is>
          <t>M512110222^</t>
        </is>
      </c>
      <c r="Y1683" s="3" t="inlineStr">
        <is>
          <t>PLB_AST_REDTEE</t>
        </is>
      </c>
      <c r="Z1683" s="3" t="n">
        <v>3917</v>
      </c>
      <c r="AE1683" s="3" t="n">
        <v>289</v>
      </c>
      <c r="AF1683" s="4" t="n">
        <v>0.37</v>
      </c>
      <c r="AG1683" s="3">
        <f>ROUND(AE1683-(AE1683*AF1683),2)</f>
        <v/>
      </c>
      <c r="AH1683" s="4" t="n">
        <v>0.18</v>
      </c>
      <c r="AI1683" s="3">
        <f>ROUND(AG1683+(AG1683*AH1683),2)</f>
        <v/>
      </c>
      <c r="AJ1683" s="4" t="n">
        <v>0.15</v>
      </c>
      <c r="AK1683" s="3">
        <f>ROUND(AI1683*AJ1683,2)</f>
        <v/>
      </c>
      <c r="AL1683" s="3">
        <f>AI1683+AK1683</f>
        <v/>
      </c>
      <c r="AM1683" s="3">
        <f>AE1683-AL1683</f>
        <v/>
      </c>
      <c r="AN1683" s="4">
        <f>AM1683/AE1683</f>
        <v/>
      </c>
      <c r="AO1683" s="3" t="inlineStr">
        <is>
          <t>60 mins</t>
        </is>
      </c>
      <c r="AQ1683" s="3" t="inlineStr">
        <is>
          <t>Weight</t>
        </is>
      </c>
      <c r="AT1683" s="3" t="inlineStr">
        <is>
          <t>Active</t>
        </is>
      </c>
    </row>
    <row r="1684" ht="15.75" customHeight="1">
      <c r="A1684" s="3" t="inlineStr">
        <is>
          <t>PROD_0312</t>
        </is>
      </c>
      <c r="B1684" s="3" t="inlineStr">
        <is>
          <t>VAR_13</t>
        </is>
      </c>
      <c r="C1684" s="3" t="inlineStr">
        <is>
          <t>Plumbing</t>
        </is>
      </c>
      <c r="D1684" s="3" t="inlineStr">
        <is>
          <t>Bends &amp; Connectors</t>
        </is>
      </c>
      <c r="E1684" s="3" t="inlineStr">
        <is>
          <t>Astral</t>
        </is>
      </c>
      <c r="F1684" s="3" t="inlineStr">
        <is>
          <t>Reducer Tee (SOC)</t>
        </is>
      </c>
      <c r="H1684" s="3" t="inlineStr">
        <is>
          <t>Size</t>
        </is>
      </c>
      <c r="I1684" s="3" t="inlineStr">
        <is>
          <t>40 mm X 40 mm X 32 mm
(1.5 inch X 1.5 inch X 1.25 inch)</t>
        </is>
      </c>
      <c r="Q1684" s="3" t="inlineStr">
        <is>
          <t>Manufacturer's Warranty</t>
        </is>
      </c>
      <c r="R1684" s="3" t="inlineStr">
        <is>
          <t>M512110223^</t>
        </is>
      </c>
      <c r="Y1684" s="3" t="inlineStr">
        <is>
          <t>PLB_AST_REDTEE</t>
        </is>
      </c>
      <c r="Z1684" s="3" t="n">
        <v>3917</v>
      </c>
      <c r="AE1684" s="3" t="n">
        <v>287</v>
      </c>
      <c r="AF1684" s="4" t="n">
        <v>0.37</v>
      </c>
      <c r="AG1684" s="3">
        <f>ROUND(AE1684-(AE1684*AF1684),2)</f>
        <v/>
      </c>
      <c r="AH1684" s="4" t="n">
        <v>0.18</v>
      </c>
      <c r="AI1684" s="3">
        <f>ROUND(AG1684+(AG1684*AH1684),2)</f>
        <v/>
      </c>
      <c r="AJ1684" s="4" t="n">
        <v>0.15</v>
      </c>
      <c r="AK1684" s="3">
        <f>ROUND(AI1684*AJ1684,2)</f>
        <v/>
      </c>
      <c r="AL1684" s="3">
        <f>AI1684+AK1684</f>
        <v/>
      </c>
      <c r="AM1684" s="3">
        <f>AE1684-AL1684</f>
        <v/>
      </c>
      <c r="AN1684" s="4">
        <f>AM1684/AE1684</f>
        <v/>
      </c>
      <c r="AO1684" s="3" t="inlineStr">
        <is>
          <t>60 mins</t>
        </is>
      </c>
      <c r="AQ1684" s="3" t="inlineStr">
        <is>
          <t>Weight</t>
        </is>
      </c>
      <c r="AT1684" s="3" t="inlineStr">
        <is>
          <t>Active</t>
        </is>
      </c>
    </row>
    <row r="1685" ht="15.75" customHeight="1">
      <c r="A1685" s="3" t="inlineStr">
        <is>
          <t>PROD_0312</t>
        </is>
      </c>
      <c r="B1685" s="3" t="inlineStr">
        <is>
          <t>VAR_14</t>
        </is>
      </c>
      <c r="C1685" s="3" t="inlineStr">
        <is>
          <t>Plumbing</t>
        </is>
      </c>
      <c r="D1685" s="3" t="inlineStr">
        <is>
          <t>Bends &amp; Connectors</t>
        </is>
      </c>
      <c r="E1685" s="3" t="inlineStr">
        <is>
          <t>Astral</t>
        </is>
      </c>
      <c r="F1685" s="3" t="inlineStr">
        <is>
          <t>Reducer Tee (SOC)</t>
        </is>
      </c>
      <c r="H1685" s="3" t="inlineStr">
        <is>
          <t>Size</t>
        </is>
      </c>
      <c r="I1685" s="3" t="inlineStr">
        <is>
          <t>50 mm X 50 mm X 15 mm
(2 inch X 2 inch X .5 inch)</t>
        </is>
      </c>
      <c r="Q1685" s="3" t="inlineStr">
        <is>
          <t>Manufacturer's Warranty</t>
        </is>
      </c>
      <c r="R1685" s="3" t="inlineStr">
        <is>
          <t>M512110224^</t>
        </is>
      </c>
      <c r="Y1685" s="3" t="inlineStr">
        <is>
          <t>PLB_AST_REDTEE</t>
        </is>
      </c>
      <c r="Z1685" s="3" t="n">
        <v>3917</v>
      </c>
      <c r="AE1685" s="3" t="n">
        <v>548</v>
      </c>
      <c r="AF1685" s="4" t="n">
        <v>0.37</v>
      </c>
      <c r="AG1685" s="3">
        <f>ROUND(AE1685-(AE1685*AF1685),2)</f>
        <v/>
      </c>
      <c r="AH1685" s="4" t="n">
        <v>0.18</v>
      </c>
      <c r="AI1685" s="3">
        <f>ROUND(AG1685+(AG1685*AH1685),2)</f>
        <v/>
      </c>
      <c r="AJ1685" s="4" t="n">
        <v>0.15</v>
      </c>
      <c r="AK1685" s="3">
        <f>ROUND(AI1685*AJ1685,2)</f>
        <v/>
      </c>
      <c r="AL1685" s="3">
        <f>AI1685+AK1685</f>
        <v/>
      </c>
      <c r="AM1685" s="3">
        <f>AE1685-AL1685</f>
        <v/>
      </c>
      <c r="AN1685" s="4">
        <f>AM1685/AE1685</f>
        <v/>
      </c>
      <c r="AO1685" s="3" t="inlineStr">
        <is>
          <t>60 mins</t>
        </is>
      </c>
      <c r="AQ1685" s="3" t="inlineStr">
        <is>
          <t>Weight</t>
        </is>
      </c>
      <c r="AT1685" s="3" t="inlineStr">
        <is>
          <t>Active</t>
        </is>
      </c>
    </row>
    <row r="1686" ht="15.75" customHeight="1">
      <c r="A1686" s="3" t="inlineStr">
        <is>
          <t>PROD_0312</t>
        </is>
      </c>
      <c r="B1686" s="3" t="inlineStr">
        <is>
          <t>VAR_15</t>
        </is>
      </c>
      <c r="C1686" s="3" t="inlineStr">
        <is>
          <t>Plumbing</t>
        </is>
      </c>
      <c r="D1686" s="3" t="inlineStr">
        <is>
          <t>Bends &amp; Connectors</t>
        </is>
      </c>
      <c r="E1686" s="3" t="inlineStr">
        <is>
          <t>Astral</t>
        </is>
      </c>
      <c r="F1686" s="3" t="inlineStr">
        <is>
          <t>Reducer Tee (SOC)</t>
        </is>
      </c>
      <c r="H1686" s="3" t="inlineStr">
        <is>
          <t>Size</t>
        </is>
      </c>
      <c r="I1686" s="3" t="inlineStr">
        <is>
          <t>50 mm X 50 mm X 20 mm
(2 inch X 2 inch X .75 inch)</t>
        </is>
      </c>
      <c r="Q1686" s="3" t="inlineStr">
        <is>
          <t>Manufacturer's Warranty</t>
        </is>
      </c>
      <c r="R1686" s="3" t="inlineStr">
        <is>
          <t>M512110225^</t>
        </is>
      </c>
      <c r="Y1686" s="3" t="inlineStr">
        <is>
          <t>PLB_AST_REDTEE</t>
        </is>
      </c>
      <c r="Z1686" s="3" t="n">
        <v>3917</v>
      </c>
      <c r="AE1686" s="3" t="n">
        <v>592</v>
      </c>
      <c r="AF1686" s="4" t="n">
        <v>0.37</v>
      </c>
      <c r="AG1686" s="3">
        <f>ROUND(AE1686-(AE1686*AF1686),2)</f>
        <v/>
      </c>
      <c r="AH1686" s="4" t="n">
        <v>0.18</v>
      </c>
      <c r="AI1686" s="3">
        <f>ROUND(AG1686+(AG1686*AH1686),2)</f>
        <v/>
      </c>
      <c r="AJ1686" s="4" t="n">
        <v>0.15</v>
      </c>
      <c r="AK1686" s="3">
        <f>ROUND(AI1686*AJ1686,2)</f>
        <v/>
      </c>
      <c r="AL1686" s="3">
        <f>AI1686+AK1686</f>
        <v/>
      </c>
      <c r="AM1686" s="3">
        <f>AE1686-AL1686</f>
        <v/>
      </c>
      <c r="AN1686" s="4">
        <f>AM1686/AE1686</f>
        <v/>
      </c>
      <c r="AO1686" s="3" t="inlineStr">
        <is>
          <t>60 mins</t>
        </is>
      </c>
      <c r="AQ1686" s="3" t="inlineStr">
        <is>
          <t>Weight</t>
        </is>
      </c>
      <c r="AT1686" s="3" t="inlineStr">
        <is>
          <t>Active</t>
        </is>
      </c>
    </row>
    <row r="1687" ht="15.75" customHeight="1">
      <c r="A1687" s="3" t="inlineStr">
        <is>
          <t>PROD_0312</t>
        </is>
      </c>
      <c r="B1687" s="3" t="inlineStr">
        <is>
          <t>VAR_16</t>
        </is>
      </c>
      <c r="C1687" s="3" t="inlineStr">
        <is>
          <t>Plumbing</t>
        </is>
      </c>
      <c r="D1687" s="3" t="inlineStr">
        <is>
          <t>Bends &amp; Connectors</t>
        </is>
      </c>
      <c r="E1687" s="3" t="inlineStr">
        <is>
          <t>Astral</t>
        </is>
      </c>
      <c r="F1687" s="3" t="inlineStr">
        <is>
          <t>Reducer Tee (SOC)</t>
        </is>
      </c>
      <c r="H1687" s="3" t="inlineStr">
        <is>
          <t>Size</t>
        </is>
      </c>
      <c r="I1687" s="3" t="inlineStr">
        <is>
          <t>50 mm X 50 mm X 25 mm
(2 inch X 2 inch X 1 inch)</t>
        </is>
      </c>
      <c r="Q1687" s="3" t="inlineStr">
        <is>
          <t>Manufacturer's Warranty</t>
        </is>
      </c>
      <c r="R1687" s="3" t="inlineStr">
        <is>
          <t>M512110226^</t>
        </is>
      </c>
      <c r="Y1687" s="3" t="inlineStr">
        <is>
          <t>PLB_AST_REDTEE</t>
        </is>
      </c>
      <c r="Z1687" s="3" t="n">
        <v>3917</v>
      </c>
      <c r="AE1687" s="3" t="n">
        <v>582</v>
      </c>
      <c r="AF1687" s="4" t="n">
        <v>0.37</v>
      </c>
      <c r="AG1687" s="3">
        <f>ROUND(AE1687-(AE1687*AF1687),2)</f>
        <v/>
      </c>
      <c r="AH1687" s="4" t="n">
        <v>0.18</v>
      </c>
      <c r="AI1687" s="3">
        <f>ROUND(AG1687+(AG1687*AH1687),2)</f>
        <v/>
      </c>
      <c r="AJ1687" s="4" t="n">
        <v>0.15</v>
      </c>
      <c r="AK1687" s="3">
        <f>ROUND(AI1687*AJ1687,2)</f>
        <v/>
      </c>
      <c r="AL1687" s="3">
        <f>AI1687+AK1687</f>
        <v/>
      </c>
      <c r="AM1687" s="3">
        <f>AE1687-AL1687</f>
        <v/>
      </c>
      <c r="AN1687" s="4">
        <f>AM1687/AE1687</f>
        <v/>
      </c>
      <c r="AO1687" s="3" t="inlineStr">
        <is>
          <t>60 mins</t>
        </is>
      </c>
      <c r="AQ1687" s="3" t="inlineStr">
        <is>
          <t>Weight</t>
        </is>
      </c>
      <c r="AT1687" s="3" t="inlineStr">
        <is>
          <t>Active</t>
        </is>
      </c>
    </row>
    <row r="1688" ht="15.75" customHeight="1">
      <c r="A1688" s="3" t="inlineStr">
        <is>
          <t>PROD_0312</t>
        </is>
      </c>
      <c r="B1688" s="3" t="inlineStr">
        <is>
          <t>VAR_17</t>
        </is>
      </c>
      <c r="C1688" s="3" t="inlineStr">
        <is>
          <t>Plumbing</t>
        </is>
      </c>
      <c r="D1688" s="3" t="inlineStr">
        <is>
          <t>Bends &amp; Connectors</t>
        </is>
      </c>
      <c r="E1688" s="3" t="inlineStr">
        <is>
          <t>Astral</t>
        </is>
      </c>
      <c r="F1688" s="3" t="inlineStr">
        <is>
          <t>Reducer Tee (SOC)</t>
        </is>
      </c>
      <c r="H1688" s="3" t="inlineStr">
        <is>
          <t>Size</t>
        </is>
      </c>
      <c r="I1688" s="3" t="inlineStr">
        <is>
          <t>50 mm X 50 mm X 32 mm
(2 inch X 2 inch X 1.25 inch)</t>
        </is>
      </c>
      <c r="Q1688" s="3" t="inlineStr">
        <is>
          <t>Manufacturer's Warranty</t>
        </is>
      </c>
      <c r="R1688" s="3" t="inlineStr">
        <is>
          <t>M512110227^</t>
        </is>
      </c>
      <c r="Y1688" s="3" t="inlineStr">
        <is>
          <t>PLB_AST_REDTEE</t>
        </is>
      </c>
      <c r="Z1688" s="3" t="n">
        <v>3917</v>
      </c>
      <c r="AE1688" s="3" t="n">
        <v>592</v>
      </c>
      <c r="AF1688" s="4" t="n">
        <v>0.37</v>
      </c>
      <c r="AG1688" s="3">
        <f>ROUND(AE1688-(AE1688*AF1688),2)</f>
        <v/>
      </c>
      <c r="AH1688" s="4" t="n">
        <v>0.18</v>
      </c>
      <c r="AI1688" s="3">
        <f>ROUND(AG1688+(AG1688*AH1688),2)</f>
        <v/>
      </c>
      <c r="AJ1688" s="4" t="n">
        <v>0.15</v>
      </c>
      <c r="AK1688" s="3">
        <f>ROUND(AI1688*AJ1688,2)</f>
        <v/>
      </c>
      <c r="AL1688" s="3">
        <f>AI1688+AK1688</f>
        <v/>
      </c>
      <c r="AM1688" s="3">
        <f>AE1688-AL1688</f>
        <v/>
      </c>
      <c r="AN1688" s="4">
        <f>AM1688/AE1688</f>
        <v/>
      </c>
      <c r="AO1688" s="3" t="inlineStr">
        <is>
          <t>60 mins</t>
        </is>
      </c>
      <c r="AQ1688" s="3" t="inlineStr">
        <is>
          <t>Weight</t>
        </is>
      </c>
      <c r="AT1688" s="3" t="inlineStr">
        <is>
          <t>Active</t>
        </is>
      </c>
    </row>
    <row r="1689" ht="15.75" customHeight="1">
      <c r="A1689" s="3" t="inlineStr">
        <is>
          <t>PROD_0312</t>
        </is>
      </c>
      <c r="B1689" s="3" t="inlineStr">
        <is>
          <t>VAR_18</t>
        </is>
      </c>
      <c r="C1689" s="3" t="inlineStr">
        <is>
          <t>Plumbing</t>
        </is>
      </c>
      <c r="D1689" s="3" t="inlineStr">
        <is>
          <t>Bends &amp; Connectors</t>
        </is>
      </c>
      <c r="E1689" s="3" t="inlineStr">
        <is>
          <t>Astral</t>
        </is>
      </c>
      <c r="F1689" s="3" t="inlineStr">
        <is>
          <t>Reducer Tee (SOC)</t>
        </is>
      </c>
      <c r="H1689" s="3" t="inlineStr">
        <is>
          <t>Size</t>
        </is>
      </c>
      <c r="I1689" s="3" t="inlineStr">
        <is>
          <t>50 mm X 50 mm X 40 mm
(2 inch X 2 inch X 1.5 inch)</t>
        </is>
      </c>
      <c r="Q1689" s="3" t="inlineStr">
        <is>
          <t>Manufacturer's Warranty</t>
        </is>
      </c>
      <c r="R1689" s="3" t="inlineStr">
        <is>
          <t>M512110228^</t>
        </is>
      </c>
      <c r="Y1689" s="3" t="inlineStr">
        <is>
          <t>PLB_AST_REDTEE</t>
        </is>
      </c>
      <c r="Z1689" s="3" t="n">
        <v>3917</v>
      </c>
      <c r="AE1689" s="3" t="n">
        <v>592</v>
      </c>
      <c r="AF1689" s="4" t="n">
        <v>0.37</v>
      </c>
      <c r="AG1689" s="3">
        <f>ROUND(AE1689-(AE1689*AF1689),2)</f>
        <v/>
      </c>
      <c r="AH1689" s="4" t="n">
        <v>0.18</v>
      </c>
      <c r="AI1689" s="3">
        <f>ROUND(AG1689+(AG1689*AH1689),2)</f>
        <v/>
      </c>
      <c r="AJ1689" s="4" t="n">
        <v>0.15</v>
      </c>
      <c r="AK1689" s="3">
        <f>ROUND(AI1689*AJ1689,2)</f>
        <v/>
      </c>
      <c r="AL1689" s="3">
        <f>AI1689+AK1689</f>
        <v/>
      </c>
      <c r="AM1689" s="3">
        <f>AE1689-AL1689</f>
        <v/>
      </c>
      <c r="AN1689" s="4">
        <f>AM1689/AE1689</f>
        <v/>
      </c>
      <c r="AO1689" s="3" t="inlineStr">
        <is>
          <t>60 mins</t>
        </is>
      </c>
      <c r="AQ1689" s="3" t="inlineStr">
        <is>
          <t>Weight</t>
        </is>
      </c>
      <c r="AT1689" s="3" t="inlineStr">
        <is>
          <t>Active</t>
        </is>
      </c>
    </row>
    <row r="1690" ht="15.75" customHeight="1">
      <c r="A1690" s="3" t="inlineStr">
        <is>
          <t>PROD_0313</t>
        </is>
      </c>
      <c r="B1690" s="3" t="inlineStr">
        <is>
          <t>VAR_1</t>
        </is>
      </c>
      <c r="C1690" s="3" t="inlineStr">
        <is>
          <t>Plumbing</t>
        </is>
      </c>
      <c r="D1690" s="3" t="inlineStr">
        <is>
          <t>Bends &amp; Connectors</t>
        </is>
      </c>
      <c r="E1690" s="3" t="inlineStr">
        <is>
          <t>Astral</t>
        </is>
      </c>
      <c r="F1690" s="3" t="inlineStr">
        <is>
          <t>Tee (SOC)</t>
        </is>
      </c>
      <c r="H1690" s="3" t="inlineStr">
        <is>
          <t>Diameter</t>
        </is>
      </c>
      <c r="I1690" s="3" t="inlineStr">
        <is>
          <t>15 mm (.5 inch)</t>
        </is>
      </c>
      <c r="Q1690" s="3" t="inlineStr">
        <is>
          <t>Manufacturer's Warranty</t>
        </is>
      </c>
      <c r="R1690" s="3" t="inlineStr">
        <is>
          <t>M512110101^</t>
        </is>
      </c>
      <c r="Y1690" s="3" t="inlineStr">
        <is>
          <t>PLB_AST_TEE</t>
        </is>
      </c>
      <c r="Z1690" s="3" t="n">
        <v>3917</v>
      </c>
      <c r="AE1690" s="3" t="n">
        <v>30</v>
      </c>
      <c r="AF1690" s="4" t="n">
        <v>0.37</v>
      </c>
      <c r="AG1690" s="3">
        <f>ROUND(AE1690-(AE1690*AF1690),2)</f>
        <v/>
      </c>
      <c r="AH1690" s="4" t="n">
        <v>0.18</v>
      </c>
      <c r="AI1690" s="3">
        <f>ROUND(AG1690+(AG1690*AH1690),2)</f>
        <v/>
      </c>
      <c r="AJ1690" s="4" t="n">
        <v>0.15</v>
      </c>
      <c r="AK1690" s="3">
        <f>ROUND(AI1690*AJ1690,2)</f>
        <v/>
      </c>
      <c r="AL1690" s="3">
        <f>AI1690+AK1690</f>
        <v/>
      </c>
      <c r="AM1690" s="3">
        <f>AE1690-AL1690</f>
        <v/>
      </c>
      <c r="AN1690" s="4">
        <f>AM1690/AE1690</f>
        <v/>
      </c>
      <c r="AO1690" s="3" t="inlineStr">
        <is>
          <t>60 mins</t>
        </is>
      </c>
      <c r="AQ1690" s="3" t="inlineStr">
        <is>
          <t>Weight</t>
        </is>
      </c>
      <c r="AT1690" s="3" t="inlineStr">
        <is>
          <t>Active</t>
        </is>
      </c>
    </row>
    <row r="1691" ht="15.75" customHeight="1">
      <c r="A1691" s="3" t="inlineStr">
        <is>
          <t>PROD_0313</t>
        </is>
      </c>
      <c r="B1691" s="3" t="inlineStr">
        <is>
          <t>VAR_2</t>
        </is>
      </c>
      <c r="C1691" s="3" t="inlineStr">
        <is>
          <t>Plumbing</t>
        </is>
      </c>
      <c r="D1691" s="3" t="inlineStr">
        <is>
          <t>Bends &amp; Connectors</t>
        </is>
      </c>
      <c r="E1691" s="3" t="inlineStr">
        <is>
          <t>Astral</t>
        </is>
      </c>
      <c r="F1691" s="3" t="inlineStr">
        <is>
          <t>Tee (SOC)</t>
        </is>
      </c>
      <c r="H1691" s="3" t="inlineStr">
        <is>
          <t>Diameter</t>
        </is>
      </c>
      <c r="I1691" s="3" t="inlineStr">
        <is>
          <t>20 mm (.75 inch)</t>
        </is>
      </c>
      <c r="Q1691" s="3" t="inlineStr">
        <is>
          <t>Manufacturer's Warranty</t>
        </is>
      </c>
      <c r="R1691" s="3" t="inlineStr">
        <is>
          <t>M512110102^</t>
        </is>
      </c>
      <c r="Y1691" s="3" t="inlineStr">
        <is>
          <t>PLB_AST_TEE</t>
        </is>
      </c>
      <c r="Z1691" s="3" t="n">
        <v>3917</v>
      </c>
      <c r="AE1691" s="3" t="n">
        <v>40</v>
      </c>
      <c r="AF1691" s="4" t="n">
        <v>0.37</v>
      </c>
      <c r="AG1691" s="3">
        <f>ROUND(AE1691-(AE1691*AF1691),2)</f>
        <v/>
      </c>
      <c r="AH1691" s="4" t="n">
        <v>0.18</v>
      </c>
      <c r="AI1691" s="3">
        <f>ROUND(AG1691+(AG1691*AH1691),2)</f>
        <v/>
      </c>
      <c r="AJ1691" s="4" t="n">
        <v>0.15</v>
      </c>
      <c r="AK1691" s="3">
        <f>ROUND(AI1691*AJ1691,2)</f>
        <v/>
      </c>
      <c r="AL1691" s="3">
        <f>AI1691+AK1691</f>
        <v/>
      </c>
      <c r="AM1691" s="3">
        <f>AE1691-AL1691</f>
        <v/>
      </c>
      <c r="AN1691" s="4">
        <f>AM1691/AE1691</f>
        <v/>
      </c>
      <c r="AO1691" s="3" t="inlineStr">
        <is>
          <t>60 mins</t>
        </is>
      </c>
      <c r="AQ1691" s="3" t="inlineStr">
        <is>
          <t>Weight</t>
        </is>
      </c>
      <c r="AT1691" s="3" t="inlineStr">
        <is>
          <t>Active</t>
        </is>
      </c>
    </row>
    <row r="1692" ht="15.75" customHeight="1">
      <c r="A1692" s="3" t="inlineStr">
        <is>
          <t>PROD_0313</t>
        </is>
      </c>
      <c r="B1692" s="3" t="inlineStr">
        <is>
          <t>VAR_3</t>
        </is>
      </c>
      <c r="C1692" s="3" t="inlineStr">
        <is>
          <t>Plumbing</t>
        </is>
      </c>
      <c r="D1692" s="3" t="inlineStr">
        <is>
          <t>Bends &amp; Connectors</t>
        </is>
      </c>
      <c r="E1692" s="3" t="inlineStr">
        <is>
          <t>Astral</t>
        </is>
      </c>
      <c r="F1692" s="3" t="inlineStr">
        <is>
          <t>Tee (SOC)</t>
        </is>
      </c>
      <c r="H1692" s="3" t="inlineStr">
        <is>
          <t>Diameter</t>
        </is>
      </c>
      <c r="I1692" s="3" t="inlineStr">
        <is>
          <t>25 mm (1 inch)</t>
        </is>
      </c>
      <c r="Q1692" s="3" t="inlineStr">
        <is>
          <t>Manufacturer's Warranty</t>
        </is>
      </c>
      <c r="R1692" s="3" t="inlineStr">
        <is>
          <t>M512110103^</t>
        </is>
      </c>
      <c r="Y1692" s="3" t="inlineStr">
        <is>
          <t>PLB_AST_TEE</t>
        </is>
      </c>
      <c r="Z1692" s="3" t="n">
        <v>3917</v>
      </c>
      <c r="AE1692" s="3" t="n">
        <v>61</v>
      </c>
      <c r="AF1692" s="4" t="n">
        <v>0.37</v>
      </c>
      <c r="AG1692" s="3">
        <f>ROUND(AE1692-(AE1692*AF1692),2)</f>
        <v/>
      </c>
      <c r="AH1692" s="4" t="n">
        <v>0.18</v>
      </c>
      <c r="AI1692" s="3">
        <f>ROUND(AG1692+(AG1692*AH1692),2)</f>
        <v/>
      </c>
      <c r="AJ1692" s="4" t="n">
        <v>0.15</v>
      </c>
      <c r="AK1692" s="3">
        <f>ROUND(AI1692*AJ1692,2)</f>
        <v/>
      </c>
      <c r="AL1692" s="3">
        <f>AI1692+AK1692</f>
        <v/>
      </c>
      <c r="AM1692" s="3">
        <f>AE1692-AL1692</f>
        <v/>
      </c>
      <c r="AN1692" s="4">
        <f>AM1692/AE1692</f>
        <v/>
      </c>
      <c r="AO1692" s="3" t="inlineStr">
        <is>
          <t>60 mins</t>
        </is>
      </c>
      <c r="AQ1692" s="3" t="inlineStr">
        <is>
          <t>Weight</t>
        </is>
      </c>
      <c r="AT1692" s="3" t="inlineStr">
        <is>
          <t>Active</t>
        </is>
      </c>
    </row>
    <row r="1693" ht="15.75" customHeight="1">
      <c r="A1693" s="3" t="inlineStr">
        <is>
          <t>PROD_0313</t>
        </is>
      </c>
      <c r="B1693" s="3" t="inlineStr">
        <is>
          <t>VAR_4</t>
        </is>
      </c>
      <c r="C1693" s="3" t="inlineStr">
        <is>
          <t>Plumbing</t>
        </is>
      </c>
      <c r="D1693" s="3" t="inlineStr">
        <is>
          <t>Bends &amp; Connectors</t>
        </is>
      </c>
      <c r="E1693" s="3" t="inlineStr">
        <is>
          <t>Astral</t>
        </is>
      </c>
      <c r="F1693" s="3" t="inlineStr">
        <is>
          <t>Tee (SOC)</t>
        </is>
      </c>
      <c r="H1693" s="3" t="inlineStr">
        <is>
          <t>Diameter</t>
        </is>
      </c>
      <c r="I1693" s="3" t="inlineStr">
        <is>
          <t>32 mm (1.25 inch)</t>
        </is>
      </c>
      <c r="Q1693" s="3" t="inlineStr">
        <is>
          <t>Manufacturer's Warranty</t>
        </is>
      </c>
      <c r="R1693" s="3" t="inlineStr">
        <is>
          <t>M512110104^</t>
        </is>
      </c>
      <c r="Y1693" s="3" t="inlineStr">
        <is>
          <t>PLB_AST_TEE</t>
        </is>
      </c>
      <c r="Z1693" s="3" t="n">
        <v>3917</v>
      </c>
      <c r="AE1693" s="3" t="n">
        <v>139</v>
      </c>
      <c r="AF1693" s="4" t="n">
        <v>0.37</v>
      </c>
      <c r="AG1693" s="3">
        <f>ROUND(AE1693-(AE1693*AF1693),2)</f>
        <v/>
      </c>
      <c r="AH1693" s="4" t="n">
        <v>0.18</v>
      </c>
      <c r="AI1693" s="3">
        <f>ROUND(AG1693+(AG1693*AH1693),2)</f>
        <v/>
      </c>
      <c r="AJ1693" s="4" t="n">
        <v>0.15</v>
      </c>
      <c r="AK1693" s="3">
        <f>ROUND(AI1693*AJ1693,2)</f>
        <v/>
      </c>
      <c r="AL1693" s="3">
        <f>AI1693+AK1693</f>
        <v/>
      </c>
      <c r="AM1693" s="3">
        <f>AE1693-AL1693</f>
        <v/>
      </c>
      <c r="AN1693" s="4">
        <f>AM1693/AE1693</f>
        <v/>
      </c>
      <c r="AO1693" s="3" t="inlineStr">
        <is>
          <t>60 mins</t>
        </is>
      </c>
      <c r="AQ1693" s="3" t="inlineStr">
        <is>
          <t>Weight</t>
        </is>
      </c>
      <c r="AT1693" s="3" t="inlineStr">
        <is>
          <t>Active</t>
        </is>
      </c>
    </row>
    <row r="1694" ht="15.75" customHeight="1">
      <c r="A1694" s="3" t="inlineStr">
        <is>
          <t>PROD_0313</t>
        </is>
      </c>
      <c r="B1694" s="3" t="inlineStr">
        <is>
          <t>VAR_5</t>
        </is>
      </c>
      <c r="C1694" s="3" t="inlineStr">
        <is>
          <t>Plumbing</t>
        </is>
      </c>
      <c r="D1694" s="3" t="inlineStr">
        <is>
          <t>Bends &amp; Connectors</t>
        </is>
      </c>
      <c r="E1694" s="3" t="inlineStr">
        <is>
          <t>Astral</t>
        </is>
      </c>
      <c r="F1694" s="3" t="inlineStr">
        <is>
          <t>Tee (SOC)</t>
        </is>
      </c>
      <c r="H1694" s="3" t="inlineStr">
        <is>
          <t>Diameter</t>
        </is>
      </c>
      <c r="I1694" s="3" t="inlineStr">
        <is>
          <t>40 mm (1.5 inch)</t>
        </is>
      </c>
      <c r="Q1694" s="3" t="inlineStr">
        <is>
          <t>Manufacturer's Warranty</t>
        </is>
      </c>
      <c r="R1694" s="3" t="inlineStr">
        <is>
          <t>M512110105^</t>
        </is>
      </c>
      <c r="Y1694" s="3" t="inlineStr">
        <is>
          <t>PLB_AST_TEE</t>
        </is>
      </c>
      <c r="Z1694" s="3" t="n">
        <v>3917</v>
      </c>
      <c r="AE1694" s="3" t="n">
        <v>252</v>
      </c>
      <c r="AF1694" s="4" t="n">
        <v>0.37</v>
      </c>
      <c r="AG1694" s="3">
        <f>ROUND(AE1694-(AE1694*AF1694),2)</f>
        <v/>
      </c>
      <c r="AH1694" s="4" t="n">
        <v>0.18</v>
      </c>
      <c r="AI1694" s="3">
        <f>ROUND(AG1694+(AG1694*AH1694),2)</f>
        <v/>
      </c>
      <c r="AJ1694" s="4" t="n">
        <v>0.15</v>
      </c>
      <c r="AK1694" s="3">
        <f>ROUND(AI1694*AJ1694,2)</f>
        <v/>
      </c>
      <c r="AL1694" s="3">
        <f>AI1694+AK1694</f>
        <v/>
      </c>
      <c r="AM1694" s="3">
        <f>AE1694-AL1694</f>
        <v/>
      </c>
      <c r="AN1694" s="4">
        <f>AM1694/AE1694</f>
        <v/>
      </c>
      <c r="AO1694" s="3" t="inlineStr">
        <is>
          <t>60 mins</t>
        </is>
      </c>
      <c r="AQ1694" s="3" t="inlineStr">
        <is>
          <t>Weight</t>
        </is>
      </c>
      <c r="AT1694" s="3" t="inlineStr">
        <is>
          <t>Active</t>
        </is>
      </c>
    </row>
    <row r="1695" ht="15.75" customHeight="1">
      <c r="A1695" s="3" t="inlineStr">
        <is>
          <t>PROD_0313</t>
        </is>
      </c>
      <c r="B1695" s="3" t="inlineStr">
        <is>
          <t>VAR_6</t>
        </is>
      </c>
      <c r="C1695" s="3" t="inlineStr">
        <is>
          <t>Plumbing</t>
        </is>
      </c>
      <c r="D1695" s="3" t="inlineStr">
        <is>
          <t>Bends &amp; Connectors</t>
        </is>
      </c>
      <c r="E1695" s="3" t="inlineStr">
        <is>
          <t>Astral</t>
        </is>
      </c>
      <c r="F1695" s="3" t="inlineStr">
        <is>
          <t>Tee (SOC)</t>
        </is>
      </c>
      <c r="H1695" s="3" t="inlineStr">
        <is>
          <t>Diameter</t>
        </is>
      </c>
      <c r="I1695" s="3" t="inlineStr">
        <is>
          <t>50 mm (2 inch)</t>
        </is>
      </c>
      <c r="Q1695" s="3" t="inlineStr">
        <is>
          <t>Manufacturer's Warranty</t>
        </is>
      </c>
      <c r="R1695" s="3" t="inlineStr">
        <is>
          <t>M512110106^</t>
        </is>
      </c>
      <c r="Y1695" s="3" t="inlineStr">
        <is>
          <t>PLB_AST_TEE</t>
        </is>
      </c>
      <c r="Z1695" s="3" t="n">
        <v>3917</v>
      </c>
      <c r="AE1695" s="3" t="n">
        <v>527</v>
      </c>
      <c r="AF1695" s="4" t="n">
        <v>0.37</v>
      </c>
      <c r="AG1695" s="3">
        <f>ROUND(AE1695-(AE1695*AF1695),2)</f>
        <v/>
      </c>
      <c r="AH1695" s="4" t="n">
        <v>0.18</v>
      </c>
      <c r="AI1695" s="3">
        <f>ROUND(AG1695+(AG1695*AH1695),2)</f>
        <v/>
      </c>
      <c r="AJ1695" s="4" t="n">
        <v>0.15</v>
      </c>
      <c r="AK1695" s="3">
        <f>ROUND(AI1695*AJ1695,2)</f>
        <v/>
      </c>
      <c r="AL1695" s="3">
        <f>AI1695+AK1695</f>
        <v/>
      </c>
      <c r="AM1695" s="3">
        <f>AE1695-AL1695</f>
        <v/>
      </c>
      <c r="AN1695" s="4">
        <f>AM1695/AE1695</f>
        <v/>
      </c>
      <c r="AO1695" s="3" t="inlineStr">
        <is>
          <t>60 mins</t>
        </is>
      </c>
      <c r="AQ1695" s="3" t="inlineStr">
        <is>
          <t>Weight</t>
        </is>
      </c>
      <c r="AT1695" s="3" t="inlineStr">
        <is>
          <t>Active</t>
        </is>
      </c>
    </row>
    <row r="1696" ht="15.75" customHeight="1">
      <c r="A1696" s="3" t="inlineStr">
        <is>
          <t>PROD_0314</t>
        </is>
      </c>
      <c r="B1696" s="3" t="inlineStr">
        <is>
          <t>VAR_1</t>
        </is>
      </c>
      <c r="C1696" s="3" t="inlineStr">
        <is>
          <t>Plumbing</t>
        </is>
      </c>
      <c r="D1696" s="3" t="inlineStr">
        <is>
          <t>Bends &amp; Connectors</t>
        </is>
      </c>
      <c r="E1696" s="3" t="inlineStr">
        <is>
          <t>Astral</t>
        </is>
      </c>
      <c r="F1696" s="3" t="inlineStr">
        <is>
          <t>Reducer Female Adaptor (THD X SOC)</t>
        </is>
      </c>
      <c r="H1696" s="3" t="inlineStr">
        <is>
          <t>Size</t>
        </is>
      </c>
      <c r="I1696" s="3" t="inlineStr">
        <is>
          <t>20 mm X 15 mm (.75 inch X .5 inch)</t>
        </is>
      </c>
      <c r="Q1696" s="3" t="inlineStr">
        <is>
          <t>Manufacturer's Warranty</t>
        </is>
      </c>
      <c r="R1696" s="3" t="inlineStr">
        <is>
          <t>M512111614^</t>
        </is>
      </c>
      <c r="Y1696" s="3" t="inlineStr">
        <is>
          <t>PLB_AST_FEMADAP</t>
        </is>
      </c>
      <c r="Z1696" s="3" t="n">
        <v>3917</v>
      </c>
      <c r="AE1696" s="3" t="n">
        <v>50</v>
      </c>
      <c r="AF1696" s="4" t="n">
        <v>0.37</v>
      </c>
      <c r="AG1696" s="3">
        <f>ROUND(AE1696-(AE1696*AF1696),2)</f>
        <v/>
      </c>
      <c r="AH1696" s="4" t="n">
        <v>0.18</v>
      </c>
      <c r="AI1696" s="3">
        <f>ROUND(AG1696+(AG1696*AH1696),2)</f>
        <v/>
      </c>
      <c r="AJ1696" s="4" t="n">
        <v>0.15</v>
      </c>
      <c r="AK1696" s="3">
        <f>ROUND(AI1696*AJ1696,2)</f>
        <v/>
      </c>
      <c r="AL1696" s="3">
        <f>AI1696+AK1696</f>
        <v/>
      </c>
      <c r="AM1696" s="3">
        <f>AE1696-AL1696</f>
        <v/>
      </c>
      <c r="AN1696" s="4">
        <f>AM1696/AE1696</f>
        <v/>
      </c>
      <c r="AO1696" s="3" t="inlineStr">
        <is>
          <t>60 mins</t>
        </is>
      </c>
      <c r="AQ1696" s="3" t="inlineStr">
        <is>
          <t>Weight</t>
        </is>
      </c>
      <c r="AT1696" s="3" t="inlineStr">
        <is>
          <t>Active</t>
        </is>
      </c>
    </row>
    <row r="1697" ht="15.75" customHeight="1">
      <c r="A1697" s="3" t="inlineStr">
        <is>
          <t>PROD_0315</t>
        </is>
      </c>
      <c r="B1697" s="3" t="inlineStr">
        <is>
          <t>VAR_1</t>
        </is>
      </c>
      <c r="C1697" s="3" t="inlineStr">
        <is>
          <t>Plumbing</t>
        </is>
      </c>
      <c r="D1697" s="3" t="inlineStr">
        <is>
          <t>Bends &amp; Connectors</t>
        </is>
      </c>
      <c r="E1697" s="3" t="inlineStr">
        <is>
          <t>Astral</t>
        </is>
      </c>
      <c r="F1697" s="3" t="inlineStr">
        <is>
          <t>Brass FPT Elbow (SOC) 90°</t>
        </is>
      </c>
      <c r="H1697" s="3" t="inlineStr">
        <is>
          <t>Size</t>
        </is>
      </c>
      <c r="I1697" s="3" t="inlineStr">
        <is>
          <t>15 mm X 15 mm (.5 inch X .5 inch)</t>
        </is>
      </c>
      <c r="Q1697" s="3" t="inlineStr">
        <is>
          <t>Manufacturer's Warranty</t>
        </is>
      </c>
      <c r="R1697" s="3" t="inlineStr">
        <is>
          <t>M512110701^</t>
        </is>
      </c>
      <c r="Y1697" s="3" t="inlineStr">
        <is>
          <t>PLB_AST_BRSFPTELBW90</t>
        </is>
      </c>
      <c r="Z1697" s="3" t="n">
        <v>3917</v>
      </c>
      <c r="AE1697" s="3" t="n">
        <v>90</v>
      </c>
      <c r="AF1697" s="4" t="n">
        <v>0.37</v>
      </c>
      <c r="AG1697" s="3">
        <f>ROUND(AE1697-(AE1697*AF1697),2)</f>
        <v/>
      </c>
      <c r="AH1697" s="4" t="n">
        <v>0.18</v>
      </c>
      <c r="AI1697" s="3">
        <f>ROUND(AG1697+(AG1697*AH1697),2)</f>
        <v/>
      </c>
      <c r="AJ1697" s="4" t="n">
        <v>0.15</v>
      </c>
      <c r="AK1697" s="3">
        <f>ROUND(AI1697*AJ1697,2)</f>
        <v/>
      </c>
      <c r="AL1697" s="3">
        <f>AI1697+AK1697</f>
        <v/>
      </c>
      <c r="AM1697" s="3">
        <f>AE1697-AL1697</f>
        <v/>
      </c>
      <c r="AN1697" s="4">
        <f>AM1697/AE1697</f>
        <v/>
      </c>
      <c r="AO1697" s="3" t="inlineStr">
        <is>
          <t>60 mins</t>
        </is>
      </c>
      <c r="AQ1697" s="3" t="inlineStr">
        <is>
          <t>Weight</t>
        </is>
      </c>
      <c r="AT1697" s="3" t="inlineStr">
        <is>
          <t>Active</t>
        </is>
      </c>
    </row>
    <row r="1698" ht="15.75" customHeight="1">
      <c r="A1698" s="3" t="inlineStr">
        <is>
          <t>PROD_0315</t>
        </is>
      </c>
      <c r="B1698" s="3" t="inlineStr">
        <is>
          <t>VAR_2</t>
        </is>
      </c>
      <c r="C1698" s="3" t="inlineStr">
        <is>
          <t>Plumbing</t>
        </is>
      </c>
      <c r="D1698" s="3" t="inlineStr">
        <is>
          <t>Bends &amp; Connectors</t>
        </is>
      </c>
      <c r="E1698" s="3" t="inlineStr">
        <is>
          <t>Astral</t>
        </is>
      </c>
      <c r="F1698" s="3" t="inlineStr">
        <is>
          <t>Brass FPT Elbow (SOC) 90°</t>
        </is>
      </c>
      <c r="H1698" s="3" t="inlineStr">
        <is>
          <t>Size</t>
        </is>
      </c>
      <c r="I1698" s="3" t="inlineStr">
        <is>
          <t>20 mm X 15 mm (.75 inch X .5 inch)</t>
        </is>
      </c>
      <c r="Q1698" s="3" t="inlineStr">
        <is>
          <t>Manufacturer's Warranty</t>
        </is>
      </c>
      <c r="R1698" s="3" t="inlineStr">
        <is>
          <t>M512110714^</t>
        </is>
      </c>
      <c r="Y1698" s="3" t="inlineStr">
        <is>
          <t>PLB_AST_BRSFPTELBW90</t>
        </is>
      </c>
      <c r="Z1698" s="3" t="n">
        <v>3917</v>
      </c>
      <c r="AE1698" s="3" t="n">
        <v>94</v>
      </c>
      <c r="AF1698" s="4" t="n">
        <v>0.37</v>
      </c>
      <c r="AG1698" s="3">
        <f>ROUND(AE1698-(AE1698*AF1698),2)</f>
        <v/>
      </c>
      <c r="AH1698" s="4" t="n">
        <v>0.18</v>
      </c>
      <c r="AI1698" s="3">
        <f>ROUND(AG1698+(AG1698*AH1698),2)</f>
        <v/>
      </c>
      <c r="AJ1698" s="4" t="n">
        <v>0.15</v>
      </c>
      <c r="AK1698" s="3">
        <f>ROUND(AI1698*AJ1698,2)</f>
        <v/>
      </c>
      <c r="AL1698" s="3">
        <f>AI1698+AK1698</f>
        <v/>
      </c>
      <c r="AM1698" s="3">
        <f>AE1698-AL1698</f>
        <v/>
      </c>
      <c r="AN1698" s="4">
        <f>AM1698/AE1698</f>
        <v/>
      </c>
      <c r="AO1698" s="3" t="inlineStr">
        <is>
          <t>60 mins</t>
        </is>
      </c>
      <c r="AQ1698" s="3" t="inlineStr">
        <is>
          <t>Weight</t>
        </is>
      </c>
      <c r="AT1698" s="3" t="inlineStr">
        <is>
          <t>Active</t>
        </is>
      </c>
    </row>
    <row r="1699" ht="15.75" customHeight="1">
      <c r="A1699" s="3" t="inlineStr">
        <is>
          <t>PROD_0315</t>
        </is>
      </c>
      <c r="B1699" s="3" t="inlineStr">
        <is>
          <t>VAR_3</t>
        </is>
      </c>
      <c r="C1699" s="3" t="inlineStr">
        <is>
          <t>Plumbing</t>
        </is>
      </c>
      <c r="D1699" s="3" t="inlineStr">
        <is>
          <t>Bends &amp; Connectors</t>
        </is>
      </c>
      <c r="E1699" s="3" t="inlineStr">
        <is>
          <t>Astral</t>
        </is>
      </c>
      <c r="F1699" s="3" t="inlineStr">
        <is>
          <t>Brass FPT Elbow (SOC) 90°</t>
        </is>
      </c>
      <c r="H1699" s="3" t="inlineStr">
        <is>
          <t>Size</t>
        </is>
      </c>
      <c r="I1699" s="3" t="inlineStr">
        <is>
          <t>20 mm X 20 mm (.75 mm X .75 mm)</t>
        </is>
      </c>
      <c r="Q1699" s="3" t="inlineStr">
        <is>
          <t>Manufacturer's Warranty</t>
        </is>
      </c>
      <c r="R1699" s="3" t="inlineStr">
        <is>
          <t>M512110702^</t>
        </is>
      </c>
      <c r="Y1699" s="3" t="inlineStr">
        <is>
          <t>PLB_AST_BRSFPTELBW90</t>
        </is>
      </c>
      <c r="Z1699" s="3" t="n">
        <v>3917</v>
      </c>
      <c r="AE1699" s="3" t="n">
        <v>137</v>
      </c>
      <c r="AF1699" s="4" t="n">
        <v>0.37</v>
      </c>
      <c r="AG1699" s="3">
        <f>ROUND(AE1699-(AE1699*AF1699),2)</f>
        <v/>
      </c>
      <c r="AH1699" s="4" t="n">
        <v>0.18</v>
      </c>
      <c r="AI1699" s="3">
        <f>ROUND(AG1699+(AG1699*AH1699),2)</f>
        <v/>
      </c>
      <c r="AJ1699" s="4" t="n">
        <v>0.15</v>
      </c>
      <c r="AK1699" s="3">
        <f>ROUND(AI1699*AJ1699,2)</f>
        <v/>
      </c>
      <c r="AL1699" s="3">
        <f>AI1699+AK1699</f>
        <v/>
      </c>
      <c r="AM1699" s="3">
        <f>AE1699-AL1699</f>
        <v/>
      </c>
      <c r="AN1699" s="4">
        <f>AM1699/AE1699</f>
        <v/>
      </c>
      <c r="AO1699" s="3" t="inlineStr">
        <is>
          <t>60 mins</t>
        </is>
      </c>
      <c r="AQ1699" s="3" t="inlineStr">
        <is>
          <t>Weight</t>
        </is>
      </c>
      <c r="AT1699" s="3" t="inlineStr">
        <is>
          <t>Active</t>
        </is>
      </c>
    </row>
    <row r="1700" ht="15.75" customHeight="1">
      <c r="A1700" s="3" t="inlineStr">
        <is>
          <t>PROD_0315</t>
        </is>
      </c>
      <c r="B1700" s="3" t="inlineStr">
        <is>
          <t>VAR_4</t>
        </is>
      </c>
      <c r="C1700" s="3" t="inlineStr">
        <is>
          <t>Plumbing</t>
        </is>
      </c>
      <c r="D1700" s="3" t="inlineStr">
        <is>
          <t>Bends &amp; Connectors</t>
        </is>
      </c>
      <c r="E1700" s="3" t="inlineStr">
        <is>
          <t>Astral</t>
        </is>
      </c>
      <c r="F1700" s="3" t="inlineStr">
        <is>
          <t>Brass FPT Elbow (SOC) 90°</t>
        </is>
      </c>
      <c r="H1700" s="3" t="inlineStr">
        <is>
          <t>Size</t>
        </is>
      </c>
      <c r="I1700" s="3" t="inlineStr">
        <is>
          <t>25 mm X 15 mm (1 inch X .5 inch)</t>
        </is>
      </c>
      <c r="Q1700" s="3" t="inlineStr">
        <is>
          <t>Manufacturer's Warranty</t>
        </is>
      </c>
      <c r="R1700" s="3" t="inlineStr">
        <is>
          <t>M512110715^</t>
        </is>
      </c>
      <c r="Y1700" s="3" t="inlineStr">
        <is>
          <t>PLB_AST_BRSFPTELBW90</t>
        </is>
      </c>
      <c r="Z1700" s="3" t="n">
        <v>3917</v>
      </c>
      <c r="AE1700" s="3" t="n">
        <v>168</v>
      </c>
      <c r="AF1700" s="4" t="n">
        <v>0.37</v>
      </c>
      <c r="AG1700" s="3">
        <f>ROUND(AE1700-(AE1700*AF1700),2)</f>
        <v/>
      </c>
      <c r="AH1700" s="4" t="n">
        <v>0.18</v>
      </c>
      <c r="AI1700" s="3">
        <f>ROUND(AG1700+(AG1700*AH1700),2)</f>
        <v/>
      </c>
      <c r="AJ1700" s="4" t="n">
        <v>0.15</v>
      </c>
      <c r="AK1700" s="3">
        <f>ROUND(AI1700*AJ1700,2)</f>
        <v/>
      </c>
      <c r="AL1700" s="3">
        <f>AI1700+AK1700</f>
        <v/>
      </c>
      <c r="AM1700" s="3">
        <f>AE1700-AL1700</f>
        <v/>
      </c>
      <c r="AN1700" s="4">
        <f>AM1700/AE1700</f>
        <v/>
      </c>
      <c r="AO1700" s="3" t="inlineStr">
        <is>
          <t>60 mins</t>
        </is>
      </c>
      <c r="AQ1700" s="3" t="inlineStr">
        <is>
          <t>Weight</t>
        </is>
      </c>
      <c r="AT1700" s="3" t="inlineStr">
        <is>
          <t>Active</t>
        </is>
      </c>
    </row>
    <row r="1701" ht="15.75" customHeight="1">
      <c r="A1701" s="3" t="inlineStr">
        <is>
          <t>PROD_0315</t>
        </is>
      </c>
      <c r="B1701" s="3" t="inlineStr">
        <is>
          <t>VAR_5</t>
        </is>
      </c>
      <c r="C1701" s="3" t="inlineStr">
        <is>
          <t>Plumbing</t>
        </is>
      </c>
      <c r="D1701" s="3" t="inlineStr">
        <is>
          <t>Bends &amp; Connectors</t>
        </is>
      </c>
      <c r="E1701" s="3" t="inlineStr">
        <is>
          <t>Astral</t>
        </is>
      </c>
      <c r="F1701" s="3" t="inlineStr">
        <is>
          <t>Brass FPT Elbow (SOC) 90°</t>
        </is>
      </c>
      <c r="H1701" s="3" t="inlineStr">
        <is>
          <t>Size</t>
        </is>
      </c>
      <c r="I1701" s="3" t="inlineStr">
        <is>
          <t>25 mm X 20 mm (1 inch X .75 inch)</t>
        </is>
      </c>
      <c r="Q1701" s="3" t="inlineStr">
        <is>
          <t>Manufacturer's Warranty</t>
        </is>
      </c>
      <c r="R1701" s="3" t="inlineStr">
        <is>
          <t>M512110716^</t>
        </is>
      </c>
      <c r="Y1701" s="3" t="inlineStr">
        <is>
          <t>PLB_AST_BRSFPTELBW90</t>
        </is>
      </c>
      <c r="Z1701" s="3" t="n">
        <v>3917</v>
      </c>
      <c r="AE1701" s="3" t="n">
        <v>267</v>
      </c>
      <c r="AF1701" s="4" t="n">
        <v>0.37</v>
      </c>
      <c r="AG1701" s="3">
        <f>ROUND(AE1701-(AE1701*AF1701),2)</f>
        <v/>
      </c>
      <c r="AH1701" s="4" t="n">
        <v>0.18</v>
      </c>
      <c r="AI1701" s="3">
        <f>ROUND(AG1701+(AG1701*AH1701),2)</f>
        <v/>
      </c>
      <c r="AJ1701" s="4" t="n">
        <v>0.15</v>
      </c>
      <c r="AK1701" s="3">
        <f>ROUND(AI1701*AJ1701,2)</f>
        <v/>
      </c>
      <c r="AL1701" s="3">
        <f>AI1701+AK1701</f>
        <v/>
      </c>
      <c r="AM1701" s="3">
        <f>AE1701-AL1701</f>
        <v/>
      </c>
      <c r="AN1701" s="4">
        <f>AM1701/AE1701</f>
        <v/>
      </c>
      <c r="AO1701" s="3" t="inlineStr">
        <is>
          <t>60 mins</t>
        </is>
      </c>
      <c r="AQ1701" s="3" t="inlineStr">
        <is>
          <t>Weight</t>
        </is>
      </c>
      <c r="AT1701" s="3" t="inlineStr">
        <is>
          <t>Active</t>
        </is>
      </c>
    </row>
    <row r="1702" ht="15.75" customHeight="1">
      <c r="A1702" s="3" t="inlineStr">
        <is>
          <t>PROD_0315</t>
        </is>
      </c>
      <c r="B1702" s="3" t="inlineStr">
        <is>
          <t>VAR_6</t>
        </is>
      </c>
      <c r="C1702" s="3" t="inlineStr">
        <is>
          <t>Plumbing</t>
        </is>
      </c>
      <c r="D1702" s="3" t="inlineStr">
        <is>
          <t>Bends &amp; Connectors</t>
        </is>
      </c>
      <c r="E1702" s="3" t="inlineStr">
        <is>
          <t>Astral</t>
        </is>
      </c>
      <c r="F1702" s="3" t="inlineStr">
        <is>
          <t>Brass FPT Elbow (SOC) 90°</t>
        </is>
      </c>
      <c r="H1702" s="3" t="inlineStr">
        <is>
          <t>Size</t>
        </is>
      </c>
      <c r="I1702" s="3" t="inlineStr">
        <is>
          <t>25 mm X 25 mm (1 inch X 1 inch)</t>
        </is>
      </c>
      <c r="Q1702" s="3" t="inlineStr">
        <is>
          <t>Manufacturer's Warranty</t>
        </is>
      </c>
      <c r="R1702" s="3" t="inlineStr">
        <is>
          <t>M512110703^</t>
        </is>
      </c>
      <c r="Y1702" s="3" t="inlineStr">
        <is>
          <t>PLB_AST_BRSFPTELBW90</t>
        </is>
      </c>
      <c r="Z1702" s="3" t="n">
        <v>3917</v>
      </c>
      <c r="AE1702" s="3" t="n">
        <v>511</v>
      </c>
      <c r="AF1702" s="4" t="n">
        <v>0.37</v>
      </c>
      <c r="AG1702" s="3">
        <f>ROUND(AE1702-(AE1702*AF1702),2)</f>
        <v/>
      </c>
      <c r="AH1702" s="4" t="n">
        <v>0.18</v>
      </c>
      <c r="AI1702" s="3">
        <f>ROUND(AG1702+(AG1702*AH1702),2)</f>
        <v/>
      </c>
      <c r="AJ1702" s="4" t="n">
        <v>0.15</v>
      </c>
      <c r="AK1702" s="3">
        <f>ROUND(AI1702*AJ1702,2)</f>
        <v/>
      </c>
      <c r="AL1702" s="3">
        <f>AI1702+AK1702</f>
        <v/>
      </c>
      <c r="AM1702" s="3">
        <f>AE1702-AL1702</f>
        <v/>
      </c>
      <c r="AN1702" s="4">
        <f>AM1702/AE1702</f>
        <v/>
      </c>
      <c r="AO1702" s="3" t="inlineStr">
        <is>
          <t>60 mins</t>
        </is>
      </c>
      <c r="AQ1702" s="3" t="inlineStr">
        <is>
          <t>Weight</t>
        </is>
      </c>
      <c r="AT1702" s="3" t="inlineStr">
        <is>
          <t>Active</t>
        </is>
      </c>
    </row>
    <row r="1703" ht="15.75" customHeight="1">
      <c r="A1703" s="3" t="inlineStr">
        <is>
          <t>PROD_0315</t>
        </is>
      </c>
      <c r="B1703" s="3" t="inlineStr">
        <is>
          <t>VAR_7</t>
        </is>
      </c>
      <c r="C1703" s="3" t="inlineStr">
        <is>
          <t>Plumbing</t>
        </is>
      </c>
      <c r="D1703" s="3" t="inlineStr">
        <is>
          <t>Bends &amp; Connectors</t>
        </is>
      </c>
      <c r="E1703" s="3" t="inlineStr">
        <is>
          <t>Astral</t>
        </is>
      </c>
      <c r="F1703" s="3" t="inlineStr">
        <is>
          <t>Brass FPT Elbow (SOC) 90°</t>
        </is>
      </c>
      <c r="H1703" s="3" t="inlineStr">
        <is>
          <t>Size</t>
        </is>
      </c>
      <c r="I1703" s="3" t="inlineStr">
        <is>
          <t>32 mm X 15 mm (1.25 inch X .5 inch)</t>
        </is>
      </c>
      <c r="Q1703" s="3" t="inlineStr">
        <is>
          <t>Manufacturer's Warranty</t>
        </is>
      </c>
      <c r="R1703" s="3" t="inlineStr">
        <is>
          <t>M512110517^</t>
        </is>
      </c>
      <c r="Y1703" s="3" t="inlineStr">
        <is>
          <t>PLB_AST_BRSFPTELBW90</t>
        </is>
      </c>
      <c r="Z1703" s="3" t="n">
        <v>3917</v>
      </c>
      <c r="AE1703" s="3" t="n">
        <v>314</v>
      </c>
      <c r="AF1703" s="4" t="n">
        <v>0.37</v>
      </c>
      <c r="AG1703" s="3">
        <f>ROUND(AE1703-(AE1703*AF1703),2)</f>
        <v/>
      </c>
      <c r="AH1703" s="4" t="n">
        <v>0.18</v>
      </c>
      <c r="AI1703" s="3">
        <f>ROUND(AG1703+(AG1703*AH1703),2)</f>
        <v/>
      </c>
      <c r="AJ1703" s="4" t="n">
        <v>0.15</v>
      </c>
      <c r="AK1703" s="3">
        <f>ROUND(AI1703*AJ1703,2)</f>
        <v/>
      </c>
      <c r="AL1703" s="3">
        <f>AI1703+AK1703</f>
        <v/>
      </c>
      <c r="AM1703" s="3">
        <f>AE1703-AL1703</f>
        <v/>
      </c>
      <c r="AN1703" s="4">
        <f>AM1703/AE1703</f>
        <v/>
      </c>
      <c r="AO1703" s="3" t="inlineStr">
        <is>
          <t>60 mins</t>
        </is>
      </c>
      <c r="AQ1703" s="3" t="inlineStr">
        <is>
          <t>Weight</t>
        </is>
      </c>
      <c r="AT1703" s="3" t="inlineStr">
        <is>
          <t>Active</t>
        </is>
      </c>
    </row>
    <row r="1704" ht="15.75" customHeight="1">
      <c r="A1704" s="3" t="inlineStr">
        <is>
          <t>PROD_0315</t>
        </is>
      </c>
      <c r="B1704" s="3" t="inlineStr">
        <is>
          <t>VAR_8</t>
        </is>
      </c>
      <c r="C1704" s="3" t="inlineStr">
        <is>
          <t>Plumbing</t>
        </is>
      </c>
      <c r="D1704" s="3" t="inlineStr">
        <is>
          <t>Bends &amp; Connectors</t>
        </is>
      </c>
      <c r="E1704" s="3" t="inlineStr">
        <is>
          <t>Astral</t>
        </is>
      </c>
      <c r="F1704" s="3" t="inlineStr">
        <is>
          <t>Brass FPT Elbow (SOC) 90°</t>
        </is>
      </c>
      <c r="H1704" s="3" t="inlineStr">
        <is>
          <t>Size</t>
        </is>
      </c>
      <c r="I1704" s="3" t="inlineStr">
        <is>
          <t>32 mm X 20 mm (1.25 inch X .75 inch)</t>
        </is>
      </c>
      <c r="Q1704" s="3" t="inlineStr">
        <is>
          <t>Manufacturer's Warranty</t>
        </is>
      </c>
      <c r="R1704" s="3" t="inlineStr">
        <is>
          <t>M512110518^</t>
        </is>
      </c>
      <c r="Y1704" s="3" t="inlineStr">
        <is>
          <t>PLB_AST_BRSFPTELBW90</t>
        </is>
      </c>
      <c r="Z1704" s="3" t="n">
        <v>3917</v>
      </c>
      <c r="AE1704" s="3" t="n">
        <v>372</v>
      </c>
      <c r="AF1704" s="4" t="n">
        <v>0.37</v>
      </c>
      <c r="AG1704" s="3">
        <f>ROUND(AE1704-(AE1704*AF1704),2)</f>
        <v/>
      </c>
      <c r="AH1704" s="4" t="n">
        <v>0.18</v>
      </c>
      <c r="AI1704" s="3">
        <f>ROUND(AG1704+(AG1704*AH1704),2)</f>
        <v/>
      </c>
      <c r="AJ1704" s="4" t="n">
        <v>0.15</v>
      </c>
      <c r="AK1704" s="3">
        <f>ROUND(AI1704*AJ1704,2)</f>
        <v/>
      </c>
      <c r="AL1704" s="3">
        <f>AI1704+AK1704</f>
        <v/>
      </c>
      <c r="AM1704" s="3">
        <f>AE1704-AL1704</f>
        <v/>
      </c>
      <c r="AN1704" s="4">
        <f>AM1704/AE1704</f>
        <v/>
      </c>
      <c r="AO1704" s="3" t="inlineStr">
        <is>
          <t>60 mins</t>
        </is>
      </c>
      <c r="AQ1704" s="3" t="inlineStr">
        <is>
          <t>Weight</t>
        </is>
      </c>
      <c r="AT1704" s="3" t="inlineStr">
        <is>
          <t>Active</t>
        </is>
      </c>
    </row>
    <row r="1705" ht="15.75" customHeight="1">
      <c r="A1705" s="3" t="inlineStr">
        <is>
          <t>PROD_0315</t>
        </is>
      </c>
      <c r="B1705" s="3" t="inlineStr">
        <is>
          <t>VAR_9</t>
        </is>
      </c>
      <c r="C1705" s="3" t="inlineStr">
        <is>
          <t>Plumbing</t>
        </is>
      </c>
      <c r="D1705" s="3" t="inlineStr">
        <is>
          <t>Bends &amp; Connectors</t>
        </is>
      </c>
      <c r="E1705" s="3" t="inlineStr">
        <is>
          <t>Astral</t>
        </is>
      </c>
      <c r="F1705" s="3" t="inlineStr">
        <is>
          <t>Brass FPT Elbow (SOC) 90°</t>
        </is>
      </c>
      <c r="H1705" s="3" t="inlineStr">
        <is>
          <t>Size</t>
        </is>
      </c>
      <c r="I1705" s="3" t="inlineStr">
        <is>
          <t>32 mm X 32 mm (1.25 inch X 1.25 inch)</t>
        </is>
      </c>
      <c r="Q1705" s="3" t="inlineStr">
        <is>
          <t>Manufacturer's Warranty</t>
        </is>
      </c>
      <c r="R1705" s="3" t="inlineStr">
        <is>
          <t>M512110704^</t>
        </is>
      </c>
      <c r="Y1705" s="3" t="inlineStr">
        <is>
          <t>PLB_AST_BRSFPTELBW90</t>
        </is>
      </c>
      <c r="Z1705" s="3" t="n">
        <v>3917</v>
      </c>
      <c r="AE1705" s="3" t="n">
        <v>669</v>
      </c>
      <c r="AF1705" s="4" t="n">
        <v>0.37</v>
      </c>
      <c r="AG1705" s="3">
        <f>ROUND(AE1705-(AE1705*AF1705),2)</f>
        <v/>
      </c>
      <c r="AH1705" s="4" t="n">
        <v>0.18</v>
      </c>
      <c r="AI1705" s="3">
        <f>ROUND(AG1705+(AG1705*AH1705),2)</f>
        <v/>
      </c>
      <c r="AJ1705" s="4" t="n">
        <v>0.15</v>
      </c>
      <c r="AK1705" s="3">
        <f>ROUND(AI1705*AJ1705,2)</f>
        <v/>
      </c>
      <c r="AL1705" s="3">
        <f>AI1705+AK1705</f>
        <v/>
      </c>
      <c r="AM1705" s="3">
        <f>AE1705-AL1705</f>
        <v/>
      </c>
      <c r="AN1705" s="4">
        <f>AM1705/AE1705</f>
        <v/>
      </c>
      <c r="AO1705" s="3" t="inlineStr">
        <is>
          <t>60 mins</t>
        </is>
      </c>
      <c r="AQ1705" s="3" t="inlineStr">
        <is>
          <t>Weight</t>
        </is>
      </c>
      <c r="AT1705" s="3" t="inlineStr">
        <is>
          <t>Active</t>
        </is>
      </c>
    </row>
    <row r="1706" ht="15.75" customHeight="1">
      <c r="A1706" s="3" t="inlineStr">
        <is>
          <t>PROD_0316</t>
        </is>
      </c>
      <c r="B1706" s="3" t="inlineStr">
        <is>
          <t>VAR_1</t>
        </is>
      </c>
      <c r="C1706" s="3" t="inlineStr">
        <is>
          <t>Plumbing</t>
        </is>
      </c>
      <c r="D1706" s="3" t="inlineStr">
        <is>
          <t>Bends &amp; Connectors</t>
        </is>
      </c>
      <c r="E1706" s="3" t="inlineStr">
        <is>
          <t>Astral</t>
        </is>
      </c>
      <c r="F1706" s="3" t="inlineStr">
        <is>
          <t>Brass FPT Tee (SOC)</t>
        </is>
      </c>
      <c r="H1706" s="3" t="inlineStr">
        <is>
          <t>Size</t>
        </is>
      </c>
      <c r="I1706" s="3" t="inlineStr">
        <is>
          <t>15 mm X 15 mm X 15 mm
(.5 inch X .5 inch X .5 inch)</t>
        </is>
      </c>
      <c r="Q1706" s="3" t="inlineStr">
        <is>
          <t>Manufacturer's Warranty</t>
        </is>
      </c>
      <c r="R1706" s="3" t="inlineStr">
        <is>
          <t>M512110301^</t>
        </is>
      </c>
      <c r="Y1706" s="3" t="inlineStr">
        <is>
          <t>PLB_AST_BRSFPTEE</t>
        </is>
      </c>
      <c r="Z1706" s="3" t="n">
        <v>3917</v>
      </c>
      <c r="AE1706" s="3" t="n">
        <v>114</v>
      </c>
      <c r="AF1706" s="4" t="n">
        <v>0.37</v>
      </c>
      <c r="AG1706" s="3">
        <f>ROUND(AE1706-(AE1706*AF1706),2)</f>
        <v/>
      </c>
      <c r="AH1706" s="4" t="n">
        <v>0.18</v>
      </c>
      <c r="AI1706" s="3">
        <f>ROUND(AG1706+(AG1706*AH1706),2)</f>
        <v/>
      </c>
      <c r="AJ1706" s="4" t="n">
        <v>0.15</v>
      </c>
      <c r="AK1706" s="3">
        <f>ROUND(AI1706*AJ1706,2)</f>
        <v/>
      </c>
      <c r="AL1706" s="3">
        <f>AI1706+AK1706</f>
        <v/>
      </c>
      <c r="AM1706" s="3">
        <f>AE1706-AL1706</f>
        <v/>
      </c>
      <c r="AN1706" s="4">
        <f>AM1706/AE1706</f>
        <v/>
      </c>
      <c r="AO1706" s="3" t="inlineStr">
        <is>
          <t>60 mins</t>
        </is>
      </c>
      <c r="AQ1706" s="3" t="inlineStr">
        <is>
          <t>Weight</t>
        </is>
      </c>
      <c r="AT1706" s="3" t="inlineStr">
        <is>
          <t>Active</t>
        </is>
      </c>
    </row>
    <row r="1707" ht="15.75" customHeight="1">
      <c r="A1707" s="3" t="inlineStr">
        <is>
          <t>PROD_0316</t>
        </is>
      </c>
      <c r="B1707" s="3" t="inlineStr">
        <is>
          <t>VAR_2</t>
        </is>
      </c>
      <c r="C1707" s="3" t="inlineStr">
        <is>
          <t>Plumbing</t>
        </is>
      </c>
      <c r="D1707" s="3" t="inlineStr">
        <is>
          <t>Bends &amp; Connectors</t>
        </is>
      </c>
      <c r="E1707" s="3" t="inlineStr">
        <is>
          <t>Astral</t>
        </is>
      </c>
      <c r="F1707" s="3" t="inlineStr">
        <is>
          <t>Brass FPT Tee (SOC)</t>
        </is>
      </c>
      <c r="H1707" s="3" t="inlineStr">
        <is>
          <t>Size</t>
        </is>
      </c>
      <c r="I1707" s="3" t="inlineStr">
        <is>
          <t>20 mm X 20 mm X 15 mm
(.75 inch X .75 inch X .5 inch)</t>
        </is>
      </c>
      <c r="Q1707" s="3" t="inlineStr">
        <is>
          <t>Manufacturer's Warranty</t>
        </is>
      </c>
      <c r="R1707" s="3" t="inlineStr">
        <is>
          <t>M512110314^</t>
        </is>
      </c>
      <c r="Y1707" s="3" t="inlineStr">
        <is>
          <t>PLB_AST_BRSFPTEE</t>
        </is>
      </c>
      <c r="Z1707" s="3" t="n">
        <v>3917</v>
      </c>
      <c r="AE1707" s="3" t="n">
        <v>110</v>
      </c>
      <c r="AF1707" s="4" t="n">
        <v>0.37</v>
      </c>
      <c r="AG1707" s="3">
        <f>ROUND(AE1707-(AE1707*AF1707),2)</f>
        <v/>
      </c>
      <c r="AH1707" s="4" t="n">
        <v>0.18</v>
      </c>
      <c r="AI1707" s="3">
        <f>ROUND(AG1707+(AG1707*AH1707),2)</f>
        <v/>
      </c>
      <c r="AJ1707" s="4" t="n">
        <v>0.15</v>
      </c>
      <c r="AK1707" s="3">
        <f>ROUND(AI1707*AJ1707,2)</f>
        <v/>
      </c>
      <c r="AL1707" s="3">
        <f>AI1707+AK1707</f>
        <v/>
      </c>
      <c r="AM1707" s="3">
        <f>AE1707-AL1707</f>
        <v/>
      </c>
      <c r="AN1707" s="4">
        <f>AM1707/AE1707</f>
        <v/>
      </c>
      <c r="AO1707" s="3" t="inlineStr">
        <is>
          <t>60 mins</t>
        </is>
      </c>
      <c r="AQ1707" s="3" t="inlineStr">
        <is>
          <t>Weight</t>
        </is>
      </c>
      <c r="AT1707" s="3" t="inlineStr">
        <is>
          <t>Active</t>
        </is>
      </c>
    </row>
    <row r="1708" ht="15.75" customHeight="1">
      <c r="A1708" s="3" t="inlineStr">
        <is>
          <t>PROD_0316</t>
        </is>
      </c>
      <c r="B1708" s="3" t="inlineStr">
        <is>
          <t>VAR_3</t>
        </is>
      </c>
      <c r="C1708" s="3" t="inlineStr">
        <is>
          <t>Plumbing</t>
        </is>
      </c>
      <c r="D1708" s="3" t="inlineStr">
        <is>
          <t>Bends &amp; Connectors</t>
        </is>
      </c>
      <c r="E1708" s="3" t="inlineStr">
        <is>
          <t>Astral</t>
        </is>
      </c>
      <c r="F1708" s="3" t="inlineStr">
        <is>
          <t>Brass FPT Tee (SOC)</t>
        </is>
      </c>
      <c r="H1708" s="3" t="inlineStr">
        <is>
          <t>Size</t>
        </is>
      </c>
      <c r="I1708" s="3" t="inlineStr">
        <is>
          <t>20 mm X 20 mm X 20 mm
(.75 inch X .75 inch X .75 inch)</t>
        </is>
      </c>
      <c r="Q1708" s="3" t="inlineStr">
        <is>
          <t>Manufacturer's Warranty</t>
        </is>
      </c>
      <c r="R1708" s="3" t="inlineStr">
        <is>
          <t>M512110302^</t>
        </is>
      </c>
      <c r="Y1708" s="3" t="inlineStr">
        <is>
          <t>PLB_AST_BRSFPTEE</t>
        </is>
      </c>
      <c r="Z1708" s="3" t="n">
        <v>3917</v>
      </c>
      <c r="AE1708" s="3" t="n">
        <v>168</v>
      </c>
      <c r="AF1708" s="4" t="n">
        <v>0.37</v>
      </c>
      <c r="AG1708" s="3">
        <f>ROUND(AE1708-(AE1708*AF1708),2)</f>
        <v/>
      </c>
      <c r="AH1708" s="4" t="n">
        <v>0.18</v>
      </c>
      <c r="AI1708" s="3">
        <f>ROUND(AG1708+(AG1708*AH1708),2)</f>
        <v/>
      </c>
      <c r="AJ1708" s="4" t="n">
        <v>0.15</v>
      </c>
      <c r="AK1708" s="3">
        <f>ROUND(AI1708*AJ1708,2)</f>
        <v/>
      </c>
      <c r="AL1708" s="3">
        <f>AI1708+AK1708</f>
        <v/>
      </c>
      <c r="AM1708" s="3">
        <f>AE1708-AL1708</f>
        <v/>
      </c>
      <c r="AN1708" s="4">
        <f>AM1708/AE1708</f>
        <v/>
      </c>
      <c r="AO1708" s="3" t="inlineStr">
        <is>
          <t>60 mins</t>
        </is>
      </c>
      <c r="AQ1708" s="3" t="inlineStr">
        <is>
          <t>Weight</t>
        </is>
      </c>
      <c r="AT1708" s="3" t="inlineStr">
        <is>
          <t>Active</t>
        </is>
      </c>
    </row>
    <row r="1709" ht="15.75" customHeight="1">
      <c r="A1709" s="3" t="inlineStr">
        <is>
          <t>PROD_0316</t>
        </is>
      </c>
      <c r="B1709" s="3" t="inlineStr">
        <is>
          <t>VAR_4</t>
        </is>
      </c>
      <c r="C1709" s="3" t="inlineStr">
        <is>
          <t>Plumbing</t>
        </is>
      </c>
      <c r="D1709" s="3" t="inlineStr">
        <is>
          <t>Bends &amp; Connectors</t>
        </is>
      </c>
      <c r="E1709" s="3" t="inlineStr">
        <is>
          <t>Astral</t>
        </is>
      </c>
      <c r="F1709" s="3" t="inlineStr">
        <is>
          <t>Brass FPT Tee (SOC)</t>
        </is>
      </c>
      <c r="H1709" s="3" t="inlineStr">
        <is>
          <t>Size</t>
        </is>
      </c>
      <c r="I1709" s="3" t="inlineStr">
        <is>
          <t>25 mm X 25 mm X 15 mm
(1 inch X 1 inch X .5 inch)</t>
        </is>
      </c>
      <c r="Q1709" s="3" t="inlineStr">
        <is>
          <t>Manufacturer's Warranty</t>
        </is>
      </c>
      <c r="R1709" s="3" t="inlineStr">
        <is>
          <t>M512110315^</t>
        </is>
      </c>
      <c r="Y1709" s="3" t="inlineStr">
        <is>
          <t>PLB_AST_BRSFPTEE</t>
        </is>
      </c>
      <c r="Z1709" s="3" t="n">
        <v>3917</v>
      </c>
      <c r="AE1709" s="3" t="n">
        <v>197</v>
      </c>
      <c r="AF1709" s="4" t="n">
        <v>0.37</v>
      </c>
      <c r="AG1709" s="3">
        <f>ROUND(AE1709-(AE1709*AF1709),2)</f>
        <v/>
      </c>
      <c r="AH1709" s="4" t="n">
        <v>0.18</v>
      </c>
      <c r="AI1709" s="3">
        <f>ROUND(AG1709+(AG1709*AH1709),2)</f>
        <v/>
      </c>
      <c r="AJ1709" s="4" t="n">
        <v>0.15</v>
      </c>
      <c r="AK1709" s="3">
        <f>ROUND(AI1709*AJ1709,2)</f>
        <v/>
      </c>
      <c r="AL1709" s="3">
        <f>AI1709+AK1709</f>
        <v/>
      </c>
      <c r="AM1709" s="3">
        <f>AE1709-AL1709</f>
        <v/>
      </c>
      <c r="AN1709" s="4">
        <f>AM1709/AE1709</f>
        <v/>
      </c>
      <c r="AO1709" s="3" t="inlineStr">
        <is>
          <t>60 mins</t>
        </is>
      </c>
      <c r="AQ1709" s="3" t="inlineStr">
        <is>
          <t>Weight</t>
        </is>
      </c>
      <c r="AT1709" s="3" t="inlineStr">
        <is>
          <t>Active</t>
        </is>
      </c>
    </row>
    <row r="1710" ht="15.75" customHeight="1">
      <c r="A1710" s="3" t="inlineStr">
        <is>
          <t>PROD_0316</t>
        </is>
      </c>
      <c r="B1710" s="3" t="inlineStr">
        <is>
          <t>VAR_5</t>
        </is>
      </c>
      <c r="C1710" s="3" t="inlineStr">
        <is>
          <t>Plumbing</t>
        </is>
      </c>
      <c r="D1710" s="3" t="inlineStr">
        <is>
          <t>Bends &amp; Connectors</t>
        </is>
      </c>
      <c r="E1710" s="3" t="inlineStr">
        <is>
          <t>Astral</t>
        </is>
      </c>
      <c r="F1710" s="3" t="inlineStr">
        <is>
          <t>Brass FPT Tee (SOC)</t>
        </is>
      </c>
      <c r="H1710" s="3" t="inlineStr">
        <is>
          <t>Size</t>
        </is>
      </c>
      <c r="I1710" s="3" t="inlineStr">
        <is>
          <t>25 mm X 25 mm X 20 mm
(1 inch X 1 inch X .75 inch)</t>
        </is>
      </c>
      <c r="Q1710" s="3" t="inlineStr">
        <is>
          <t>Manufacturer's Warranty</t>
        </is>
      </c>
      <c r="R1710" s="3" t="inlineStr">
        <is>
          <t>M512110316^</t>
        </is>
      </c>
      <c r="Y1710" s="3" t="inlineStr">
        <is>
          <t>PLB_AST_BRSFPTEE</t>
        </is>
      </c>
      <c r="Z1710" s="3" t="n">
        <v>3917</v>
      </c>
      <c r="AE1710" s="3" t="n">
        <v>290</v>
      </c>
      <c r="AF1710" s="4" t="n">
        <v>0.37</v>
      </c>
      <c r="AG1710" s="3">
        <f>ROUND(AE1710-(AE1710*AF1710),2)</f>
        <v/>
      </c>
      <c r="AH1710" s="4" t="n">
        <v>0.18</v>
      </c>
      <c r="AI1710" s="3">
        <f>ROUND(AG1710+(AG1710*AH1710),2)</f>
        <v/>
      </c>
      <c r="AJ1710" s="4" t="n">
        <v>0.15</v>
      </c>
      <c r="AK1710" s="3">
        <f>ROUND(AI1710*AJ1710,2)</f>
        <v/>
      </c>
      <c r="AL1710" s="3">
        <f>AI1710+AK1710</f>
        <v/>
      </c>
      <c r="AM1710" s="3">
        <f>AE1710-AL1710</f>
        <v/>
      </c>
      <c r="AN1710" s="4">
        <f>AM1710/AE1710</f>
        <v/>
      </c>
      <c r="AO1710" s="3" t="inlineStr">
        <is>
          <t>60 mins</t>
        </is>
      </c>
      <c r="AQ1710" s="3" t="inlineStr">
        <is>
          <t>Weight</t>
        </is>
      </c>
      <c r="AT1710" s="3" t="inlineStr">
        <is>
          <t>Active</t>
        </is>
      </c>
    </row>
    <row r="1711" ht="15.75" customHeight="1">
      <c r="A1711" s="3" t="inlineStr">
        <is>
          <t>PROD_0316</t>
        </is>
      </c>
      <c r="B1711" s="3" t="inlineStr">
        <is>
          <t>VAR_6</t>
        </is>
      </c>
      <c r="C1711" s="3" t="inlineStr">
        <is>
          <t>Plumbing</t>
        </is>
      </c>
      <c r="D1711" s="3" t="inlineStr">
        <is>
          <t>Bends &amp; Connectors</t>
        </is>
      </c>
      <c r="E1711" s="3" t="inlineStr">
        <is>
          <t>Astral</t>
        </is>
      </c>
      <c r="F1711" s="3" t="inlineStr">
        <is>
          <t>Brass FPT Tee (SOC)</t>
        </is>
      </c>
      <c r="H1711" s="3" t="inlineStr">
        <is>
          <t>Size</t>
        </is>
      </c>
      <c r="I1711" s="3" t="inlineStr">
        <is>
          <t>25 mm X 25 mm X 20 mm
(1 inch X 1 inch X 1 inch)</t>
        </is>
      </c>
      <c r="Q1711" s="3" t="inlineStr">
        <is>
          <t>Manufacturer's Warranty</t>
        </is>
      </c>
      <c r="R1711" s="3" t="inlineStr">
        <is>
          <t>M512110303^</t>
        </is>
      </c>
      <c r="Y1711" s="3" t="inlineStr">
        <is>
          <t>PLB_AST_BRSFPTEE</t>
        </is>
      </c>
      <c r="Z1711" s="3" t="n">
        <v>3917</v>
      </c>
      <c r="AE1711" s="3" t="n">
        <v>319</v>
      </c>
      <c r="AF1711" s="4" t="n">
        <v>0.37</v>
      </c>
      <c r="AG1711" s="3">
        <f>ROUND(AE1711-(AE1711*AF1711),2)</f>
        <v/>
      </c>
      <c r="AH1711" s="4" t="n">
        <v>0.18</v>
      </c>
      <c r="AI1711" s="3">
        <f>ROUND(AG1711+(AG1711*AH1711),2)</f>
        <v/>
      </c>
      <c r="AJ1711" s="4" t="n">
        <v>0.15</v>
      </c>
      <c r="AK1711" s="3">
        <f>ROUND(AI1711*AJ1711,2)</f>
        <v/>
      </c>
      <c r="AL1711" s="3">
        <f>AI1711+AK1711</f>
        <v/>
      </c>
      <c r="AM1711" s="3">
        <f>AE1711-AL1711</f>
        <v/>
      </c>
      <c r="AN1711" s="4">
        <f>AM1711/AE1711</f>
        <v/>
      </c>
      <c r="AO1711" s="3" t="inlineStr">
        <is>
          <t>60 mins</t>
        </is>
      </c>
      <c r="AQ1711" s="3" t="inlineStr">
        <is>
          <t>Weight</t>
        </is>
      </c>
      <c r="AT1711" s="3" t="inlineStr">
        <is>
          <t>Active</t>
        </is>
      </c>
    </row>
    <row r="1712" ht="15.75" customHeight="1">
      <c r="A1712" s="3" t="inlineStr">
        <is>
          <t>PROD_0316</t>
        </is>
      </c>
      <c r="B1712" s="3" t="inlineStr">
        <is>
          <t>VAR_7</t>
        </is>
      </c>
      <c r="C1712" s="3" t="inlineStr">
        <is>
          <t>Plumbing</t>
        </is>
      </c>
      <c r="D1712" s="3" t="inlineStr">
        <is>
          <t>Bends &amp; Connectors</t>
        </is>
      </c>
      <c r="E1712" s="3" t="inlineStr">
        <is>
          <t>Astral</t>
        </is>
      </c>
      <c r="F1712" s="3" t="inlineStr">
        <is>
          <t>Brass FPT Tee (SOC)</t>
        </is>
      </c>
      <c r="H1712" s="3" t="inlineStr">
        <is>
          <t>Size</t>
        </is>
      </c>
      <c r="I1712" s="3" t="inlineStr">
        <is>
          <t>32 mm X 32 mm X 15 mm
(1.25 inch X 1.25 inch X .5 inch)</t>
        </is>
      </c>
      <c r="Q1712" s="3" t="inlineStr">
        <is>
          <t>Manufacturer's Warranty</t>
        </is>
      </c>
      <c r="R1712" s="3" t="inlineStr">
        <is>
          <t>M512110304^</t>
        </is>
      </c>
      <c r="Y1712" s="3" t="inlineStr">
        <is>
          <t>PLB_AST_BRSFPTEE</t>
        </is>
      </c>
      <c r="Z1712" s="3" t="n">
        <v>3917</v>
      </c>
      <c r="AE1712" s="3" t="n">
        <v>368</v>
      </c>
      <c r="AF1712" s="4" t="n">
        <v>0.37</v>
      </c>
      <c r="AG1712" s="3">
        <f>ROUND(AE1712-(AE1712*AF1712),2)</f>
        <v/>
      </c>
      <c r="AH1712" s="4" t="n">
        <v>0.18</v>
      </c>
      <c r="AI1712" s="3">
        <f>ROUND(AG1712+(AG1712*AH1712),2)</f>
        <v/>
      </c>
      <c r="AJ1712" s="4" t="n">
        <v>0.15</v>
      </c>
      <c r="AK1712" s="3">
        <f>ROUND(AI1712*AJ1712,2)</f>
        <v/>
      </c>
      <c r="AL1712" s="3">
        <f>AI1712+AK1712</f>
        <v/>
      </c>
      <c r="AM1712" s="3">
        <f>AE1712-AL1712</f>
        <v/>
      </c>
      <c r="AN1712" s="4">
        <f>AM1712/AE1712</f>
        <v/>
      </c>
      <c r="AO1712" s="3" t="inlineStr">
        <is>
          <t>60 mins</t>
        </is>
      </c>
      <c r="AQ1712" s="3" t="inlineStr">
        <is>
          <t>Weight</t>
        </is>
      </c>
      <c r="AT1712" s="3" t="inlineStr">
        <is>
          <t>Active</t>
        </is>
      </c>
    </row>
    <row r="1713" ht="15.75" customHeight="1">
      <c r="A1713" s="3" t="inlineStr">
        <is>
          <t>PROD_0316</t>
        </is>
      </c>
      <c r="B1713" s="3" t="inlineStr">
        <is>
          <t>VAR_8</t>
        </is>
      </c>
      <c r="C1713" s="3" t="inlineStr">
        <is>
          <t>Plumbing</t>
        </is>
      </c>
      <c r="D1713" s="3" t="inlineStr">
        <is>
          <t>Bends &amp; Connectors</t>
        </is>
      </c>
      <c r="E1713" s="3" t="inlineStr">
        <is>
          <t>Astral</t>
        </is>
      </c>
      <c r="F1713" s="3" t="inlineStr">
        <is>
          <t>Brass FPT Tee (SOC)</t>
        </is>
      </c>
      <c r="H1713" s="3" t="inlineStr">
        <is>
          <t>Size</t>
        </is>
      </c>
      <c r="I1713" s="3" t="inlineStr">
        <is>
          <t>32 mm X 32 mm X 32 mm
(1.25 inch X 1.25 inch X 1.25 inch)</t>
        </is>
      </c>
      <c r="Q1713" s="3" t="inlineStr">
        <is>
          <t>Manufacturer's Warranty</t>
        </is>
      </c>
      <c r="R1713" s="3" t="inlineStr">
        <is>
          <t>M512110317^</t>
        </is>
      </c>
      <c r="Y1713" s="3" t="inlineStr">
        <is>
          <t>PLB_AST_BRSFPTEE</t>
        </is>
      </c>
      <c r="Z1713" s="3" t="n">
        <v>3917</v>
      </c>
      <c r="AE1713" s="3" t="n">
        <v>344</v>
      </c>
      <c r="AF1713" s="4" t="n">
        <v>0.37</v>
      </c>
      <c r="AG1713" s="3">
        <f>ROUND(AE1713-(AE1713*AF1713),2)</f>
        <v/>
      </c>
      <c r="AH1713" s="4" t="n">
        <v>0.18</v>
      </c>
      <c r="AI1713" s="3">
        <f>ROUND(AG1713+(AG1713*AH1713),2)</f>
        <v/>
      </c>
      <c r="AJ1713" s="4" t="n">
        <v>0.15</v>
      </c>
      <c r="AK1713" s="3">
        <f>ROUND(AI1713*AJ1713,2)</f>
        <v/>
      </c>
      <c r="AL1713" s="3">
        <f>AI1713+AK1713</f>
        <v/>
      </c>
      <c r="AM1713" s="3">
        <f>AE1713-AL1713</f>
        <v/>
      </c>
      <c r="AN1713" s="4">
        <f>AM1713/AE1713</f>
        <v/>
      </c>
      <c r="AO1713" s="3" t="inlineStr">
        <is>
          <t>60 mins</t>
        </is>
      </c>
      <c r="AQ1713" s="3" t="inlineStr">
        <is>
          <t>Weight</t>
        </is>
      </c>
      <c r="AT1713" s="3" t="inlineStr">
        <is>
          <t>Active</t>
        </is>
      </c>
    </row>
    <row r="1714" ht="15.75" customHeight="1">
      <c r="A1714" s="3" t="inlineStr">
        <is>
          <t>PROD_0317</t>
        </is>
      </c>
      <c r="B1714" s="3" t="inlineStr">
        <is>
          <t>VAR_1</t>
        </is>
      </c>
      <c r="C1714" s="3" t="inlineStr">
        <is>
          <t>Plumbing</t>
        </is>
      </c>
      <c r="D1714" s="3" t="inlineStr">
        <is>
          <t>Bends &amp; Connectors</t>
        </is>
      </c>
      <c r="E1714" s="3" t="inlineStr">
        <is>
          <t>Astral</t>
        </is>
      </c>
      <c r="F1714" s="3" t="inlineStr">
        <is>
          <t>End Plug Threaded</t>
        </is>
      </c>
      <c r="H1714" s="3" t="inlineStr">
        <is>
          <t>Diameter</t>
        </is>
      </c>
      <c r="I1714" s="3" t="inlineStr">
        <is>
          <t>15 mm (.5 inch)</t>
        </is>
      </c>
      <c r="Q1714" s="3" t="inlineStr">
        <is>
          <t>Manufacturer's Warranty</t>
        </is>
      </c>
      <c r="R1714" s="3" t="inlineStr">
        <is>
          <t>M214002901</t>
        </is>
      </c>
      <c r="Y1714" s="3" t="inlineStr">
        <is>
          <t>PLB_AST_NDPLGTHRD</t>
        </is>
      </c>
      <c r="Z1714" s="3" t="n">
        <v>3917</v>
      </c>
      <c r="AE1714" s="3" t="n">
        <v>14</v>
      </c>
      <c r="AF1714" s="4" t="n">
        <v>0.37</v>
      </c>
      <c r="AG1714" s="3">
        <f>ROUND(AE1714-(AE1714*AF1714),2)</f>
        <v/>
      </c>
      <c r="AH1714" s="4" t="n">
        <v>0.18</v>
      </c>
      <c r="AI1714" s="3">
        <f>ROUND(AG1714+(AG1714*AH1714),2)</f>
        <v/>
      </c>
      <c r="AJ1714" s="4" t="n">
        <v>0.15</v>
      </c>
      <c r="AK1714" s="3">
        <f>ROUND(AI1714*AJ1714,2)</f>
        <v/>
      </c>
      <c r="AL1714" s="3">
        <f>AI1714+AK1714</f>
        <v/>
      </c>
      <c r="AM1714" s="3">
        <f>AE1714-AL1714</f>
        <v/>
      </c>
      <c r="AN1714" s="4">
        <f>AM1714/AE1714</f>
        <v/>
      </c>
      <c r="AO1714" s="3" t="inlineStr">
        <is>
          <t>60 mins</t>
        </is>
      </c>
      <c r="AQ1714" s="3" t="inlineStr">
        <is>
          <t>Weight</t>
        </is>
      </c>
      <c r="AT1714" s="3" t="inlineStr">
        <is>
          <t>Active</t>
        </is>
      </c>
    </row>
    <row r="1715" ht="15.75" customHeight="1">
      <c r="A1715" s="3" t="inlineStr">
        <is>
          <t>PROD_0317</t>
        </is>
      </c>
      <c r="B1715" s="3" t="inlineStr">
        <is>
          <t>VAR_2</t>
        </is>
      </c>
      <c r="C1715" s="3" t="inlineStr">
        <is>
          <t>Plumbing</t>
        </is>
      </c>
      <c r="D1715" s="3" t="inlineStr">
        <is>
          <t>Bends &amp; Connectors</t>
        </is>
      </c>
      <c r="E1715" s="3" t="inlineStr">
        <is>
          <t>Astral</t>
        </is>
      </c>
      <c r="F1715" s="3" t="inlineStr">
        <is>
          <t>End Plug Threaded</t>
        </is>
      </c>
      <c r="H1715" s="3" t="inlineStr">
        <is>
          <t>Diameter</t>
        </is>
      </c>
      <c r="I1715" s="3" t="inlineStr">
        <is>
          <t>20 mm (.75 inch)</t>
        </is>
      </c>
      <c r="Q1715" s="3" t="inlineStr">
        <is>
          <t>Manufacturer's Warranty</t>
        </is>
      </c>
      <c r="R1715" s="3" t="inlineStr">
        <is>
          <t>M214002902</t>
        </is>
      </c>
      <c r="Y1715" s="3" t="inlineStr">
        <is>
          <t>PLB_AST_NDPLGTHRD</t>
        </is>
      </c>
      <c r="Z1715" s="3" t="n">
        <v>3917</v>
      </c>
      <c r="AE1715" s="3" t="n">
        <v>19</v>
      </c>
      <c r="AF1715" s="4" t="n">
        <v>0.37</v>
      </c>
      <c r="AG1715" s="3">
        <f>ROUND(AE1715-(AE1715*AF1715),2)</f>
        <v/>
      </c>
      <c r="AH1715" s="4" t="n">
        <v>0.18</v>
      </c>
      <c r="AI1715" s="3">
        <f>ROUND(AG1715+(AG1715*AH1715),2)</f>
        <v/>
      </c>
      <c r="AJ1715" s="4" t="n">
        <v>0.15</v>
      </c>
      <c r="AK1715" s="3">
        <f>ROUND(AI1715*AJ1715,2)</f>
        <v/>
      </c>
      <c r="AL1715" s="3">
        <f>AI1715+AK1715</f>
        <v/>
      </c>
      <c r="AM1715" s="3">
        <f>AE1715-AL1715</f>
        <v/>
      </c>
      <c r="AN1715" s="4">
        <f>AM1715/AE1715</f>
        <v/>
      </c>
      <c r="AO1715" s="3" t="inlineStr">
        <is>
          <t>60 mins</t>
        </is>
      </c>
      <c r="AQ1715" s="3" t="inlineStr">
        <is>
          <t>Weight</t>
        </is>
      </c>
      <c r="AT1715" s="3" t="inlineStr">
        <is>
          <t>Active</t>
        </is>
      </c>
    </row>
    <row r="1716" ht="15.75" customHeight="1">
      <c r="A1716" s="3" t="inlineStr">
        <is>
          <t>PROD_0318</t>
        </is>
      </c>
      <c r="B1716" s="3" t="inlineStr">
        <is>
          <t>VAR_1</t>
        </is>
      </c>
      <c r="C1716" s="3" t="inlineStr">
        <is>
          <t>Plumbing</t>
        </is>
      </c>
      <c r="D1716" s="3" t="inlineStr">
        <is>
          <t>Bends &amp; Connectors</t>
        </is>
      </c>
      <c r="E1716" s="3" t="inlineStr">
        <is>
          <t>Astral</t>
        </is>
      </c>
      <c r="F1716" s="3" t="inlineStr">
        <is>
          <t>Reducer Coupler (Brass THDXSOC)</t>
        </is>
      </c>
      <c r="H1716" s="3" t="inlineStr">
        <is>
          <t>Size</t>
        </is>
      </c>
      <c r="I1716" s="3" t="inlineStr">
        <is>
          <t>20 mm X 15 mm (.75 inch X .5 inch)</t>
        </is>
      </c>
      <c r="Q1716" s="3" t="inlineStr">
        <is>
          <t>Manufacturer's Warranty</t>
        </is>
      </c>
      <c r="R1716" s="3" t="inlineStr">
        <is>
          <t>M512111214^</t>
        </is>
      </c>
      <c r="Y1716" s="3" t="inlineStr">
        <is>
          <t>PLB_AST_REDCPLBRS</t>
        </is>
      </c>
      <c r="Z1716" s="3" t="n">
        <v>3917</v>
      </c>
      <c r="AE1716" s="3" t="n">
        <v>111</v>
      </c>
      <c r="AF1716" s="4" t="n">
        <v>0.37</v>
      </c>
      <c r="AG1716" s="3">
        <f>ROUND(AE1716-(AE1716*AF1716),2)</f>
        <v/>
      </c>
      <c r="AH1716" s="4" t="n">
        <v>0.18</v>
      </c>
      <c r="AI1716" s="3">
        <f>ROUND(AG1716+(AG1716*AH1716),2)</f>
        <v/>
      </c>
      <c r="AJ1716" s="4" t="n">
        <v>0.15</v>
      </c>
      <c r="AK1716" s="3">
        <f>ROUND(AI1716*AJ1716,2)</f>
        <v/>
      </c>
      <c r="AL1716" s="3">
        <f>AI1716+AK1716</f>
        <v/>
      </c>
      <c r="AM1716" s="3">
        <f>AE1716-AL1716</f>
        <v/>
      </c>
      <c r="AN1716" s="4">
        <f>AM1716/AE1716</f>
        <v/>
      </c>
      <c r="AO1716" s="3" t="inlineStr">
        <is>
          <t>60 mins</t>
        </is>
      </c>
      <c r="AQ1716" s="3" t="inlineStr">
        <is>
          <t>Weight</t>
        </is>
      </c>
      <c r="AT1716" s="3" t="inlineStr">
        <is>
          <t>Active</t>
        </is>
      </c>
    </row>
    <row r="1717" ht="15.75" customHeight="1">
      <c r="A1717" s="3" t="inlineStr">
        <is>
          <t>PROD_0318</t>
        </is>
      </c>
      <c r="B1717" s="3" t="inlineStr">
        <is>
          <t>VAR_2</t>
        </is>
      </c>
      <c r="C1717" s="3" t="inlineStr">
        <is>
          <t>Plumbing</t>
        </is>
      </c>
      <c r="D1717" s="3" t="inlineStr">
        <is>
          <t>Bends &amp; Connectors</t>
        </is>
      </c>
      <c r="E1717" s="3" t="inlineStr">
        <is>
          <t>Astral</t>
        </is>
      </c>
      <c r="F1717" s="3" t="inlineStr">
        <is>
          <t>Reducer Coupler (Brass THDXSOC)</t>
        </is>
      </c>
      <c r="H1717" s="3" t="inlineStr">
        <is>
          <t>Size</t>
        </is>
      </c>
      <c r="I1717" s="3" t="inlineStr">
        <is>
          <t>25 mm X 15 mm (1 inch X .5 inch)</t>
        </is>
      </c>
      <c r="Q1717" s="3" t="inlineStr">
        <is>
          <t>Manufacturer's Warranty</t>
        </is>
      </c>
      <c r="R1717" s="3" t="inlineStr">
        <is>
          <t>M512111215^</t>
        </is>
      </c>
      <c r="Y1717" s="3" t="inlineStr">
        <is>
          <t>PLB_AST_REDCPLBRS</t>
        </is>
      </c>
      <c r="Z1717" s="3" t="n">
        <v>3917</v>
      </c>
      <c r="AE1717" s="3" t="n">
        <v>147</v>
      </c>
      <c r="AF1717" s="4" t="n">
        <v>0.37</v>
      </c>
      <c r="AG1717" s="3">
        <f>ROUND(AE1717-(AE1717*AF1717),2)</f>
        <v/>
      </c>
      <c r="AH1717" s="4" t="n">
        <v>0.18</v>
      </c>
      <c r="AI1717" s="3">
        <f>ROUND(AG1717+(AG1717*AH1717),2)</f>
        <v/>
      </c>
      <c r="AJ1717" s="4" t="n">
        <v>0.15</v>
      </c>
      <c r="AK1717" s="3">
        <f>ROUND(AI1717*AJ1717,2)</f>
        <v/>
      </c>
      <c r="AL1717" s="3">
        <f>AI1717+AK1717</f>
        <v/>
      </c>
      <c r="AM1717" s="3">
        <f>AE1717-AL1717</f>
        <v/>
      </c>
      <c r="AN1717" s="4">
        <f>AM1717/AE1717</f>
        <v/>
      </c>
      <c r="AO1717" s="3" t="inlineStr">
        <is>
          <t>60 mins</t>
        </is>
      </c>
      <c r="AQ1717" s="3" t="inlineStr">
        <is>
          <t>Weight</t>
        </is>
      </c>
      <c r="AT1717" s="3" t="inlineStr">
        <is>
          <t>Active</t>
        </is>
      </c>
    </row>
    <row r="1718" ht="15.75" customHeight="1">
      <c r="A1718" s="3" t="inlineStr">
        <is>
          <t>PROD_0318</t>
        </is>
      </c>
      <c r="B1718" s="3" t="inlineStr">
        <is>
          <t>VAR_3</t>
        </is>
      </c>
      <c r="C1718" s="3" t="inlineStr">
        <is>
          <t>Plumbing</t>
        </is>
      </c>
      <c r="D1718" s="3" t="inlineStr">
        <is>
          <t>Bends &amp; Connectors</t>
        </is>
      </c>
      <c r="E1718" s="3" t="inlineStr">
        <is>
          <t>Astral</t>
        </is>
      </c>
      <c r="F1718" s="3" t="inlineStr">
        <is>
          <t>Reducer Coupler (Brass THDXSOC)</t>
        </is>
      </c>
      <c r="H1718" s="3" t="inlineStr">
        <is>
          <t>Size</t>
        </is>
      </c>
      <c r="I1718" s="3" t="inlineStr">
        <is>
          <t>25 mm X 20 mm (1 inch X .75 inch)</t>
        </is>
      </c>
      <c r="Q1718" s="3" t="inlineStr">
        <is>
          <t>Manufacturer's Warranty</t>
        </is>
      </c>
      <c r="R1718" s="3" t="inlineStr">
        <is>
          <t>M512111216^</t>
        </is>
      </c>
      <c r="Y1718" s="3" t="inlineStr">
        <is>
          <t>PLB_AST_REDCPLBRS</t>
        </is>
      </c>
      <c r="Z1718" s="3" t="n">
        <v>3917</v>
      </c>
      <c r="AE1718" s="3" t="n">
        <v>159</v>
      </c>
      <c r="AF1718" s="4" t="n">
        <v>0.37</v>
      </c>
      <c r="AG1718" s="3">
        <f>ROUND(AE1718-(AE1718*AF1718),2)</f>
        <v/>
      </c>
      <c r="AH1718" s="4" t="n">
        <v>0.18</v>
      </c>
      <c r="AI1718" s="3">
        <f>ROUND(AG1718+(AG1718*AH1718),2)</f>
        <v/>
      </c>
      <c r="AJ1718" s="4" t="n">
        <v>0.15</v>
      </c>
      <c r="AK1718" s="3">
        <f>ROUND(AI1718*AJ1718,2)</f>
        <v/>
      </c>
      <c r="AL1718" s="3">
        <f>AI1718+AK1718</f>
        <v/>
      </c>
      <c r="AM1718" s="3">
        <f>AE1718-AL1718</f>
        <v/>
      </c>
      <c r="AN1718" s="4">
        <f>AM1718/AE1718</f>
        <v/>
      </c>
      <c r="AO1718" s="3" t="inlineStr">
        <is>
          <t>60 mins</t>
        </is>
      </c>
      <c r="AQ1718" s="3" t="inlineStr">
        <is>
          <t>Weight</t>
        </is>
      </c>
      <c r="AT1718" s="3" t="inlineStr">
        <is>
          <t>Active</t>
        </is>
      </c>
    </row>
    <row r="1719" ht="15.75" customHeight="1">
      <c r="A1719" s="3" t="inlineStr">
        <is>
          <t>PROD_0319</t>
        </is>
      </c>
      <c r="B1719" s="3" t="inlineStr">
        <is>
          <t>VAR_1</t>
        </is>
      </c>
      <c r="C1719" s="3" t="inlineStr">
        <is>
          <t>Plumbing</t>
        </is>
      </c>
      <c r="D1719" s="3" t="inlineStr">
        <is>
          <t>Bends &amp; Connectors</t>
        </is>
      </c>
      <c r="E1719" s="3" t="inlineStr">
        <is>
          <t>Prince</t>
        </is>
      </c>
      <c r="F1719" s="3" t="inlineStr">
        <is>
          <t>Coupler</t>
        </is>
      </c>
      <c r="H1719" s="3" t="inlineStr">
        <is>
          <t>Diameter</t>
        </is>
      </c>
      <c r="I1719" s="3" t="inlineStr">
        <is>
          <t>15 mm (.5 inch)</t>
        </is>
      </c>
      <c r="Q1719" s="3" t="inlineStr">
        <is>
          <t>Manufacturer's Warranty</t>
        </is>
      </c>
      <c r="R1719" s="3" t="inlineStr">
        <is>
          <t>SIM104918</t>
        </is>
      </c>
      <c r="Y1719" s="3" t="inlineStr">
        <is>
          <t>PLB_PRNC_CPLR</t>
        </is>
      </c>
      <c r="Z1719" s="3" t="n">
        <v>3917</v>
      </c>
      <c r="AE1719" s="3" t="n">
        <v>12</v>
      </c>
      <c r="AF1719" s="4" t="n">
        <v>0.37</v>
      </c>
      <c r="AG1719" s="3">
        <f>ROUND(AE1719-(AE1719*AF1719),2)</f>
        <v/>
      </c>
      <c r="AH1719" s="4" t="n">
        <v>0.18</v>
      </c>
      <c r="AI1719" s="3">
        <f>ROUND(AG1719+(AG1719*AH1719),2)</f>
        <v/>
      </c>
      <c r="AJ1719" s="4" t="n">
        <v>0.15</v>
      </c>
      <c r="AK1719" s="3">
        <f>ROUND(AI1719*AJ1719,2)</f>
        <v/>
      </c>
      <c r="AL1719" s="3">
        <f>AI1719+AK1719</f>
        <v/>
      </c>
      <c r="AM1719" s="3">
        <f>AE1719-AL1719</f>
        <v/>
      </c>
      <c r="AN1719" s="4">
        <f>AM1719/AE1719</f>
        <v/>
      </c>
      <c r="AO1719" s="3" t="inlineStr">
        <is>
          <t>60 mins</t>
        </is>
      </c>
      <c r="AQ1719" s="3" t="inlineStr">
        <is>
          <t>Weight</t>
        </is>
      </c>
      <c r="AT1719" s="3" t="inlineStr">
        <is>
          <t>Inactive</t>
        </is>
      </c>
    </row>
    <row r="1720" ht="15.75" customHeight="1">
      <c r="A1720" s="3" t="inlineStr">
        <is>
          <t>PROD_0319</t>
        </is>
      </c>
      <c r="B1720" s="3" t="inlineStr">
        <is>
          <t>VAR_2</t>
        </is>
      </c>
      <c r="C1720" s="3" t="inlineStr">
        <is>
          <t>Plumbing</t>
        </is>
      </c>
      <c r="D1720" s="3" t="inlineStr">
        <is>
          <t>Bends &amp; Connectors</t>
        </is>
      </c>
      <c r="E1720" s="3" t="inlineStr">
        <is>
          <t>Prince</t>
        </is>
      </c>
      <c r="F1720" s="3" t="inlineStr">
        <is>
          <t>Coupler</t>
        </is>
      </c>
      <c r="H1720" s="3" t="inlineStr">
        <is>
          <t>Diameter</t>
        </is>
      </c>
      <c r="I1720" s="3" t="inlineStr">
        <is>
          <t>20 mm (.75 inch)</t>
        </is>
      </c>
      <c r="Q1720" s="3" t="inlineStr">
        <is>
          <t>Manufacturer's Warranty</t>
        </is>
      </c>
      <c r="R1720" s="3" t="inlineStr">
        <is>
          <t>SIM104919</t>
        </is>
      </c>
      <c r="Y1720" s="3" t="inlineStr">
        <is>
          <t>PLB_PRNC_CPLR</t>
        </is>
      </c>
      <c r="Z1720" s="3" t="n">
        <v>3917</v>
      </c>
      <c r="AE1720" s="3" t="n">
        <v>16</v>
      </c>
      <c r="AF1720" s="4" t="n">
        <v>0.37</v>
      </c>
      <c r="AG1720" s="3">
        <f>ROUND(AE1720-(AE1720*AF1720),2)</f>
        <v/>
      </c>
      <c r="AH1720" s="4" t="n">
        <v>0.18</v>
      </c>
      <c r="AI1720" s="3">
        <f>ROUND(AG1720+(AG1720*AH1720),2)</f>
        <v/>
      </c>
      <c r="AJ1720" s="4" t="n">
        <v>0.15</v>
      </c>
      <c r="AK1720" s="3">
        <f>ROUND(AI1720*AJ1720,2)</f>
        <v/>
      </c>
      <c r="AL1720" s="3">
        <f>AI1720+AK1720</f>
        <v/>
      </c>
      <c r="AM1720" s="3">
        <f>AE1720-AL1720</f>
        <v/>
      </c>
      <c r="AN1720" s="4">
        <f>AM1720/AE1720</f>
        <v/>
      </c>
      <c r="AO1720" s="3" t="inlineStr">
        <is>
          <t>60 mins</t>
        </is>
      </c>
      <c r="AQ1720" s="3" t="inlineStr">
        <is>
          <t>Weight</t>
        </is>
      </c>
      <c r="AT1720" s="3" t="inlineStr">
        <is>
          <t>Inactive</t>
        </is>
      </c>
    </row>
    <row r="1721" ht="15.75" customHeight="1">
      <c r="A1721" s="3" t="inlineStr">
        <is>
          <t>PROD_0319</t>
        </is>
      </c>
      <c r="B1721" s="3" t="inlineStr">
        <is>
          <t>VAR_3</t>
        </is>
      </c>
      <c r="C1721" s="3" t="inlineStr">
        <is>
          <t>Plumbing</t>
        </is>
      </c>
      <c r="D1721" s="3" t="inlineStr">
        <is>
          <t>Bends &amp; Connectors</t>
        </is>
      </c>
      <c r="E1721" s="3" t="inlineStr">
        <is>
          <t>Prince</t>
        </is>
      </c>
      <c r="F1721" s="3" t="inlineStr">
        <is>
          <t>Coupler</t>
        </is>
      </c>
      <c r="H1721" s="3" t="inlineStr">
        <is>
          <t>Diameter</t>
        </is>
      </c>
      <c r="I1721" s="3" t="inlineStr">
        <is>
          <t>25 mm (1 inch)</t>
        </is>
      </c>
      <c r="Q1721" s="3" t="inlineStr">
        <is>
          <t>Manufacturer's Warranty</t>
        </is>
      </c>
      <c r="R1721" s="3" t="inlineStr">
        <is>
          <t>SIM104920</t>
        </is>
      </c>
      <c r="Y1721" s="3" t="inlineStr">
        <is>
          <t>PLB_PRNC_CPLR</t>
        </is>
      </c>
      <c r="Z1721" s="3" t="n">
        <v>3917</v>
      </c>
      <c r="AE1721" s="3" t="n">
        <v>27</v>
      </c>
      <c r="AF1721" s="4" t="n">
        <v>0.37</v>
      </c>
      <c r="AG1721" s="3">
        <f>ROUND(AE1721-(AE1721*AF1721),2)</f>
        <v/>
      </c>
      <c r="AH1721" s="4" t="n">
        <v>0.18</v>
      </c>
      <c r="AI1721" s="3">
        <f>ROUND(AG1721+(AG1721*AH1721),2)</f>
        <v/>
      </c>
      <c r="AJ1721" s="4" t="n">
        <v>0.15</v>
      </c>
      <c r="AK1721" s="3">
        <f>ROUND(AI1721*AJ1721,2)</f>
        <v/>
      </c>
      <c r="AL1721" s="3">
        <f>AI1721+AK1721</f>
        <v/>
      </c>
      <c r="AM1721" s="3">
        <f>AE1721-AL1721</f>
        <v/>
      </c>
      <c r="AN1721" s="4">
        <f>AM1721/AE1721</f>
        <v/>
      </c>
      <c r="AO1721" s="3" t="inlineStr">
        <is>
          <t>60 mins</t>
        </is>
      </c>
      <c r="AQ1721" s="3" t="inlineStr">
        <is>
          <t>Weight</t>
        </is>
      </c>
      <c r="AT1721" s="3" t="inlineStr">
        <is>
          <t>Inactive</t>
        </is>
      </c>
    </row>
    <row r="1722" ht="15.75" customHeight="1">
      <c r="A1722" s="3" t="inlineStr">
        <is>
          <t>PROD_0319</t>
        </is>
      </c>
      <c r="B1722" s="3" t="inlineStr">
        <is>
          <t>VAR_4</t>
        </is>
      </c>
      <c r="C1722" s="3" t="inlineStr">
        <is>
          <t>Plumbing</t>
        </is>
      </c>
      <c r="D1722" s="3" t="inlineStr">
        <is>
          <t>Bends &amp; Connectors</t>
        </is>
      </c>
      <c r="E1722" s="3" t="inlineStr">
        <is>
          <t>Prince</t>
        </is>
      </c>
      <c r="F1722" s="3" t="inlineStr">
        <is>
          <t>Coupler</t>
        </is>
      </c>
      <c r="H1722" s="3" t="inlineStr">
        <is>
          <t>Diameter</t>
        </is>
      </c>
      <c r="I1722" s="3" t="inlineStr">
        <is>
          <t>32 mm (1.25 inch)</t>
        </is>
      </c>
      <c r="Q1722" s="3" t="inlineStr">
        <is>
          <t>Manufacturer's Warranty</t>
        </is>
      </c>
      <c r="R1722" s="3" t="inlineStr">
        <is>
          <t>SIM104921</t>
        </is>
      </c>
      <c r="Y1722" s="3" t="inlineStr">
        <is>
          <t>PLB_PRNC_CPLR</t>
        </is>
      </c>
      <c r="Z1722" s="3" t="n">
        <v>3917</v>
      </c>
      <c r="AE1722" s="3" t="n">
        <v>42</v>
      </c>
      <c r="AF1722" s="4" t="n">
        <v>0.37</v>
      </c>
      <c r="AG1722" s="3">
        <f>ROUND(AE1722-(AE1722*AF1722),2)</f>
        <v/>
      </c>
      <c r="AH1722" s="4" t="n">
        <v>0.18</v>
      </c>
      <c r="AI1722" s="3">
        <f>ROUND(AG1722+(AG1722*AH1722),2)</f>
        <v/>
      </c>
      <c r="AJ1722" s="4" t="n">
        <v>0.15</v>
      </c>
      <c r="AK1722" s="3">
        <f>ROUND(AI1722*AJ1722,2)</f>
        <v/>
      </c>
      <c r="AL1722" s="3">
        <f>AI1722+AK1722</f>
        <v/>
      </c>
      <c r="AM1722" s="3">
        <f>AE1722-AL1722</f>
        <v/>
      </c>
      <c r="AN1722" s="4">
        <f>AM1722/AE1722</f>
        <v/>
      </c>
      <c r="AO1722" s="3" t="inlineStr">
        <is>
          <t>60 mins</t>
        </is>
      </c>
      <c r="AQ1722" s="3" t="inlineStr">
        <is>
          <t>Weight</t>
        </is>
      </c>
      <c r="AT1722" s="3" t="inlineStr">
        <is>
          <t>Inactive</t>
        </is>
      </c>
    </row>
    <row r="1723" ht="15.75" customHeight="1">
      <c r="A1723" s="3" t="inlineStr">
        <is>
          <t>PROD_0319</t>
        </is>
      </c>
      <c r="B1723" s="3" t="inlineStr">
        <is>
          <t>VAR_5</t>
        </is>
      </c>
      <c r="C1723" s="3" t="inlineStr">
        <is>
          <t>Plumbing</t>
        </is>
      </c>
      <c r="D1723" s="3" t="inlineStr">
        <is>
          <t>Bends &amp; Connectors</t>
        </is>
      </c>
      <c r="E1723" s="3" t="inlineStr">
        <is>
          <t>Prince</t>
        </is>
      </c>
      <c r="F1723" s="3" t="inlineStr">
        <is>
          <t>Coupler</t>
        </is>
      </c>
      <c r="H1723" s="3" t="inlineStr">
        <is>
          <t>Diameter</t>
        </is>
      </c>
      <c r="I1723" s="3" t="inlineStr">
        <is>
          <t>40 mm (1.5 inch)</t>
        </is>
      </c>
      <c r="Q1723" s="3" t="inlineStr">
        <is>
          <t>Manufacturer's Warranty</t>
        </is>
      </c>
      <c r="R1723" s="3" t="inlineStr">
        <is>
          <t>SIM104922</t>
        </is>
      </c>
      <c r="Y1723" s="3" t="inlineStr">
        <is>
          <t>PLB_PRNC_CPLR</t>
        </is>
      </c>
      <c r="Z1723" s="3" t="n">
        <v>3917</v>
      </c>
      <c r="AE1723" s="3" t="n">
        <v>75</v>
      </c>
      <c r="AF1723" s="4" t="n">
        <v>0.37</v>
      </c>
      <c r="AG1723" s="3">
        <f>ROUND(AE1723-(AE1723*AF1723),2)</f>
        <v/>
      </c>
      <c r="AH1723" s="4" t="n">
        <v>0.18</v>
      </c>
      <c r="AI1723" s="3">
        <f>ROUND(AG1723+(AG1723*AH1723),2)</f>
        <v/>
      </c>
      <c r="AJ1723" s="4" t="n">
        <v>0.15</v>
      </c>
      <c r="AK1723" s="3">
        <f>ROUND(AI1723*AJ1723,2)</f>
        <v/>
      </c>
      <c r="AL1723" s="3">
        <f>AI1723+AK1723</f>
        <v/>
      </c>
      <c r="AM1723" s="3">
        <f>AE1723-AL1723</f>
        <v/>
      </c>
      <c r="AN1723" s="4">
        <f>AM1723/AE1723</f>
        <v/>
      </c>
      <c r="AO1723" s="3" t="inlineStr">
        <is>
          <t>60 mins</t>
        </is>
      </c>
      <c r="AQ1723" s="3" t="inlineStr">
        <is>
          <t>Weight</t>
        </is>
      </c>
      <c r="AT1723" s="3" t="inlineStr">
        <is>
          <t>Inactive</t>
        </is>
      </c>
    </row>
    <row r="1724" ht="15.75" customHeight="1">
      <c r="A1724" s="3" t="inlineStr">
        <is>
          <t>PROD_0319</t>
        </is>
      </c>
      <c r="B1724" s="3" t="inlineStr">
        <is>
          <t>VAR_6</t>
        </is>
      </c>
      <c r="C1724" s="3" t="inlineStr">
        <is>
          <t>Plumbing</t>
        </is>
      </c>
      <c r="D1724" s="3" t="inlineStr">
        <is>
          <t>Bends &amp; Connectors</t>
        </is>
      </c>
      <c r="E1724" s="3" t="inlineStr">
        <is>
          <t>Prince</t>
        </is>
      </c>
      <c r="F1724" s="3" t="inlineStr">
        <is>
          <t>Coupler</t>
        </is>
      </c>
      <c r="H1724" s="3" t="inlineStr">
        <is>
          <t>Diameter</t>
        </is>
      </c>
      <c r="I1724" s="3" t="inlineStr">
        <is>
          <t>50 mm (2 inch)</t>
        </is>
      </c>
      <c r="Q1724" s="3" t="inlineStr">
        <is>
          <t>Manufacturer's Warranty</t>
        </is>
      </c>
      <c r="R1724" s="3" t="inlineStr">
        <is>
          <t>SIM104923</t>
        </is>
      </c>
      <c r="Y1724" s="3" t="inlineStr">
        <is>
          <t>PLB_PRNC_CPLR</t>
        </is>
      </c>
      <c r="Z1724" s="3" t="n">
        <v>3917</v>
      </c>
      <c r="AE1724" s="3" t="n">
        <v>219</v>
      </c>
      <c r="AF1724" s="4" t="n">
        <v>0.37</v>
      </c>
      <c r="AG1724" s="3">
        <f>ROUND(AE1724-(AE1724*AF1724),2)</f>
        <v/>
      </c>
      <c r="AH1724" s="4" t="n">
        <v>0.18</v>
      </c>
      <c r="AI1724" s="3">
        <f>ROUND(AG1724+(AG1724*AH1724),2)</f>
        <v/>
      </c>
      <c r="AJ1724" s="4" t="n">
        <v>0.15</v>
      </c>
      <c r="AK1724" s="3">
        <f>ROUND(AI1724*AJ1724,2)</f>
        <v/>
      </c>
      <c r="AL1724" s="3">
        <f>AI1724+AK1724</f>
        <v/>
      </c>
      <c r="AM1724" s="3">
        <f>AE1724-AL1724</f>
        <v/>
      </c>
      <c r="AN1724" s="4">
        <f>AM1724/AE1724</f>
        <v/>
      </c>
      <c r="AO1724" s="3" t="inlineStr">
        <is>
          <t>60 mins</t>
        </is>
      </c>
      <c r="AQ1724" s="3" t="inlineStr">
        <is>
          <t>Weight</t>
        </is>
      </c>
      <c r="AT1724" s="3" t="inlineStr">
        <is>
          <t>Inactive</t>
        </is>
      </c>
    </row>
    <row r="1725" ht="15.75" customHeight="1">
      <c r="A1725" s="3" t="inlineStr">
        <is>
          <t>PROD_0319</t>
        </is>
      </c>
      <c r="B1725" s="3" t="inlineStr">
        <is>
          <t>VAR_7</t>
        </is>
      </c>
      <c r="C1725" s="3" t="inlineStr">
        <is>
          <t>Plumbing</t>
        </is>
      </c>
      <c r="D1725" s="3" t="inlineStr">
        <is>
          <t>Bends &amp; Connectors</t>
        </is>
      </c>
      <c r="E1725" s="3" t="inlineStr">
        <is>
          <t>Prince</t>
        </is>
      </c>
      <c r="F1725" s="3" t="inlineStr">
        <is>
          <t>Coupler</t>
        </is>
      </c>
      <c r="H1725" s="3" t="inlineStr">
        <is>
          <t>Diameter</t>
        </is>
      </c>
      <c r="I1725" s="3" t="inlineStr">
        <is>
          <t>65 mm (2.5 inch)</t>
        </is>
      </c>
      <c r="Q1725" s="3" t="inlineStr">
        <is>
          <t>Manufacturer's Warranty</t>
        </is>
      </c>
      <c r="R1725" s="3" t="inlineStr">
        <is>
          <t>SIM105025</t>
        </is>
      </c>
      <c r="Y1725" s="3" t="inlineStr">
        <is>
          <t>PLB_PRNC_CPLR</t>
        </is>
      </c>
      <c r="Z1725" s="3" t="n">
        <v>3917</v>
      </c>
      <c r="AE1725" s="3" t="n">
        <v>497</v>
      </c>
      <c r="AF1725" s="4" t="n">
        <v>0.37</v>
      </c>
      <c r="AG1725" s="3">
        <f>ROUND(AE1725-(AE1725*AF1725),2)</f>
        <v/>
      </c>
      <c r="AH1725" s="4" t="n">
        <v>0.18</v>
      </c>
      <c r="AI1725" s="3">
        <f>ROUND(AG1725+(AG1725*AH1725),2)</f>
        <v/>
      </c>
      <c r="AJ1725" s="4" t="n">
        <v>0.15</v>
      </c>
      <c r="AK1725" s="3">
        <f>ROUND(AI1725*AJ1725,2)</f>
        <v/>
      </c>
      <c r="AL1725" s="3">
        <f>AI1725+AK1725</f>
        <v/>
      </c>
      <c r="AM1725" s="3">
        <f>AE1725-AL1725</f>
        <v/>
      </c>
      <c r="AN1725" s="4">
        <f>AM1725/AE1725</f>
        <v/>
      </c>
      <c r="AO1725" s="3" t="inlineStr">
        <is>
          <t>60 mins</t>
        </is>
      </c>
      <c r="AQ1725" s="3" t="inlineStr">
        <is>
          <t>Weight</t>
        </is>
      </c>
      <c r="AT1725" s="3" t="inlineStr">
        <is>
          <t>Inactive</t>
        </is>
      </c>
    </row>
    <row r="1726" ht="15.75" customHeight="1">
      <c r="A1726" s="3" t="inlineStr">
        <is>
          <t>PROD_0319</t>
        </is>
      </c>
      <c r="B1726" s="3" t="inlineStr">
        <is>
          <t>VAR_8</t>
        </is>
      </c>
      <c r="C1726" s="3" t="inlineStr">
        <is>
          <t>Plumbing</t>
        </is>
      </c>
      <c r="D1726" s="3" t="inlineStr">
        <is>
          <t>Bends &amp; Connectors</t>
        </is>
      </c>
      <c r="E1726" s="3" t="inlineStr">
        <is>
          <t>Prince</t>
        </is>
      </c>
      <c r="F1726" s="3" t="inlineStr">
        <is>
          <t>Coupler</t>
        </is>
      </c>
      <c r="H1726" s="3" t="inlineStr">
        <is>
          <t>Diameter</t>
        </is>
      </c>
      <c r="I1726" s="3" t="inlineStr">
        <is>
          <t>80 mm (3 inch)</t>
        </is>
      </c>
      <c r="Q1726" s="3" t="inlineStr">
        <is>
          <t>Manufacturer's Warranty</t>
        </is>
      </c>
      <c r="R1726" s="3" t="inlineStr">
        <is>
          <t>SIM105026</t>
        </is>
      </c>
      <c r="Y1726" s="3" t="inlineStr">
        <is>
          <t>PLB_PRNC_CPLR</t>
        </is>
      </c>
      <c r="Z1726" s="3" t="n">
        <v>3917</v>
      </c>
      <c r="AE1726" s="3" t="n">
        <v>688</v>
      </c>
      <c r="AF1726" s="4" t="n">
        <v>0.37</v>
      </c>
      <c r="AG1726" s="3">
        <f>ROUND(AE1726-(AE1726*AF1726),2)</f>
        <v/>
      </c>
      <c r="AH1726" s="4" t="n">
        <v>0.18</v>
      </c>
      <c r="AI1726" s="3">
        <f>ROUND(AG1726+(AG1726*AH1726),2)</f>
        <v/>
      </c>
      <c r="AJ1726" s="4" t="n">
        <v>0.15</v>
      </c>
      <c r="AK1726" s="3">
        <f>ROUND(AI1726*AJ1726,2)</f>
        <v/>
      </c>
      <c r="AL1726" s="3">
        <f>AI1726+AK1726</f>
        <v/>
      </c>
      <c r="AM1726" s="3">
        <f>AE1726-AL1726</f>
        <v/>
      </c>
      <c r="AN1726" s="4">
        <f>AM1726/AE1726</f>
        <v/>
      </c>
      <c r="AO1726" s="3" t="inlineStr">
        <is>
          <t>60 mins</t>
        </is>
      </c>
      <c r="AQ1726" s="3" t="inlineStr">
        <is>
          <t>Weight</t>
        </is>
      </c>
      <c r="AT1726" s="3" t="inlineStr">
        <is>
          <t>Inactive</t>
        </is>
      </c>
    </row>
    <row r="1727" ht="15.75" customHeight="1">
      <c r="A1727" s="3" t="inlineStr">
        <is>
          <t>PROD_0319</t>
        </is>
      </c>
      <c r="B1727" s="3" t="inlineStr">
        <is>
          <t>VAR_9</t>
        </is>
      </c>
      <c r="C1727" s="3" t="inlineStr">
        <is>
          <t>Plumbing</t>
        </is>
      </c>
      <c r="D1727" s="3" t="inlineStr">
        <is>
          <t>Bends &amp; Connectors</t>
        </is>
      </c>
      <c r="E1727" s="3" t="inlineStr">
        <is>
          <t>Prince</t>
        </is>
      </c>
      <c r="F1727" s="3" t="inlineStr">
        <is>
          <t>Coupler</t>
        </is>
      </c>
      <c r="H1727" s="3" t="inlineStr">
        <is>
          <t>Diameter</t>
        </is>
      </c>
      <c r="I1727" s="3" t="inlineStr">
        <is>
          <t>100 mm (4 inch)</t>
        </is>
      </c>
      <c r="Q1727" s="3" t="inlineStr">
        <is>
          <t>Manufacturer's Warranty</t>
        </is>
      </c>
      <c r="R1727" s="3" t="inlineStr">
        <is>
          <t>SIM105027</t>
        </is>
      </c>
      <c r="Y1727" s="3" t="inlineStr">
        <is>
          <t>PLB_PRNC_CPLR</t>
        </is>
      </c>
      <c r="Z1727" s="3" t="n">
        <v>3917</v>
      </c>
      <c r="AE1727" s="3" t="n">
        <v>1086</v>
      </c>
      <c r="AF1727" s="4" t="n">
        <v>0.37</v>
      </c>
      <c r="AG1727" s="3">
        <f>ROUND(AE1727-(AE1727*AF1727),2)</f>
        <v/>
      </c>
      <c r="AH1727" s="4" t="n">
        <v>0.18</v>
      </c>
      <c r="AI1727" s="3">
        <f>ROUND(AG1727+(AG1727*AH1727),2)</f>
        <v/>
      </c>
      <c r="AJ1727" s="4" t="n">
        <v>0.15</v>
      </c>
      <c r="AK1727" s="3">
        <f>ROUND(AI1727*AJ1727,2)</f>
        <v/>
      </c>
      <c r="AL1727" s="3">
        <f>AI1727+AK1727</f>
        <v/>
      </c>
      <c r="AM1727" s="3">
        <f>AE1727-AL1727</f>
        <v/>
      </c>
      <c r="AN1727" s="4">
        <f>AM1727/AE1727</f>
        <v/>
      </c>
      <c r="AO1727" s="3" t="inlineStr">
        <is>
          <t>60 mins</t>
        </is>
      </c>
      <c r="AQ1727" s="3" t="inlineStr">
        <is>
          <t>Weight</t>
        </is>
      </c>
      <c r="AT1727" s="3" t="inlineStr">
        <is>
          <t>Inactive</t>
        </is>
      </c>
    </row>
    <row r="1728" ht="15.75" customHeight="1">
      <c r="A1728" s="3" t="inlineStr">
        <is>
          <t>PROD_0319</t>
        </is>
      </c>
      <c r="B1728" s="3" t="inlineStr">
        <is>
          <t>VAR_10</t>
        </is>
      </c>
      <c r="C1728" s="3" t="inlineStr">
        <is>
          <t>Plumbing</t>
        </is>
      </c>
      <c r="D1728" s="3" t="inlineStr">
        <is>
          <t>Bends &amp; Connectors</t>
        </is>
      </c>
      <c r="E1728" s="3" t="inlineStr">
        <is>
          <t>Prince</t>
        </is>
      </c>
      <c r="F1728" s="3" t="inlineStr">
        <is>
          <t>Coupler</t>
        </is>
      </c>
      <c r="H1728" s="3" t="inlineStr">
        <is>
          <t>Diameter</t>
        </is>
      </c>
      <c r="I1728" s="3" t="inlineStr">
        <is>
          <t>150 mm (6 inch)</t>
        </is>
      </c>
      <c r="Q1728" s="3" t="inlineStr">
        <is>
          <t>Manufacturer's Warranty</t>
        </is>
      </c>
      <c r="R1728" s="3" t="inlineStr">
        <is>
          <t>SIM106984</t>
        </is>
      </c>
      <c r="Y1728" s="3" t="inlineStr">
        <is>
          <t>PLB_PRNC_CPLR</t>
        </is>
      </c>
      <c r="Z1728" s="3" t="n">
        <v>3917</v>
      </c>
      <c r="AE1728" s="3" t="n">
        <v>3800</v>
      </c>
      <c r="AF1728" s="4" t="n">
        <v>0.37</v>
      </c>
      <c r="AG1728" s="3">
        <f>ROUND(AE1728-(AE1728*AF1728),2)</f>
        <v/>
      </c>
      <c r="AH1728" s="4" t="n">
        <v>0.18</v>
      </c>
      <c r="AI1728" s="3">
        <f>ROUND(AG1728+(AG1728*AH1728),2)</f>
        <v/>
      </c>
      <c r="AJ1728" s="4" t="n">
        <v>0.15</v>
      </c>
      <c r="AK1728" s="3">
        <f>ROUND(AI1728*AJ1728,2)</f>
        <v/>
      </c>
      <c r="AL1728" s="3">
        <f>AI1728+AK1728</f>
        <v/>
      </c>
      <c r="AM1728" s="3">
        <f>AE1728-AL1728</f>
        <v/>
      </c>
      <c r="AN1728" s="4">
        <f>AM1728/AE1728</f>
        <v/>
      </c>
      <c r="AO1728" s="3" t="inlineStr">
        <is>
          <t>60 mins</t>
        </is>
      </c>
      <c r="AQ1728" s="3" t="inlineStr">
        <is>
          <t>Weight</t>
        </is>
      </c>
      <c r="AT1728" s="3" t="inlineStr">
        <is>
          <t>Inactive</t>
        </is>
      </c>
    </row>
    <row r="1729" ht="15.75" customHeight="1">
      <c r="A1729" s="3" t="inlineStr">
        <is>
          <t>PROD_0320</t>
        </is>
      </c>
      <c r="B1729" s="3" t="inlineStr">
        <is>
          <t>VAR_1</t>
        </is>
      </c>
      <c r="C1729" s="3" t="inlineStr">
        <is>
          <t>Plumbing</t>
        </is>
      </c>
      <c r="D1729" s="3" t="inlineStr">
        <is>
          <t>Bends &amp; Connectors</t>
        </is>
      </c>
      <c r="E1729" s="3" t="inlineStr">
        <is>
          <t>Prince</t>
        </is>
      </c>
      <c r="F1729" s="3" t="inlineStr">
        <is>
          <t>Elbow (SCH 40)</t>
        </is>
      </c>
      <c r="H1729" s="3" t="inlineStr">
        <is>
          <t>Diameter</t>
        </is>
      </c>
      <c r="I1729" s="3" t="inlineStr">
        <is>
          <t>65 mm (2.5 inch)</t>
        </is>
      </c>
      <c r="Q1729" s="3" t="inlineStr">
        <is>
          <t>Manufacturer's Warranty</t>
        </is>
      </c>
      <c r="R1729" s="3" t="inlineStr">
        <is>
          <t>SIM105124</t>
        </is>
      </c>
      <c r="Y1729" s="3" t="inlineStr">
        <is>
          <t>PLB_PRNC_ELBW_SCH90</t>
        </is>
      </c>
      <c r="Z1729" s="3" t="n">
        <v>3917</v>
      </c>
      <c r="AE1729" s="3" t="n">
        <v>574</v>
      </c>
      <c r="AF1729" s="4" t="n">
        <v>0.37</v>
      </c>
      <c r="AG1729" s="3">
        <f>ROUND(AE1729-(AE1729*AF1729),2)</f>
        <v/>
      </c>
      <c r="AH1729" s="4" t="n">
        <v>0.18</v>
      </c>
      <c r="AI1729" s="3">
        <f>ROUND(AG1729+(AG1729*AH1729),2)</f>
        <v/>
      </c>
      <c r="AJ1729" s="4" t="n">
        <v>0.15</v>
      </c>
      <c r="AK1729" s="3">
        <f>ROUND(AI1729*AJ1729,2)</f>
        <v/>
      </c>
      <c r="AL1729" s="3">
        <f>AI1729+AK1729</f>
        <v/>
      </c>
      <c r="AM1729" s="3">
        <f>AE1729-AL1729</f>
        <v/>
      </c>
      <c r="AN1729" s="4">
        <f>AM1729/AE1729</f>
        <v/>
      </c>
      <c r="AO1729" s="3" t="inlineStr">
        <is>
          <t>60 mins</t>
        </is>
      </c>
      <c r="AQ1729" s="3" t="inlineStr">
        <is>
          <t>Weight</t>
        </is>
      </c>
      <c r="AT1729" s="3" t="inlineStr">
        <is>
          <t>Inactive</t>
        </is>
      </c>
    </row>
    <row r="1730" ht="15.75" customHeight="1">
      <c r="A1730" s="3" t="inlineStr">
        <is>
          <t>PROD_0320</t>
        </is>
      </c>
      <c r="B1730" s="3" t="inlineStr">
        <is>
          <t>VAR_2</t>
        </is>
      </c>
      <c r="C1730" s="3" t="inlineStr">
        <is>
          <t>Plumbing</t>
        </is>
      </c>
      <c r="D1730" s="3" t="inlineStr">
        <is>
          <t>Bends &amp; Connectors</t>
        </is>
      </c>
      <c r="E1730" s="3" t="inlineStr">
        <is>
          <t>Prince</t>
        </is>
      </c>
      <c r="F1730" s="3" t="inlineStr">
        <is>
          <t>Elbow (SCH 40)</t>
        </is>
      </c>
      <c r="H1730" s="3" t="inlineStr">
        <is>
          <t>Diameter</t>
        </is>
      </c>
      <c r="I1730" s="3" t="inlineStr">
        <is>
          <t>80 mm (3 inch)</t>
        </is>
      </c>
      <c r="Q1730" s="3" t="inlineStr">
        <is>
          <t>Manufacturer's Warranty</t>
        </is>
      </c>
      <c r="R1730" s="3" t="inlineStr">
        <is>
          <t>SIM105125</t>
        </is>
      </c>
      <c r="Y1730" s="3" t="inlineStr">
        <is>
          <t>PLB_PRNC_ELBW_SCH90</t>
        </is>
      </c>
      <c r="Z1730" s="3" t="n">
        <v>3917</v>
      </c>
      <c r="AE1730" s="3" t="n">
        <v>890</v>
      </c>
      <c r="AF1730" s="4" t="n">
        <v>0.37</v>
      </c>
      <c r="AG1730" s="3">
        <f>ROUND(AE1730-(AE1730*AF1730),2)</f>
        <v/>
      </c>
      <c r="AH1730" s="4" t="n">
        <v>0.18</v>
      </c>
      <c r="AI1730" s="3">
        <f>ROUND(AG1730+(AG1730*AH1730),2)</f>
        <v/>
      </c>
      <c r="AJ1730" s="4" t="n">
        <v>0.15</v>
      </c>
      <c r="AK1730" s="3">
        <f>ROUND(AI1730*AJ1730,2)</f>
        <v/>
      </c>
      <c r="AL1730" s="3">
        <f>AI1730+AK1730</f>
        <v/>
      </c>
      <c r="AM1730" s="3">
        <f>AE1730-AL1730</f>
        <v/>
      </c>
      <c r="AN1730" s="4">
        <f>AM1730/AE1730</f>
        <v/>
      </c>
      <c r="AO1730" s="3" t="inlineStr">
        <is>
          <t>60 mins</t>
        </is>
      </c>
      <c r="AQ1730" s="3" t="inlineStr">
        <is>
          <t>Weight</t>
        </is>
      </c>
      <c r="AT1730" s="3" t="inlineStr">
        <is>
          <t>Inactive</t>
        </is>
      </c>
    </row>
    <row r="1731" ht="15.75" customHeight="1">
      <c r="A1731" s="3" t="inlineStr">
        <is>
          <t>PROD_0320</t>
        </is>
      </c>
      <c r="B1731" s="3" t="inlineStr">
        <is>
          <t>VAR_3</t>
        </is>
      </c>
      <c r="C1731" s="3" t="inlineStr">
        <is>
          <t>Plumbing</t>
        </is>
      </c>
      <c r="D1731" s="3" t="inlineStr">
        <is>
          <t>Bends &amp; Connectors</t>
        </is>
      </c>
      <c r="E1731" s="3" t="inlineStr">
        <is>
          <t>Prince</t>
        </is>
      </c>
      <c r="F1731" s="3" t="inlineStr">
        <is>
          <t>Elbow (SCH 40)</t>
        </is>
      </c>
      <c r="H1731" s="3" t="inlineStr">
        <is>
          <t>Diameter</t>
        </is>
      </c>
      <c r="I1731" s="3" t="inlineStr">
        <is>
          <t>100 mm (4 inch)</t>
        </is>
      </c>
      <c r="Q1731" s="3" t="inlineStr">
        <is>
          <t>Manufacturer's Warranty</t>
        </is>
      </c>
      <c r="R1731" s="3" t="inlineStr">
        <is>
          <t>SIM105126</t>
        </is>
      </c>
      <c r="Y1731" s="3" t="inlineStr">
        <is>
          <t>PLB_PRNC_ELBW_SCH90</t>
        </is>
      </c>
      <c r="Z1731" s="3" t="n">
        <v>3917</v>
      </c>
      <c r="AE1731" s="3" t="n">
        <v>1504</v>
      </c>
      <c r="AF1731" s="4" t="n">
        <v>0.37</v>
      </c>
      <c r="AG1731" s="3">
        <f>ROUND(AE1731-(AE1731*AF1731),2)</f>
        <v/>
      </c>
      <c r="AH1731" s="4" t="n">
        <v>0.18</v>
      </c>
      <c r="AI1731" s="3">
        <f>ROUND(AG1731+(AG1731*AH1731),2)</f>
        <v/>
      </c>
      <c r="AJ1731" s="4" t="n">
        <v>0.15</v>
      </c>
      <c r="AK1731" s="3">
        <f>ROUND(AI1731*AJ1731,2)</f>
        <v/>
      </c>
      <c r="AL1731" s="3">
        <f>AI1731+AK1731</f>
        <v/>
      </c>
      <c r="AM1731" s="3">
        <f>AE1731-AL1731</f>
        <v/>
      </c>
      <c r="AN1731" s="4">
        <f>AM1731/AE1731</f>
        <v/>
      </c>
      <c r="AO1731" s="3" t="inlineStr">
        <is>
          <t>60 mins</t>
        </is>
      </c>
      <c r="AQ1731" s="3" t="inlineStr">
        <is>
          <t>Weight</t>
        </is>
      </c>
      <c r="AT1731" s="3" t="inlineStr">
        <is>
          <t>Inactive</t>
        </is>
      </c>
    </row>
    <row r="1732" ht="15.75" customHeight="1">
      <c r="A1732" s="3" t="inlineStr">
        <is>
          <t>PROD_0320</t>
        </is>
      </c>
      <c r="B1732" s="3" t="inlineStr">
        <is>
          <t>VAR_4</t>
        </is>
      </c>
      <c r="C1732" s="3" t="inlineStr">
        <is>
          <t>Plumbing</t>
        </is>
      </c>
      <c r="D1732" s="3" t="inlineStr">
        <is>
          <t>Bends &amp; Connectors</t>
        </is>
      </c>
      <c r="E1732" s="3" t="inlineStr">
        <is>
          <t>Prince</t>
        </is>
      </c>
      <c r="F1732" s="3" t="inlineStr">
        <is>
          <t>Elbow (SCH 40)</t>
        </is>
      </c>
      <c r="H1732" s="3" t="inlineStr">
        <is>
          <t>Diameter</t>
        </is>
      </c>
      <c r="I1732" s="3" t="inlineStr">
        <is>
          <t>150 mm (6 inch)</t>
        </is>
      </c>
      <c r="Q1732" s="3" t="inlineStr">
        <is>
          <t>Manufacturer's Warranty</t>
        </is>
      </c>
      <c r="R1732" s="3" t="inlineStr">
        <is>
          <t>SIM105108</t>
        </is>
      </c>
      <c r="Y1732" s="3" t="inlineStr">
        <is>
          <t>PLB_PRNC_ELBW_SCH90</t>
        </is>
      </c>
      <c r="Z1732" s="3" t="n">
        <v>3917</v>
      </c>
      <c r="AE1732" s="3" t="n">
        <v>3019</v>
      </c>
      <c r="AF1732" s="4" t="n">
        <v>0.37</v>
      </c>
      <c r="AG1732" s="3">
        <f>ROUND(AE1732-(AE1732*AF1732),2)</f>
        <v/>
      </c>
      <c r="AH1732" s="4" t="n">
        <v>0.18</v>
      </c>
      <c r="AI1732" s="3">
        <f>ROUND(AG1732+(AG1732*AH1732),2)</f>
        <v/>
      </c>
      <c r="AJ1732" s="4" t="n">
        <v>0.15</v>
      </c>
      <c r="AK1732" s="3">
        <f>ROUND(AI1732*AJ1732,2)</f>
        <v/>
      </c>
      <c r="AL1732" s="3">
        <f>AI1732+AK1732</f>
        <v/>
      </c>
      <c r="AM1732" s="3">
        <f>AE1732-AL1732</f>
        <v/>
      </c>
      <c r="AN1732" s="4">
        <f>AM1732/AE1732</f>
        <v/>
      </c>
      <c r="AO1732" s="3" t="inlineStr">
        <is>
          <t>60 mins</t>
        </is>
      </c>
      <c r="AQ1732" s="3" t="inlineStr">
        <is>
          <t>Weight</t>
        </is>
      </c>
      <c r="AT1732" s="3" t="inlineStr">
        <is>
          <t>Inactive</t>
        </is>
      </c>
    </row>
    <row r="1733" ht="15.75" customHeight="1">
      <c r="A1733" s="3" t="inlineStr">
        <is>
          <t>PROD_0321</t>
        </is>
      </c>
      <c r="B1733" s="3" t="inlineStr">
        <is>
          <t>VAR_1</t>
        </is>
      </c>
      <c r="C1733" s="3" t="inlineStr">
        <is>
          <t>Plumbing</t>
        </is>
      </c>
      <c r="D1733" s="3" t="inlineStr">
        <is>
          <t>Bends &amp; Connectors</t>
        </is>
      </c>
      <c r="E1733" s="3" t="inlineStr">
        <is>
          <t>Prince</t>
        </is>
      </c>
      <c r="F1733" s="3" t="inlineStr">
        <is>
          <t>Tee (CH 40)</t>
        </is>
      </c>
      <c r="H1733" s="3" t="inlineStr">
        <is>
          <t>Diameter</t>
        </is>
      </c>
      <c r="I1733" s="3" t="inlineStr">
        <is>
          <t>65 mm (2.5 inch)</t>
        </is>
      </c>
      <c r="Q1733" s="3" t="inlineStr">
        <is>
          <t>Manufacturer's Warranty</t>
        </is>
      </c>
      <c r="R1733" s="3" t="inlineStr">
        <is>
          <t>SIM105127</t>
        </is>
      </c>
      <c r="Y1733" s="3" t="inlineStr">
        <is>
          <t>PLB_PRNC_TEE_SCH40</t>
        </is>
      </c>
      <c r="Z1733" s="3" t="n">
        <v>3917</v>
      </c>
      <c r="AE1733" s="3" t="n">
        <v>808</v>
      </c>
      <c r="AF1733" s="4" t="n">
        <v>0.37</v>
      </c>
      <c r="AG1733" s="3">
        <f>ROUND(AE1733-(AE1733*AF1733),2)</f>
        <v/>
      </c>
      <c r="AH1733" s="4" t="n">
        <v>0.18</v>
      </c>
      <c r="AI1733" s="3">
        <f>ROUND(AG1733+(AG1733*AH1733),2)</f>
        <v/>
      </c>
      <c r="AJ1733" s="4" t="n">
        <v>0.15</v>
      </c>
      <c r="AK1733" s="3">
        <f>ROUND(AI1733*AJ1733,2)</f>
        <v/>
      </c>
      <c r="AL1733" s="3">
        <f>AI1733+AK1733</f>
        <v/>
      </c>
      <c r="AM1733" s="3">
        <f>AE1733-AL1733</f>
        <v/>
      </c>
      <c r="AN1733" s="4">
        <f>AM1733/AE1733</f>
        <v/>
      </c>
      <c r="AO1733" s="3" t="inlineStr">
        <is>
          <t>60 mins</t>
        </is>
      </c>
      <c r="AQ1733" s="3" t="inlineStr">
        <is>
          <t>Weight</t>
        </is>
      </c>
      <c r="AT1733" s="3" t="inlineStr">
        <is>
          <t>Inactive</t>
        </is>
      </c>
    </row>
    <row r="1734" ht="15.75" customHeight="1">
      <c r="A1734" s="3" t="inlineStr">
        <is>
          <t>PROD_0321</t>
        </is>
      </c>
      <c r="B1734" s="3" t="inlineStr">
        <is>
          <t>VAR_2</t>
        </is>
      </c>
      <c r="C1734" s="3" t="inlineStr">
        <is>
          <t>Plumbing</t>
        </is>
      </c>
      <c r="D1734" s="3" t="inlineStr">
        <is>
          <t>Bends &amp; Connectors</t>
        </is>
      </c>
      <c r="E1734" s="3" t="inlineStr">
        <is>
          <t>Prince</t>
        </is>
      </c>
      <c r="F1734" s="3" t="inlineStr">
        <is>
          <t>Tee (CH 40)</t>
        </is>
      </c>
      <c r="H1734" s="3" t="inlineStr">
        <is>
          <t>Diameter</t>
        </is>
      </c>
      <c r="I1734" s="3" t="inlineStr">
        <is>
          <t>80 mm (3 inch)</t>
        </is>
      </c>
      <c r="Q1734" s="3" t="inlineStr">
        <is>
          <t>Manufacturer's Warranty</t>
        </is>
      </c>
      <c r="R1734" s="3" t="inlineStr">
        <is>
          <t>SIM105128</t>
        </is>
      </c>
      <c r="Y1734" s="3" t="inlineStr">
        <is>
          <t>PLB_PRNC_TEE_SCH40</t>
        </is>
      </c>
      <c r="Z1734" s="3" t="n">
        <v>3917</v>
      </c>
      <c r="AE1734" s="3" t="n">
        <v>1150</v>
      </c>
      <c r="AF1734" s="4" t="n">
        <v>0.37</v>
      </c>
      <c r="AG1734" s="3">
        <f>ROUND(AE1734-(AE1734*AF1734),2)</f>
        <v/>
      </c>
      <c r="AH1734" s="4" t="n">
        <v>0.18</v>
      </c>
      <c r="AI1734" s="3">
        <f>ROUND(AG1734+(AG1734*AH1734),2)</f>
        <v/>
      </c>
      <c r="AJ1734" s="4" t="n">
        <v>0.15</v>
      </c>
      <c r="AK1734" s="3">
        <f>ROUND(AI1734*AJ1734,2)</f>
        <v/>
      </c>
      <c r="AL1734" s="3">
        <f>AI1734+AK1734</f>
        <v/>
      </c>
      <c r="AM1734" s="3">
        <f>AE1734-AL1734</f>
        <v/>
      </c>
      <c r="AN1734" s="4">
        <f>AM1734/AE1734</f>
        <v/>
      </c>
      <c r="AO1734" s="3" t="inlineStr">
        <is>
          <t>60 mins</t>
        </is>
      </c>
      <c r="AQ1734" s="3" t="inlineStr">
        <is>
          <t>Weight</t>
        </is>
      </c>
      <c r="AT1734" s="3" t="inlineStr">
        <is>
          <t>Inactive</t>
        </is>
      </c>
    </row>
    <row r="1735" ht="15.75" customHeight="1">
      <c r="A1735" s="3" t="inlineStr">
        <is>
          <t>PROD_0321</t>
        </is>
      </c>
      <c r="B1735" s="3" t="inlineStr">
        <is>
          <t>VAR_3</t>
        </is>
      </c>
      <c r="C1735" s="3" t="inlineStr">
        <is>
          <t>Plumbing</t>
        </is>
      </c>
      <c r="D1735" s="3" t="inlineStr">
        <is>
          <t>Bends &amp; Connectors</t>
        </is>
      </c>
      <c r="E1735" s="3" t="inlineStr">
        <is>
          <t>Prince</t>
        </is>
      </c>
      <c r="F1735" s="3" t="inlineStr">
        <is>
          <t>Tee (CH 40)</t>
        </is>
      </c>
      <c r="H1735" s="3" t="inlineStr">
        <is>
          <t>Diameter</t>
        </is>
      </c>
      <c r="I1735" s="3" t="inlineStr">
        <is>
          <t>100 mm (4 inch)</t>
        </is>
      </c>
      <c r="Q1735" s="3" t="inlineStr">
        <is>
          <t>Manufacturer's Warranty</t>
        </is>
      </c>
      <c r="R1735" s="3" t="inlineStr">
        <is>
          <t>SIM105129</t>
        </is>
      </c>
      <c r="Y1735" s="3" t="inlineStr">
        <is>
          <t>PLB_PRNC_TEE_SCH40</t>
        </is>
      </c>
      <c r="Z1735" s="3" t="n">
        <v>3917</v>
      </c>
      <c r="AE1735" s="3" t="n">
        <v>1974</v>
      </c>
      <c r="AF1735" s="4" t="n">
        <v>0.37</v>
      </c>
      <c r="AG1735" s="3">
        <f>ROUND(AE1735-(AE1735*AF1735),2)</f>
        <v/>
      </c>
      <c r="AH1735" s="4" t="n">
        <v>0.18</v>
      </c>
      <c r="AI1735" s="3">
        <f>ROUND(AG1735+(AG1735*AH1735),2)</f>
        <v/>
      </c>
      <c r="AJ1735" s="4" t="n">
        <v>0.15</v>
      </c>
      <c r="AK1735" s="3">
        <f>ROUND(AI1735*AJ1735,2)</f>
        <v/>
      </c>
      <c r="AL1735" s="3">
        <f>AI1735+AK1735</f>
        <v/>
      </c>
      <c r="AM1735" s="3">
        <f>AE1735-AL1735</f>
        <v/>
      </c>
      <c r="AN1735" s="4">
        <f>AM1735/AE1735</f>
        <v/>
      </c>
      <c r="AO1735" s="3" t="inlineStr">
        <is>
          <t>60 mins</t>
        </is>
      </c>
      <c r="AQ1735" s="3" t="inlineStr">
        <is>
          <t>Weight</t>
        </is>
      </c>
      <c r="AT1735" s="3" t="inlineStr">
        <is>
          <t>Inactive</t>
        </is>
      </c>
    </row>
    <row r="1736" ht="15.75" customHeight="1">
      <c r="A1736" s="3" t="inlineStr">
        <is>
          <t>PROD_0321</t>
        </is>
      </c>
      <c r="B1736" s="3" t="inlineStr">
        <is>
          <t>VAR_4</t>
        </is>
      </c>
      <c r="C1736" s="3" t="inlineStr">
        <is>
          <t>Plumbing</t>
        </is>
      </c>
      <c r="D1736" s="3" t="inlineStr">
        <is>
          <t>Bends &amp; Connectors</t>
        </is>
      </c>
      <c r="E1736" s="3" t="inlineStr">
        <is>
          <t>Prince</t>
        </is>
      </c>
      <c r="F1736" s="3" t="inlineStr">
        <is>
          <t>Tee (CH 40)</t>
        </is>
      </c>
      <c r="H1736" s="3" t="inlineStr">
        <is>
          <t>Diameter</t>
        </is>
      </c>
      <c r="I1736" s="3" t="inlineStr">
        <is>
          <t>150 mm (6 inch)</t>
        </is>
      </c>
      <c r="Q1736" s="3" t="inlineStr">
        <is>
          <t>Manufacturer's Warranty</t>
        </is>
      </c>
      <c r="R1736" s="3" t="inlineStr">
        <is>
          <t>SIM105109</t>
        </is>
      </c>
      <c r="Y1736" s="3" t="inlineStr">
        <is>
          <t>PLB_PRNC_TEE_SCH40</t>
        </is>
      </c>
      <c r="Z1736" s="3" t="n">
        <v>3917</v>
      </c>
      <c r="AE1736" s="3" t="n">
        <v>3883</v>
      </c>
      <c r="AF1736" s="4" t="n">
        <v>0.37</v>
      </c>
      <c r="AG1736" s="3">
        <f>ROUND(AE1736-(AE1736*AF1736),2)</f>
        <v/>
      </c>
      <c r="AH1736" s="4" t="n">
        <v>0.18</v>
      </c>
      <c r="AI1736" s="3">
        <f>ROUND(AG1736+(AG1736*AH1736),2)</f>
        <v/>
      </c>
      <c r="AJ1736" s="4" t="n">
        <v>0.15</v>
      </c>
      <c r="AK1736" s="3">
        <f>ROUND(AI1736*AJ1736,2)</f>
        <v/>
      </c>
      <c r="AL1736" s="3">
        <f>AI1736+AK1736</f>
        <v/>
      </c>
      <c r="AM1736" s="3">
        <f>AE1736-AL1736</f>
        <v/>
      </c>
      <c r="AN1736" s="4">
        <f>AM1736/AE1736</f>
        <v/>
      </c>
      <c r="AO1736" s="3" t="inlineStr">
        <is>
          <t>60 mins</t>
        </is>
      </c>
      <c r="AQ1736" s="3" t="inlineStr">
        <is>
          <t>Weight</t>
        </is>
      </c>
      <c r="AT1736" s="3" t="inlineStr">
        <is>
          <t>Inactive</t>
        </is>
      </c>
    </row>
    <row r="1737" ht="15.75" customHeight="1">
      <c r="A1737" s="3" t="inlineStr">
        <is>
          <t>PROD_0322</t>
        </is>
      </c>
      <c r="B1737" s="3" t="inlineStr">
        <is>
          <t>VAR_1</t>
        </is>
      </c>
      <c r="C1737" s="3" t="inlineStr">
        <is>
          <t>Plumbing</t>
        </is>
      </c>
      <c r="D1737" s="3" t="inlineStr">
        <is>
          <t>Bends &amp; Connectors</t>
        </is>
      </c>
      <c r="E1737" s="3" t="inlineStr">
        <is>
          <t>Prince</t>
        </is>
      </c>
      <c r="F1737" s="3" t="inlineStr">
        <is>
          <t>Coupler (SCH 40)</t>
        </is>
      </c>
      <c r="H1737" s="3" t="inlineStr">
        <is>
          <t>Diameter</t>
        </is>
      </c>
      <c r="I1737" s="3" t="inlineStr">
        <is>
          <t>65 mm (2.5 inch)</t>
        </is>
      </c>
      <c r="Q1737" s="3" t="inlineStr">
        <is>
          <t>Manufacturer's Warranty</t>
        </is>
      </c>
      <c r="R1737" s="3" t="inlineStr">
        <is>
          <t>SIM105121</t>
        </is>
      </c>
      <c r="Y1737" s="3" t="inlineStr">
        <is>
          <t>PLB_PRNC_CPLR_40</t>
        </is>
      </c>
      <c r="Z1737" s="3" t="n">
        <v>3917</v>
      </c>
      <c r="AE1737" s="3" t="n">
        <v>347</v>
      </c>
      <c r="AF1737" s="4" t="n">
        <v>0.37</v>
      </c>
      <c r="AG1737" s="3">
        <f>ROUND(AE1737-(AE1737*AF1737),2)</f>
        <v/>
      </c>
      <c r="AH1737" s="4" t="n">
        <v>0.18</v>
      </c>
      <c r="AI1737" s="3">
        <f>ROUND(AG1737+(AG1737*AH1737),2)</f>
        <v/>
      </c>
      <c r="AJ1737" s="4" t="n">
        <v>0.15</v>
      </c>
      <c r="AK1737" s="3">
        <f>ROUND(AI1737*AJ1737,2)</f>
        <v/>
      </c>
      <c r="AL1737" s="3">
        <f>AI1737+AK1737</f>
        <v/>
      </c>
      <c r="AM1737" s="3">
        <f>AE1737-AL1737</f>
        <v/>
      </c>
      <c r="AN1737" s="4">
        <f>AM1737/AE1737</f>
        <v/>
      </c>
      <c r="AO1737" s="3" t="inlineStr">
        <is>
          <t>60 mins</t>
        </is>
      </c>
      <c r="AQ1737" s="3" t="inlineStr">
        <is>
          <t>Weight</t>
        </is>
      </c>
      <c r="AT1737" s="3" t="inlineStr">
        <is>
          <t>Inactive</t>
        </is>
      </c>
    </row>
    <row r="1738" ht="15.75" customHeight="1">
      <c r="A1738" s="3" t="inlineStr">
        <is>
          <t>PROD_0322</t>
        </is>
      </c>
      <c r="B1738" s="3" t="inlineStr">
        <is>
          <t>VAR_2</t>
        </is>
      </c>
      <c r="C1738" s="3" t="inlineStr">
        <is>
          <t>Plumbing</t>
        </is>
      </c>
      <c r="D1738" s="3" t="inlineStr">
        <is>
          <t>Bends &amp; Connectors</t>
        </is>
      </c>
      <c r="E1738" s="3" t="inlineStr">
        <is>
          <t>Prince</t>
        </is>
      </c>
      <c r="F1738" s="3" t="inlineStr">
        <is>
          <t>Coupler (SCH 40)</t>
        </is>
      </c>
      <c r="H1738" s="3" t="inlineStr">
        <is>
          <t>Diameter</t>
        </is>
      </c>
      <c r="I1738" s="3" t="inlineStr">
        <is>
          <t>80 mm (3 inch)</t>
        </is>
      </c>
      <c r="Q1738" s="3" t="inlineStr">
        <is>
          <t>Manufacturer's Warranty</t>
        </is>
      </c>
      <c r="R1738" s="3" t="inlineStr">
        <is>
          <t>SIM105122</t>
        </is>
      </c>
      <c r="Y1738" s="3" t="inlineStr">
        <is>
          <t>PLB_PRNC_CPLR_40</t>
        </is>
      </c>
      <c r="Z1738" s="3" t="n">
        <v>3917</v>
      </c>
      <c r="AE1738" s="3" t="n">
        <v>462</v>
      </c>
      <c r="AF1738" s="4" t="n">
        <v>0.37</v>
      </c>
      <c r="AG1738" s="3">
        <f>ROUND(AE1738-(AE1738*AF1738),2)</f>
        <v/>
      </c>
      <c r="AH1738" s="4" t="n">
        <v>0.18</v>
      </c>
      <c r="AI1738" s="3">
        <f>ROUND(AG1738+(AG1738*AH1738),2)</f>
        <v/>
      </c>
      <c r="AJ1738" s="4" t="n">
        <v>0.15</v>
      </c>
      <c r="AK1738" s="3">
        <f>ROUND(AI1738*AJ1738,2)</f>
        <v/>
      </c>
      <c r="AL1738" s="3">
        <f>AI1738+AK1738</f>
        <v/>
      </c>
      <c r="AM1738" s="3">
        <f>AE1738-AL1738</f>
        <v/>
      </c>
      <c r="AN1738" s="4">
        <f>AM1738/AE1738</f>
        <v/>
      </c>
      <c r="AO1738" s="3" t="inlineStr">
        <is>
          <t>60 mins</t>
        </is>
      </c>
      <c r="AQ1738" s="3" t="inlineStr">
        <is>
          <t>Weight</t>
        </is>
      </c>
      <c r="AT1738" s="3" t="inlineStr">
        <is>
          <t>Inactive</t>
        </is>
      </c>
    </row>
    <row r="1739" ht="15.75" customHeight="1">
      <c r="A1739" s="3" t="inlineStr">
        <is>
          <t>PROD_0322</t>
        </is>
      </c>
      <c r="B1739" s="3" t="inlineStr">
        <is>
          <t>VAR_3</t>
        </is>
      </c>
      <c r="C1739" s="3" t="inlineStr">
        <is>
          <t>Plumbing</t>
        </is>
      </c>
      <c r="D1739" s="3" t="inlineStr">
        <is>
          <t>Bends &amp; Connectors</t>
        </is>
      </c>
      <c r="E1739" s="3" t="inlineStr">
        <is>
          <t>Prince</t>
        </is>
      </c>
      <c r="F1739" s="3" t="inlineStr">
        <is>
          <t>Coupler (SCH 40)</t>
        </is>
      </c>
      <c r="H1739" s="3" t="inlineStr">
        <is>
          <t>Diameter</t>
        </is>
      </c>
      <c r="I1739" s="3" t="inlineStr">
        <is>
          <t>100 mm (4 inch)</t>
        </is>
      </c>
      <c r="Q1739" s="3" t="inlineStr">
        <is>
          <t>Manufacturer's Warranty</t>
        </is>
      </c>
      <c r="R1739" s="3" t="inlineStr">
        <is>
          <t>SIM105123</t>
        </is>
      </c>
      <c r="Y1739" s="3" t="inlineStr">
        <is>
          <t>PLB_PRNC_CPLR_40</t>
        </is>
      </c>
      <c r="Z1739" s="3" t="n">
        <v>3917</v>
      </c>
      <c r="AE1739" s="3" t="n">
        <v>740</v>
      </c>
      <c r="AF1739" s="4" t="n">
        <v>0.37</v>
      </c>
      <c r="AG1739" s="3">
        <f>ROUND(AE1739-(AE1739*AF1739),2)</f>
        <v/>
      </c>
      <c r="AH1739" s="4" t="n">
        <v>0.18</v>
      </c>
      <c r="AI1739" s="3">
        <f>ROUND(AG1739+(AG1739*AH1739),2)</f>
        <v/>
      </c>
      <c r="AJ1739" s="4" t="n">
        <v>0.15</v>
      </c>
      <c r="AK1739" s="3">
        <f>ROUND(AI1739*AJ1739,2)</f>
        <v/>
      </c>
      <c r="AL1739" s="3">
        <f>AI1739+AK1739</f>
        <v/>
      </c>
      <c r="AM1739" s="3">
        <f>AE1739-AL1739</f>
        <v/>
      </c>
      <c r="AN1739" s="4">
        <f>AM1739/AE1739</f>
        <v/>
      </c>
      <c r="AO1739" s="3" t="inlineStr">
        <is>
          <t>60 mins</t>
        </is>
      </c>
      <c r="AQ1739" s="3" t="inlineStr">
        <is>
          <t>Weight</t>
        </is>
      </c>
      <c r="AT1739" s="3" t="inlineStr">
        <is>
          <t>Inactive</t>
        </is>
      </c>
    </row>
    <row r="1740" ht="15.75" customHeight="1">
      <c r="A1740" s="3" t="inlineStr">
        <is>
          <t>PROD_0322</t>
        </is>
      </c>
      <c r="B1740" s="3" t="inlineStr">
        <is>
          <t>VAR_4</t>
        </is>
      </c>
      <c r="C1740" s="3" t="inlineStr">
        <is>
          <t>Plumbing</t>
        </is>
      </c>
      <c r="D1740" s="3" t="inlineStr">
        <is>
          <t>Bends &amp; Connectors</t>
        </is>
      </c>
      <c r="E1740" s="3" t="inlineStr">
        <is>
          <t>Prince</t>
        </is>
      </c>
      <c r="F1740" s="3" t="inlineStr">
        <is>
          <t>Coupler (SCH 40)</t>
        </is>
      </c>
      <c r="H1740" s="3" t="inlineStr">
        <is>
          <t>Diameter</t>
        </is>
      </c>
      <c r="I1740" s="3" t="inlineStr">
        <is>
          <t>150 mm (6 inch)</t>
        </is>
      </c>
      <c r="Q1740" s="3" t="inlineStr">
        <is>
          <t>Manufacturer's Warranty</t>
        </is>
      </c>
      <c r="R1740" s="3" t="inlineStr">
        <is>
          <t>SIM105106</t>
        </is>
      </c>
      <c r="Y1740" s="3" t="inlineStr">
        <is>
          <t>PLB_PRNC_CPLR_40</t>
        </is>
      </c>
      <c r="Z1740" s="3" t="n">
        <v>3917</v>
      </c>
      <c r="AE1740" s="3" t="n">
        <v>1552</v>
      </c>
      <c r="AF1740" s="4" t="n">
        <v>0.37</v>
      </c>
      <c r="AG1740" s="3">
        <f>ROUND(AE1740-(AE1740*AF1740),2)</f>
        <v/>
      </c>
      <c r="AH1740" s="4" t="n">
        <v>0.18</v>
      </c>
      <c r="AI1740" s="3">
        <f>ROUND(AG1740+(AG1740*AH1740),2)</f>
        <v/>
      </c>
      <c r="AJ1740" s="4" t="n">
        <v>0.15</v>
      </c>
      <c r="AK1740" s="3">
        <f>ROUND(AI1740*AJ1740,2)</f>
        <v/>
      </c>
      <c r="AL1740" s="3">
        <f>AI1740+AK1740</f>
        <v/>
      </c>
      <c r="AM1740" s="3">
        <f>AE1740-AL1740</f>
        <v/>
      </c>
      <c r="AN1740" s="4">
        <f>AM1740/AE1740</f>
        <v/>
      </c>
      <c r="AO1740" s="3" t="inlineStr">
        <is>
          <t>60 mins</t>
        </is>
      </c>
      <c r="AQ1740" s="3" t="inlineStr">
        <is>
          <t>Weight</t>
        </is>
      </c>
      <c r="AT1740" s="3" t="inlineStr">
        <is>
          <t>Inactive</t>
        </is>
      </c>
    </row>
    <row r="1741" ht="15.75" customHeight="1">
      <c r="A1741" s="3" t="inlineStr">
        <is>
          <t>PROD_0323</t>
        </is>
      </c>
      <c r="B1741" s="3" t="inlineStr">
        <is>
          <t>VAR_1</t>
        </is>
      </c>
      <c r="C1741" s="3" t="inlineStr">
        <is>
          <t>Plumbing</t>
        </is>
      </c>
      <c r="D1741" s="3" t="inlineStr">
        <is>
          <t>Bends &amp; Connectors</t>
        </is>
      </c>
      <c r="E1741" s="3" t="inlineStr">
        <is>
          <t>Prince</t>
        </is>
      </c>
      <c r="F1741" s="3" t="inlineStr">
        <is>
          <t>Elbow 45˚ (SDR 11)</t>
        </is>
      </c>
      <c r="H1741" s="3" t="inlineStr">
        <is>
          <t>Diameter</t>
        </is>
      </c>
      <c r="I1741" s="3" t="inlineStr">
        <is>
          <t>15 mm (.5 inch)</t>
        </is>
      </c>
      <c r="Q1741" s="3" t="inlineStr">
        <is>
          <t>Manufacturer's Warranty</t>
        </is>
      </c>
      <c r="R1741" s="3" t="inlineStr">
        <is>
          <t>SIM105004</t>
        </is>
      </c>
      <c r="Y1741" s="3" t="inlineStr">
        <is>
          <t>PLB_PRNC_ELBW_45</t>
        </is>
      </c>
      <c r="Z1741" s="3" t="n">
        <v>3917</v>
      </c>
      <c r="AE1741" s="3" t="n">
        <v>18</v>
      </c>
      <c r="AF1741" s="4" t="n">
        <v>0.37</v>
      </c>
      <c r="AG1741" s="3">
        <f>ROUND(AE1741-(AE1741*AF1741),2)</f>
        <v/>
      </c>
      <c r="AH1741" s="4" t="n">
        <v>0.18</v>
      </c>
      <c r="AI1741" s="3">
        <f>ROUND(AG1741+(AG1741*AH1741),2)</f>
        <v/>
      </c>
      <c r="AJ1741" s="4" t="n">
        <v>0.15</v>
      </c>
      <c r="AK1741" s="3">
        <f>ROUND(AI1741*AJ1741,2)</f>
        <v/>
      </c>
      <c r="AL1741" s="3">
        <f>AI1741+AK1741</f>
        <v/>
      </c>
      <c r="AM1741" s="3">
        <f>AE1741-AL1741</f>
        <v/>
      </c>
      <c r="AN1741" s="4">
        <f>AM1741/AE1741</f>
        <v/>
      </c>
      <c r="AO1741" s="3" t="inlineStr">
        <is>
          <t>60 mins</t>
        </is>
      </c>
      <c r="AQ1741" s="3" t="inlineStr">
        <is>
          <t>Weight</t>
        </is>
      </c>
      <c r="AT1741" s="3" t="inlineStr">
        <is>
          <t>Inactive</t>
        </is>
      </c>
    </row>
    <row r="1742" ht="15.75" customHeight="1">
      <c r="A1742" s="3" t="inlineStr">
        <is>
          <t>PROD_0323</t>
        </is>
      </c>
      <c r="B1742" s="3" t="inlineStr">
        <is>
          <t>VAR_2</t>
        </is>
      </c>
      <c r="C1742" s="3" t="inlineStr">
        <is>
          <t>Plumbing</t>
        </is>
      </c>
      <c r="D1742" s="3" t="inlineStr">
        <is>
          <t>Bends &amp; Connectors</t>
        </is>
      </c>
      <c r="E1742" s="3" t="inlineStr">
        <is>
          <t>Prince</t>
        </is>
      </c>
      <c r="F1742" s="3" t="inlineStr">
        <is>
          <t>Elbow 45˚ (SDR 11)</t>
        </is>
      </c>
      <c r="H1742" s="3" t="inlineStr">
        <is>
          <t>Diameter</t>
        </is>
      </c>
      <c r="I1742" s="3" t="inlineStr">
        <is>
          <t>20 mm (.75 inch)</t>
        </is>
      </c>
      <c r="Q1742" s="3" t="inlineStr">
        <is>
          <t>Manufacturer's Warranty</t>
        </is>
      </c>
      <c r="R1742" s="3" t="inlineStr">
        <is>
          <t>SIM105005</t>
        </is>
      </c>
      <c r="Y1742" s="3" t="inlineStr">
        <is>
          <t>PLB_PRNC_ELBW_45</t>
        </is>
      </c>
      <c r="Z1742" s="3" t="n">
        <v>3917</v>
      </c>
      <c r="AE1742" s="3" t="n">
        <v>19</v>
      </c>
      <c r="AF1742" s="4" t="n">
        <v>0.37</v>
      </c>
      <c r="AG1742" s="3">
        <f>ROUND(AE1742-(AE1742*AF1742),2)</f>
        <v/>
      </c>
      <c r="AH1742" s="4" t="n">
        <v>0.18</v>
      </c>
      <c r="AI1742" s="3">
        <f>ROUND(AG1742+(AG1742*AH1742),2)</f>
        <v/>
      </c>
      <c r="AJ1742" s="4" t="n">
        <v>0.15</v>
      </c>
      <c r="AK1742" s="3">
        <f>ROUND(AI1742*AJ1742,2)</f>
        <v/>
      </c>
      <c r="AL1742" s="3">
        <f>AI1742+AK1742</f>
        <v/>
      </c>
      <c r="AM1742" s="3">
        <f>AE1742-AL1742</f>
        <v/>
      </c>
      <c r="AN1742" s="4">
        <f>AM1742/AE1742</f>
        <v/>
      </c>
      <c r="AO1742" s="3" t="inlineStr">
        <is>
          <t>60 mins</t>
        </is>
      </c>
      <c r="AQ1742" s="3" t="inlineStr">
        <is>
          <t>Weight</t>
        </is>
      </c>
      <c r="AT1742" s="3" t="inlineStr">
        <is>
          <t>Inactive</t>
        </is>
      </c>
    </row>
    <row r="1743" ht="15.75" customHeight="1">
      <c r="A1743" s="3" t="inlineStr">
        <is>
          <t>PROD_0323</t>
        </is>
      </c>
      <c r="B1743" s="3" t="inlineStr">
        <is>
          <t>VAR_3</t>
        </is>
      </c>
      <c r="C1743" s="3" t="inlineStr">
        <is>
          <t>Plumbing</t>
        </is>
      </c>
      <c r="D1743" s="3" t="inlineStr">
        <is>
          <t>Bends &amp; Connectors</t>
        </is>
      </c>
      <c r="E1743" s="3" t="inlineStr">
        <is>
          <t>Prince</t>
        </is>
      </c>
      <c r="F1743" s="3" t="inlineStr">
        <is>
          <t>Elbow 45˚ (SDR 11)</t>
        </is>
      </c>
      <c r="H1743" s="3" t="inlineStr">
        <is>
          <t>Diameter</t>
        </is>
      </c>
      <c r="I1743" s="3" t="inlineStr">
        <is>
          <t>25 mm (1 inch)</t>
        </is>
      </c>
      <c r="Q1743" s="3" t="inlineStr">
        <is>
          <t>Manufacturer's Warranty</t>
        </is>
      </c>
      <c r="R1743" s="3" t="inlineStr">
        <is>
          <t>SIM105006</t>
        </is>
      </c>
      <c r="Y1743" s="3" t="inlineStr">
        <is>
          <t>PLB_PRNC_ELBW_45</t>
        </is>
      </c>
      <c r="Z1743" s="3" t="n">
        <v>3917</v>
      </c>
      <c r="AE1743" s="3" t="n">
        <v>37</v>
      </c>
      <c r="AF1743" s="4" t="n">
        <v>0.37</v>
      </c>
      <c r="AG1743" s="3">
        <f>ROUND(AE1743-(AE1743*AF1743),2)</f>
        <v/>
      </c>
      <c r="AH1743" s="4" t="n">
        <v>0.18</v>
      </c>
      <c r="AI1743" s="3">
        <f>ROUND(AG1743+(AG1743*AH1743),2)</f>
        <v/>
      </c>
      <c r="AJ1743" s="4" t="n">
        <v>0.15</v>
      </c>
      <c r="AK1743" s="3">
        <f>ROUND(AI1743*AJ1743,2)</f>
        <v/>
      </c>
      <c r="AL1743" s="3">
        <f>AI1743+AK1743</f>
        <v/>
      </c>
      <c r="AM1743" s="3">
        <f>AE1743-AL1743</f>
        <v/>
      </c>
      <c r="AN1743" s="4">
        <f>AM1743/AE1743</f>
        <v/>
      </c>
      <c r="AO1743" s="3" t="inlineStr">
        <is>
          <t>60 mins</t>
        </is>
      </c>
      <c r="AQ1743" s="3" t="inlineStr">
        <is>
          <t>Weight</t>
        </is>
      </c>
      <c r="AT1743" s="3" t="inlineStr">
        <is>
          <t>Inactive</t>
        </is>
      </c>
    </row>
    <row r="1744" ht="15.75" customHeight="1">
      <c r="A1744" s="3" t="inlineStr">
        <is>
          <t>PROD_0323</t>
        </is>
      </c>
      <c r="B1744" s="3" t="inlineStr">
        <is>
          <t>VAR_4</t>
        </is>
      </c>
      <c r="C1744" s="3" t="inlineStr">
        <is>
          <t>Plumbing</t>
        </is>
      </c>
      <c r="D1744" s="3" t="inlineStr">
        <is>
          <t>Bends &amp; Connectors</t>
        </is>
      </c>
      <c r="E1744" s="3" t="inlineStr">
        <is>
          <t>Prince</t>
        </is>
      </c>
      <c r="F1744" s="3" t="inlineStr">
        <is>
          <t>Elbow 45˚ (SDR 11)</t>
        </is>
      </c>
      <c r="H1744" s="3" t="inlineStr">
        <is>
          <t>Diameter</t>
        </is>
      </c>
      <c r="I1744" s="3" t="inlineStr">
        <is>
          <t>32 mm (1.25 inch)</t>
        </is>
      </c>
      <c r="Q1744" s="3" t="inlineStr">
        <is>
          <t>Manufacturer's Warranty</t>
        </is>
      </c>
      <c r="R1744" s="3" t="inlineStr">
        <is>
          <t xml:space="preserve">SIM105013 </t>
        </is>
      </c>
      <c r="Y1744" s="3" t="inlineStr">
        <is>
          <t>PLB_PRNC_ELBW_45</t>
        </is>
      </c>
      <c r="Z1744" s="3" t="n">
        <v>3917</v>
      </c>
      <c r="AE1744" s="3" t="n">
        <v>86</v>
      </c>
      <c r="AF1744" s="4" t="n">
        <v>0.37</v>
      </c>
      <c r="AG1744" s="3">
        <f>ROUND(AE1744-(AE1744*AF1744),2)</f>
        <v/>
      </c>
      <c r="AH1744" s="4" t="n">
        <v>0.18</v>
      </c>
      <c r="AI1744" s="3">
        <f>ROUND(AG1744+(AG1744*AH1744),2)</f>
        <v/>
      </c>
      <c r="AJ1744" s="4" t="n">
        <v>0.15</v>
      </c>
      <c r="AK1744" s="3">
        <f>ROUND(AI1744*AJ1744,2)</f>
        <v/>
      </c>
      <c r="AL1744" s="3">
        <f>AI1744+AK1744</f>
        <v/>
      </c>
      <c r="AM1744" s="3">
        <f>AE1744-AL1744</f>
        <v/>
      </c>
      <c r="AN1744" s="4">
        <f>AM1744/AE1744</f>
        <v/>
      </c>
      <c r="AO1744" s="3" t="inlineStr">
        <is>
          <t>60 mins</t>
        </is>
      </c>
      <c r="AQ1744" s="3" t="inlineStr">
        <is>
          <t>Weight</t>
        </is>
      </c>
      <c r="AT1744" s="3" t="inlineStr">
        <is>
          <t>Inactive</t>
        </is>
      </c>
    </row>
    <row r="1745" ht="15.75" customHeight="1">
      <c r="A1745" s="3" t="inlineStr">
        <is>
          <t>PROD_0323</t>
        </is>
      </c>
      <c r="B1745" s="3" t="inlineStr">
        <is>
          <t>VAR_5</t>
        </is>
      </c>
      <c r="C1745" s="3" t="inlineStr">
        <is>
          <t>Plumbing</t>
        </is>
      </c>
      <c r="D1745" s="3" t="inlineStr">
        <is>
          <t>Bends &amp; Connectors</t>
        </is>
      </c>
      <c r="E1745" s="3" t="inlineStr">
        <is>
          <t>Prince</t>
        </is>
      </c>
      <c r="F1745" s="3" t="inlineStr">
        <is>
          <t>Elbow 45˚ (SDR 11)</t>
        </is>
      </c>
      <c r="H1745" s="3" t="inlineStr">
        <is>
          <t>Diameter</t>
        </is>
      </c>
      <c r="I1745" s="3" t="inlineStr">
        <is>
          <t>40 mm (1.5 inch)</t>
        </is>
      </c>
      <c r="Q1745" s="3" t="inlineStr">
        <is>
          <t>Manufacturer's Warranty</t>
        </is>
      </c>
      <c r="R1745" s="3" t="inlineStr">
        <is>
          <t>SIM105014</t>
        </is>
      </c>
      <c r="Y1745" s="3" t="inlineStr">
        <is>
          <t>PLB_PRNC_ELBW_45</t>
        </is>
      </c>
      <c r="Z1745" s="3" t="n">
        <v>3917</v>
      </c>
      <c r="AE1745" s="3" t="n">
        <v>133</v>
      </c>
      <c r="AF1745" s="4" t="n">
        <v>0.37</v>
      </c>
      <c r="AG1745" s="3">
        <f>ROUND(AE1745-(AE1745*AF1745),2)</f>
        <v/>
      </c>
      <c r="AH1745" s="4" t="n">
        <v>0.18</v>
      </c>
      <c r="AI1745" s="3">
        <f>ROUND(AG1745+(AG1745*AH1745),2)</f>
        <v/>
      </c>
      <c r="AJ1745" s="4" t="n">
        <v>0.15</v>
      </c>
      <c r="AK1745" s="3">
        <f>ROUND(AI1745*AJ1745,2)</f>
        <v/>
      </c>
      <c r="AL1745" s="3">
        <f>AI1745+AK1745</f>
        <v/>
      </c>
      <c r="AM1745" s="3">
        <f>AE1745-AL1745</f>
        <v/>
      </c>
      <c r="AN1745" s="4">
        <f>AM1745/AE1745</f>
        <v/>
      </c>
      <c r="AO1745" s="3" t="inlineStr">
        <is>
          <t>60 mins</t>
        </is>
      </c>
      <c r="AQ1745" s="3" t="inlineStr">
        <is>
          <t>Weight</t>
        </is>
      </c>
      <c r="AT1745" s="3" t="inlineStr">
        <is>
          <t>Inactive</t>
        </is>
      </c>
    </row>
    <row r="1746" ht="15.75" customHeight="1">
      <c r="A1746" s="3" t="inlineStr">
        <is>
          <t>PROD_0323</t>
        </is>
      </c>
      <c r="B1746" s="3" t="inlineStr">
        <is>
          <t>VAR_6</t>
        </is>
      </c>
      <c r="C1746" s="3" t="inlineStr">
        <is>
          <t>Plumbing</t>
        </is>
      </c>
      <c r="D1746" s="3" t="inlineStr">
        <is>
          <t>Bends &amp; Connectors</t>
        </is>
      </c>
      <c r="E1746" s="3" t="inlineStr">
        <is>
          <t>Prince</t>
        </is>
      </c>
      <c r="F1746" s="3" t="inlineStr">
        <is>
          <t>Elbow 45˚ (SDR 11)</t>
        </is>
      </c>
      <c r="H1746" s="3" t="inlineStr">
        <is>
          <t>Diameter</t>
        </is>
      </c>
      <c r="I1746" s="3" t="inlineStr">
        <is>
          <t>50 mm (2 inch)</t>
        </is>
      </c>
      <c r="Q1746" s="3" t="inlineStr">
        <is>
          <t>Manufacturer's Warranty</t>
        </is>
      </c>
      <c r="R1746" s="3" t="inlineStr">
        <is>
          <t>SIM105015</t>
        </is>
      </c>
      <c r="Y1746" s="3" t="inlineStr">
        <is>
          <t>PLB_PRNC_ELBW_45</t>
        </is>
      </c>
      <c r="Z1746" s="3" t="n">
        <v>3917</v>
      </c>
      <c r="AE1746" s="3" t="n">
        <v>316</v>
      </c>
      <c r="AF1746" s="4" t="n">
        <v>0.37</v>
      </c>
      <c r="AG1746" s="3">
        <f>ROUND(AE1746-(AE1746*AF1746),2)</f>
        <v/>
      </c>
      <c r="AH1746" s="4" t="n">
        <v>0.18</v>
      </c>
      <c r="AI1746" s="3">
        <f>ROUND(AG1746+(AG1746*AH1746),2)</f>
        <v/>
      </c>
      <c r="AJ1746" s="4" t="n">
        <v>0.15</v>
      </c>
      <c r="AK1746" s="3">
        <f>ROUND(AI1746*AJ1746,2)</f>
        <v/>
      </c>
      <c r="AL1746" s="3">
        <f>AI1746+AK1746</f>
        <v/>
      </c>
      <c r="AM1746" s="3">
        <f>AE1746-AL1746</f>
        <v/>
      </c>
      <c r="AN1746" s="4">
        <f>AM1746/AE1746</f>
        <v/>
      </c>
      <c r="AO1746" s="3" t="inlineStr">
        <is>
          <t>60 mins</t>
        </is>
      </c>
      <c r="AQ1746" s="3" t="inlineStr">
        <is>
          <t>Weight</t>
        </is>
      </c>
      <c r="AT1746" s="3" t="inlineStr">
        <is>
          <t>Inactive</t>
        </is>
      </c>
    </row>
    <row r="1747" ht="15.75" customHeight="1">
      <c r="A1747" s="3" t="inlineStr">
        <is>
          <t>PROD_0323</t>
        </is>
      </c>
      <c r="B1747" s="3" t="inlineStr">
        <is>
          <t>VAR_7</t>
        </is>
      </c>
      <c r="C1747" s="3" t="inlineStr">
        <is>
          <t>Plumbing</t>
        </is>
      </c>
      <c r="D1747" s="3" t="inlineStr">
        <is>
          <t>Bends &amp; Connectors</t>
        </is>
      </c>
      <c r="E1747" s="3" t="inlineStr">
        <is>
          <t>Prince</t>
        </is>
      </c>
      <c r="F1747" s="3" t="inlineStr">
        <is>
          <t>Elbow 45˚ (SDR 11)</t>
        </is>
      </c>
      <c r="H1747" s="3" t="inlineStr">
        <is>
          <t>Diameter</t>
        </is>
      </c>
      <c r="I1747" s="3" t="inlineStr">
        <is>
          <t>65 mm (2.5 inch)</t>
        </is>
      </c>
      <c r="Q1747" s="3" t="inlineStr">
        <is>
          <t>Manufacturer's Warranty</t>
        </is>
      </c>
      <c r="R1747" s="3" t="inlineStr">
        <is>
          <t>SIM106720</t>
        </is>
      </c>
      <c r="Y1747" s="3" t="inlineStr">
        <is>
          <t>PLB_PRNC_ELBW_45</t>
        </is>
      </c>
      <c r="Z1747" s="3" t="n">
        <v>3917</v>
      </c>
      <c r="AE1747" s="3" t="n">
        <v>695</v>
      </c>
      <c r="AF1747" s="4" t="n">
        <v>0.37</v>
      </c>
      <c r="AG1747" s="3">
        <f>ROUND(AE1747-(AE1747*AF1747),2)</f>
        <v/>
      </c>
      <c r="AH1747" s="4" t="n">
        <v>0.18</v>
      </c>
      <c r="AI1747" s="3">
        <f>ROUND(AG1747+(AG1747*AH1747),2)</f>
        <v/>
      </c>
      <c r="AJ1747" s="4" t="n">
        <v>0.15</v>
      </c>
      <c r="AK1747" s="3">
        <f>ROUND(AI1747*AJ1747,2)</f>
        <v/>
      </c>
      <c r="AL1747" s="3">
        <f>AI1747+AK1747</f>
        <v/>
      </c>
      <c r="AM1747" s="3">
        <f>AE1747-AL1747</f>
        <v/>
      </c>
      <c r="AN1747" s="4">
        <f>AM1747/AE1747</f>
        <v/>
      </c>
      <c r="AO1747" s="3" t="inlineStr">
        <is>
          <t>60 mins</t>
        </is>
      </c>
      <c r="AQ1747" s="3" t="inlineStr">
        <is>
          <t>Weight</t>
        </is>
      </c>
      <c r="AT1747" s="3" t="inlineStr">
        <is>
          <t>Inactive</t>
        </is>
      </c>
    </row>
    <row r="1748" ht="15.75" customHeight="1">
      <c r="A1748" s="3" t="inlineStr">
        <is>
          <t>PROD_0323</t>
        </is>
      </c>
      <c r="B1748" s="3" t="inlineStr">
        <is>
          <t>VAR_8</t>
        </is>
      </c>
      <c r="C1748" s="3" t="inlineStr">
        <is>
          <t>Plumbing</t>
        </is>
      </c>
      <c r="D1748" s="3" t="inlineStr">
        <is>
          <t>Bends &amp; Connectors</t>
        </is>
      </c>
      <c r="E1748" s="3" t="inlineStr">
        <is>
          <t>Prince</t>
        </is>
      </c>
      <c r="F1748" s="3" t="inlineStr">
        <is>
          <t>Elbow 45˚ (SDR 11)</t>
        </is>
      </c>
      <c r="H1748" s="3" t="inlineStr">
        <is>
          <t>Diameter</t>
        </is>
      </c>
      <c r="I1748" s="3" t="inlineStr">
        <is>
          <t>80 mm (3 inch)</t>
        </is>
      </c>
      <c r="Q1748" s="3" t="inlineStr">
        <is>
          <t>Manufacturer's Warranty</t>
        </is>
      </c>
      <c r="R1748" s="3" t="inlineStr">
        <is>
          <t>SIM106721</t>
        </is>
      </c>
      <c r="Y1748" s="3" t="inlineStr">
        <is>
          <t>PLB_PRNC_ELBW_45</t>
        </is>
      </c>
      <c r="Z1748" s="3" t="n">
        <v>3917</v>
      </c>
      <c r="AE1748" s="3" t="n">
        <v>954</v>
      </c>
      <c r="AF1748" s="4" t="n">
        <v>0.37</v>
      </c>
      <c r="AG1748" s="3">
        <f>ROUND(AE1748-(AE1748*AF1748),2)</f>
        <v/>
      </c>
      <c r="AH1748" s="4" t="n">
        <v>0.18</v>
      </c>
      <c r="AI1748" s="3">
        <f>ROUND(AG1748+(AG1748*AH1748),2)</f>
        <v/>
      </c>
      <c r="AJ1748" s="4" t="n">
        <v>0.15</v>
      </c>
      <c r="AK1748" s="3">
        <f>ROUND(AI1748*AJ1748,2)</f>
        <v/>
      </c>
      <c r="AL1748" s="3">
        <f>AI1748+AK1748</f>
        <v/>
      </c>
      <c r="AM1748" s="3">
        <f>AE1748-AL1748</f>
        <v/>
      </c>
      <c r="AN1748" s="4">
        <f>AM1748/AE1748</f>
        <v/>
      </c>
      <c r="AO1748" s="3" t="inlineStr">
        <is>
          <t>60 mins</t>
        </is>
      </c>
      <c r="AQ1748" s="3" t="inlineStr">
        <is>
          <t>Weight</t>
        </is>
      </c>
      <c r="AT1748" s="3" t="inlineStr">
        <is>
          <t>Inactive</t>
        </is>
      </c>
    </row>
    <row r="1749" ht="15.75" customHeight="1">
      <c r="A1749" s="3" t="inlineStr">
        <is>
          <t>PROD_0323</t>
        </is>
      </c>
      <c r="B1749" s="3" t="inlineStr">
        <is>
          <t>VAR_9</t>
        </is>
      </c>
      <c r="C1749" s="3" t="inlineStr">
        <is>
          <t>Plumbing</t>
        </is>
      </c>
      <c r="D1749" s="3" t="inlineStr">
        <is>
          <t>Bends &amp; Connectors</t>
        </is>
      </c>
      <c r="E1749" s="3" t="inlineStr">
        <is>
          <t>Prince</t>
        </is>
      </c>
      <c r="F1749" s="3" t="inlineStr">
        <is>
          <t>Elbow 45˚ (SDR 11)</t>
        </is>
      </c>
      <c r="H1749" s="3" t="inlineStr">
        <is>
          <t>Diameter</t>
        </is>
      </c>
      <c r="I1749" s="3" t="inlineStr">
        <is>
          <t>100 mm (4 inch)</t>
        </is>
      </c>
      <c r="Q1749" s="3" t="inlineStr">
        <is>
          <t>Manufacturer's Warranty</t>
        </is>
      </c>
      <c r="R1749" s="3" t="inlineStr">
        <is>
          <t>SIM107086 -</t>
        </is>
      </c>
      <c r="Y1749" s="3" t="inlineStr">
        <is>
          <t>PLB_PRNC_ELBW_45</t>
        </is>
      </c>
      <c r="Z1749" s="3" t="n">
        <v>3917</v>
      </c>
      <c r="AE1749" s="3" t="n">
        <v>1993</v>
      </c>
      <c r="AF1749" s="4" t="n">
        <v>0.37</v>
      </c>
      <c r="AG1749" s="3">
        <f>ROUND(AE1749-(AE1749*AF1749),2)</f>
        <v/>
      </c>
      <c r="AH1749" s="4" t="n">
        <v>0.18</v>
      </c>
      <c r="AI1749" s="3">
        <f>ROUND(AG1749+(AG1749*AH1749),2)</f>
        <v/>
      </c>
      <c r="AJ1749" s="4" t="n">
        <v>0.15</v>
      </c>
      <c r="AK1749" s="3">
        <f>ROUND(AI1749*AJ1749,2)</f>
        <v/>
      </c>
      <c r="AL1749" s="3">
        <f>AI1749+AK1749</f>
        <v/>
      </c>
      <c r="AM1749" s="3">
        <f>AE1749-AL1749</f>
        <v/>
      </c>
      <c r="AN1749" s="4">
        <f>AM1749/AE1749</f>
        <v/>
      </c>
      <c r="AO1749" s="3" t="inlineStr">
        <is>
          <t>60 mins</t>
        </is>
      </c>
      <c r="AQ1749" s="3" t="inlineStr">
        <is>
          <t>Weight</t>
        </is>
      </c>
      <c r="AT1749" s="3" t="inlineStr">
        <is>
          <t>Inactive</t>
        </is>
      </c>
    </row>
    <row r="1750" ht="15.75" customHeight="1">
      <c r="A1750" s="3" t="inlineStr">
        <is>
          <t>PROD_0323</t>
        </is>
      </c>
      <c r="B1750" s="3" t="inlineStr">
        <is>
          <t>VAR_10</t>
        </is>
      </c>
      <c r="C1750" s="3" t="inlineStr">
        <is>
          <t>Plumbing</t>
        </is>
      </c>
      <c r="D1750" s="3" t="inlineStr">
        <is>
          <t>Bends &amp; Connectors</t>
        </is>
      </c>
      <c r="E1750" s="3" t="inlineStr">
        <is>
          <t>Prince</t>
        </is>
      </c>
      <c r="F1750" s="3" t="inlineStr">
        <is>
          <t>Elbow 45˚ (SDR 11)</t>
        </is>
      </c>
      <c r="H1750" s="3" t="inlineStr">
        <is>
          <t>Diameter</t>
        </is>
      </c>
      <c r="I1750" s="3" t="inlineStr">
        <is>
          <t>150 mm (6 inch)</t>
        </is>
      </c>
      <c r="Q1750" s="3" t="inlineStr">
        <is>
          <t>Manufacturer's Warranty</t>
        </is>
      </c>
      <c r="R1750" s="3" t="inlineStr">
        <is>
          <t>SIM107088</t>
        </is>
      </c>
      <c r="Y1750" s="3" t="inlineStr">
        <is>
          <t>PLB_PRNC_ELBW_45</t>
        </is>
      </c>
      <c r="Z1750" s="3" t="n">
        <v>3917</v>
      </c>
      <c r="AE1750" s="3" t="n">
        <v>3360</v>
      </c>
      <c r="AF1750" s="4" t="n">
        <v>0.37</v>
      </c>
      <c r="AG1750" s="3">
        <f>ROUND(AE1750-(AE1750*AF1750),2)</f>
        <v/>
      </c>
      <c r="AH1750" s="4" t="n">
        <v>0.18</v>
      </c>
      <c r="AI1750" s="3">
        <f>ROUND(AG1750+(AG1750*AH1750),2)</f>
        <v/>
      </c>
      <c r="AJ1750" s="4" t="n">
        <v>0.15</v>
      </c>
      <c r="AK1750" s="3">
        <f>ROUND(AI1750*AJ1750,2)</f>
        <v/>
      </c>
      <c r="AL1750" s="3">
        <f>AI1750+AK1750</f>
        <v/>
      </c>
      <c r="AM1750" s="3">
        <f>AE1750-AL1750</f>
        <v/>
      </c>
      <c r="AN1750" s="4">
        <f>AM1750/AE1750</f>
        <v/>
      </c>
      <c r="AO1750" s="3" t="inlineStr">
        <is>
          <t>60 mins</t>
        </is>
      </c>
      <c r="AQ1750" s="3" t="inlineStr">
        <is>
          <t>Weight</t>
        </is>
      </c>
      <c r="AT1750" s="3" t="inlineStr">
        <is>
          <t>Inactive</t>
        </is>
      </c>
    </row>
    <row r="1751" ht="15.75" customHeight="1">
      <c r="A1751" s="3" t="inlineStr">
        <is>
          <t>PROD_0323</t>
        </is>
      </c>
      <c r="B1751" s="3" t="inlineStr">
        <is>
          <t>VAR_11</t>
        </is>
      </c>
      <c r="C1751" s="3" t="inlineStr">
        <is>
          <t>Plumbing</t>
        </is>
      </c>
      <c r="D1751" s="3" t="inlineStr">
        <is>
          <t>Bends &amp; Connectors</t>
        </is>
      </c>
      <c r="E1751" s="3" t="inlineStr">
        <is>
          <t>Prince</t>
        </is>
      </c>
      <c r="F1751" s="3" t="inlineStr">
        <is>
          <t>Elbow 45˚ (SDR 11)</t>
        </is>
      </c>
      <c r="H1751" s="3" t="inlineStr">
        <is>
          <t>Diameter</t>
        </is>
      </c>
      <c r="I1751" s="3" t="inlineStr">
        <is>
          <t>200 mm (8 inch)</t>
        </is>
      </c>
      <c r="Q1751" s="3" t="inlineStr">
        <is>
          <t>Manufacturer's Warranty</t>
        </is>
      </c>
      <c r="R1751" s="3" t="inlineStr">
        <is>
          <t>SIM107023</t>
        </is>
      </c>
      <c r="Y1751" s="3" t="inlineStr">
        <is>
          <t>PLB_PRNC_ELBW_45</t>
        </is>
      </c>
      <c r="Z1751" s="3" t="n">
        <v>3917</v>
      </c>
      <c r="AE1751" s="3" t="n">
        <v>10139</v>
      </c>
      <c r="AF1751" s="4" t="n">
        <v>0.37</v>
      </c>
      <c r="AG1751" s="3">
        <f>ROUND(AE1751-(AE1751*AF1751),2)</f>
        <v/>
      </c>
      <c r="AH1751" s="4" t="n">
        <v>0.18</v>
      </c>
      <c r="AI1751" s="3">
        <f>ROUND(AG1751+(AG1751*AH1751),2)</f>
        <v/>
      </c>
      <c r="AJ1751" s="4" t="n">
        <v>0.15</v>
      </c>
      <c r="AK1751" s="3">
        <f>ROUND(AI1751*AJ1751,2)</f>
        <v/>
      </c>
      <c r="AL1751" s="3">
        <f>AI1751+AK1751</f>
        <v/>
      </c>
      <c r="AM1751" s="3">
        <f>AE1751-AL1751</f>
        <v/>
      </c>
      <c r="AN1751" s="4">
        <f>AM1751/AE1751</f>
        <v/>
      </c>
      <c r="AO1751" s="3" t="inlineStr">
        <is>
          <t>60 mins</t>
        </is>
      </c>
      <c r="AQ1751" s="3" t="inlineStr">
        <is>
          <t>Weight</t>
        </is>
      </c>
      <c r="AT1751" s="3" t="inlineStr">
        <is>
          <t>Inactive</t>
        </is>
      </c>
    </row>
    <row r="1752" ht="15.75" customHeight="1">
      <c r="A1752" s="3" t="inlineStr">
        <is>
          <t>PROD_0324</t>
        </is>
      </c>
      <c r="B1752" s="3" t="inlineStr">
        <is>
          <t>VAR_1</t>
        </is>
      </c>
      <c r="C1752" s="3" t="inlineStr">
        <is>
          <t>Plumbing</t>
        </is>
      </c>
      <c r="D1752" s="3" t="inlineStr">
        <is>
          <t>Bends &amp; Connectors</t>
        </is>
      </c>
      <c r="E1752" s="3" t="inlineStr">
        <is>
          <t>Prince</t>
        </is>
      </c>
      <c r="F1752" s="3" t="inlineStr">
        <is>
          <t>Union (SDR 11)</t>
        </is>
      </c>
      <c r="H1752" s="3" t="inlineStr">
        <is>
          <t>Diameter</t>
        </is>
      </c>
      <c r="I1752" s="3" t="inlineStr">
        <is>
          <t>15 mm (.5 inch)</t>
        </is>
      </c>
      <c r="Q1752" s="3" t="inlineStr">
        <is>
          <t>Manufacturer's Warranty</t>
        </is>
      </c>
      <c r="R1752" s="3" t="inlineStr">
        <is>
          <t>SIM105008</t>
        </is>
      </c>
      <c r="Y1752" s="3" t="inlineStr">
        <is>
          <t>PLB_PRNC_UNIN</t>
        </is>
      </c>
      <c r="Z1752" s="3" t="n">
        <v>3917</v>
      </c>
      <c r="AE1752" s="3" t="n">
        <v>59</v>
      </c>
      <c r="AF1752" s="4" t="n">
        <v>0.37</v>
      </c>
      <c r="AG1752" s="3">
        <f>ROUND(AE1752-(AE1752*AF1752),2)</f>
        <v/>
      </c>
      <c r="AH1752" s="4" t="n">
        <v>0.18</v>
      </c>
      <c r="AI1752" s="3">
        <f>ROUND(AG1752+(AG1752*AH1752),2)</f>
        <v/>
      </c>
      <c r="AJ1752" s="4" t="n">
        <v>0.15</v>
      </c>
      <c r="AK1752" s="3">
        <f>ROUND(AI1752*AJ1752,2)</f>
        <v/>
      </c>
      <c r="AL1752" s="3">
        <f>AI1752+AK1752</f>
        <v/>
      </c>
      <c r="AM1752" s="3">
        <f>AE1752-AL1752</f>
        <v/>
      </c>
      <c r="AN1752" s="4">
        <f>AM1752/AE1752</f>
        <v/>
      </c>
      <c r="AO1752" s="3" t="inlineStr">
        <is>
          <t>60 mins</t>
        </is>
      </c>
      <c r="AQ1752" s="3" t="inlineStr">
        <is>
          <t>Weight</t>
        </is>
      </c>
      <c r="AT1752" s="3" t="inlineStr">
        <is>
          <t>Inactive</t>
        </is>
      </c>
    </row>
    <row r="1753" ht="15.75" customHeight="1">
      <c r="A1753" s="3" t="inlineStr">
        <is>
          <t>PROD_0324</t>
        </is>
      </c>
      <c r="B1753" s="3" t="inlineStr">
        <is>
          <t>VAR_2</t>
        </is>
      </c>
      <c r="C1753" s="3" t="inlineStr">
        <is>
          <t>Plumbing</t>
        </is>
      </c>
      <c r="D1753" s="3" t="inlineStr">
        <is>
          <t>Bends &amp; Connectors</t>
        </is>
      </c>
      <c r="E1753" s="3" t="inlineStr">
        <is>
          <t>Prince</t>
        </is>
      </c>
      <c r="F1753" s="3" t="inlineStr">
        <is>
          <t>Union (SDR 11)</t>
        </is>
      </c>
      <c r="H1753" s="3" t="inlineStr">
        <is>
          <t>Diameter</t>
        </is>
      </c>
      <c r="I1753" s="3" t="inlineStr">
        <is>
          <t>20 mm (.75 inch)</t>
        </is>
      </c>
      <c r="Q1753" s="3" t="inlineStr">
        <is>
          <t>Manufacturer's Warranty</t>
        </is>
      </c>
      <c r="R1753" s="3" t="inlineStr">
        <is>
          <t>SIM105009</t>
        </is>
      </c>
      <c r="Y1753" s="3" t="inlineStr">
        <is>
          <t>PLB_PRNC_UNIN</t>
        </is>
      </c>
      <c r="Z1753" s="3" t="n">
        <v>3917</v>
      </c>
      <c r="AE1753" s="3" t="n">
        <v>89</v>
      </c>
      <c r="AF1753" s="4" t="n">
        <v>0.37</v>
      </c>
      <c r="AG1753" s="3">
        <f>ROUND(AE1753-(AE1753*AF1753),2)</f>
        <v/>
      </c>
      <c r="AH1753" s="4" t="n">
        <v>0.18</v>
      </c>
      <c r="AI1753" s="3">
        <f>ROUND(AG1753+(AG1753*AH1753),2)</f>
        <v/>
      </c>
      <c r="AJ1753" s="4" t="n">
        <v>0.15</v>
      </c>
      <c r="AK1753" s="3">
        <f>ROUND(AI1753*AJ1753,2)</f>
        <v/>
      </c>
      <c r="AL1753" s="3">
        <f>AI1753+AK1753</f>
        <v/>
      </c>
      <c r="AM1753" s="3">
        <f>AE1753-AL1753</f>
        <v/>
      </c>
      <c r="AN1753" s="4">
        <f>AM1753/AE1753</f>
        <v/>
      </c>
      <c r="AO1753" s="3" t="inlineStr">
        <is>
          <t>60 mins</t>
        </is>
      </c>
      <c r="AQ1753" s="3" t="inlineStr">
        <is>
          <t>Weight</t>
        </is>
      </c>
      <c r="AT1753" s="3" t="inlineStr">
        <is>
          <t>Inactive</t>
        </is>
      </c>
    </row>
    <row r="1754" ht="15.75" customHeight="1">
      <c r="A1754" s="3" t="inlineStr">
        <is>
          <t>PROD_0324</t>
        </is>
      </c>
      <c r="B1754" s="3" t="inlineStr">
        <is>
          <t>VAR_3</t>
        </is>
      </c>
      <c r="C1754" s="3" t="inlineStr">
        <is>
          <t>Plumbing</t>
        </is>
      </c>
      <c r="D1754" s="3" t="inlineStr">
        <is>
          <t>Bends &amp; Connectors</t>
        </is>
      </c>
      <c r="E1754" s="3" t="inlineStr">
        <is>
          <t>Prince</t>
        </is>
      </c>
      <c r="F1754" s="3" t="inlineStr">
        <is>
          <t>Union (SDR 11)</t>
        </is>
      </c>
      <c r="H1754" s="3" t="inlineStr">
        <is>
          <t>Diameter</t>
        </is>
      </c>
      <c r="I1754" s="3" t="inlineStr">
        <is>
          <t>25 mm (1 inch)</t>
        </is>
      </c>
      <c r="Q1754" s="3" t="inlineStr">
        <is>
          <t>Manufacturer's Warranty</t>
        </is>
      </c>
      <c r="R1754" s="3" t="inlineStr">
        <is>
          <t>SIM105010</t>
        </is>
      </c>
      <c r="Y1754" s="3" t="inlineStr">
        <is>
          <t>PLB_PRNC_UNIN</t>
        </is>
      </c>
      <c r="Z1754" s="3" t="n">
        <v>3917</v>
      </c>
      <c r="AE1754" s="3" t="n">
        <v>120</v>
      </c>
      <c r="AF1754" s="4" t="n">
        <v>0.37</v>
      </c>
      <c r="AG1754" s="3">
        <f>ROUND(AE1754-(AE1754*AF1754),2)</f>
        <v/>
      </c>
      <c r="AH1754" s="4" t="n">
        <v>0.18</v>
      </c>
      <c r="AI1754" s="3">
        <f>ROUND(AG1754+(AG1754*AH1754),2)</f>
        <v/>
      </c>
      <c r="AJ1754" s="4" t="n">
        <v>0.15</v>
      </c>
      <c r="AK1754" s="3">
        <f>ROUND(AI1754*AJ1754,2)</f>
        <v/>
      </c>
      <c r="AL1754" s="3">
        <f>AI1754+AK1754</f>
        <v/>
      </c>
      <c r="AM1754" s="3">
        <f>AE1754-AL1754</f>
        <v/>
      </c>
      <c r="AN1754" s="4">
        <f>AM1754/AE1754</f>
        <v/>
      </c>
      <c r="AO1754" s="3" t="inlineStr">
        <is>
          <t>60 mins</t>
        </is>
      </c>
      <c r="AQ1754" s="3" t="inlineStr">
        <is>
          <t>Weight</t>
        </is>
      </c>
      <c r="AT1754" s="3" t="inlineStr">
        <is>
          <t>Inactive</t>
        </is>
      </c>
    </row>
    <row r="1755" ht="15.75" customHeight="1">
      <c r="A1755" s="3" t="inlineStr">
        <is>
          <t>PROD_0324</t>
        </is>
      </c>
      <c r="B1755" s="3" t="inlineStr">
        <is>
          <t>VAR_4</t>
        </is>
      </c>
      <c r="C1755" s="3" t="inlineStr">
        <is>
          <t>Plumbing</t>
        </is>
      </c>
      <c r="D1755" s="3" t="inlineStr">
        <is>
          <t>Bends &amp; Connectors</t>
        </is>
      </c>
      <c r="E1755" s="3" t="inlineStr">
        <is>
          <t>Prince</t>
        </is>
      </c>
      <c r="F1755" s="3" t="inlineStr">
        <is>
          <t>Union (SDR 11)</t>
        </is>
      </c>
      <c r="H1755" s="3" t="inlineStr">
        <is>
          <t>Diameter</t>
        </is>
      </c>
      <c r="I1755" s="3" t="inlineStr">
        <is>
          <t>32 mm (1.25 inch)</t>
        </is>
      </c>
      <c r="Q1755" s="3" t="inlineStr">
        <is>
          <t>Manufacturer's Warranty</t>
        </is>
      </c>
      <c r="R1755" s="3" t="inlineStr">
        <is>
          <t>SIM105016</t>
        </is>
      </c>
      <c r="Y1755" s="3" t="inlineStr">
        <is>
          <t>PLB_PRNC_UNIN</t>
        </is>
      </c>
      <c r="Z1755" s="3" t="n">
        <v>3917</v>
      </c>
      <c r="AE1755" s="3" t="n">
        <v>209</v>
      </c>
      <c r="AF1755" s="4" t="n">
        <v>0.37</v>
      </c>
      <c r="AG1755" s="3">
        <f>ROUND(AE1755-(AE1755*AF1755),2)</f>
        <v/>
      </c>
      <c r="AH1755" s="4" t="n">
        <v>0.18</v>
      </c>
      <c r="AI1755" s="3">
        <f>ROUND(AG1755+(AG1755*AH1755),2)</f>
        <v/>
      </c>
      <c r="AJ1755" s="4" t="n">
        <v>0.15</v>
      </c>
      <c r="AK1755" s="3">
        <f>ROUND(AI1755*AJ1755,2)</f>
        <v/>
      </c>
      <c r="AL1755" s="3">
        <f>AI1755+AK1755</f>
        <v/>
      </c>
      <c r="AM1755" s="3">
        <f>AE1755-AL1755</f>
        <v/>
      </c>
      <c r="AN1755" s="4">
        <f>AM1755/AE1755</f>
        <v/>
      </c>
      <c r="AO1755" s="3" t="inlineStr">
        <is>
          <t>60 mins</t>
        </is>
      </c>
      <c r="AQ1755" s="3" t="inlineStr">
        <is>
          <t>Weight</t>
        </is>
      </c>
      <c r="AT1755" s="3" t="inlineStr">
        <is>
          <t>Inactive</t>
        </is>
      </c>
    </row>
    <row r="1756" ht="15.75" customHeight="1">
      <c r="A1756" s="3" t="inlineStr">
        <is>
          <t>PROD_0324</t>
        </is>
      </c>
      <c r="B1756" s="3" t="inlineStr">
        <is>
          <t>VAR_5</t>
        </is>
      </c>
      <c r="C1756" s="3" t="inlineStr">
        <is>
          <t>Plumbing</t>
        </is>
      </c>
      <c r="D1756" s="3" t="inlineStr">
        <is>
          <t>Bends &amp; Connectors</t>
        </is>
      </c>
      <c r="E1756" s="3" t="inlineStr">
        <is>
          <t>Prince</t>
        </is>
      </c>
      <c r="F1756" s="3" t="inlineStr">
        <is>
          <t>Union (SDR 11)</t>
        </is>
      </c>
      <c r="H1756" s="3" t="inlineStr">
        <is>
          <t>Diameter</t>
        </is>
      </c>
      <c r="I1756" s="3" t="inlineStr">
        <is>
          <t>40 mm (1.5 inch)</t>
        </is>
      </c>
      <c r="Q1756" s="3" t="inlineStr">
        <is>
          <t>Manufacturer's Warranty</t>
        </is>
      </c>
      <c r="R1756" s="3" t="inlineStr">
        <is>
          <t>SIM105017</t>
        </is>
      </c>
      <c r="Y1756" s="3" t="inlineStr">
        <is>
          <t>PLB_PRNC_UNIN</t>
        </is>
      </c>
      <c r="Z1756" s="3" t="n">
        <v>3917</v>
      </c>
      <c r="AE1756" s="3" t="n">
        <v>359</v>
      </c>
      <c r="AF1756" s="4" t="n">
        <v>0.37</v>
      </c>
      <c r="AG1756" s="3">
        <f>ROUND(AE1756-(AE1756*AF1756),2)</f>
        <v/>
      </c>
      <c r="AH1756" s="4" t="n">
        <v>0.18</v>
      </c>
      <c r="AI1756" s="3">
        <f>ROUND(AG1756+(AG1756*AH1756),2)</f>
        <v/>
      </c>
      <c r="AJ1756" s="4" t="n">
        <v>0.15</v>
      </c>
      <c r="AK1756" s="3">
        <f>ROUND(AI1756*AJ1756,2)</f>
        <v/>
      </c>
      <c r="AL1756" s="3">
        <f>AI1756+AK1756</f>
        <v/>
      </c>
      <c r="AM1756" s="3">
        <f>AE1756-AL1756</f>
        <v/>
      </c>
      <c r="AN1756" s="4">
        <f>AM1756/AE1756</f>
        <v/>
      </c>
      <c r="AO1756" s="3" t="inlineStr">
        <is>
          <t>60 mins</t>
        </is>
      </c>
      <c r="AQ1756" s="3" t="inlineStr">
        <is>
          <t>Weight</t>
        </is>
      </c>
      <c r="AT1756" s="3" t="inlineStr">
        <is>
          <t>Inactive</t>
        </is>
      </c>
    </row>
    <row r="1757" ht="15.75" customHeight="1">
      <c r="A1757" s="3" t="inlineStr">
        <is>
          <t>PROD_0324</t>
        </is>
      </c>
      <c r="B1757" s="3" t="inlineStr">
        <is>
          <t>VAR_6</t>
        </is>
      </c>
      <c r="C1757" s="3" t="inlineStr">
        <is>
          <t>Plumbing</t>
        </is>
      </c>
      <c r="D1757" s="3" t="inlineStr">
        <is>
          <t>Bends &amp; Connectors</t>
        </is>
      </c>
      <c r="E1757" s="3" t="inlineStr">
        <is>
          <t>Prince</t>
        </is>
      </c>
      <c r="F1757" s="3" t="inlineStr">
        <is>
          <t>Union (SDR 11)</t>
        </is>
      </c>
      <c r="H1757" s="3" t="inlineStr">
        <is>
          <t>Diameter</t>
        </is>
      </c>
      <c r="I1757" s="3" t="inlineStr">
        <is>
          <t>50 mm (2 inch)</t>
        </is>
      </c>
      <c r="Q1757" s="3" t="inlineStr">
        <is>
          <t>Manufacturer's Warranty</t>
        </is>
      </c>
      <c r="R1757" s="3" t="inlineStr">
        <is>
          <t>SIM105018</t>
        </is>
      </c>
      <c r="Y1757" s="3" t="inlineStr">
        <is>
          <t>PLB_PRNC_UNIN</t>
        </is>
      </c>
      <c r="Z1757" s="3" t="n">
        <v>3917</v>
      </c>
      <c r="AE1757" s="3" t="n">
        <v>515</v>
      </c>
      <c r="AF1757" s="4" t="n">
        <v>0.37</v>
      </c>
      <c r="AG1757" s="3">
        <f>ROUND(AE1757-(AE1757*AF1757),2)</f>
        <v/>
      </c>
      <c r="AH1757" s="4" t="n">
        <v>0.18</v>
      </c>
      <c r="AI1757" s="3">
        <f>ROUND(AG1757+(AG1757*AH1757),2)</f>
        <v/>
      </c>
      <c r="AJ1757" s="4" t="n">
        <v>0.15</v>
      </c>
      <c r="AK1757" s="3">
        <f>ROUND(AI1757*AJ1757,2)</f>
        <v/>
      </c>
      <c r="AL1757" s="3">
        <f>AI1757+AK1757</f>
        <v/>
      </c>
      <c r="AM1757" s="3">
        <f>AE1757-AL1757</f>
        <v/>
      </c>
      <c r="AN1757" s="4">
        <f>AM1757/AE1757</f>
        <v/>
      </c>
      <c r="AO1757" s="3" t="inlineStr">
        <is>
          <t>60 mins</t>
        </is>
      </c>
      <c r="AQ1757" s="3" t="inlineStr">
        <is>
          <t>Weight</t>
        </is>
      </c>
      <c r="AT1757" s="3" t="inlineStr">
        <is>
          <t>Inactive</t>
        </is>
      </c>
    </row>
    <row r="1758" ht="15.75" customHeight="1">
      <c r="A1758" s="3" t="inlineStr">
        <is>
          <t>PROD_0324</t>
        </is>
      </c>
      <c r="B1758" s="3" t="inlineStr">
        <is>
          <t>VAR_7</t>
        </is>
      </c>
      <c r="C1758" s="3" t="inlineStr">
        <is>
          <t>Plumbing</t>
        </is>
      </c>
      <c r="D1758" s="3" t="inlineStr">
        <is>
          <t>Bends &amp; Connectors</t>
        </is>
      </c>
      <c r="E1758" s="3" t="inlineStr">
        <is>
          <t>Prince</t>
        </is>
      </c>
      <c r="F1758" s="3" t="inlineStr">
        <is>
          <t>Union (SDR 11)</t>
        </is>
      </c>
      <c r="H1758" s="3" t="inlineStr">
        <is>
          <t>Diameter</t>
        </is>
      </c>
      <c r="I1758" s="3" t="inlineStr">
        <is>
          <t>65 mm (2.5 inch)</t>
        </is>
      </c>
      <c r="Q1758" s="3" t="inlineStr">
        <is>
          <t>Manufacturer's Warranty</t>
        </is>
      </c>
      <c r="R1758" s="3" t="inlineStr">
        <is>
          <t>SIM106382</t>
        </is>
      </c>
      <c r="Y1758" s="3" t="inlineStr">
        <is>
          <t>PLB_PRNC_UNIN</t>
        </is>
      </c>
      <c r="Z1758" s="3" t="n">
        <v>3917</v>
      </c>
      <c r="AE1758" s="3" t="n">
        <v>1468</v>
      </c>
      <c r="AF1758" s="4" t="n">
        <v>0.37</v>
      </c>
      <c r="AG1758" s="3">
        <f>ROUND(AE1758-(AE1758*AF1758),2)</f>
        <v/>
      </c>
      <c r="AH1758" s="4" t="n">
        <v>0.18</v>
      </c>
      <c r="AI1758" s="3">
        <f>ROUND(AG1758+(AG1758*AH1758),2)</f>
        <v/>
      </c>
      <c r="AJ1758" s="4" t="n">
        <v>0.15</v>
      </c>
      <c r="AK1758" s="3">
        <f>ROUND(AI1758*AJ1758,2)</f>
        <v/>
      </c>
      <c r="AL1758" s="3">
        <f>AI1758+AK1758</f>
        <v/>
      </c>
      <c r="AM1758" s="3">
        <f>AE1758-AL1758</f>
        <v/>
      </c>
      <c r="AN1758" s="4">
        <f>AM1758/AE1758</f>
        <v/>
      </c>
      <c r="AO1758" s="3" t="inlineStr">
        <is>
          <t>60 mins</t>
        </is>
      </c>
      <c r="AQ1758" s="3" t="inlineStr">
        <is>
          <t>Weight</t>
        </is>
      </c>
      <c r="AT1758" s="3" t="inlineStr">
        <is>
          <t>Inactive</t>
        </is>
      </c>
    </row>
    <row r="1759" ht="15.75" customHeight="1">
      <c r="A1759" s="3" t="inlineStr">
        <is>
          <t>PROD_0324</t>
        </is>
      </c>
      <c r="B1759" s="3" t="inlineStr">
        <is>
          <t>VAR_8</t>
        </is>
      </c>
      <c r="C1759" s="3" t="inlineStr">
        <is>
          <t>Plumbing</t>
        </is>
      </c>
      <c r="D1759" s="3" t="inlineStr">
        <is>
          <t>Bends &amp; Connectors</t>
        </is>
      </c>
      <c r="E1759" s="3" t="inlineStr">
        <is>
          <t>Prince</t>
        </is>
      </c>
      <c r="F1759" s="3" t="inlineStr">
        <is>
          <t>Union (SDR 11)</t>
        </is>
      </c>
      <c r="H1759" s="3" t="inlineStr">
        <is>
          <t>Diameter</t>
        </is>
      </c>
      <c r="I1759" s="3" t="inlineStr">
        <is>
          <t>80 mm (3 inch)</t>
        </is>
      </c>
      <c r="Q1759" s="3" t="inlineStr">
        <is>
          <t>Manufacturer's Warranty</t>
        </is>
      </c>
      <c r="R1759" s="3" t="inlineStr">
        <is>
          <t>SIM106374</t>
        </is>
      </c>
      <c r="Y1759" s="3" t="inlineStr">
        <is>
          <t>PLB_PRNC_UNIN</t>
        </is>
      </c>
      <c r="Z1759" s="3" t="n">
        <v>3917</v>
      </c>
      <c r="AE1759" s="3" t="n">
        <v>2060</v>
      </c>
      <c r="AF1759" s="4" t="n">
        <v>0.37</v>
      </c>
      <c r="AG1759" s="3">
        <f>ROUND(AE1759-(AE1759*AF1759),2)</f>
        <v/>
      </c>
      <c r="AH1759" s="4" t="n">
        <v>0.18</v>
      </c>
      <c r="AI1759" s="3">
        <f>ROUND(AG1759+(AG1759*AH1759),2)</f>
        <v/>
      </c>
      <c r="AJ1759" s="4" t="n">
        <v>0.15</v>
      </c>
      <c r="AK1759" s="3">
        <f>ROUND(AI1759*AJ1759,2)</f>
        <v/>
      </c>
      <c r="AL1759" s="3">
        <f>AI1759+AK1759</f>
        <v/>
      </c>
      <c r="AM1759" s="3">
        <f>AE1759-AL1759</f>
        <v/>
      </c>
      <c r="AN1759" s="4">
        <f>AM1759/AE1759</f>
        <v/>
      </c>
      <c r="AO1759" s="3" t="inlineStr">
        <is>
          <t>60 mins</t>
        </is>
      </c>
      <c r="AQ1759" s="3" t="inlineStr">
        <is>
          <t>Weight</t>
        </is>
      </c>
      <c r="AT1759" s="3" t="inlineStr">
        <is>
          <t>Inactive</t>
        </is>
      </c>
    </row>
    <row r="1760" ht="15.75" customHeight="1">
      <c r="A1760" s="3" t="inlineStr">
        <is>
          <t>PROD_0324</t>
        </is>
      </c>
      <c r="B1760" s="3" t="inlineStr">
        <is>
          <t>VAR_9</t>
        </is>
      </c>
      <c r="C1760" s="3" t="inlineStr">
        <is>
          <t>Plumbing</t>
        </is>
      </c>
      <c r="D1760" s="3" t="inlineStr">
        <is>
          <t>Bends &amp; Connectors</t>
        </is>
      </c>
      <c r="E1760" s="3" t="inlineStr">
        <is>
          <t>Prince</t>
        </is>
      </c>
      <c r="F1760" s="3" t="inlineStr">
        <is>
          <t>Union (SDR 11)</t>
        </is>
      </c>
      <c r="H1760" s="3" t="inlineStr">
        <is>
          <t>Diameter</t>
        </is>
      </c>
      <c r="I1760" s="3" t="inlineStr">
        <is>
          <t>100 mm (4 inch)</t>
        </is>
      </c>
      <c r="Q1760" s="3" t="inlineStr">
        <is>
          <t>Manufacturer's Warranty</t>
        </is>
      </c>
      <c r="R1760" s="3" t="inlineStr">
        <is>
          <t>SIM106378</t>
        </is>
      </c>
      <c r="Y1760" s="3" t="inlineStr">
        <is>
          <t>PLB_PRNC_UNIN</t>
        </is>
      </c>
      <c r="Z1760" s="3" t="n">
        <v>3917</v>
      </c>
      <c r="AE1760" s="3" t="n">
        <v>3400</v>
      </c>
      <c r="AF1760" s="4" t="n">
        <v>0.37</v>
      </c>
      <c r="AG1760" s="3">
        <f>ROUND(AE1760-(AE1760*AF1760),2)</f>
        <v/>
      </c>
      <c r="AH1760" s="4" t="n">
        <v>0.18</v>
      </c>
      <c r="AI1760" s="3">
        <f>ROUND(AG1760+(AG1760*AH1760),2)</f>
        <v/>
      </c>
      <c r="AJ1760" s="4" t="n">
        <v>0.15</v>
      </c>
      <c r="AK1760" s="3">
        <f>ROUND(AI1760*AJ1760,2)</f>
        <v/>
      </c>
      <c r="AL1760" s="3">
        <f>AI1760+AK1760</f>
        <v/>
      </c>
      <c r="AM1760" s="3">
        <f>AE1760-AL1760</f>
        <v/>
      </c>
      <c r="AN1760" s="4">
        <f>AM1760/AE1760</f>
        <v/>
      </c>
      <c r="AO1760" s="3" t="inlineStr">
        <is>
          <t>60 mins</t>
        </is>
      </c>
      <c r="AQ1760" s="3" t="inlineStr">
        <is>
          <t>Weight</t>
        </is>
      </c>
      <c r="AT1760" s="3" t="inlineStr">
        <is>
          <t>Inactive</t>
        </is>
      </c>
    </row>
    <row r="1761" ht="15.75" customHeight="1">
      <c r="A1761" s="3" t="inlineStr">
        <is>
          <t>PROD_0325</t>
        </is>
      </c>
      <c r="B1761" s="3" t="inlineStr">
        <is>
          <t>VAR_1</t>
        </is>
      </c>
      <c r="C1761" s="3" t="inlineStr">
        <is>
          <t>Plumbing</t>
        </is>
      </c>
      <c r="D1761" s="3" t="inlineStr">
        <is>
          <t>Bends &amp; Connectors</t>
        </is>
      </c>
      <c r="E1761" s="3" t="inlineStr">
        <is>
          <t>Prince</t>
        </is>
      </c>
      <c r="F1761" s="3" t="inlineStr">
        <is>
          <t>Elbow (SDR 11 &amp; SCH 80)</t>
        </is>
      </c>
      <c r="H1761" s="3" t="inlineStr">
        <is>
          <t>Diameter</t>
        </is>
      </c>
      <c r="I1761" s="3" t="inlineStr">
        <is>
          <t>15 mm (.5 inch)</t>
        </is>
      </c>
      <c r="Q1761" s="3" t="inlineStr">
        <is>
          <t>Manufacturer's Warranty</t>
        </is>
      </c>
      <c r="R1761" s="3" t="inlineStr">
        <is>
          <t>SIM104924</t>
        </is>
      </c>
      <c r="Y1761" s="3" t="inlineStr">
        <is>
          <t>PLB_PRNC_ELBW_SDR11</t>
        </is>
      </c>
      <c r="Z1761" s="3" t="n">
        <v>3917</v>
      </c>
      <c r="AE1761" s="3" t="n">
        <v>19</v>
      </c>
      <c r="AF1761" s="4" t="n">
        <v>0.37</v>
      </c>
      <c r="AG1761" s="3">
        <f>ROUND(AE1761-(AE1761*AF1761),2)</f>
        <v/>
      </c>
      <c r="AH1761" s="4" t="n">
        <v>0.18</v>
      </c>
      <c r="AI1761" s="3">
        <f>ROUND(AG1761+(AG1761*AH1761),2)</f>
        <v/>
      </c>
      <c r="AJ1761" s="4" t="n">
        <v>0.15</v>
      </c>
      <c r="AK1761" s="3">
        <f>ROUND(AI1761*AJ1761,2)</f>
        <v/>
      </c>
      <c r="AL1761" s="3">
        <f>AI1761+AK1761</f>
        <v/>
      </c>
      <c r="AM1761" s="3">
        <f>AE1761-AL1761</f>
        <v/>
      </c>
      <c r="AN1761" s="4">
        <f>AM1761/AE1761</f>
        <v/>
      </c>
      <c r="AO1761" s="3" t="inlineStr">
        <is>
          <t>60 mins</t>
        </is>
      </c>
      <c r="AQ1761" s="3" t="inlineStr">
        <is>
          <t>Weight</t>
        </is>
      </c>
      <c r="AT1761" s="3" t="inlineStr">
        <is>
          <t>Inactive</t>
        </is>
      </c>
    </row>
    <row r="1762" ht="15.75" customHeight="1">
      <c r="A1762" s="3" t="inlineStr">
        <is>
          <t>PROD_0325</t>
        </is>
      </c>
      <c r="B1762" s="3" t="inlineStr">
        <is>
          <t>VAR_2</t>
        </is>
      </c>
      <c r="C1762" s="3" t="inlineStr">
        <is>
          <t>Plumbing</t>
        </is>
      </c>
      <c r="D1762" s="3" t="inlineStr">
        <is>
          <t>Bends &amp; Connectors</t>
        </is>
      </c>
      <c r="E1762" s="3" t="inlineStr">
        <is>
          <t>Prince</t>
        </is>
      </c>
      <c r="F1762" s="3" t="inlineStr">
        <is>
          <t>Elbow (SDR 11 &amp; SCH 80)</t>
        </is>
      </c>
      <c r="H1762" s="3" t="inlineStr">
        <is>
          <t>Diameter</t>
        </is>
      </c>
      <c r="I1762" s="3" t="inlineStr">
        <is>
          <t>20 mm (.75 inch)</t>
        </is>
      </c>
      <c r="Q1762" s="3" t="inlineStr">
        <is>
          <t>Manufacturer's Warranty</t>
        </is>
      </c>
      <c r="R1762" s="3" t="inlineStr">
        <is>
          <t>SIM104925</t>
        </is>
      </c>
      <c r="Y1762" s="3" t="inlineStr">
        <is>
          <t>PLB_PRNC_ELBW_SDR11</t>
        </is>
      </c>
      <c r="Z1762" s="3" t="n">
        <v>3917</v>
      </c>
      <c r="AE1762" s="3" t="n">
        <v>20</v>
      </c>
      <c r="AF1762" s="4" t="n">
        <v>0.37</v>
      </c>
      <c r="AG1762" s="3">
        <f>ROUND(AE1762-(AE1762*AF1762),2)</f>
        <v/>
      </c>
      <c r="AH1762" s="4" t="n">
        <v>0.18</v>
      </c>
      <c r="AI1762" s="3">
        <f>ROUND(AG1762+(AG1762*AH1762),2)</f>
        <v/>
      </c>
      <c r="AJ1762" s="4" t="n">
        <v>0.15</v>
      </c>
      <c r="AK1762" s="3">
        <f>ROUND(AI1762*AJ1762,2)</f>
        <v/>
      </c>
      <c r="AL1762" s="3">
        <f>AI1762+AK1762</f>
        <v/>
      </c>
      <c r="AM1762" s="3">
        <f>AE1762-AL1762</f>
        <v/>
      </c>
      <c r="AN1762" s="4">
        <f>AM1762/AE1762</f>
        <v/>
      </c>
      <c r="AO1762" s="3" t="inlineStr">
        <is>
          <t>60 mins</t>
        </is>
      </c>
      <c r="AQ1762" s="3" t="inlineStr">
        <is>
          <t>Weight</t>
        </is>
      </c>
      <c r="AT1762" s="3" t="inlineStr">
        <is>
          <t>Inactive</t>
        </is>
      </c>
    </row>
    <row r="1763" ht="15.75" customHeight="1">
      <c r="A1763" s="3" t="inlineStr">
        <is>
          <t>PROD_0325</t>
        </is>
      </c>
      <c r="B1763" s="3" t="inlineStr">
        <is>
          <t>VAR_3</t>
        </is>
      </c>
      <c r="C1763" s="3" t="inlineStr">
        <is>
          <t>Plumbing</t>
        </is>
      </c>
      <c r="D1763" s="3" t="inlineStr">
        <is>
          <t>Bends &amp; Connectors</t>
        </is>
      </c>
      <c r="E1763" s="3" t="inlineStr">
        <is>
          <t>Prince</t>
        </is>
      </c>
      <c r="F1763" s="3" t="inlineStr">
        <is>
          <t>Elbow (SDR 11 &amp; SCH 80)</t>
        </is>
      </c>
      <c r="H1763" s="3" t="inlineStr">
        <is>
          <t>Diameter</t>
        </is>
      </c>
      <c r="I1763" s="3" t="inlineStr">
        <is>
          <t>25 mm (1 inch)</t>
        </is>
      </c>
      <c r="Q1763" s="3" t="inlineStr">
        <is>
          <t>Manufacturer's Warranty</t>
        </is>
      </c>
      <c r="R1763" s="3" t="inlineStr">
        <is>
          <t>SIM104926</t>
        </is>
      </c>
      <c r="Y1763" s="3" t="inlineStr">
        <is>
          <t>PLB_PRNC_ELBW_SDR11</t>
        </is>
      </c>
      <c r="Z1763" s="3" t="n">
        <v>3917</v>
      </c>
      <c r="AE1763" s="3" t="n">
        <v>39</v>
      </c>
      <c r="AF1763" s="4" t="n">
        <v>0.37</v>
      </c>
      <c r="AG1763" s="3">
        <f>ROUND(AE1763-(AE1763*AF1763),2)</f>
        <v/>
      </c>
      <c r="AH1763" s="4" t="n">
        <v>0.18</v>
      </c>
      <c r="AI1763" s="3">
        <f>ROUND(AG1763+(AG1763*AH1763),2)</f>
        <v/>
      </c>
      <c r="AJ1763" s="4" t="n">
        <v>0.15</v>
      </c>
      <c r="AK1763" s="3">
        <f>ROUND(AI1763*AJ1763,2)</f>
        <v/>
      </c>
      <c r="AL1763" s="3">
        <f>AI1763+AK1763</f>
        <v/>
      </c>
      <c r="AM1763" s="3">
        <f>AE1763-AL1763</f>
        <v/>
      </c>
      <c r="AN1763" s="4">
        <f>AM1763/AE1763</f>
        <v/>
      </c>
      <c r="AO1763" s="3" t="inlineStr">
        <is>
          <t>60 mins</t>
        </is>
      </c>
      <c r="AQ1763" s="3" t="inlineStr">
        <is>
          <t>Weight</t>
        </is>
      </c>
      <c r="AT1763" s="3" t="inlineStr">
        <is>
          <t>Inactive</t>
        </is>
      </c>
    </row>
    <row r="1764" ht="15.75" customHeight="1">
      <c r="A1764" s="3" t="inlineStr">
        <is>
          <t>PROD_0325</t>
        </is>
      </c>
      <c r="B1764" s="3" t="inlineStr">
        <is>
          <t>VAR_4</t>
        </is>
      </c>
      <c r="C1764" s="3" t="inlineStr">
        <is>
          <t>Plumbing</t>
        </is>
      </c>
      <c r="D1764" s="3" t="inlineStr">
        <is>
          <t>Bends &amp; Connectors</t>
        </is>
      </c>
      <c r="E1764" s="3" t="inlineStr">
        <is>
          <t>Prince</t>
        </is>
      </c>
      <c r="F1764" s="3" t="inlineStr">
        <is>
          <t>Elbow (SDR 11 &amp; SCH 80)</t>
        </is>
      </c>
      <c r="H1764" s="3" t="inlineStr">
        <is>
          <t>Diameter</t>
        </is>
      </c>
      <c r="I1764" s="3" t="inlineStr">
        <is>
          <t>32 mm (1.25 inch)</t>
        </is>
      </c>
      <c r="Q1764" s="3" t="inlineStr">
        <is>
          <t>Manufacturer's Warranty</t>
        </is>
      </c>
      <c r="R1764" s="3" t="inlineStr">
        <is>
          <t>SIM104927</t>
        </is>
      </c>
      <c r="Y1764" s="3" t="inlineStr">
        <is>
          <t>PLB_PRNC_ELBW_SDR11</t>
        </is>
      </c>
      <c r="Z1764" s="3" t="n">
        <v>3917</v>
      </c>
      <c r="AE1764" s="3" t="n">
        <v>90</v>
      </c>
      <c r="AF1764" s="4" t="n">
        <v>0.37</v>
      </c>
      <c r="AG1764" s="3">
        <f>ROUND(AE1764-(AE1764*AF1764),2)</f>
        <v/>
      </c>
      <c r="AH1764" s="4" t="n">
        <v>0.18</v>
      </c>
      <c r="AI1764" s="3">
        <f>ROUND(AG1764+(AG1764*AH1764),2)</f>
        <v/>
      </c>
      <c r="AJ1764" s="4" t="n">
        <v>0.15</v>
      </c>
      <c r="AK1764" s="3">
        <f>ROUND(AI1764*AJ1764,2)</f>
        <v/>
      </c>
      <c r="AL1764" s="3">
        <f>AI1764+AK1764</f>
        <v/>
      </c>
      <c r="AM1764" s="3">
        <f>AE1764-AL1764</f>
        <v/>
      </c>
      <c r="AN1764" s="4">
        <f>AM1764/AE1764</f>
        <v/>
      </c>
      <c r="AO1764" s="3" t="inlineStr">
        <is>
          <t>60 mins</t>
        </is>
      </c>
      <c r="AQ1764" s="3" t="inlineStr">
        <is>
          <t>Weight</t>
        </is>
      </c>
      <c r="AT1764" s="3" t="inlineStr">
        <is>
          <t>Inactive</t>
        </is>
      </c>
    </row>
    <row r="1765" ht="15.75" customHeight="1">
      <c r="A1765" s="3" t="inlineStr">
        <is>
          <t>PROD_0325</t>
        </is>
      </c>
      <c r="B1765" s="3" t="inlineStr">
        <is>
          <t>VAR_5</t>
        </is>
      </c>
      <c r="C1765" s="3" t="inlineStr">
        <is>
          <t>Plumbing</t>
        </is>
      </c>
      <c r="D1765" s="3" t="inlineStr">
        <is>
          <t>Bends &amp; Connectors</t>
        </is>
      </c>
      <c r="E1765" s="3" t="inlineStr">
        <is>
          <t>Prince</t>
        </is>
      </c>
      <c r="F1765" s="3" t="inlineStr">
        <is>
          <t>Elbow (SDR 11 &amp; SCH 80)</t>
        </is>
      </c>
      <c r="H1765" s="3" t="inlineStr">
        <is>
          <t>Diameter</t>
        </is>
      </c>
      <c r="I1765" s="3" t="inlineStr">
        <is>
          <t>40 mm (1.5 inch)</t>
        </is>
      </c>
      <c r="Q1765" s="3" t="inlineStr">
        <is>
          <t>Manufacturer's Warranty</t>
        </is>
      </c>
      <c r="R1765" s="3" t="inlineStr">
        <is>
          <t>SIM104928</t>
        </is>
      </c>
      <c r="Y1765" s="3" t="inlineStr">
        <is>
          <t>PLB_PRNC_ELBW_SDR11</t>
        </is>
      </c>
      <c r="Z1765" s="3" t="n">
        <v>3917</v>
      </c>
      <c r="AE1765" s="3" t="n">
        <v>140</v>
      </c>
      <c r="AF1765" s="4" t="n">
        <v>0.37</v>
      </c>
      <c r="AG1765" s="3">
        <f>ROUND(AE1765-(AE1765*AF1765),2)</f>
        <v/>
      </c>
      <c r="AH1765" s="4" t="n">
        <v>0.18</v>
      </c>
      <c r="AI1765" s="3">
        <f>ROUND(AG1765+(AG1765*AH1765),2)</f>
        <v/>
      </c>
      <c r="AJ1765" s="4" t="n">
        <v>0.15</v>
      </c>
      <c r="AK1765" s="3">
        <f>ROUND(AI1765*AJ1765,2)</f>
        <v/>
      </c>
      <c r="AL1765" s="3">
        <f>AI1765+AK1765</f>
        <v/>
      </c>
      <c r="AM1765" s="3">
        <f>AE1765-AL1765</f>
        <v/>
      </c>
      <c r="AN1765" s="4">
        <f>AM1765/AE1765</f>
        <v/>
      </c>
      <c r="AO1765" s="3" t="inlineStr">
        <is>
          <t>60 mins</t>
        </is>
      </c>
      <c r="AQ1765" s="3" t="inlineStr">
        <is>
          <t>Weight</t>
        </is>
      </c>
      <c r="AT1765" s="3" t="inlineStr">
        <is>
          <t>Inactive</t>
        </is>
      </c>
    </row>
    <row r="1766" ht="15.75" customHeight="1">
      <c r="A1766" s="3" t="inlineStr">
        <is>
          <t>PROD_0325</t>
        </is>
      </c>
      <c r="B1766" s="3" t="inlineStr">
        <is>
          <t>VAR_6</t>
        </is>
      </c>
      <c r="C1766" s="3" t="inlineStr">
        <is>
          <t>Plumbing</t>
        </is>
      </c>
      <c r="D1766" s="3" t="inlineStr">
        <is>
          <t>Bends &amp; Connectors</t>
        </is>
      </c>
      <c r="E1766" s="3" t="inlineStr">
        <is>
          <t>Prince</t>
        </is>
      </c>
      <c r="F1766" s="3" t="inlineStr">
        <is>
          <t>Elbow (SDR 11 &amp; SCH 80)</t>
        </is>
      </c>
      <c r="H1766" s="3" t="inlineStr">
        <is>
          <t>Diameter</t>
        </is>
      </c>
      <c r="I1766" s="3" t="inlineStr">
        <is>
          <t>50 mm (2 inch)</t>
        </is>
      </c>
      <c r="Q1766" s="3" t="inlineStr">
        <is>
          <t>Manufacturer's Warranty</t>
        </is>
      </c>
      <c r="R1766" s="3" t="inlineStr">
        <is>
          <t>SIM104929</t>
        </is>
      </c>
      <c r="Y1766" s="3" t="inlineStr">
        <is>
          <t>PLB_PRNC_ELBW_SDR11</t>
        </is>
      </c>
      <c r="Z1766" s="3" t="n">
        <v>3917</v>
      </c>
      <c r="AE1766" s="3" t="n">
        <v>333</v>
      </c>
      <c r="AF1766" s="4" t="n">
        <v>0.37</v>
      </c>
      <c r="AG1766" s="3">
        <f>ROUND(AE1766-(AE1766*AF1766),2)</f>
        <v/>
      </c>
      <c r="AH1766" s="4" t="n">
        <v>0.18</v>
      </c>
      <c r="AI1766" s="3">
        <f>ROUND(AG1766+(AG1766*AH1766),2)</f>
        <v/>
      </c>
      <c r="AJ1766" s="4" t="n">
        <v>0.15</v>
      </c>
      <c r="AK1766" s="3">
        <f>ROUND(AI1766*AJ1766,2)</f>
        <v/>
      </c>
      <c r="AL1766" s="3">
        <f>AI1766+AK1766</f>
        <v/>
      </c>
      <c r="AM1766" s="3">
        <f>AE1766-AL1766</f>
        <v/>
      </c>
      <c r="AN1766" s="4">
        <f>AM1766/AE1766</f>
        <v/>
      </c>
      <c r="AO1766" s="3" t="inlineStr">
        <is>
          <t>60 mins</t>
        </is>
      </c>
      <c r="AQ1766" s="3" t="inlineStr">
        <is>
          <t>Weight</t>
        </is>
      </c>
      <c r="AT1766" s="3" t="inlineStr">
        <is>
          <t>Inactive</t>
        </is>
      </c>
    </row>
    <row r="1767" ht="15.75" customHeight="1">
      <c r="A1767" s="3" t="inlineStr">
        <is>
          <t>PROD_0325</t>
        </is>
      </c>
      <c r="B1767" s="3" t="inlineStr">
        <is>
          <t>VAR_7</t>
        </is>
      </c>
      <c r="C1767" s="3" t="inlineStr">
        <is>
          <t>Plumbing</t>
        </is>
      </c>
      <c r="D1767" s="3" t="inlineStr">
        <is>
          <t>Bends &amp; Connectors</t>
        </is>
      </c>
      <c r="E1767" s="3" t="inlineStr">
        <is>
          <t>Prince</t>
        </is>
      </c>
      <c r="F1767" s="3" t="inlineStr">
        <is>
          <t>Elbow (SDR 11 &amp; SCH 80)</t>
        </is>
      </c>
      <c r="H1767" s="3" t="inlineStr">
        <is>
          <t>Diameter</t>
        </is>
      </c>
      <c r="I1767" s="3" t="inlineStr">
        <is>
          <t>65 mm (2.5 inch)</t>
        </is>
      </c>
      <c r="Q1767" s="3" t="inlineStr">
        <is>
          <t>Manufacturer's Warranty</t>
        </is>
      </c>
      <c r="R1767" s="3" t="inlineStr">
        <is>
          <t>SIM105028</t>
        </is>
      </c>
      <c r="Y1767" s="3" t="inlineStr">
        <is>
          <t>PLB_PRNC_ELBW_SDR11</t>
        </is>
      </c>
      <c r="Z1767" s="3" t="n">
        <v>3917</v>
      </c>
      <c r="AE1767" s="3" t="n">
        <v>795</v>
      </c>
      <c r="AF1767" s="4" t="n">
        <v>0.37</v>
      </c>
      <c r="AG1767" s="3">
        <f>ROUND(AE1767-(AE1767*AF1767),2)</f>
        <v/>
      </c>
      <c r="AH1767" s="4" t="n">
        <v>0.18</v>
      </c>
      <c r="AI1767" s="3">
        <f>ROUND(AG1767+(AG1767*AH1767),2)</f>
        <v/>
      </c>
      <c r="AJ1767" s="4" t="n">
        <v>0.15</v>
      </c>
      <c r="AK1767" s="3">
        <f>ROUND(AI1767*AJ1767,2)</f>
        <v/>
      </c>
      <c r="AL1767" s="3">
        <f>AI1767+AK1767</f>
        <v/>
      </c>
      <c r="AM1767" s="3">
        <f>AE1767-AL1767</f>
        <v/>
      </c>
      <c r="AN1767" s="4">
        <f>AM1767/AE1767</f>
        <v/>
      </c>
      <c r="AO1767" s="3" t="inlineStr">
        <is>
          <t>60 mins</t>
        </is>
      </c>
      <c r="AQ1767" s="3" t="inlineStr">
        <is>
          <t>Weight</t>
        </is>
      </c>
      <c r="AT1767" s="3" t="inlineStr">
        <is>
          <t>Inactive</t>
        </is>
      </c>
    </row>
    <row r="1768" ht="15.75" customHeight="1">
      <c r="A1768" s="3" t="inlineStr">
        <is>
          <t>PROD_0325</t>
        </is>
      </c>
      <c r="B1768" s="3" t="inlineStr">
        <is>
          <t>VAR_8</t>
        </is>
      </c>
      <c r="C1768" s="3" t="inlineStr">
        <is>
          <t>Plumbing</t>
        </is>
      </c>
      <c r="D1768" s="3" t="inlineStr">
        <is>
          <t>Bends &amp; Connectors</t>
        </is>
      </c>
      <c r="E1768" s="3" t="inlineStr">
        <is>
          <t>Prince</t>
        </is>
      </c>
      <c r="F1768" s="3" t="inlineStr">
        <is>
          <t>Elbow (SDR 11 &amp; SCH 80)</t>
        </is>
      </c>
      <c r="H1768" s="3" t="inlineStr">
        <is>
          <t>Diameter</t>
        </is>
      </c>
      <c r="I1768" s="3" t="inlineStr">
        <is>
          <t>80 mm (3 inch)</t>
        </is>
      </c>
      <c r="Q1768" s="3" t="inlineStr">
        <is>
          <t>Manufacturer's Warranty</t>
        </is>
      </c>
      <c r="R1768" s="3" t="inlineStr">
        <is>
          <t>SIM105029</t>
        </is>
      </c>
      <c r="Y1768" s="3" t="inlineStr">
        <is>
          <t>PLB_PRNC_ELBW_SDR11</t>
        </is>
      </c>
      <c r="Z1768" s="3" t="n">
        <v>3917</v>
      </c>
      <c r="AE1768" s="3" t="n">
        <v>1265</v>
      </c>
      <c r="AF1768" s="4" t="n">
        <v>0.37</v>
      </c>
      <c r="AG1768" s="3">
        <f>ROUND(AE1768-(AE1768*AF1768),2)</f>
        <v/>
      </c>
      <c r="AH1768" s="4" t="n">
        <v>0.18</v>
      </c>
      <c r="AI1768" s="3">
        <f>ROUND(AG1768+(AG1768*AH1768),2)</f>
        <v/>
      </c>
      <c r="AJ1768" s="4" t="n">
        <v>0.15</v>
      </c>
      <c r="AK1768" s="3">
        <f>ROUND(AI1768*AJ1768,2)</f>
        <v/>
      </c>
      <c r="AL1768" s="3">
        <f>AI1768+AK1768</f>
        <v/>
      </c>
      <c r="AM1768" s="3">
        <f>AE1768-AL1768</f>
        <v/>
      </c>
      <c r="AN1768" s="4">
        <f>AM1768/AE1768</f>
        <v/>
      </c>
      <c r="AO1768" s="3" t="inlineStr">
        <is>
          <t>60 mins</t>
        </is>
      </c>
      <c r="AQ1768" s="3" t="inlineStr">
        <is>
          <t>Weight</t>
        </is>
      </c>
      <c r="AT1768" s="3" t="inlineStr">
        <is>
          <t>Inactive</t>
        </is>
      </c>
    </row>
    <row r="1769" ht="15.75" customHeight="1">
      <c r="A1769" s="3" t="inlineStr">
        <is>
          <t>PROD_0325</t>
        </is>
      </c>
      <c r="B1769" s="3" t="inlineStr">
        <is>
          <t>VAR_9</t>
        </is>
      </c>
      <c r="C1769" s="3" t="inlineStr">
        <is>
          <t>Plumbing</t>
        </is>
      </c>
      <c r="D1769" s="3" t="inlineStr">
        <is>
          <t>Bends &amp; Connectors</t>
        </is>
      </c>
      <c r="E1769" s="3" t="inlineStr">
        <is>
          <t>Prince</t>
        </is>
      </c>
      <c r="F1769" s="3" t="inlineStr">
        <is>
          <t>Elbow (SDR 11 &amp; SCH 80)</t>
        </is>
      </c>
      <c r="H1769" s="3" t="inlineStr">
        <is>
          <t>Diameter</t>
        </is>
      </c>
      <c r="I1769" s="3" t="inlineStr">
        <is>
          <t>100 mm (4 inch)</t>
        </is>
      </c>
      <c r="Q1769" s="3" t="inlineStr">
        <is>
          <t>Manufacturer's Warranty</t>
        </is>
      </c>
      <c r="R1769" s="3" t="inlineStr">
        <is>
          <t>SIM105030</t>
        </is>
      </c>
      <c r="Y1769" s="3" t="inlineStr">
        <is>
          <t>PLB_PRNC_ELBW_SDR11</t>
        </is>
      </c>
      <c r="Z1769" s="3" t="n">
        <v>3917</v>
      </c>
      <c r="AE1769" s="3" t="n">
        <v>2098</v>
      </c>
      <c r="AF1769" s="4" t="n">
        <v>0.37</v>
      </c>
      <c r="AG1769" s="3">
        <f>ROUND(AE1769-(AE1769*AF1769),2)</f>
        <v/>
      </c>
      <c r="AH1769" s="4" t="n">
        <v>0.18</v>
      </c>
      <c r="AI1769" s="3">
        <f>ROUND(AG1769+(AG1769*AH1769),2)</f>
        <v/>
      </c>
      <c r="AJ1769" s="4" t="n">
        <v>0.15</v>
      </c>
      <c r="AK1769" s="3">
        <f>ROUND(AI1769*AJ1769,2)</f>
        <v/>
      </c>
      <c r="AL1769" s="3">
        <f>AI1769+AK1769</f>
        <v/>
      </c>
      <c r="AM1769" s="3">
        <f>AE1769-AL1769</f>
        <v/>
      </c>
      <c r="AN1769" s="4">
        <f>AM1769/AE1769</f>
        <v/>
      </c>
      <c r="AO1769" s="3" t="inlineStr">
        <is>
          <t>60 mins</t>
        </is>
      </c>
      <c r="AQ1769" s="3" t="inlineStr">
        <is>
          <t>Weight</t>
        </is>
      </c>
      <c r="AT1769" s="3" t="inlineStr">
        <is>
          <t>Inactive</t>
        </is>
      </c>
    </row>
    <row r="1770" ht="15.75" customHeight="1">
      <c r="A1770" s="3" t="inlineStr">
        <is>
          <t>PROD_0325</t>
        </is>
      </c>
      <c r="B1770" s="3" t="inlineStr">
        <is>
          <t>VAR_10</t>
        </is>
      </c>
      <c r="C1770" s="3" t="inlineStr">
        <is>
          <t>Plumbing</t>
        </is>
      </c>
      <c r="D1770" s="3" t="inlineStr">
        <is>
          <t>Bends &amp; Connectors</t>
        </is>
      </c>
      <c r="E1770" s="3" t="inlineStr">
        <is>
          <t>Prince</t>
        </is>
      </c>
      <c r="F1770" s="3" t="inlineStr">
        <is>
          <t>Elbow (SDR 11 &amp; SCH 80)</t>
        </is>
      </c>
      <c r="H1770" s="3" t="inlineStr">
        <is>
          <t>Diameter</t>
        </is>
      </c>
      <c r="I1770" s="3" t="inlineStr">
        <is>
          <t>150 mm (6 inch)</t>
        </is>
      </c>
      <c r="Q1770" s="3" t="inlineStr">
        <is>
          <t>Manufacturer's Warranty</t>
        </is>
      </c>
      <c r="R1770" s="3" t="inlineStr">
        <is>
          <t>SIM107068</t>
        </is>
      </c>
      <c r="Y1770" s="3" t="inlineStr">
        <is>
          <t>PLB_PRNC_ELBW_SDR11</t>
        </is>
      </c>
      <c r="Z1770" s="3" t="n">
        <v>3917</v>
      </c>
      <c r="AE1770" s="3" t="n">
        <v>4968</v>
      </c>
      <c r="AF1770" s="4" t="n">
        <v>0.37</v>
      </c>
      <c r="AG1770" s="3">
        <f>ROUND(AE1770-(AE1770*AF1770),2)</f>
        <v/>
      </c>
      <c r="AH1770" s="4" t="n">
        <v>0.18</v>
      </c>
      <c r="AI1770" s="3">
        <f>ROUND(AG1770+(AG1770*AH1770),2)</f>
        <v/>
      </c>
      <c r="AJ1770" s="4" t="n">
        <v>0.15</v>
      </c>
      <c r="AK1770" s="3">
        <f>ROUND(AI1770*AJ1770,2)</f>
        <v/>
      </c>
      <c r="AL1770" s="3">
        <f>AI1770+AK1770</f>
        <v/>
      </c>
      <c r="AM1770" s="3">
        <f>AE1770-AL1770</f>
        <v/>
      </c>
      <c r="AN1770" s="4">
        <f>AM1770/AE1770</f>
        <v/>
      </c>
      <c r="AO1770" s="3" t="inlineStr">
        <is>
          <t>60 mins</t>
        </is>
      </c>
      <c r="AQ1770" s="3" t="inlineStr">
        <is>
          <t>Weight</t>
        </is>
      </c>
      <c r="AT1770" s="3" t="inlineStr">
        <is>
          <t>Inactive</t>
        </is>
      </c>
    </row>
    <row r="1771" ht="15.75" customHeight="1">
      <c r="A1771" s="3" t="inlineStr">
        <is>
          <t>PROD_0326</t>
        </is>
      </c>
      <c r="B1771" s="3" t="inlineStr">
        <is>
          <t>VAR_1</t>
        </is>
      </c>
      <c r="C1771" s="3" t="inlineStr">
        <is>
          <t>Plumbing</t>
        </is>
      </c>
      <c r="D1771" s="3" t="inlineStr">
        <is>
          <t>Bends &amp; Connectors</t>
        </is>
      </c>
      <c r="E1771" s="3" t="inlineStr">
        <is>
          <t>Prince</t>
        </is>
      </c>
      <c r="F1771" s="3" t="inlineStr">
        <is>
          <t>Tee (SDR 11 &amp; SCH 80)</t>
        </is>
      </c>
      <c r="H1771" s="3" t="inlineStr">
        <is>
          <t>Diameter</t>
        </is>
      </c>
      <c r="I1771" s="3" t="inlineStr">
        <is>
          <t>15 mm (.5 inch)</t>
        </is>
      </c>
      <c r="Q1771" s="3" t="inlineStr">
        <is>
          <t>Manufacturer's Warranty</t>
        </is>
      </c>
      <c r="R1771" s="3" t="inlineStr">
        <is>
          <t>SIM104930</t>
        </is>
      </c>
      <c r="Y1771" s="3" t="inlineStr">
        <is>
          <t>PLB_PRNC_TEE_SDR11</t>
        </is>
      </c>
      <c r="Z1771" s="3" t="n">
        <v>3917</v>
      </c>
      <c r="AE1771" s="3" t="n">
        <v>24</v>
      </c>
      <c r="AF1771" s="4" t="n">
        <v>0.37</v>
      </c>
      <c r="AG1771" s="3">
        <f>ROUND(AE1771-(AE1771*AF1771),2)</f>
        <v/>
      </c>
      <c r="AH1771" s="4" t="n">
        <v>0.18</v>
      </c>
      <c r="AI1771" s="3">
        <f>ROUND(AG1771+(AG1771*AH1771),2)</f>
        <v/>
      </c>
      <c r="AJ1771" s="4" t="n">
        <v>0.15</v>
      </c>
      <c r="AK1771" s="3">
        <f>ROUND(AI1771*AJ1771,2)</f>
        <v/>
      </c>
      <c r="AL1771" s="3">
        <f>AI1771+AK1771</f>
        <v/>
      </c>
      <c r="AM1771" s="3">
        <f>AE1771-AL1771</f>
        <v/>
      </c>
      <c r="AN1771" s="4">
        <f>AM1771/AE1771</f>
        <v/>
      </c>
      <c r="AO1771" s="3" t="inlineStr">
        <is>
          <t>60 mins</t>
        </is>
      </c>
      <c r="AQ1771" s="3" t="inlineStr">
        <is>
          <t>Weight</t>
        </is>
      </c>
      <c r="AT1771" s="3" t="inlineStr">
        <is>
          <t>Inactive</t>
        </is>
      </c>
    </row>
    <row r="1772" ht="15.75" customHeight="1">
      <c r="A1772" s="3" t="inlineStr">
        <is>
          <t>PROD_0326</t>
        </is>
      </c>
      <c r="B1772" s="3" t="inlineStr">
        <is>
          <t>VAR_2</t>
        </is>
      </c>
      <c r="C1772" s="3" t="inlineStr">
        <is>
          <t>Plumbing</t>
        </is>
      </c>
      <c r="D1772" s="3" t="inlineStr">
        <is>
          <t>Bends &amp; Connectors</t>
        </is>
      </c>
      <c r="E1772" s="3" t="inlineStr">
        <is>
          <t>Prince</t>
        </is>
      </c>
      <c r="F1772" s="3" t="inlineStr">
        <is>
          <t>Tee (SDR 11 &amp; SCH 80)</t>
        </is>
      </c>
      <c r="H1772" s="3" t="inlineStr">
        <is>
          <t>Diameter</t>
        </is>
      </c>
      <c r="I1772" s="3" t="inlineStr">
        <is>
          <t>20 mm (.75 inch)</t>
        </is>
      </c>
      <c r="Q1772" s="3" t="inlineStr">
        <is>
          <t>Manufacturer's Warranty</t>
        </is>
      </c>
      <c r="R1772" s="3" t="inlineStr">
        <is>
          <t>SIM104931</t>
        </is>
      </c>
      <c r="Y1772" s="3" t="inlineStr">
        <is>
          <t>PLB_PRNC_TEE_SDR11</t>
        </is>
      </c>
      <c r="Z1772" s="3" t="n">
        <v>3917</v>
      </c>
      <c r="AE1772" s="3" t="n">
        <v>34</v>
      </c>
      <c r="AF1772" s="4" t="n">
        <v>0.37</v>
      </c>
      <c r="AG1772" s="3">
        <f>ROUND(AE1772-(AE1772*AF1772),2)</f>
        <v/>
      </c>
      <c r="AH1772" s="4" t="n">
        <v>0.18</v>
      </c>
      <c r="AI1772" s="3">
        <f>ROUND(AG1772+(AG1772*AH1772),2)</f>
        <v/>
      </c>
      <c r="AJ1772" s="4" t="n">
        <v>0.15</v>
      </c>
      <c r="AK1772" s="3">
        <f>ROUND(AI1772*AJ1772,2)</f>
        <v/>
      </c>
      <c r="AL1772" s="3">
        <f>AI1772+AK1772</f>
        <v/>
      </c>
      <c r="AM1772" s="3">
        <f>AE1772-AL1772</f>
        <v/>
      </c>
      <c r="AN1772" s="4">
        <f>AM1772/AE1772</f>
        <v/>
      </c>
      <c r="AO1772" s="3" t="inlineStr">
        <is>
          <t>60 mins</t>
        </is>
      </c>
      <c r="AQ1772" s="3" t="inlineStr">
        <is>
          <t>Weight</t>
        </is>
      </c>
      <c r="AT1772" s="3" t="inlineStr">
        <is>
          <t>Inactive</t>
        </is>
      </c>
    </row>
    <row r="1773" ht="15.75" customHeight="1">
      <c r="A1773" s="3" t="inlineStr">
        <is>
          <t>PROD_0326</t>
        </is>
      </c>
      <c r="B1773" s="3" t="inlineStr">
        <is>
          <t>VAR_3</t>
        </is>
      </c>
      <c r="C1773" s="3" t="inlineStr">
        <is>
          <t>Plumbing</t>
        </is>
      </c>
      <c r="D1773" s="3" t="inlineStr">
        <is>
          <t>Bends &amp; Connectors</t>
        </is>
      </c>
      <c r="E1773" s="3" t="inlineStr">
        <is>
          <t>Prince</t>
        </is>
      </c>
      <c r="F1773" s="3" t="inlineStr">
        <is>
          <t>Tee (SDR 11 &amp; SCH 80)</t>
        </is>
      </c>
      <c r="H1773" s="3" t="inlineStr">
        <is>
          <t>Diameter</t>
        </is>
      </c>
      <c r="I1773" s="3" t="inlineStr">
        <is>
          <t>25 mm (1 inch)</t>
        </is>
      </c>
      <c r="Q1773" s="3" t="inlineStr">
        <is>
          <t>Manufacturer's Warranty</t>
        </is>
      </c>
      <c r="R1773" s="3" t="inlineStr">
        <is>
          <t>SIM104932</t>
        </is>
      </c>
      <c r="Y1773" s="3" t="inlineStr">
        <is>
          <t>PLB_PRNC_TEE_SDR11</t>
        </is>
      </c>
      <c r="Z1773" s="3" t="n">
        <v>3917</v>
      </c>
      <c r="AE1773" s="3" t="n">
        <v>62</v>
      </c>
      <c r="AF1773" s="4" t="n">
        <v>0.37</v>
      </c>
      <c r="AG1773" s="3">
        <f>ROUND(AE1773-(AE1773*AF1773),2)</f>
        <v/>
      </c>
      <c r="AH1773" s="4" t="n">
        <v>0.18</v>
      </c>
      <c r="AI1773" s="3">
        <f>ROUND(AG1773+(AG1773*AH1773),2)</f>
        <v/>
      </c>
      <c r="AJ1773" s="4" t="n">
        <v>0.15</v>
      </c>
      <c r="AK1773" s="3">
        <f>ROUND(AI1773*AJ1773,2)</f>
        <v/>
      </c>
      <c r="AL1773" s="3">
        <f>AI1773+AK1773</f>
        <v/>
      </c>
      <c r="AM1773" s="3">
        <f>AE1773-AL1773</f>
        <v/>
      </c>
      <c r="AN1773" s="4">
        <f>AM1773/AE1773</f>
        <v/>
      </c>
      <c r="AO1773" s="3" t="inlineStr">
        <is>
          <t>60 mins</t>
        </is>
      </c>
      <c r="AQ1773" s="3" t="inlineStr">
        <is>
          <t>Weight</t>
        </is>
      </c>
      <c r="AT1773" s="3" t="inlineStr">
        <is>
          <t>Inactive</t>
        </is>
      </c>
    </row>
    <row r="1774" ht="15.75" customHeight="1">
      <c r="A1774" s="3" t="inlineStr">
        <is>
          <t>PROD_0326</t>
        </is>
      </c>
      <c r="B1774" s="3" t="inlineStr">
        <is>
          <t>VAR_4</t>
        </is>
      </c>
      <c r="C1774" s="3" t="inlineStr">
        <is>
          <t>Plumbing</t>
        </is>
      </c>
      <c r="D1774" s="3" t="inlineStr">
        <is>
          <t>Bends &amp; Connectors</t>
        </is>
      </c>
      <c r="E1774" s="3" t="inlineStr">
        <is>
          <t>Prince</t>
        </is>
      </c>
      <c r="F1774" s="3" t="inlineStr">
        <is>
          <t>Tee (SDR 11 &amp; SCH 80)</t>
        </is>
      </c>
      <c r="H1774" s="3" t="inlineStr">
        <is>
          <t>Diameter</t>
        </is>
      </c>
      <c r="I1774" s="3" t="inlineStr">
        <is>
          <t>32 mm (1.25 inch)</t>
        </is>
      </c>
      <c r="Q1774" s="3" t="inlineStr">
        <is>
          <t>Manufacturer's Warranty</t>
        </is>
      </c>
      <c r="R1774" s="3" t="inlineStr">
        <is>
          <t>SIM104933</t>
        </is>
      </c>
      <c r="Y1774" s="3" t="inlineStr">
        <is>
          <t>PLB_PRNC_TEE_SDR11</t>
        </is>
      </c>
      <c r="Z1774" s="3" t="n">
        <v>3917</v>
      </c>
      <c r="AE1774" s="3" t="n">
        <v>126</v>
      </c>
      <c r="AF1774" s="4" t="n">
        <v>0.37</v>
      </c>
      <c r="AG1774" s="3">
        <f>ROUND(AE1774-(AE1774*AF1774),2)</f>
        <v/>
      </c>
      <c r="AH1774" s="4" t="n">
        <v>0.18</v>
      </c>
      <c r="AI1774" s="3">
        <f>ROUND(AG1774+(AG1774*AH1774),2)</f>
        <v/>
      </c>
      <c r="AJ1774" s="4" t="n">
        <v>0.15</v>
      </c>
      <c r="AK1774" s="3">
        <f>ROUND(AI1774*AJ1774,2)</f>
        <v/>
      </c>
      <c r="AL1774" s="3">
        <f>AI1774+AK1774</f>
        <v/>
      </c>
      <c r="AM1774" s="3">
        <f>AE1774-AL1774</f>
        <v/>
      </c>
      <c r="AN1774" s="4">
        <f>AM1774/AE1774</f>
        <v/>
      </c>
      <c r="AO1774" s="3" t="inlineStr">
        <is>
          <t>60 mins</t>
        </is>
      </c>
      <c r="AQ1774" s="3" t="inlineStr">
        <is>
          <t>Weight</t>
        </is>
      </c>
      <c r="AT1774" s="3" t="inlineStr">
        <is>
          <t>Inactive</t>
        </is>
      </c>
    </row>
    <row r="1775" ht="15.75" customHeight="1">
      <c r="A1775" s="3" t="inlineStr">
        <is>
          <t>PROD_0326</t>
        </is>
      </c>
      <c r="B1775" s="3" t="inlineStr">
        <is>
          <t>VAR_5</t>
        </is>
      </c>
      <c r="C1775" s="3" t="inlineStr">
        <is>
          <t>Plumbing</t>
        </is>
      </c>
      <c r="D1775" s="3" t="inlineStr">
        <is>
          <t>Bends &amp; Connectors</t>
        </is>
      </c>
      <c r="E1775" s="3" t="inlineStr">
        <is>
          <t>Prince</t>
        </is>
      </c>
      <c r="F1775" s="3" t="inlineStr">
        <is>
          <t>Tee (SDR 11 &amp; SCH 80)</t>
        </is>
      </c>
      <c r="H1775" s="3" t="inlineStr">
        <is>
          <t>Diameter</t>
        </is>
      </c>
      <c r="I1775" s="3" t="inlineStr">
        <is>
          <t>40 mm (1.5 inch)</t>
        </is>
      </c>
      <c r="Q1775" s="3" t="inlineStr">
        <is>
          <t>Manufacturer's Warranty</t>
        </is>
      </c>
      <c r="R1775" s="3" t="inlineStr">
        <is>
          <t>SIM104934</t>
        </is>
      </c>
      <c r="Y1775" s="3" t="inlineStr">
        <is>
          <t>PLB_PRNC_TEE_SDR11</t>
        </is>
      </c>
      <c r="Z1775" s="3" t="n">
        <v>3917</v>
      </c>
      <c r="AE1775" s="3" t="n">
        <v>215</v>
      </c>
      <c r="AF1775" s="4" t="n">
        <v>0.37</v>
      </c>
      <c r="AG1775" s="3">
        <f>ROUND(AE1775-(AE1775*AF1775),2)</f>
        <v/>
      </c>
      <c r="AH1775" s="4" t="n">
        <v>0.18</v>
      </c>
      <c r="AI1775" s="3">
        <f>ROUND(AG1775+(AG1775*AH1775),2)</f>
        <v/>
      </c>
      <c r="AJ1775" s="4" t="n">
        <v>0.15</v>
      </c>
      <c r="AK1775" s="3">
        <f>ROUND(AI1775*AJ1775,2)</f>
        <v/>
      </c>
      <c r="AL1775" s="3">
        <f>AI1775+AK1775</f>
        <v/>
      </c>
      <c r="AM1775" s="3">
        <f>AE1775-AL1775</f>
        <v/>
      </c>
      <c r="AN1775" s="4">
        <f>AM1775/AE1775</f>
        <v/>
      </c>
      <c r="AO1775" s="3" t="inlineStr">
        <is>
          <t>60 mins</t>
        </is>
      </c>
      <c r="AQ1775" s="3" t="inlineStr">
        <is>
          <t>Weight</t>
        </is>
      </c>
      <c r="AT1775" s="3" t="inlineStr">
        <is>
          <t>Inactive</t>
        </is>
      </c>
    </row>
    <row r="1776" ht="15.75" customHeight="1">
      <c r="A1776" s="3" t="inlineStr">
        <is>
          <t>PROD_0326</t>
        </is>
      </c>
      <c r="B1776" s="3" t="inlineStr">
        <is>
          <t>VAR_6</t>
        </is>
      </c>
      <c r="C1776" s="3" t="inlineStr">
        <is>
          <t>Plumbing</t>
        </is>
      </c>
      <c r="D1776" s="3" t="inlineStr">
        <is>
          <t>Bends &amp; Connectors</t>
        </is>
      </c>
      <c r="E1776" s="3" t="inlineStr">
        <is>
          <t>Prince</t>
        </is>
      </c>
      <c r="F1776" s="3" t="inlineStr">
        <is>
          <t>Tee (SDR 11 &amp; SCH 80)</t>
        </is>
      </c>
      <c r="H1776" s="3" t="inlineStr">
        <is>
          <t>Diameter</t>
        </is>
      </c>
      <c r="I1776" s="3" t="inlineStr">
        <is>
          <t>50 mm (2 inch)</t>
        </is>
      </c>
      <c r="Q1776" s="3" t="inlineStr">
        <is>
          <t>Manufacturer's Warranty</t>
        </is>
      </c>
      <c r="R1776" s="3" t="inlineStr">
        <is>
          <t>SIM104935</t>
        </is>
      </c>
      <c r="Y1776" s="3" t="inlineStr">
        <is>
          <t>PLB_PRNC_TEE_SDR11</t>
        </is>
      </c>
      <c r="Z1776" s="3" t="n">
        <v>3917</v>
      </c>
      <c r="AE1776" s="3" t="n">
        <v>440</v>
      </c>
      <c r="AF1776" s="4" t="n">
        <v>0.37</v>
      </c>
      <c r="AG1776" s="3">
        <f>ROUND(AE1776-(AE1776*AF1776),2)</f>
        <v/>
      </c>
      <c r="AH1776" s="4" t="n">
        <v>0.18</v>
      </c>
      <c r="AI1776" s="3">
        <f>ROUND(AG1776+(AG1776*AH1776),2)</f>
        <v/>
      </c>
      <c r="AJ1776" s="4" t="n">
        <v>0.15</v>
      </c>
      <c r="AK1776" s="3">
        <f>ROUND(AI1776*AJ1776,2)</f>
        <v/>
      </c>
      <c r="AL1776" s="3">
        <f>AI1776+AK1776</f>
        <v/>
      </c>
      <c r="AM1776" s="3">
        <f>AE1776-AL1776</f>
        <v/>
      </c>
      <c r="AN1776" s="4">
        <f>AM1776/AE1776</f>
        <v/>
      </c>
      <c r="AO1776" s="3" t="inlineStr">
        <is>
          <t>60 mins</t>
        </is>
      </c>
      <c r="AQ1776" s="3" t="inlineStr">
        <is>
          <t>Weight</t>
        </is>
      </c>
      <c r="AT1776" s="3" t="inlineStr">
        <is>
          <t>Inactive</t>
        </is>
      </c>
    </row>
    <row r="1777" ht="15.75" customHeight="1">
      <c r="A1777" s="3" t="inlineStr">
        <is>
          <t>PROD_0326</t>
        </is>
      </c>
      <c r="B1777" s="3" t="inlineStr">
        <is>
          <t>VAR_7</t>
        </is>
      </c>
      <c r="C1777" s="3" t="inlineStr">
        <is>
          <t>Plumbing</t>
        </is>
      </c>
      <c r="D1777" s="3" t="inlineStr">
        <is>
          <t>Bends &amp; Connectors</t>
        </is>
      </c>
      <c r="E1777" s="3" t="inlineStr">
        <is>
          <t>Prince</t>
        </is>
      </c>
      <c r="F1777" s="3" t="inlineStr">
        <is>
          <t>Tee (SDR 11 &amp; SCH 80)</t>
        </is>
      </c>
      <c r="H1777" s="3" t="inlineStr">
        <is>
          <t>Diameter</t>
        </is>
      </c>
      <c r="I1777" s="3" t="inlineStr">
        <is>
          <t>65 mm (2.5 inch)</t>
        </is>
      </c>
      <c r="Q1777" s="3" t="inlineStr">
        <is>
          <t>Manufacturer's Warranty</t>
        </is>
      </c>
      <c r="R1777" s="3" t="inlineStr">
        <is>
          <t>SIM105040</t>
        </is>
      </c>
      <c r="Y1777" s="3" t="inlineStr">
        <is>
          <t>PLB_PRNC_TEE_SDR11</t>
        </is>
      </c>
      <c r="Z1777" s="3" t="n">
        <v>3917</v>
      </c>
      <c r="AE1777" s="3" t="n">
        <v>1083</v>
      </c>
      <c r="AF1777" s="4" t="n">
        <v>0.37</v>
      </c>
      <c r="AG1777" s="3">
        <f>ROUND(AE1777-(AE1777*AF1777),2)</f>
        <v/>
      </c>
      <c r="AH1777" s="4" t="n">
        <v>0.18</v>
      </c>
      <c r="AI1777" s="3">
        <f>ROUND(AG1777+(AG1777*AH1777),2)</f>
        <v/>
      </c>
      <c r="AJ1777" s="4" t="n">
        <v>0.15</v>
      </c>
      <c r="AK1777" s="3">
        <f>ROUND(AI1777*AJ1777,2)</f>
        <v/>
      </c>
      <c r="AL1777" s="3">
        <f>AI1777+AK1777</f>
        <v/>
      </c>
      <c r="AM1777" s="3">
        <f>AE1777-AL1777</f>
        <v/>
      </c>
      <c r="AN1777" s="4">
        <f>AM1777/AE1777</f>
        <v/>
      </c>
      <c r="AO1777" s="3" t="inlineStr">
        <is>
          <t>60 mins</t>
        </is>
      </c>
      <c r="AQ1777" s="3" t="inlineStr">
        <is>
          <t>Weight</t>
        </is>
      </c>
      <c r="AT1777" s="3" t="inlineStr">
        <is>
          <t>Inactive</t>
        </is>
      </c>
    </row>
    <row r="1778" ht="15.75" customHeight="1">
      <c r="A1778" s="3" t="inlineStr">
        <is>
          <t>PROD_0326</t>
        </is>
      </c>
      <c r="B1778" s="3" t="inlineStr">
        <is>
          <t>VAR_8</t>
        </is>
      </c>
      <c r="C1778" s="3" t="inlineStr">
        <is>
          <t>Plumbing</t>
        </is>
      </c>
      <c r="D1778" s="3" t="inlineStr">
        <is>
          <t>Bends &amp; Connectors</t>
        </is>
      </c>
      <c r="E1778" s="3" t="inlineStr">
        <is>
          <t>Prince</t>
        </is>
      </c>
      <c r="F1778" s="3" t="inlineStr">
        <is>
          <t>Tee (SDR 11 &amp; SCH 80)</t>
        </is>
      </c>
      <c r="H1778" s="3" t="inlineStr">
        <is>
          <t>Diameter</t>
        </is>
      </c>
      <c r="I1778" s="3" t="inlineStr">
        <is>
          <t>80 mm (3 inch)</t>
        </is>
      </c>
      <c r="Q1778" s="3" t="inlineStr">
        <is>
          <t>Manufacturer's Warranty</t>
        </is>
      </c>
      <c r="R1778" s="3" t="inlineStr">
        <is>
          <t>SIM105041</t>
        </is>
      </c>
      <c r="Y1778" s="3" t="inlineStr">
        <is>
          <t>PLB_PRNC_TEE_SDR11</t>
        </is>
      </c>
      <c r="Z1778" s="3" t="n">
        <v>3917</v>
      </c>
      <c r="AE1778" s="3" t="n">
        <v>1596</v>
      </c>
      <c r="AF1778" s="4" t="n">
        <v>0.37</v>
      </c>
      <c r="AG1778" s="3">
        <f>ROUND(AE1778-(AE1778*AF1778),2)</f>
        <v/>
      </c>
      <c r="AH1778" s="4" t="n">
        <v>0.18</v>
      </c>
      <c r="AI1778" s="3">
        <f>ROUND(AG1778+(AG1778*AH1778),2)</f>
        <v/>
      </c>
      <c r="AJ1778" s="4" t="n">
        <v>0.15</v>
      </c>
      <c r="AK1778" s="3">
        <f>ROUND(AI1778*AJ1778,2)</f>
        <v/>
      </c>
      <c r="AL1778" s="3">
        <f>AI1778+AK1778</f>
        <v/>
      </c>
      <c r="AM1778" s="3">
        <f>AE1778-AL1778</f>
        <v/>
      </c>
      <c r="AN1778" s="4">
        <f>AM1778/AE1778</f>
        <v/>
      </c>
      <c r="AO1778" s="3" t="inlineStr">
        <is>
          <t>60 mins</t>
        </is>
      </c>
      <c r="AQ1778" s="3" t="inlineStr">
        <is>
          <t>Weight</t>
        </is>
      </c>
      <c r="AT1778" s="3" t="inlineStr">
        <is>
          <t>Inactive</t>
        </is>
      </c>
    </row>
    <row r="1779" ht="15.75" customHeight="1">
      <c r="A1779" s="3" t="inlineStr">
        <is>
          <t>PROD_0326</t>
        </is>
      </c>
      <c r="B1779" s="3" t="inlineStr">
        <is>
          <t>VAR_9</t>
        </is>
      </c>
      <c r="C1779" s="3" t="inlineStr">
        <is>
          <t>Plumbing</t>
        </is>
      </c>
      <c r="D1779" s="3" t="inlineStr">
        <is>
          <t>Bends &amp; Connectors</t>
        </is>
      </c>
      <c r="E1779" s="3" t="inlineStr">
        <is>
          <t>Prince</t>
        </is>
      </c>
      <c r="F1779" s="3" t="inlineStr">
        <is>
          <t>Tee (SDR 11 &amp; SCH 80)</t>
        </is>
      </c>
      <c r="H1779" s="3" t="inlineStr">
        <is>
          <t>Diameter</t>
        </is>
      </c>
      <c r="I1779" s="3" t="inlineStr">
        <is>
          <t>100 mm (4 inch)</t>
        </is>
      </c>
      <c r="Q1779" s="3" t="inlineStr">
        <is>
          <t>Manufacturer's Warranty</t>
        </is>
      </c>
      <c r="R1779" s="3" t="inlineStr">
        <is>
          <t>SIM105042</t>
        </is>
      </c>
      <c r="Y1779" s="3" t="inlineStr">
        <is>
          <t>PLB_PRNC_TEE_SDR11</t>
        </is>
      </c>
      <c r="Z1779" s="3" t="n">
        <v>3917</v>
      </c>
      <c r="AE1779" s="3" t="n">
        <v>2571</v>
      </c>
      <c r="AF1779" s="4" t="n">
        <v>0.37</v>
      </c>
      <c r="AG1779" s="3">
        <f>ROUND(AE1779-(AE1779*AF1779),2)</f>
        <v/>
      </c>
      <c r="AH1779" s="4" t="n">
        <v>0.18</v>
      </c>
      <c r="AI1779" s="3">
        <f>ROUND(AG1779+(AG1779*AH1779),2)</f>
        <v/>
      </c>
      <c r="AJ1779" s="4" t="n">
        <v>0.15</v>
      </c>
      <c r="AK1779" s="3">
        <f>ROUND(AI1779*AJ1779,2)</f>
        <v/>
      </c>
      <c r="AL1779" s="3">
        <f>AI1779+AK1779</f>
        <v/>
      </c>
      <c r="AM1779" s="3">
        <f>AE1779-AL1779</f>
        <v/>
      </c>
      <c r="AN1779" s="4">
        <f>AM1779/AE1779</f>
        <v/>
      </c>
      <c r="AO1779" s="3" t="inlineStr">
        <is>
          <t>60 mins</t>
        </is>
      </c>
      <c r="AQ1779" s="3" t="inlineStr">
        <is>
          <t>Weight</t>
        </is>
      </c>
      <c r="AT1779" s="3" t="inlineStr">
        <is>
          <t>Inactive</t>
        </is>
      </c>
    </row>
    <row r="1780" ht="15.75" customHeight="1">
      <c r="A1780" s="3" t="inlineStr">
        <is>
          <t>PROD_0326</t>
        </is>
      </c>
      <c r="B1780" s="3" t="inlineStr">
        <is>
          <t>VAR_10</t>
        </is>
      </c>
      <c r="C1780" s="3" t="inlineStr">
        <is>
          <t>Plumbing</t>
        </is>
      </c>
      <c r="D1780" s="3" t="inlineStr">
        <is>
          <t>Bends &amp; Connectors</t>
        </is>
      </c>
      <c r="E1780" s="3" t="inlineStr">
        <is>
          <t>Prince</t>
        </is>
      </c>
      <c r="F1780" s="3" t="inlineStr">
        <is>
          <t>Tee (SDR 11 &amp; SCH 80)</t>
        </is>
      </c>
      <c r="H1780" s="3" t="inlineStr">
        <is>
          <t>Diameter</t>
        </is>
      </c>
      <c r="I1780" s="3" t="inlineStr">
        <is>
          <t>150 mm (6 inch)</t>
        </is>
      </c>
      <c r="Q1780" s="3" t="inlineStr">
        <is>
          <t>Manufacturer's Warranty</t>
        </is>
      </c>
      <c r="R1780" s="3" t="inlineStr">
        <is>
          <t>SIM107069</t>
        </is>
      </c>
      <c r="Y1780" s="3" t="inlineStr">
        <is>
          <t>PLB_PRNC_TEE_SDR11</t>
        </is>
      </c>
      <c r="Z1780" s="3" t="n">
        <v>3917</v>
      </c>
      <c r="AE1780" s="3" t="n">
        <v>4271</v>
      </c>
      <c r="AF1780" s="4" t="n">
        <v>0.37</v>
      </c>
      <c r="AG1780" s="3">
        <f>ROUND(AE1780-(AE1780*AF1780),2)</f>
        <v/>
      </c>
      <c r="AH1780" s="4" t="n">
        <v>0.18</v>
      </c>
      <c r="AI1780" s="3">
        <f>ROUND(AG1780+(AG1780*AH1780),2)</f>
        <v/>
      </c>
      <c r="AJ1780" s="4" t="n">
        <v>0.15</v>
      </c>
      <c r="AK1780" s="3">
        <f>ROUND(AI1780*AJ1780,2)</f>
        <v/>
      </c>
      <c r="AL1780" s="3">
        <f>AI1780+AK1780</f>
        <v/>
      </c>
      <c r="AM1780" s="3">
        <f>AE1780-AL1780</f>
        <v/>
      </c>
      <c r="AN1780" s="4">
        <f>AM1780/AE1780</f>
        <v/>
      </c>
      <c r="AO1780" s="3" t="inlineStr">
        <is>
          <t>60 mins</t>
        </is>
      </c>
      <c r="AQ1780" s="3" t="inlineStr">
        <is>
          <t>Weight</t>
        </is>
      </c>
      <c r="AT1780" s="3" t="inlineStr">
        <is>
          <t>Inactive</t>
        </is>
      </c>
    </row>
    <row r="1781" ht="15.75" customHeight="1">
      <c r="A1781" s="3" t="inlineStr">
        <is>
          <t>PROD_0326</t>
        </is>
      </c>
      <c r="B1781" s="3" t="inlineStr">
        <is>
          <t>VAR_11</t>
        </is>
      </c>
      <c r="C1781" s="3" t="inlineStr">
        <is>
          <t>Plumbing</t>
        </is>
      </c>
      <c r="D1781" s="3" t="inlineStr">
        <is>
          <t>Bends &amp; Connectors</t>
        </is>
      </c>
      <c r="E1781" s="3" t="inlineStr">
        <is>
          <t>Prince</t>
        </is>
      </c>
      <c r="F1781" s="3" t="inlineStr">
        <is>
          <t>Tee (SDR 11 &amp; SCH 80)</t>
        </is>
      </c>
      <c r="H1781" s="3" t="inlineStr">
        <is>
          <t>Diameter</t>
        </is>
      </c>
      <c r="I1781" s="3" t="inlineStr">
        <is>
          <t>200 mm (8 inch)</t>
        </is>
      </c>
      <c r="Q1781" s="3" t="inlineStr">
        <is>
          <t>Manufacturer's Warranty</t>
        </is>
      </c>
      <c r="R1781" s="3" t="inlineStr">
        <is>
          <t>SIM107022</t>
        </is>
      </c>
      <c r="Y1781" s="3" t="inlineStr">
        <is>
          <t>PLB_PRNC_TEE_SDR11</t>
        </is>
      </c>
      <c r="Z1781" s="3" t="n">
        <v>3917</v>
      </c>
      <c r="AE1781" s="3" t="n">
        <v>16547</v>
      </c>
      <c r="AF1781" s="4" t="n">
        <v>0.37</v>
      </c>
      <c r="AG1781" s="3">
        <f>ROUND(AE1781-(AE1781*AF1781),2)</f>
        <v/>
      </c>
      <c r="AH1781" s="4" t="n">
        <v>0.18</v>
      </c>
      <c r="AI1781" s="3">
        <f>ROUND(AG1781+(AG1781*AH1781),2)</f>
        <v/>
      </c>
      <c r="AJ1781" s="4" t="n">
        <v>0.15</v>
      </c>
      <c r="AK1781" s="3">
        <f>ROUND(AI1781*AJ1781,2)</f>
        <v/>
      </c>
      <c r="AL1781" s="3">
        <f>AI1781+AK1781</f>
        <v/>
      </c>
      <c r="AM1781" s="3">
        <f>AE1781-AL1781</f>
        <v/>
      </c>
      <c r="AN1781" s="4">
        <f>AM1781/AE1781</f>
        <v/>
      </c>
      <c r="AO1781" s="3" t="inlineStr">
        <is>
          <t>60 mins</t>
        </is>
      </c>
      <c r="AQ1781" s="3" t="inlineStr">
        <is>
          <t>Weight</t>
        </is>
      </c>
      <c r="AT1781" s="3" t="inlineStr">
        <is>
          <t>Inactive</t>
        </is>
      </c>
    </row>
    <row r="1782" ht="15.75" customHeight="1">
      <c r="A1782" s="3" t="inlineStr">
        <is>
          <t>PROD_0327</t>
        </is>
      </c>
      <c r="B1782" s="3" t="inlineStr">
        <is>
          <t>VAR_1</t>
        </is>
      </c>
      <c r="C1782" s="3" t="inlineStr">
        <is>
          <t>Plumbing</t>
        </is>
      </c>
      <c r="D1782" s="3" t="inlineStr">
        <is>
          <t>Bends &amp; Connectors</t>
        </is>
      </c>
      <c r="E1782" s="3" t="inlineStr">
        <is>
          <t>Prince</t>
        </is>
      </c>
      <c r="F1782" s="3" t="inlineStr">
        <is>
          <t>End Cap (SDR 11 &amp; SCH 80)</t>
        </is>
      </c>
      <c r="H1782" s="3" t="inlineStr">
        <is>
          <t>Diameter</t>
        </is>
      </c>
      <c r="I1782" s="3" t="inlineStr">
        <is>
          <t>15 mm (.5 inch)</t>
        </is>
      </c>
      <c r="Q1782" s="3" t="inlineStr">
        <is>
          <t>Manufacturer's Warranty</t>
        </is>
      </c>
      <c r="R1782" s="3" t="inlineStr">
        <is>
          <t>SIM104936</t>
        </is>
      </c>
      <c r="Y1782" s="3" t="inlineStr">
        <is>
          <t>PLB_PRNC_NDCP_SDR11</t>
        </is>
      </c>
      <c r="Z1782" s="3" t="n">
        <v>3917</v>
      </c>
      <c r="AE1782" s="3" t="n">
        <v>10</v>
      </c>
      <c r="AF1782" s="4" t="n">
        <v>0.37</v>
      </c>
      <c r="AG1782" s="3">
        <f>ROUND(AE1782-(AE1782*AF1782),2)</f>
        <v/>
      </c>
      <c r="AH1782" s="4" t="n">
        <v>0.18</v>
      </c>
      <c r="AI1782" s="3">
        <f>ROUND(AG1782+(AG1782*AH1782),2)</f>
        <v/>
      </c>
      <c r="AJ1782" s="4" t="n">
        <v>0.15</v>
      </c>
      <c r="AK1782" s="3">
        <f>ROUND(AI1782*AJ1782,2)</f>
        <v/>
      </c>
      <c r="AL1782" s="3">
        <f>AI1782+AK1782</f>
        <v/>
      </c>
      <c r="AM1782" s="3">
        <f>AE1782-AL1782</f>
        <v/>
      </c>
      <c r="AN1782" s="4">
        <f>AM1782/AE1782</f>
        <v/>
      </c>
      <c r="AO1782" s="3" t="inlineStr">
        <is>
          <t>60 mins</t>
        </is>
      </c>
      <c r="AQ1782" s="3" t="inlineStr">
        <is>
          <t>Weight</t>
        </is>
      </c>
      <c r="AT1782" s="3" t="inlineStr">
        <is>
          <t>Inactive</t>
        </is>
      </c>
    </row>
    <row r="1783" ht="15.75" customHeight="1">
      <c r="A1783" s="3" t="inlineStr">
        <is>
          <t>PROD_0327</t>
        </is>
      </c>
      <c r="B1783" s="3" t="inlineStr">
        <is>
          <t>VAR_2</t>
        </is>
      </c>
      <c r="C1783" s="3" t="inlineStr">
        <is>
          <t>Plumbing</t>
        </is>
      </c>
      <c r="D1783" s="3" t="inlineStr">
        <is>
          <t>Bends &amp; Connectors</t>
        </is>
      </c>
      <c r="E1783" s="3" t="inlineStr">
        <is>
          <t>Prince</t>
        </is>
      </c>
      <c r="F1783" s="3" t="inlineStr">
        <is>
          <t>End Cap (SDR 11 &amp; SCH 80)</t>
        </is>
      </c>
      <c r="H1783" s="3" t="inlineStr">
        <is>
          <t>Diameter</t>
        </is>
      </c>
      <c r="I1783" s="3" t="inlineStr">
        <is>
          <t>20 mm (.75 inch)</t>
        </is>
      </c>
      <c r="Q1783" s="3" t="inlineStr">
        <is>
          <t>Manufacturer's Warranty</t>
        </is>
      </c>
      <c r="R1783" s="3" t="inlineStr">
        <is>
          <t>SIM104937</t>
        </is>
      </c>
      <c r="Y1783" s="3" t="inlineStr">
        <is>
          <t>PLB_PRNC_NDCP_SDR11</t>
        </is>
      </c>
      <c r="Z1783" s="3" t="n">
        <v>3917</v>
      </c>
      <c r="AE1783" s="3" t="n">
        <v>14</v>
      </c>
      <c r="AF1783" s="4" t="n">
        <v>0.37</v>
      </c>
      <c r="AG1783" s="3">
        <f>ROUND(AE1783-(AE1783*AF1783),2)</f>
        <v/>
      </c>
      <c r="AH1783" s="4" t="n">
        <v>0.18</v>
      </c>
      <c r="AI1783" s="3">
        <f>ROUND(AG1783+(AG1783*AH1783),2)</f>
        <v/>
      </c>
      <c r="AJ1783" s="4" t="n">
        <v>0.15</v>
      </c>
      <c r="AK1783" s="3">
        <f>ROUND(AI1783*AJ1783,2)</f>
        <v/>
      </c>
      <c r="AL1783" s="3">
        <f>AI1783+AK1783</f>
        <v/>
      </c>
      <c r="AM1783" s="3">
        <f>AE1783-AL1783</f>
        <v/>
      </c>
      <c r="AN1783" s="4">
        <f>AM1783/AE1783</f>
        <v/>
      </c>
      <c r="AO1783" s="3" t="inlineStr">
        <is>
          <t>60 mins</t>
        </is>
      </c>
      <c r="AQ1783" s="3" t="inlineStr">
        <is>
          <t>Weight</t>
        </is>
      </c>
      <c r="AT1783" s="3" t="inlineStr">
        <is>
          <t>Inactive</t>
        </is>
      </c>
    </row>
    <row r="1784" ht="15.75" customHeight="1">
      <c r="A1784" s="3" t="inlineStr">
        <is>
          <t>PROD_0327</t>
        </is>
      </c>
      <c r="B1784" s="3" t="inlineStr">
        <is>
          <t>VAR_3</t>
        </is>
      </c>
      <c r="C1784" s="3" t="inlineStr">
        <is>
          <t>Plumbing</t>
        </is>
      </c>
      <c r="D1784" s="3" t="inlineStr">
        <is>
          <t>Bends &amp; Connectors</t>
        </is>
      </c>
      <c r="E1784" s="3" t="inlineStr">
        <is>
          <t>Prince</t>
        </is>
      </c>
      <c r="F1784" s="3" t="inlineStr">
        <is>
          <t>End Cap (SDR 11 &amp; SCH 80)</t>
        </is>
      </c>
      <c r="H1784" s="3" t="inlineStr">
        <is>
          <t>Diameter</t>
        </is>
      </c>
      <c r="I1784" s="3" t="inlineStr">
        <is>
          <t>25 mm (1 inch)</t>
        </is>
      </c>
      <c r="Q1784" s="3" t="inlineStr">
        <is>
          <t>Manufacturer's Warranty</t>
        </is>
      </c>
      <c r="R1784" s="3" t="inlineStr">
        <is>
          <t>SIM104938</t>
        </is>
      </c>
      <c r="Y1784" s="3" t="inlineStr">
        <is>
          <t>PLB_PRNC_NDCP_SDR11</t>
        </is>
      </c>
      <c r="Z1784" s="3" t="n">
        <v>3917</v>
      </c>
      <c r="AE1784" s="3" t="n">
        <v>24</v>
      </c>
      <c r="AF1784" s="4" t="n">
        <v>0.37</v>
      </c>
      <c r="AG1784" s="3">
        <f>ROUND(AE1784-(AE1784*AF1784),2)</f>
        <v/>
      </c>
      <c r="AH1784" s="4" t="n">
        <v>0.18</v>
      </c>
      <c r="AI1784" s="3">
        <f>ROUND(AG1784+(AG1784*AH1784),2)</f>
        <v/>
      </c>
      <c r="AJ1784" s="4" t="n">
        <v>0.15</v>
      </c>
      <c r="AK1784" s="3">
        <f>ROUND(AI1784*AJ1784,2)</f>
        <v/>
      </c>
      <c r="AL1784" s="3">
        <f>AI1784+AK1784</f>
        <v/>
      </c>
      <c r="AM1784" s="3">
        <f>AE1784-AL1784</f>
        <v/>
      </c>
      <c r="AN1784" s="4">
        <f>AM1784/AE1784</f>
        <v/>
      </c>
      <c r="AO1784" s="3" t="inlineStr">
        <is>
          <t>60 mins</t>
        </is>
      </c>
      <c r="AQ1784" s="3" t="inlineStr">
        <is>
          <t>Weight</t>
        </is>
      </c>
      <c r="AT1784" s="3" t="inlineStr">
        <is>
          <t>Inactive</t>
        </is>
      </c>
    </row>
    <row r="1785" ht="15.75" customHeight="1">
      <c r="A1785" s="3" t="inlineStr">
        <is>
          <t>PROD_0327</t>
        </is>
      </c>
      <c r="B1785" s="3" t="inlineStr">
        <is>
          <t>VAR_4</t>
        </is>
      </c>
      <c r="C1785" s="3" t="inlineStr">
        <is>
          <t>Plumbing</t>
        </is>
      </c>
      <c r="D1785" s="3" t="inlineStr">
        <is>
          <t>Bends &amp; Connectors</t>
        </is>
      </c>
      <c r="E1785" s="3" t="inlineStr">
        <is>
          <t>Prince</t>
        </is>
      </c>
      <c r="F1785" s="3" t="inlineStr">
        <is>
          <t>End Cap (SDR 11 &amp; SCH 80)</t>
        </is>
      </c>
      <c r="H1785" s="3" t="inlineStr">
        <is>
          <t>Diameter</t>
        </is>
      </c>
      <c r="I1785" s="3" t="inlineStr">
        <is>
          <t>32 mm (1.25 inch)</t>
        </is>
      </c>
      <c r="Q1785" s="3" t="inlineStr">
        <is>
          <t>Manufacturer's Warranty</t>
        </is>
      </c>
      <c r="R1785" s="3" t="inlineStr">
        <is>
          <t>SIM104939</t>
        </is>
      </c>
      <c r="Y1785" s="3" t="inlineStr">
        <is>
          <t>PLB_PRNC_NDCP_SDR11</t>
        </is>
      </c>
      <c r="Z1785" s="3" t="n">
        <v>3917</v>
      </c>
      <c r="AE1785" s="3" t="n">
        <v>43</v>
      </c>
      <c r="AF1785" s="4" t="n">
        <v>0.37</v>
      </c>
      <c r="AG1785" s="3">
        <f>ROUND(AE1785-(AE1785*AF1785),2)</f>
        <v/>
      </c>
      <c r="AH1785" s="4" t="n">
        <v>0.18</v>
      </c>
      <c r="AI1785" s="3">
        <f>ROUND(AG1785+(AG1785*AH1785),2)</f>
        <v/>
      </c>
      <c r="AJ1785" s="4" t="n">
        <v>0.15</v>
      </c>
      <c r="AK1785" s="3">
        <f>ROUND(AI1785*AJ1785,2)</f>
        <v/>
      </c>
      <c r="AL1785" s="3">
        <f>AI1785+AK1785</f>
        <v/>
      </c>
      <c r="AM1785" s="3">
        <f>AE1785-AL1785</f>
        <v/>
      </c>
      <c r="AN1785" s="4">
        <f>AM1785/AE1785</f>
        <v/>
      </c>
      <c r="AO1785" s="3" t="inlineStr">
        <is>
          <t>60 mins</t>
        </is>
      </c>
      <c r="AQ1785" s="3" t="inlineStr">
        <is>
          <t>Weight</t>
        </is>
      </c>
      <c r="AT1785" s="3" t="inlineStr">
        <is>
          <t>Inactive</t>
        </is>
      </c>
    </row>
    <row r="1786" ht="15.75" customHeight="1">
      <c r="A1786" s="3" t="inlineStr">
        <is>
          <t>PROD_0327</t>
        </is>
      </c>
      <c r="B1786" s="3" t="inlineStr">
        <is>
          <t>VAR_5</t>
        </is>
      </c>
      <c r="C1786" s="3" t="inlineStr">
        <is>
          <t>Plumbing</t>
        </is>
      </c>
      <c r="D1786" s="3" t="inlineStr">
        <is>
          <t>Bends &amp; Connectors</t>
        </is>
      </c>
      <c r="E1786" s="3" t="inlineStr">
        <is>
          <t>Prince</t>
        </is>
      </c>
      <c r="F1786" s="3" t="inlineStr">
        <is>
          <t>End Cap (SDR 11 &amp; SCH 80)</t>
        </is>
      </c>
      <c r="H1786" s="3" t="inlineStr">
        <is>
          <t>Diameter</t>
        </is>
      </c>
      <c r="I1786" s="3" t="inlineStr">
        <is>
          <t>40 mm (1.5 inch)</t>
        </is>
      </c>
      <c r="Q1786" s="3" t="inlineStr">
        <is>
          <t>Manufacturer's Warranty</t>
        </is>
      </c>
      <c r="R1786" s="3" t="inlineStr">
        <is>
          <t>SIM104940</t>
        </is>
      </c>
      <c r="Y1786" s="3" t="inlineStr">
        <is>
          <t>PLB_PRNC_NDCP_SDR11</t>
        </is>
      </c>
      <c r="Z1786" s="3" t="n">
        <v>3917</v>
      </c>
      <c r="AE1786" s="3" t="n">
        <v>70</v>
      </c>
      <c r="AF1786" s="4" t="n">
        <v>0.37</v>
      </c>
      <c r="AG1786" s="3">
        <f>ROUND(AE1786-(AE1786*AF1786),2)</f>
        <v/>
      </c>
      <c r="AH1786" s="4" t="n">
        <v>0.18</v>
      </c>
      <c r="AI1786" s="3">
        <f>ROUND(AG1786+(AG1786*AH1786),2)</f>
        <v/>
      </c>
      <c r="AJ1786" s="4" t="n">
        <v>0.15</v>
      </c>
      <c r="AK1786" s="3">
        <f>ROUND(AI1786*AJ1786,2)</f>
        <v/>
      </c>
      <c r="AL1786" s="3">
        <f>AI1786+AK1786</f>
        <v/>
      </c>
      <c r="AM1786" s="3">
        <f>AE1786-AL1786</f>
        <v/>
      </c>
      <c r="AN1786" s="4">
        <f>AM1786/AE1786</f>
        <v/>
      </c>
      <c r="AO1786" s="3" t="inlineStr">
        <is>
          <t>60 mins</t>
        </is>
      </c>
      <c r="AQ1786" s="3" t="inlineStr">
        <is>
          <t>Weight</t>
        </is>
      </c>
      <c r="AT1786" s="3" t="inlineStr">
        <is>
          <t>Inactive</t>
        </is>
      </c>
    </row>
    <row r="1787" ht="15.75" customHeight="1">
      <c r="A1787" s="3" t="inlineStr">
        <is>
          <t>PROD_0327</t>
        </is>
      </c>
      <c r="B1787" s="3" t="inlineStr">
        <is>
          <t>VAR_6</t>
        </is>
      </c>
      <c r="C1787" s="3" t="inlineStr">
        <is>
          <t>Plumbing</t>
        </is>
      </c>
      <c r="D1787" s="3" t="inlineStr">
        <is>
          <t>Bends &amp; Connectors</t>
        </is>
      </c>
      <c r="E1787" s="3" t="inlineStr">
        <is>
          <t>Prince</t>
        </is>
      </c>
      <c r="F1787" s="3" t="inlineStr">
        <is>
          <t>End Cap (SDR 11 &amp; SCH 80)</t>
        </is>
      </c>
      <c r="H1787" s="3" t="inlineStr">
        <is>
          <t>Diameter</t>
        </is>
      </c>
      <c r="I1787" s="3" t="inlineStr">
        <is>
          <t>50 mm (2 inch)</t>
        </is>
      </c>
      <c r="Q1787" s="3" t="inlineStr">
        <is>
          <t>Manufacturer's Warranty</t>
        </is>
      </c>
      <c r="R1787" s="3" t="inlineStr">
        <is>
          <t>SIM104941</t>
        </is>
      </c>
      <c r="Y1787" s="3" t="inlineStr">
        <is>
          <t>PLB_PRNC_NDCP_SDR11</t>
        </is>
      </c>
      <c r="Z1787" s="3" t="n">
        <v>3917</v>
      </c>
      <c r="AE1787" s="3" t="n">
        <v>157</v>
      </c>
      <c r="AF1787" s="4" t="n">
        <v>0.37</v>
      </c>
      <c r="AG1787" s="3">
        <f>ROUND(AE1787-(AE1787*AF1787),2)</f>
        <v/>
      </c>
      <c r="AH1787" s="4" t="n">
        <v>0.18</v>
      </c>
      <c r="AI1787" s="3">
        <f>ROUND(AG1787+(AG1787*AH1787),2)</f>
        <v/>
      </c>
      <c r="AJ1787" s="4" t="n">
        <v>0.15</v>
      </c>
      <c r="AK1787" s="3">
        <f>ROUND(AI1787*AJ1787,2)</f>
        <v/>
      </c>
      <c r="AL1787" s="3">
        <f>AI1787+AK1787</f>
        <v/>
      </c>
      <c r="AM1787" s="3">
        <f>AE1787-AL1787</f>
        <v/>
      </c>
      <c r="AN1787" s="4">
        <f>AM1787/AE1787</f>
        <v/>
      </c>
      <c r="AO1787" s="3" t="inlineStr">
        <is>
          <t>60 mins</t>
        </is>
      </c>
      <c r="AQ1787" s="3" t="inlineStr">
        <is>
          <t>Weight</t>
        </is>
      </c>
      <c r="AT1787" s="3" t="inlineStr">
        <is>
          <t>Inactive</t>
        </is>
      </c>
    </row>
    <row r="1788" ht="15.75" customHeight="1">
      <c r="A1788" s="3" t="inlineStr">
        <is>
          <t>PROD_0327</t>
        </is>
      </c>
      <c r="B1788" s="3" t="inlineStr">
        <is>
          <t>VAR_7</t>
        </is>
      </c>
      <c r="C1788" s="3" t="inlineStr">
        <is>
          <t>Plumbing</t>
        </is>
      </c>
      <c r="D1788" s="3" t="inlineStr">
        <is>
          <t>Bends &amp; Connectors</t>
        </is>
      </c>
      <c r="E1788" s="3" t="inlineStr">
        <is>
          <t>Prince</t>
        </is>
      </c>
      <c r="F1788" s="3" t="inlineStr">
        <is>
          <t>End Cap (SDR 11 &amp; SCH 80)</t>
        </is>
      </c>
      <c r="H1788" s="3" t="inlineStr">
        <is>
          <t>Diameter</t>
        </is>
      </c>
      <c r="I1788" s="3" t="inlineStr">
        <is>
          <t>65 mm (2.5 inch)</t>
        </is>
      </c>
      <c r="Q1788" s="3" t="inlineStr">
        <is>
          <t>Manufacturer's Warranty</t>
        </is>
      </c>
      <c r="R1788" s="3" t="inlineStr">
        <is>
          <t>SIM105031</t>
        </is>
      </c>
      <c r="Y1788" s="3" t="inlineStr">
        <is>
          <t>PLB_PRNC_NDCP_SDR11</t>
        </is>
      </c>
      <c r="Z1788" s="3" t="n">
        <v>3917</v>
      </c>
      <c r="AE1788" s="3" t="n">
        <v>324</v>
      </c>
      <c r="AF1788" s="4" t="n">
        <v>0.37</v>
      </c>
      <c r="AG1788" s="3">
        <f>ROUND(AE1788-(AE1788*AF1788),2)</f>
        <v/>
      </c>
      <c r="AH1788" s="4" t="n">
        <v>0.18</v>
      </c>
      <c r="AI1788" s="3">
        <f>ROUND(AG1788+(AG1788*AH1788),2)</f>
        <v/>
      </c>
      <c r="AJ1788" s="4" t="n">
        <v>0.15</v>
      </c>
      <c r="AK1788" s="3">
        <f>ROUND(AI1788*AJ1788,2)</f>
        <v/>
      </c>
      <c r="AL1788" s="3">
        <f>AI1788+AK1788</f>
        <v/>
      </c>
      <c r="AM1788" s="3">
        <f>AE1788-AL1788</f>
        <v/>
      </c>
      <c r="AN1788" s="4">
        <f>AM1788/AE1788</f>
        <v/>
      </c>
      <c r="AO1788" s="3" t="inlineStr">
        <is>
          <t>60 mins</t>
        </is>
      </c>
      <c r="AQ1788" s="3" t="inlineStr">
        <is>
          <t>Weight</t>
        </is>
      </c>
      <c r="AT1788" s="3" t="inlineStr">
        <is>
          <t>Inactive</t>
        </is>
      </c>
    </row>
    <row r="1789" ht="15.75" customHeight="1">
      <c r="A1789" s="3" t="inlineStr">
        <is>
          <t>PROD_0327</t>
        </is>
      </c>
      <c r="B1789" s="3" t="inlineStr">
        <is>
          <t>VAR_8</t>
        </is>
      </c>
      <c r="C1789" s="3" t="inlineStr">
        <is>
          <t>Plumbing</t>
        </is>
      </c>
      <c r="D1789" s="3" t="inlineStr">
        <is>
          <t>Bends &amp; Connectors</t>
        </is>
      </c>
      <c r="E1789" s="3" t="inlineStr">
        <is>
          <t>Prince</t>
        </is>
      </c>
      <c r="F1789" s="3" t="inlineStr">
        <is>
          <t>End Cap (SDR 11 &amp; SCH 80)</t>
        </is>
      </c>
      <c r="H1789" s="3" t="inlineStr">
        <is>
          <t>Diameter</t>
        </is>
      </c>
      <c r="I1789" s="3" t="inlineStr">
        <is>
          <t>80 mm (3 inch)</t>
        </is>
      </c>
      <c r="Q1789" s="3" t="inlineStr">
        <is>
          <t>Manufacturer's Warranty</t>
        </is>
      </c>
      <c r="R1789" s="3" t="inlineStr">
        <is>
          <t>SIM105032</t>
        </is>
      </c>
      <c r="Y1789" s="3" t="inlineStr">
        <is>
          <t>PLB_PRNC_NDCP_SDR11</t>
        </is>
      </c>
      <c r="Z1789" s="3" t="n">
        <v>3917</v>
      </c>
      <c r="AE1789" s="3" t="n">
        <v>477</v>
      </c>
      <c r="AF1789" s="4" t="n">
        <v>0.37</v>
      </c>
      <c r="AG1789" s="3">
        <f>ROUND(AE1789-(AE1789*AF1789),2)</f>
        <v/>
      </c>
      <c r="AH1789" s="4" t="n">
        <v>0.18</v>
      </c>
      <c r="AI1789" s="3">
        <f>ROUND(AG1789+(AG1789*AH1789),2)</f>
        <v/>
      </c>
      <c r="AJ1789" s="4" t="n">
        <v>0.15</v>
      </c>
      <c r="AK1789" s="3">
        <f>ROUND(AI1789*AJ1789,2)</f>
        <v/>
      </c>
      <c r="AL1789" s="3">
        <f>AI1789+AK1789</f>
        <v/>
      </c>
      <c r="AM1789" s="3">
        <f>AE1789-AL1789</f>
        <v/>
      </c>
      <c r="AN1789" s="4">
        <f>AM1789/AE1789</f>
        <v/>
      </c>
      <c r="AO1789" s="3" t="inlineStr">
        <is>
          <t>60 mins</t>
        </is>
      </c>
      <c r="AQ1789" s="3" t="inlineStr">
        <is>
          <t>Weight</t>
        </is>
      </c>
      <c r="AT1789" s="3" t="inlineStr">
        <is>
          <t>Inactive</t>
        </is>
      </c>
    </row>
    <row r="1790" ht="15.75" customHeight="1">
      <c r="A1790" s="3" t="inlineStr">
        <is>
          <t>PROD_0327</t>
        </is>
      </c>
      <c r="B1790" s="3" t="inlineStr">
        <is>
          <t>VAR_9</t>
        </is>
      </c>
      <c r="C1790" s="3" t="inlineStr">
        <is>
          <t>Plumbing</t>
        </is>
      </c>
      <c r="D1790" s="3" t="inlineStr">
        <is>
          <t>Bends &amp; Connectors</t>
        </is>
      </c>
      <c r="E1790" s="3" t="inlineStr">
        <is>
          <t>Prince</t>
        </is>
      </c>
      <c r="F1790" s="3" t="inlineStr">
        <is>
          <t>End Cap (SDR 11 &amp; SCH 80)</t>
        </is>
      </c>
      <c r="H1790" s="3" t="inlineStr">
        <is>
          <t>Diameter</t>
        </is>
      </c>
      <c r="I1790" s="3" t="inlineStr">
        <is>
          <t>100 mm (4 inch)</t>
        </is>
      </c>
      <c r="Q1790" s="3" t="inlineStr">
        <is>
          <t>Manufacturer's Warranty</t>
        </is>
      </c>
      <c r="R1790" s="3" t="inlineStr">
        <is>
          <t>SIM105033</t>
        </is>
      </c>
      <c r="Y1790" s="3" t="inlineStr">
        <is>
          <t>PLB_PRNC_NDCP_SDR11</t>
        </is>
      </c>
      <c r="Z1790" s="3" t="n">
        <v>3917</v>
      </c>
      <c r="AE1790" s="3" t="n">
        <v>835</v>
      </c>
      <c r="AF1790" s="4" t="n">
        <v>0.37</v>
      </c>
      <c r="AG1790" s="3">
        <f>ROUND(AE1790-(AE1790*AF1790),2)</f>
        <v/>
      </c>
      <c r="AH1790" s="4" t="n">
        <v>0.18</v>
      </c>
      <c r="AI1790" s="3">
        <f>ROUND(AG1790+(AG1790*AH1790),2)</f>
        <v/>
      </c>
      <c r="AJ1790" s="4" t="n">
        <v>0.15</v>
      </c>
      <c r="AK1790" s="3">
        <f>ROUND(AI1790*AJ1790,2)</f>
        <v/>
      </c>
      <c r="AL1790" s="3">
        <f>AI1790+AK1790</f>
        <v/>
      </c>
      <c r="AM1790" s="3">
        <f>AE1790-AL1790</f>
        <v/>
      </c>
      <c r="AN1790" s="4">
        <f>AM1790/AE1790</f>
        <v/>
      </c>
      <c r="AO1790" s="3" t="inlineStr">
        <is>
          <t>60 mins</t>
        </is>
      </c>
      <c r="AQ1790" s="3" t="inlineStr">
        <is>
          <t>Weight</t>
        </is>
      </c>
      <c r="AT1790" s="3" t="inlineStr">
        <is>
          <t>Inactive</t>
        </is>
      </c>
    </row>
    <row r="1791" ht="15.75" customHeight="1">
      <c r="A1791" s="3" t="inlineStr">
        <is>
          <t>PROD_0328</t>
        </is>
      </c>
      <c r="B1791" s="3" t="inlineStr">
        <is>
          <t>VAR_1</t>
        </is>
      </c>
      <c r="C1791" s="3" t="inlineStr">
        <is>
          <t>Plumbing</t>
        </is>
      </c>
      <c r="D1791" s="3" t="inlineStr">
        <is>
          <t>Bends &amp; Connectors</t>
        </is>
      </c>
      <c r="E1791" s="3" t="inlineStr">
        <is>
          <t>Prince</t>
        </is>
      </c>
      <c r="F1791" s="3" t="inlineStr">
        <is>
          <t>Male Threaded Adaptor (SDR 11 &amp; SCH 80)</t>
        </is>
      </c>
      <c r="H1791" s="3" t="inlineStr">
        <is>
          <t>Diameter</t>
        </is>
      </c>
      <c r="I1791" s="3" t="inlineStr">
        <is>
          <t>15 mm (.5 inch)</t>
        </is>
      </c>
      <c r="Q1791" s="3" t="inlineStr">
        <is>
          <t>Manufacturer's Warranty</t>
        </is>
      </c>
      <c r="R1791" s="3" t="inlineStr">
        <is>
          <t>SIM104942</t>
        </is>
      </c>
      <c r="Y1791" s="3" t="inlineStr">
        <is>
          <t>PLB_PRNC_MLTHADAP_SDR11</t>
        </is>
      </c>
      <c r="Z1791" s="3" t="n">
        <v>3917</v>
      </c>
      <c r="AE1791" s="3" t="n">
        <v>13</v>
      </c>
      <c r="AF1791" s="4" t="n">
        <v>0.37</v>
      </c>
      <c r="AG1791" s="3">
        <f>ROUND(AE1791-(AE1791*AF1791),2)</f>
        <v/>
      </c>
      <c r="AH1791" s="4" t="n">
        <v>0.18</v>
      </c>
      <c r="AI1791" s="3">
        <f>ROUND(AG1791+(AG1791*AH1791),2)</f>
        <v/>
      </c>
      <c r="AJ1791" s="4" t="n">
        <v>0.15</v>
      </c>
      <c r="AK1791" s="3">
        <f>ROUND(AI1791*AJ1791,2)</f>
        <v/>
      </c>
      <c r="AL1791" s="3">
        <f>AI1791+AK1791</f>
        <v/>
      </c>
      <c r="AM1791" s="3">
        <f>AE1791-AL1791</f>
        <v/>
      </c>
      <c r="AN1791" s="4">
        <f>AM1791/AE1791</f>
        <v/>
      </c>
      <c r="AO1791" s="3" t="inlineStr">
        <is>
          <t>60 mins</t>
        </is>
      </c>
      <c r="AQ1791" s="3" t="inlineStr">
        <is>
          <t>Weight</t>
        </is>
      </c>
      <c r="AT1791" s="3" t="inlineStr">
        <is>
          <t>Inactive</t>
        </is>
      </c>
    </row>
    <row r="1792" ht="15.75" customHeight="1">
      <c r="A1792" s="3" t="inlineStr">
        <is>
          <t>PROD_0328</t>
        </is>
      </c>
      <c r="B1792" s="3" t="inlineStr">
        <is>
          <t>VAR_2</t>
        </is>
      </c>
      <c r="C1792" s="3" t="inlineStr">
        <is>
          <t>Plumbing</t>
        </is>
      </c>
      <c r="D1792" s="3" t="inlineStr">
        <is>
          <t>Bends &amp; Connectors</t>
        </is>
      </c>
      <c r="E1792" s="3" t="inlineStr">
        <is>
          <t>Prince</t>
        </is>
      </c>
      <c r="F1792" s="3" t="inlineStr">
        <is>
          <t>Male Threaded Adaptor (SDR 11 &amp; SCH 80)</t>
        </is>
      </c>
      <c r="H1792" s="3" t="inlineStr">
        <is>
          <t>Diameter</t>
        </is>
      </c>
      <c r="I1792" s="3" t="inlineStr">
        <is>
          <t>20 mm (.75 inch)</t>
        </is>
      </c>
      <c r="Q1792" s="3" t="inlineStr">
        <is>
          <t>Manufacturer's Warranty</t>
        </is>
      </c>
      <c r="R1792" s="3" t="inlineStr">
        <is>
          <t>SIM104943</t>
        </is>
      </c>
      <c r="Y1792" s="3" t="inlineStr">
        <is>
          <t>PLB_PRNC_MLTHADAP_SDR11</t>
        </is>
      </c>
      <c r="Z1792" s="3" t="n">
        <v>3917</v>
      </c>
      <c r="AE1792" s="3" t="n">
        <v>23</v>
      </c>
      <c r="AF1792" s="4" t="n">
        <v>0.37</v>
      </c>
      <c r="AG1792" s="3">
        <f>ROUND(AE1792-(AE1792*AF1792),2)</f>
        <v/>
      </c>
      <c r="AH1792" s="4" t="n">
        <v>0.18</v>
      </c>
      <c r="AI1792" s="3">
        <f>ROUND(AG1792+(AG1792*AH1792),2)</f>
        <v/>
      </c>
      <c r="AJ1792" s="4" t="n">
        <v>0.15</v>
      </c>
      <c r="AK1792" s="3">
        <f>ROUND(AI1792*AJ1792,2)</f>
        <v/>
      </c>
      <c r="AL1792" s="3">
        <f>AI1792+AK1792</f>
        <v/>
      </c>
      <c r="AM1792" s="3">
        <f>AE1792-AL1792</f>
        <v/>
      </c>
      <c r="AN1792" s="4">
        <f>AM1792/AE1792</f>
        <v/>
      </c>
      <c r="AO1792" s="3" t="inlineStr">
        <is>
          <t>60 mins</t>
        </is>
      </c>
      <c r="AQ1792" s="3" t="inlineStr">
        <is>
          <t>Weight</t>
        </is>
      </c>
      <c r="AT1792" s="3" t="inlineStr">
        <is>
          <t>Inactive</t>
        </is>
      </c>
    </row>
    <row r="1793" ht="15.75" customHeight="1">
      <c r="A1793" s="3" t="inlineStr">
        <is>
          <t>PROD_0328</t>
        </is>
      </c>
      <c r="B1793" s="3" t="inlineStr">
        <is>
          <t>VAR_3</t>
        </is>
      </c>
      <c r="C1793" s="3" t="inlineStr">
        <is>
          <t>Plumbing</t>
        </is>
      </c>
      <c r="D1793" s="3" t="inlineStr">
        <is>
          <t>Bends &amp; Connectors</t>
        </is>
      </c>
      <c r="E1793" s="3" t="inlineStr">
        <is>
          <t>Prince</t>
        </is>
      </c>
      <c r="F1793" s="3" t="inlineStr">
        <is>
          <t>Male Threaded Adaptor (SDR 11 &amp; SCH 80)</t>
        </is>
      </c>
      <c r="H1793" s="3" t="inlineStr">
        <is>
          <t>Diameter</t>
        </is>
      </c>
      <c r="I1793" s="3" t="inlineStr">
        <is>
          <t>25 mm (1 inch)</t>
        </is>
      </c>
      <c r="Q1793" s="3" t="inlineStr">
        <is>
          <t>Manufacturer's Warranty</t>
        </is>
      </c>
      <c r="R1793" s="3" t="inlineStr">
        <is>
          <t>SIM104944</t>
        </is>
      </c>
      <c r="Y1793" s="3" t="inlineStr">
        <is>
          <t>PLB_PRNC_MLTHADAP_SDR11</t>
        </is>
      </c>
      <c r="Z1793" s="3" t="n">
        <v>3917</v>
      </c>
      <c r="AE1793" s="3" t="n">
        <v>39</v>
      </c>
      <c r="AF1793" s="4" t="n">
        <v>0.37</v>
      </c>
      <c r="AG1793" s="3">
        <f>ROUND(AE1793-(AE1793*AF1793),2)</f>
        <v/>
      </c>
      <c r="AH1793" s="4" t="n">
        <v>0.18</v>
      </c>
      <c r="AI1793" s="3">
        <f>ROUND(AG1793+(AG1793*AH1793),2)</f>
        <v/>
      </c>
      <c r="AJ1793" s="4" t="n">
        <v>0.15</v>
      </c>
      <c r="AK1793" s="3">
        <f>ROUND(AI1793*AJ1793,2)</f>
        <v/>
      </c>
      <c r="AL1793" s="3">
        <f>AI1793+AK1793</f>
        <v/>
      </c>
      <c r="AM1793" s="3">
        <f>AE1793-AL1793</f>
        <v/>
      </c>
      <c r="AN1793" s="4">
        <f>AM1793/AE1793</f>
        <v/>
      </c>
      <c r="AO1793" s="3" t="inlineStr">
        <is>
          <t>60 mins</t>
        </is>
      </c>
      <c r="AQ1793" s="3" t="inlineStr">
        <is>
          <t>Weight</t>
        </is>
      </c>
      <c r="AT1793" s="3" t="inlineStr">
        <is>
          <t>Inactive</t>
        </is>
      </c>
    </row>
    <row r="1794" ht="15.75" customHeight="1">
      <c r="A1794" s="3" t="inlineStr">
        <is>
          <t>PROD_0328</t>
        </is>
      </c>
      <c r="B1794" s="3" t="inlineStr">
        <is>
          <t>VAR_4</t>
        </is>
      </c>
      <c r="C1794" s="3" t="inlineStr">
        <is>
          <t>Plumbing</t>
        </is>
      </c>
      <c r="D1794" s="3" t="inlineStr">
        <is>
          <t>Bends &amp; Connectors</t>
        </is>
      </c>
      <c r="E1794" s="3" t="inlineStr">
        <is>
          <t>Prince</t>
        </is>
      </c>
      <c r="F1794" s="3" t="inlineStr">
        <is>
          <t>Male Threaded Adaptor (SDR 11 &amp; SCH 80)</t>
        </is>
      </c>
      <c r="H1794" s="3" t="inlineStr">
        <is>
          <t>Diameter</t>
        </is>
      </c>
      <c r="I1794" s="3" t="inlineStr">
        <is>
          <t>32 mm (1.25 inch)</t>
        </is>
      </c>
      <c r="Q1794" s="3" t="inlineStr">
        <is>
          <t>Manufacturer's Warranty</t>
        </is>
      </c>
      <c r="R1794" s="3" t="inlineStr">
        <is>
          <t>SIM104945</t>
        </is>
      </c>
      <c r="Y1794" s="3" t="inlineStr">
        <is>
          <t>PLB_PRNC_MLTHADAP_SDR11</t>
        </is>
      </c>
      <c r="Z1794" s="3" t="n">
        <v>3917</v>
      </c>
      <c r="AE1794" s="3" t="n">
        <v>69</v>
      </c>
      <c r="AF1794" s="4" t="n">
        <v>0.37</v>
      </c>
      <c r="AG1794" s="3">
        <f>ROUND(AE1794-(AE1794*AF1794),2)</f>
        <v/>
      </c>
      <c r="AH1794" s="4" t="n">
        <v>0.18</v>
      </c>
      <c r="AI1794" s="3">
        <f>ROUND(AG1794+(AG1794*AH1794),2)</f>
        <v/>
      </c>
      <c r="AJ1794" s="4" t="n">
        <v>0.15</v>
      </c>
      <c r="AK1794" s="3">
        <f>ROUND(AI1794*AJ1794,2)</f>
        <v/>
      </c>
      <c r="AL1794" s="3">
        <f>AI1794+AK1794</f>
        <v/>
      </c>
      <c r="AM1794" s="3">
        <f>AE1794-AL1794</f>
        <v/>
      </c>
      <c r="AN1794" s="4">
        <f>AM1794/AE1794</f>
        <v/>
      </c>
      <c r="AO1794" s="3" t="inlineStr">
        <is>
          <t>60 mins</t>
        </is>
      </c>
      <c r="AQ1794" s="3" t="inlineStr">
        <is>
          <t>Weight</t>
        </is>
      </c>
      <c r="AT1794" s="3" t="inlineStr">
        <is>
          <t>Inactive</t>
        </is>
      </c>
    </row>
    <row r="1795" ht="15.75" customHeight="1">
      <c r="A1795" s="3" t="inlineStr">
        <is>
          <t>PROD_0328</t>
        </is>
      </c>
      <c r="B1795" s="3" t="inlineStr">
        <is>
          <t>VAR_5</t>
        </is>
      </c>
      <c r="C1795" s="3" t="inlineStr">
        <is>
          <t>Plumbing</t>
        </is>
      </c>
      <c r="D1795" s="3" t="inlineStr">
        <is>
          <t>Bends &amp; Connectors</t>
        </is>
      </c>
      <c r="E1795" s="3" t="inlineStr">
        <is>
          <t>Prince</t>
        </is>
      </c>
      <c r="F1795" s="3" t="inlineStr">
        <is>
          <t>Male Threaded Adaptor (SDR 11 &amp; SCH 80)</t>
        </is>
      </c>
      <c r="H1795" s="3" t="inlineStr">
        <is>
          <t>Diameter</t>
        </is>
      </c>
      <c r="I1795" s="3" t="inlineStr">
        <is>
          <t>40 mm (1.5 inch)</t>
        </is>
      </c>
      <c r="Q1795" s="3" t="inlineStr">
        <is>
          <t>Manufacturer's Warranty</t>
        </is>
      </c>
      <c r="R1795" s="3" t="inlineStr">
        <is>
          <t>SIM104946</t>
        </is>
      </c>
      <c r="Y1795" s="3" t="inlineStr">
        <is>
          <t>PLB_PRNC_MLTHADAP_SDR11</t>
        </is>
      </c>
      <c r="Z1795" s="3" t="n">
        <v>3917</v>
      </c>
      <c r="AE1795" s="3" t="n">
        <v>102</v>
      </c>
      <c r="AF1795" s="4" t="n">
        <v>0.37</v>
      </c>
      <c r="AG1795" s="3">
        <f>ROUND(AE1795-(AE1795*AF1795),2)</f>
        <v/>
      </c>
      <c r="AH1795" s="4" t="n">
        <v>0.18</v>
      </c>
      <c r="AI1795" s="3">
        <f>ROUND(AG1795+(AG1795*AH1795),2)</f>
        <v/>
      </c>
      <c r="AJ1795" s="4" t="n">
        <v>0.15</v>
      </c>
      <c r="AK1795" s="3">
        <f>ROUND(AI1795*AJ1795,2)</f>
        <v/>
      </c>
      <c r="AL1795" s="3">
        <f>AI1795+AK1795</f>
        <v/>
      </c>
      <c r="AM1795" s="3">
        <f>AE1795-AL1795</f>
        <v/>
      </c>
      <c r="AN1795" s="4">
        <f>AM1795/AE1795</f>
        <v/>
      </c>
      <c r="AO1795" s="3" t="inlineStr">
        <is>
          <t>60 mins</t>
        </is>
      </c>
      <c r="AQ1795" s="3" t="inlineStr">
        <is>
          <t>Weight</t>
        </is>
      </c>
      <c r="AT1795" s="3" t="inlineStr">
        <is>
          <t>Inactive</t>
        </is>
      </c>
    </row>
    <row r="1796" ht="15.75" customHeight="1">
      <c r="A1796" s="3" t="inlineStr">
        <is>
          <t>PROD_0328</t>
        </is>
      </c>
      <c r="B1796" s="3" t="inlineStr">
        <is>
          <t>VAR_6</t>
        </is>
      </c>
      <c r="C1796" s="3" t="inlineStr">
        <is>
          <t>Plumbing</t>
        </is>
      </c>
      <c r="D1796" s="3" t="inlineStr">
        <is>
          <t>Bends &amp; Connectors</t>
        </is>
      </c>
      <c r="E1796" s="3" t="inlineStr">
        <is>
          <t>Prince</t>
        </is>
      </c>
      <c r="F1796" s="3" t="inlineStr">
        <is>
          <t>Male Threaded Adaptor (SDR 11 &amp; SCH 80)</t>
        </is>
      </c>
      <c r="H1796" s="3" t="inlineStr">
        <is>
          <t>Diameter</t>
        </is>
      </c>
      <c r="I1796" s="3" t="inlineStr">
        <is>
          <t>50 mm (2 inch)</t>
        </is>
      </c>
      <c r="Q1796" s="3" t="inlineStr">
        <is>
          <t>Manufacturer's Warranty</t>
        </is>
      </c>
      <c r="R1796" s="3" t="inlineStr">
        <is>
          <t>SIM104947</t>
        </is>
      </c>
      <c r="Y1796" s="3" t="inlineStr">
        <is>
          <t>PLB_PRNC_MLTHADAP_SDR11</t>
        </is>
      </c>
      <c r="Z1796" s="3" t="n">
        <v>3917</v>
      </c>
      <c r="AE1796" s="3" t="n">
        <v>200</v>
      </c>
      <c r="AF1796" s="4" t="n">
        <v>0.37</v>
      </c>
      <c r="AG1796" s="3">
        <f>ROUND(AE1796-(AE1796*AF1796),2)</f>
        <v/>
      </c>
      <c r="AH1796" s="4" t="n">
        <v>0.18</v>
      </c>
      <c r="AI1796" s="3">
        <f>ROUND(AG1796+(AG1796*AH1796),2)</f>
        <v/>
      </c>
      <c r="AJ1796" s="4" t="n">
        <v>0.15</v>
      </c>
      <c r="AK1796" s="3">
        <f>ROUND(AI1796*AJ1796,2)</f>
        <v/>
      </c>
      <c r="AL1796" s="3">
        <f>AI1796+AK1796</f>
        <v/>
      </c>
      <c r="AM1796" s="3">
        <f>AE1796-AL1796</f>
        <v/>
      </c>
      <c r="AN1796" s="4">
        <f>AM1796/AE1796</f>
        <v/>
      </c>
      <c r="AO1796" s="3" t="inlineStr">
        <is>
          <t>60 mins</t>
        </is>
      </c>
      <c r="AQ1796" s="3" t="inlineStr">
        <is>
          <t>Weight</t>
        </is>
      </c>
      <c r="AT1796" s="3" t="inlineStr">
        <is>
          <t>Inactive</t>
        </is>
      </c>
    </row>
    <row r="1797" ht="15.75" customHeight="1">
      <c r="A1797" s="3" t="inlineStr">
        <is>
          <t>PROD_0328</t>
        </is>
      </c>
      <c r="B1797" s="3" t="inlineStr">
        <is>
          <t>VAR_7</t>
        </is>
      </c>
      <c r="C1797" s="3" t="inlineStr">
        <is>
          <t>Plumbing</t>
        </is>
      </c>
      <c r="D1797" s="3" t="inlineStr">
        <is>
          <t>Bends &amp; Connectors</t>
        </is>
      </c>
      <c r="E1797" s="3" t="inlineStr">
        <is>
          <t>Prince</t>
        </is>
      </c>
      <c r="F1797" s="3" t="inlineStr">
        <is>
          <t>Male Threaded Adaptor (SDR 11 &amp; SCH 80)</t>
        </is>
      </c>
      <c r="H1797" s="3" t="inlineStr">
        <is>
          <t>Diameter</t>
        </is>
      </c>
      <c r="I1797" s="3" t="inlineStr">
        <is>
          <t>65 mm (2.5 inch)</t>
        </is>
      </c>
      <c r="Q1797" s="3" t="inlineStr">
        <is>
          <t>Manufacturer's Warranty</t>
        </is>
      </c>
      <c r="R1797" s="3" t="inlineStr">
        <is>
          <t>SIM105037</t>
        </is>
      </c>
      <c r="Y1797" s="3" t="inlineStr">
        <is>
          <t>PLB_PRNC_MLTHADAP_SDR11</t>
        </is>
      </c>
      <c r="Z1797" s="3" t="n">
        <v>3917</v>
      </c>
      <c r="AE1797" s="3" t="n">
        <v>425</v>
      </c>
      <c r="AF1797" s="4" t="n">
        <v>0.37</v>
      </c>
      <c r="AG1797" s="3">
        <f>ROUND(AE1797-(AE1797*AF1797),2)</f>
        <v/>
      </c>
      <c r="AH1797" s="4" t="n">
        <v>0.18</v>
      </c>
      <c r="AI1797" s="3">
        <f>ROUND(AG1797+(AG1797*AH1797),2)</f>
        <v/>
      </c>
      <c r="AJ1797" s="4" t="n">
        <v>0.15</v>
      </c>
      <c r="AK1797" s="3">
        <f>ROUND(AI1797*AJ1797,2)</f>
        <v/>
      </c>
      <c r="AL1797" s="3">
        <f>AI1797+AK1797</f>
        <v/>
      </c>
      <c r="AM1797" s="3">
        <f>AE1797-AL1797</f>
        <v/>
      </c>
      <c r="AN1797" s="4">
        <f>AM1797/AE1797</f>
        <v/>
      </c>
      <c r="AO1797" s="3" t="inlineStr">
        <is>
          <t>60 mins</t>
        </is>
      </c>
      <c r="AQ1797" s="3" t="inlineStr">
        <is>
          <t>Weight</t>
        </is>
      </c>
      <c r="AT1797" s="3" t="inlineStr">
        <is>
          <t>Inactive</t>
        </is>
      </c>
    </row>
    <row r="1798" ht="15.75" customHeight="1">
      <c r="A1798" s="3" t="inlineStr">
        <is>
          <t>PROD_0328</t>
        </is>
      </c>
      <c r="B1798" s="3" t="inlineStr">
        <is>
          <t>VAR_8</t>
        </is>
      </c>
      <c r="C1798" s="3" t="inlineStr">
        <is>
          <t>Plumbing</t>
        </is>
      </c>
      <c r="D1798" s="3" t="inlineStr">
        <is>
          <t>Bends &amp; Connectors</t>
        </is>
      </c>
      <c r="E1798" s="3" t="inlineStr">
        <is>
          <t>Prince</t>
        </is>
      </c>
      <c r="F1798" s="3" t="inlineStr">
        <is>
          <t>Male Threaded Adaptor (SDR 11 &amp; SCH 80)</t>
        </is>
      </c>
      <c r="H1798" s="3" t="inlineStr">
        <is>
          <t>Diameter</t>
        </is>
      </c>
      <c r="I1798" s="3" t="inlineStr">
        <is>
          <t>80 mm (3 inch)</t>
        </is>
      </c>
      <c r="Q1798" s="3" t="inlineStr">
        <is>
          <t>Manufacturer's Warranty</t>
        </is>
      </c>
      <c r="R1798" s="3" t="inlineStr">
        <is>
          <t>SIM105038</t>
        </is>
      </c>
      <c r="Y1798" s="3" t="inlineStr">
        <is>
          <t>PLB_PRNC_MLTHADAP_SDR11</t>
        </is>
      </c>
      <c r="Z1798" s="3" t="n">
        <v>3917</v>
      </c>
      <c r="AE1798" s="3" t="n">
        <v>752</v>
      </c>
      <c r="AF1798" s="4" t="n">
        <v>0.37</v>
      </c>
      <c r="AG1798" s="3">
        <f>ROUND(AE1798-(AE1798*AF1798),2)</f>
        <v/>
      </c>
      <c r="AH1798" s="4" t="n">
        <v>0.18</v>
      </c>
      <c r="AI1798" s="3">
        <f>ROUND(AG1798+(AG1798*AH1798),2)</f>
        <v/>
      </c>
      <c r="AJ1798" s="4" t="n">
        <v>0.15</v>
      </c>
      <c r="AK1798" s="3">
        <f>ROUND(AI1798*AJ1798,2)</f>
        <v/>
      </c>
      <c r="AL1798" s="3">
        <f>AI1798+AK1798</f>
        <v/>
      </c>
      <c r="AM1798" s="3">
        <f>AE1798-AL1798</f>
        <v/>
      </c>
      <c r="AN1798" s="4">
        <f>AM1798/AE1798</f>
        <v/>
      </c>
      <c r="AO1798" s="3" t="inlineStr">
        <is>
          <t>60 mins</t>
        </is>
      </c>
      <c r="AQ1798" s="3" t="inlineStr">
        <is>
          <t>Weight</t>
        </is>
      </c>
      <c r="AT1798" s="3" t="inlineStr">
        <is>
          <t>Inactive</t>
        </is>
      </c>
    </row>
    <row r="1799" ht="15.75" customHeight="1">
      <c r="A1799" s="3" t="inlineStr">
        <is>
          <t>PROD_0328</t>
        </is>
      </c>
      <c r="B1799" s="3" t="inlineStr">
        <is>
          <t>VAR_9</t>
        </is>
      </c>
      <c r="C1799" s="3" t="inlineStr">
        <is>
          <t>Plumbing</t>
        </is>
      </c>
      <c r="D1799" s="3" t="inlineStr">
        <is>
          <t>Bends &amp; Connectors</t>
        </is>
      </c>
      <c r="E1799" s="3" t="inlineStr">
        <is>
          <t>Prince</t>
        </is>
      </c>
      <c r="F1799" s="3" t="inlineStr">
        <is>
          <t>Male Threaded Adaptor (SDR 11 &amp; SCH 80)</t>
        </is>
      </c>
      <c r="H1799" s="3" t="inlineStr">
        <is>
          <t>Diameter</t>
        </is>
      </c>
      <c r="I1799" s="3" t="inlineStr">
        <is>
          <t>100 mm (4 inch)</t>
        </is>
      </c>
      <c r="Q1799" s="3" t="inlineStr">
        <is>
          <t>Manufacturer's Warranty</t>
        </is>
      </c>
      <c r="R1799" s="3" t="inlineStr">
        <is>
          <t>SIM105039</t>
        </is>
      </c>
      <c r="Y1799" s="3" t="inlineStr">
        <is>
          <t>PLB_PRNC_MLTHADAP_SDR11</t>
        </is>
      </c>
      <c r="Z1799" s="3" t="n">
        <v>3917</v>
      </c>
      <c r="AE1799" s="3" t="n">
        <v>1195</v>
      </c>
      <c r="AF1799" s="4" t="n">
        <v>0.37</v>
      </c>
      <c r="AG1799" s="3">
        <f>ROUND(AE1799-(AE1799*AF1799),2)</f>
        <v/>
      </c>
      <c r="AH1799" s="4" t="n">
        <v>0.18</v>
      </c>
      <c r="AI1799" s="3">
        <f>ROUND(AG1799+(AG1799*AH1799),2)</f>
        <v/>
      </c>
      <c r="AJ1799" s="4" t="n">
        <v>0.15</v>
      </c>
      <c r="AK1799" s="3">
        <f>ROUND(AI1799*AJ1799,2)</f>
        <v/>
      </c>
      <c r="AL1799" s="3">
        <f>AI1799+AK1799</f>
        <v/>
      </c>
      <c r="AM1799" s="3">
        <f>AE1799-AL1799</f>
        <v/>
      </c>
      <c r="AN1799" s="4">
        <f>AM1799/AE1799</f>
        <v/>
      </c>
      <c r="AO1799" s="3" t="inlineStr">
        <is>
          <t>60 mins</t>
        </is>
      </c>
      <c r="AQ1799" s="3" t="inlineStr">
        <is>
          <t>Weight</t>
        </is>
      </c>
      <c r="AT1799" s="3" t="inlineStr">
        <is>
          <t>Inactive</t>
        </is>
      </c>
    </row>
    <row r="1800" ht="15.75" customHeight="1">
      <c r="A1800" s="3" t="inlineStr">
        <is>
          <t>PROD_0329</t>
        </is>
      </c>
      <c r="B1800" s="3" t="inlineStr">
        <is>
          <t>VAR_1</t>
        </is>
      </c>
      <c r="C1800" s="3" t="inlineStr">
        <is>
          <t>Plumbing</t>
        </is>
      </c>
      <c r="D1800" s="3" t="inlineStr">
        <is>
          <t>Bends &amp; Connectors</t>
        </is>
      </c>
      <c r="E1800" s="3" t="inlineStr">
        <is>
          <t>Prince</t>
        </is>
      </c>
      <c r="F1800" s="3" t="inlineStr">
        <is>
          <t>Tank Connector</t>
        </is>
      </c>
      <c r="H1800" s="3" t="inlineStr">
        <is>
          <t>Diameter</t>
        </is>
      </c>
      <c r="I1800" s="3" t="inlineStr">
        <is>
          <t>15 mm (.5 inch)</t>
        </is>
      </c>
      <c r="Q1800" s="3" t="inlineStr">
        <is>
          <t>Manufacturer's Warranty</t>
        </is>
      </c>
      <c r="R1800" s="3" t="inlineStr">
        <is>
          <t>SIM105021</t>
        </is>
      </c>
      <c r="Y1800" s="3" t="inlineStr">
        <is>
          <t>PLB_PRNC_TNKCNN_SCH80</t>
        </is>
      </c>
      <c r="Z1800" s="3" t="n">
        <v>3917</v>
      </c>
      <c r="AE1800" s="3" t="n">
        <v>64</v>
      </c>
      <c r="AF1800" s="4" t="n">
        <v>0.37</v>
      </c>
      <c r="AG1800" s="3">
        <f>ROUND(AE1800-(AE1800*AF1800),2)</f>
        <v/>
      </c>
      <c r="AH1800" s="4" t="n">
        <v>0.18</v>
      </c>
      <c r="AI1800" s="3">
        <f>ROUND(AG1800+(AG1800*AH1800),2)</f>
        <v/>
      </c>
      <c r="AJ1800" s="4" t="n">
        <v>0.15</v>
      </c>
      <c r="AK1800" s="3">
        <f>ROUND(AI1800*AJ1800,2)</f>
        <v/>
      </c>
      <c r="AL1800" s="3">
        <f>AI1800+AK1800</f>
        <v/>
      </c>
      <c r="AM1800" s="3">
        <f>AE1800-AL1800</f>
        <v/>
      </c>
      <c r="AN1800" s="4">
        <f>AM1800/AE1800</f>
        <v/>
      </c>
      <c r="AO1800" s="3" t="inlineStr">
        <is>
          <t>60 mins</t>
        </is>
      </c>
      <c r="AQ1800" s="3" t="inlineStr">
        <is>
          <t>Weight</t>
        </is>
      </c>
      <c r="AT1800" s="3" t="inlineStr">
        <is>
          <t>Inactive</t>
        </is>
      </c>
    </row>
    <row r="1801" ht="15.75" customHeight="1">
      <c r="A1801" s="3" t="inlineStr">
        <is>
          <t>PROD_0329</t>
        </is>
      </c>
      <c r="B1801" s="3" t="inlineStr">
        <is>
          <t>VAR_2</t>
        </is>
      </c>
      <c r="C1801" s="3" t="inlineStr">
        <is>
          <t>Plumbing</t>
        </is>
      </c>
      <c r="D1801" s="3" t="inlineStr">
        <is>
          <t>Bends &amp; Connectors</t>
        </is>
      </c>
      <c r="E1801" s="3" t="inlineStr">
        <is>
          <t>Prince</t>
        </is>
      </c>
      <c r="F1801" s="3" t="inlineStr">
        <is>
          <t>Tank Connector</t>
        </is>
      </c>
      <c r="H1801" s="3" t="inlineStr">
        <is>
          <t>Diameter</t>
        </is>
      </c>
      <c r="I1801" s="3" t="inlineStr">
        <is>
          <t>20 mm (.75 inch)</t>
        </is>
      </c>
      <c r="Q1801" s="3" t="inlineStr">
        <is>
          <t>Manufacturer's Warranty</t>
        </is>
      </c>
      <c r="R1801" s="3" t="inlineStr">
        <is>
          <t>SIM105022</t>
        </is>
      </c>
      <c r="Y1801" s="3" t="inlineStr">
        <is>
          <t>PLB_PRNC_TNKCNN_SCH80</t>
        </is>
      </c>
      <c r="Z1801" s="3" t="n">
        <v>3917</v>
      </c>
      <c r="AE1801" s="3" t="n">
        <v>80</v>
      </c>
      <c r="AF1801" s="4" t="n">
        <v>0.37</v>
      </c>
      <c r="AG1801" s="3">
        <f>ROUND(AE1801-(AE1801*AF1801),2)</f>
        <v/>
      </c>
      <c r="AH1801" s="4" t="n">
        <v>0.18</v>
      </c>
      <c r="AI1801" s="3">
        <f>ROUND(AG1801+(AG1801*AH1801),2)</f>
        <v/>
      </c>
      <c r="AJ1801" s="4" t="n">
        <v>0.15</v>
      </c>
      <c r="AK1801" s="3">
        <f>ROUND(AI1801*AJ1801,2)</f>
        <v/>
      </c>
      <c r="AL1801" s="3">
        <f>AI1801+AK1801</f>
        <v/>
      </c>
      <c r="AM1801" s="3">
        <f>AE1801-AL1801</f>
        <v/>
      </c>
      <c r="AN1801" s="4">
        <f>AM1801/AE1801</f>
        <v/>
      </c>
      <c r="AO1801" s="3" t="inlineStr">
        <is>
          <t>60 mins</t>
        </is>
      </c>
      <c r="AQ1801" s="3" t="inlineStr">
        <is>
          <t>Weight</t>
        </is>
      </c>
      <c r="AT1801" s="3" t="inlineStr">
        <is>
          <t>Inactive</t>
        </is>
      </c>
    </row>
    <row r="1802" ht="15.75" customHeight="1">
      <c r="A1802" s="3" t="inlineStr">
        <is>
          <t>PROD_0329</t>
        </is>
      </c>
      <c r="B1802" s="3" t="inlineStr">
        <is>
          <t>VAR_3</t>
        </is>
      </c>
      <c r="C1802" s="3" t="inlineStr">
        <is>
          <t>Plumbing</t>
        </is>
      </c>
      <c r="D1802" s="3" t="inlineStr">
        <is>
          <t>Bends &amp; Connectors</t>
        </is>
      </c>
      <c r="E1802" s="3" t="inlineStr">
        <is>
          <t>Prince</t>
        </is>
      </c>
      <c r="F1802" s="3" t="inlineStr">
        <is>
          <t>Tank Connector</t>
        </is>
      </c>
      <c r="H1802" s="3" t="inlineStr">
        <is>
          <t>Diameter</t>
        </is>
      </c>
      <c r="I1802" s="3" t="inlineStr">
        <is>
          <t>25 mm (1 inch)</t>
        </is>
      </c>
      <c r="Q1802" s="3" t="inlineStr">
        <is>
          <t>Manufacturer's Warranty</t>
        </is>
      </c>
      <c r="R1802" s="3" t="inlineStr">
        <is>
          <t>SIM105019</t>
        </is>
      </c>
      <c r="Y1802" s="3" t="inlineStr">
        <is>
          <t>PLB_PRNC_TNKCNN_SCH80</t>
        </is>
      </c>
      <c r="Z1802" s="3" t="n">
        <v>3917</v>
      </c>
      <c r="AE1802" s="3" t="n">
        <v>116</v>
      </c>
      <c r="AF1802" s="4" t="n">
        <v>0.37</v>
      </c>
      <c r="AG1802" s="3">
        <f>ROUND(AE1802-(AE1802*AF1802),2)</f>
        <v/>
      </c>
      <c r="AH1802" s="4" t="n">
        <v>0.18</v>
      </c>
      <c r="AI1802" s="3">
        <f>ROUND(AG1802+(AG1802*AH1802),2)</f>
        <v/>
      </c>
      <c r="AJ1802" s="4" t="n">
        <v>0.15</v>
      </c>
      <c r="AK1802" s="3">
        <f>ROUND(AI1802*AJ1802,2)</f>
        <v/>
      </c>
      <c r="AL1802" s="3">
        <f>AI1802+AK1802</f>
        <v/>
      </c>
      <c r="AM1802" s="3">
        <f>AE1802-AL1802</f>
        <v/>
      </c>
      <c r="AN1802" s="4">
        <f>AM1802/AE1802</f>
        <v/>
      </c>
      <c r="AO1802" s="3" t="inlineStr">
        <is>
          <t>60 mins</t>
        </is>
      </c>
      <c r="AQ1802" s="3" t="inlineStr">
        <is>
          <t>Weight</t>
        </is>
      </c>
      <c r="AT1802" s="3" t="inlineStr">
        <is>
          <t>Inactive</t>
        </is>
      </c>
    </row>
    <row r="1803" ht="15.75" customHeight="1">
      <c r="A1803" s="3" t="inlineStr">
        <is>
          <t>PROD_0329</t>
        </is>
      </c>
      <c r="B1803" s="3" t="inlineStr">
        <is>
          <t>VAR_4</t>
        </is>
      </c>
      <c r="C1803" s="3" t="inlineStr">
        <is>
          <t>Plumbing</t>
        </is>
      </c>
      <c r="D1803" s="3" t="inlineStr">
        <is>
          <t>Bends &amp; Connectors</t>
        </is>
      </c>
      <c r="E1803" s="3" t="inlineStr">
        <is>
          <t>Prince</t>
        </is>
      </c>
      <c r="F1803" s="3" t="inlineStr">
        <is>
          <t>Tank Connector</t>
        </is>
      </c>
      <c r="H1803" s="3" t="inlineStr">
        <is>
          <t>Diameter</t>
        </is>
      </c>
      <c r="I1803" s="3" t="inlineStr">
        <is>
          <t>32 mm (1.25 inch)</t>
        </is>
      </c>
      <c r="Q1803" s="3" t="inlineStr">
        <is>
          <t>Manufacturer's Warranty</t>
        </is>
      </c>
      <c r="R1803" s="3" t="inlineStr">
        <is>
          <t>SIM105020</t>
        </is>
      </c>
      <c r="Y1803" s="3" t="inlineStr">
        <is>
          <t>PLB_PRNC_TNKCNN_SCH80</t>
        </is>
      </c>
      <c r="Z1803" s="3" t="n">
        <v>3917</v>
      </c>
      <c r="AE1803" s="3" t="n">
        <v>194</v>
      </c>
      <c r="AF1803" s="4" t="n">
        <v>0.37</v>
      </c>
      <c r="AG1803" s="3">
        <f>ROUND(AE1803-(AE1803*AF1803),2)</f>
        <v/>
      </c>
      <c r="AH1803" s="4" t="n">
        <v>0.18</v>
      </c>
      <c r="AI1803" s="3">
        <f>ROUND(AG1803+(AG1803*AH1803),2)</f>
        <v/>
      </c>
      <c r="AJ1803" s="4" t="n">
        <v>0.15</v>
      </c>
      <c r="AK1803" s="3">
        <f>ROUND(AI1803*AJ1803,2)</f>
        <v/>
      </c>
      <c r="AL1803" s="3">
        <f>AI1803+AK1803</f>
        <v/>
      </c>
      <c r="AM1803" s="3">
        <f>AE1803-AL1803</f>
        <v/>
      </c>
      <c r="AN1803" s="4">
        <f>AM1803/AE1803</f>
        <v/>
      </c>
      <c r="AO1803" s="3" t="inlineStr">
        <is>
          <t>60 mins</t>
        </is>
      </c>
      <c r="AQ1803" s="3" t="inlineStr">
        <is>
          <t>Weight</t>
        </is>
      </c>
      <c r="AT1803" s="3" t="inlineStr">
        <is>
          <t>Inactive</t>
        </is>
      </c>
    </row>
    <row r="1804" ht="15.75" customHeight="1">
      <c r="A1804" s="3" t="inlineStr">
        <is>
          <t>PROD_0329</t>
        </is>
      </c>
      <c r="B1804" s="3" t="inlineStr">
        <is>
          <t>VAR_5</t>
        </is>
      </c>
      <c r="C1804" s="3" t="inlineStr">
        <is>
          <t>Plumbing</t>
        </is>
      </c>
      <c r="D1804" s="3" t="inlineStr">
        <is>
          <t>Bends &amp; Connectors</t>
        </is>
      </c>
      <c r="E1804" s="3" t="inlineStr">
        <is>
          <t>Prince</t>
        </is>
      </c>
      <c r="F1804" s="3" t="inlineStr">
        <is>
          <t>Tank Connector</t>
        </is>
      </c>
      <c r="H1804" s="3" t="inlineStr">
        <is>
          <t>Diameter</t>
        </is>
      </c>
      <c r="I1804" s="3" t="inlineStr">
        <is>
          <t>40 mm (1.5 inch)</t>
        </is>
      </c>
      <c r="Q1804" s="3" t="inlineStr">
        <is>
          <t>Manufacturer's Warranty</t>
        </is>
      </c>
      <c r="R1804" s="3" t="inlineStr">
        <is>
          <t>SIM105023</t>
        </is>
      </c>
      <c r="Y1804" s="3" t="inlineStr">
        <is>
          <t>PLB_PRNC_TNKCNN_SCH80</t>
        </is>
      </c>
      <c r="Z1804" s="3" t="n">
        <v>3917</v>
      </c>
      <c r="AE1804" s="3" t="n">
        <v>273</v>
      </c>
      <c r="AF1804" s="4" t="n">
        <v>0.37</v>
      </c>
      <c r="AG1804" s="3">
        <f>ROUND(AE1804-(AE1804*AF1804),2)</f>
        <v/>
      </c>
      <c r="AH1804" s="4" t="n">
        <v>0.18</v>
      </c>
      <c r="AI1804" s="3">
        <f>ROUND(AG1804+(AG1804*AH1804),2)</f>
        <v/>
      </c>
      <c r="AJ1804" s="4" t="n">
        <v>0.15</v>
      </c>
      <c r="AK1804" s="3">
        <f>ROUND(AI1804*AJ1804,2)</f>
        <v/>
      </c>
      <c r="AL1804" s="3">
        <f>AI1804+AK1804</f>
        <v/>
      </c>
      <c r="AM1804" s="3">
        <f>AE1804-AL1804</f>
        <v/>
      </c>
      <c r="AN1804" s="4">
        <f>AM1804/AE1804</f>
        <v/>
      </c>
      <c r="AO1804" s="3" t="inlineStr">
        <is>
          <t>60 mins</t>
        </is>
      </c>
      <c r="AQ1804" s="3" t="inlineStr">
        <is>
          <t>Weight</t>
        </is>
      </c>
      <c r="AT1804" s="3" t="inlineStr">
        <is>
          <t>Inactive</t>
        </is>
      </c>
    </row>
    <row r="1805" ht="15.75" customHeight="1">
      <c r="A1805" s="3" t="inlineStr">
        <is>
          <t>PROD_0329</t>
        </is>
      </c>
      <c r="B1805" s="3" t="inlineStr">
        <is>
          <t>VAR_6</t>
        </is>
      </c>
      <c r="C1805" s="3" t="inlineStr">
        <is>
          <t>Plumbing</t>
        </is>
      </c>
      <c r="D1805" s="3" t="inlineStr">
        <is>
          <t>Bends &amp; Connectors</t>
        </is>
      </c>
      <c r="E1805" s="3" t="inlineStr">
        <is>
          <t>Prince</t>
        </is>
      </c>
      <c r="F1805" s="3" t="inlineStr">
        <is>
          <t>Tank Connector</t>
        </is>
      </c>
      <c r="H1805" s="3" t="inlineStr">
        <is>
          <t>Diameter</t>
        </is>
      </c>
      <c r="I1805" s="3" t="inlineStr">
        <is>
          <t>50 mm (2 inch)</t>
        </is>
      </c>
      <c r="Q1805" s="3" t="inlineStr">
        <is>
          <t>Manufacturer's Warranty</t>
        </is>
      </c>
      <c r="R1805" s="3" t="inlineStr">
        <is>
          <t>SIM105024</t>
        </is>
      </c>
      <c r="Y1805" s="3" t="inlineStr">
        <is>
          <t>PLB_PRNC_TNKCNN_SCH80</t>
        </is>
      </c>
      <c r="Z1805" s="3" t="n">
        <v>3917</v>
      </c>
      <c r="AE1805" s="3" t="n">
        <v>430</v>
      </c>
      <c r="AF1805" s="4" t="n">
        <v>0.37</v>
      </c>
      <c r="AG1805" s="3">
        <f>ROUND(AE1805-(AE1805*AF1805),2)</f>
        <v/>
      </c>
      <c r="AH1805" s="4" t="n">
        <v>0.18</v>
      </c>
      <c r="AI1805" s="3">
        <f>ROUND(AG1805+(AG1805*AH1805),2)</f>
        <v/>
      </c>
      <c r="AJ1805" s="4" t="n">
        <v>0.15</v>
      </c>
      <c r="AK1805" s="3">
        <f>ROUND(AI1805*AJ1805,2)</f>
        <v/>
      </c>
      <c r="AL1805" s="3">
        <f>AI1805+AK1805</f>
        <v/>
      </c>
      <c r="AM1805" s="3">
        <f>AE1805-AL1805</f>
        <v/>
      </c>
      <c r="AN1805" s="4">
        <f>AM1805/AE1805</f>
        <v/>
      </c>
      <c r="AO1805" s="3" t="inlineStr">
        <is>
          <t>60 mins</t>
        </is>
      </c>
      <c r="AQ1805" s="3" t="inlineStr">
        <is>
          <t>Weight</t>
        </is>
      </c>
      <c r="AT1805" s="3" t="inlineStr">
        <is>
          <t>Inactive</t>
        </is>
      </c>
    </row>
    <row r="1806" ht="15.75" customHeight="1">
      <c r="A1806" s="3" t="inlineStr">
        <is>
          <t>PROD_0330</t>
        </is>
      </c>
      <c r="B1806" s="3" t="inlineStr">
        <is>
          <t>VAR_1</t>
        </is>
      </c>
      <c r="C1806" s="3" t="inlineStr">
        <is>
          <t>Plumbing</t>
        </is>
      </c>
      <c r="D1806" s="3" t="inlineStr">
        <is>
          <t>Bends &amp; Connectors</t>
        </is>
      </c>
      <c r="E1806" s="3" t="inlineStr">
        <is>
          <t>Prince</t>
        </is>
      </c>
      <c r="F1806" s="3" t="inlineStr">
        <is>
          <t>Reducer (SDR 11 &amp; SCH 80)</t>
        </is>
      </c>
      <c r="H1806" s="3" t="inlineStr">
        <is>
          <t>Size</t>
        </is>
      </c>
      <c r="I1806" s="3" t="inlineStr">
        <is>
          <t>20 mm X 15 mm (.75 inch X .5 inch)</t>
        </is>
      </c>
      <c r="Q1806" s="3" t="inlineStr">
        <is>
          <t>Manufacturer's Warranty</t>
        </is>
      </c>
      <c r="R1806" s="3" t="inlineStr">
        <is>
          <t>SIM104954</t>
        </is>
      </c>
      <c r="Y1806" s="3" t="inlineStr">
        <is>
          <t>PLB_PRNC_RED_SDR11</t>
        </is>
      </c>
      <c r="Z1806" s="3" t="n">
        <v>3917</v>
      </c>
      <c r="AE1806" s="3" t="n">
        <v>22</v>
      </c>
      <c r="AF1806" s="4" t="n">
        <v>0.37</v>
      </c>
      <c r="AG1806" s="3">
        <f>ROUND(AE1806-(AE1806*AF1806),2)</f>
        <v/>
      </c>
      <c r="AH1806" s="4" t="n">
        <v>0.18</v>
      </c>
      <c r="AI1806" s="3">
        <f>ROUND(AG1806+(AG1806*AH1806),2)</f>
        <v/>
      </c>
      <c r="AJ1806" s="4" t="n">
        <v>0.15</v>
      </c>
      <c r="AK1806" s="3">
        <f>ROUND(AI1806*AJ1806,2)</f>
        <v/>
      </c>
      <c r="AL1806" s="3">
        <f>AI1806+AK1806</f>
        <v/>
      </c>
      <c r="AM1806" s="3">
        <f>AE1806-AL1806</f>
        <v/>
      </c>
      <c r="AN1806" s="4">
        <f>AM1806/AE1806</f>
        <v/>
      </c>
      <c r="AO1806" s="3" t="inlineStr">
        <is>
          <t>60 mins</t>
        </is>
      </c>
      <c r="AQ1806" s="3" t="inlineStr">
        <is>
          <t>Weight</t>
        </is>
      </c>
      <c r="AT1806" s="3" t="inlineStr">
        <is>
          <t>Inactive</t>
        </is>
      </c>
    </row>
    <row r="1807" ht="15.75" customHeight="1">
      <c r="A1807" s="3" t="inlineStr">
        <is>
          <t>PROD_0330</t>
        </is>
      </c>
      <c r="B1807" s="3" t="inlineStr">
        <is>
          <t>VAR_2</t>
        </is>
      </c>
      <c r="C1807" s="3" t="inlineStr">
        <is>
          <t>Plumbing</t>
        </is>
      </c>
      <c r="D1807" s="3" t="inlineStr">
        <is>
          <t>Bends &amp; Connectors</t>
        </is>
      </c>
      <c r="E1807" s="3" t="inlineStr">
        <is>
          <t>Prince</t>
        </is>
      </c>
      <c r="F1807" s="3" t="inlineStr">
        <is>
          <t>Reducer (SDR 11 &amp; SCH 80)</t>
        </is>
      </c>
      <c r="H1807" s="3" t="inlineStr">
        <is>
          <t>Size</t>
        </is>
      </c>
      <c r="I1807" s="3" t="inlineStr">
        <is>
          <t>25 mm X 15 mm (1 inch X .5 inch)</t>
        </is>
      </c>
      <c r="Q1807" s="3" t="inlineStr">
        <is>
          <t>Manufacturer's Warranty</t>
        </is>
      </c>
      <c r="R1807" s="3" t="inlineStr">
        <is>
          <t>SIM104955</t>
        </is>
      </c>
      <c r="Y1807" s="3" t="inlineStr">
        <is>
          <t>PLB_PRNC_RED_SDR11</t>
        </is>
      </c>
      <c r="Z1807" s="3" t="n">
        <v>3917</v>
      </c>
      <c r="AE1807" s="3" t="n">
        <v>25</v>
      </c>
      <c r="AF1807" s="4" t="n">
        <v>0.37</v>
      </c>
      <c r="AG1807" s="3">
        <f>ROUND(AE1807-(AE1807*AF1807),2)</f>
        <v/>
      </c>
      <c r="AH1807" s="4" t="n">
        <v>0.18</v>
      </c>
      <c r="AI1807" s="3">
        <f>ROUND(AG1807+(AG1807*AH1807),2)</f>
        <v/>
      </c>
      <c r="AJ1807" s="4" t="n">
        <v>0.15</v>
      </c>
      <c r="AK1807" s="3">
        <f>ROUND(AI1807*AJ1807,2)</f>
        <v/>
      </c>
      <c r="AL1807" s="3">
        <f>AI1807+AK1807</f>
        <v/>
      </c>
      <c r="AM1807" s="3">
        <f>AE1807-AL1807</f>
        <v/>
      </c>
      <c r="AN1807" s="4">
        <f>AM1807/AE1807</f>
        <v/>
      </c>
      <c r="AO1807" s="3" t="inlineStr">
        <is>
          <t>60 mins</t>
        </is>
      </c>
      <c r="AQ1807" s="3" t="inlineStr">
        <is>
          <t>Weight</t>
        </is>
      </c>
      <c r="AT1807" s="3" t="inlineStr">
        <is>
          <t>Inactive</t>
        </is>
      </c>
    </row>
    <row r="1808" ht="15.75" customHeight="1">
      <c r="A1808" s="3" t="inlineStr">
        <is>
          <t>PROD_0330</t>
        </is>
      </c>
      <c r="B1808" s="3" t="inlineStr">
        <is>
          <t>VAR_3</t>
        </is>
      </c>
      <c r="C1808" s="3" t="inlineStr">
        <is>
          <t>Plumbing</t>
        </is>
      </c>
      <c r="D1808" s="3" t="inlineStr">
        <is>
          <t>Bends &amp; Connectors</t>
        </is>
      </c>
      <c r="E1808" s="3" t="inlineStr">
        <is>
          <t>Prince</t>
        </is>
      </c>
      <c r="F1808" s="3" t="inlineStr">
        <is>
          <t>Reducer (SDR 11 &amp; SCH 80)</t>
        </is>
      </c>
      <c r="H1808" s="3" t="inlineStr">
        <is>
          <t>Size</t>
        </is>
      </c>
      <c r="I1808" s="3" t="inlineStr">
        <is>
          <t>25 mm X 20 mm (1 inch X .75 inch)</t>
        </is>
      </c>
      <c r="Q1808" s="3" t="inlineStr">
        <is>
          <t>Manufacturer's Warranty</t>
        </is>
      </c>
      <c r="R1808" s="3" t="inlineStr">
        <is>
          <t>SIM104956</t>
        </is>
      </c>
      <c r="Y1808" s="3" t="inlineStr">
        <is>
          <t>PLB_PRNC_RED_SDR11</t>
        </is>
      </c>
      <c r="Z1808" s="3" t="n">
        <v>3917</v>
      </c>
      <c r="AE1808" s="3" t="n">
        <v>35</v>
      </c>
      <c r="AF1808" s="4" t="n">
        <v>0.37</v>
      </c>
      <c r="AG1808" s="3">
        <f>ROUND(AE1808-(AE1808*AF1808),2)</f>
        <v/>
      </c>
      <c r="AH1808" s="4" t="n">
        <v>0.18</v>
      </c>
      <c r="AI1808" s="3">
        <f>ROUND(AG1808+(AG1808*AH1808),2)</f>
        <v/>
      </c>
      <c r="AJ1808" s="4" t="n">
        <v>0.15</v>
      </c>
      <c r="AK1808" s="3">
        <f>ROUND(AI1808*AJ1808,2)</f>
        <v/>
      </c>
      <c r="AL1808" s="3">
        <f>AI1808+AK1808</f>
        <v/>
      </c>
      <c r="AM1808" s="3">
        <f>AE1808-AL1808</f>
        <v/>
      </c>
      <c r="AN1808" s="4">
        <f>AM1808/AE1808</f>
        <v/>
      </c>
      <c r="AO1808" s="3" t="inlineStr">
        <is>
          <t>60 mins</t>
        </is>
      </c>
      <c r="AQ1808" s="3" t="inlineStr">
        <is>
          <t>Weight</t>
        </is>
      </c>
      <c r="AT1808" s="3" t="inlineStr">
        <is>
          <t>Inactive</t>
        </is>
      </c>
    </row>
    <row r="1809" ht="15.75" customHeight="1">
      <c r="A1809" s="3" t="inlineStr">
        <is>
          <t>PROD_0330</t>
        </is>
      </c>
      <c r="B1809" s="3" t="inlineStr">
        <is>
          <t>VAR_4</t>
        </is>
      </c>
      <c r="C1809" s="3" t="inlineStr">
        <is>
          <t>Plumbing</t>
        </is>
      </c>
      <c r="D1809" s="3" t="inlineStr">
        <is>
          <t>Bends &amp; Connectors</t>
        </is>
      </c>
      <c r="E1809" s="3" t="inlineStr">
        <is>
          <t>Prince</t>
        </is>
      </c>
      <c r="F1809" s="3" t="inlineStr">
        <is>
          <t>Reducer (SDR 11 &amp; SCH 80)</t>
        </is>
      </c>
      <c r="H1809" s="3" t="inlineStr">
        <is>
          <t>Size</t>
        </is>
      </c>
      <c r="I1809" s="3" t="inlineStr">
        <is>
          <t>32 mm X 15 mm (1.25 inch X .5 inch)</t>
        </is>
      </c>
      <c r="Q1809" s="3" t="inlineStr">
        <is>
          <t>Manufacturer's Warranty</t>
        </is>
      </c>
      <c r="R1809" s="3" t="inlineStr">
        <is>
          <t>SIM104957</t>
        </is>
      </c>
      <c r="Y1809" s="3" t="inlineStr">
        <is>
          <t>PLB_PRNC_RED_SDR11</t>
        </is>
      </c>
      <c r="Z1809" s="3" t="n">
        <v>3917</v>
      </c>
      <c r="AE1809" s="3" t="n">
        <v>53</v>
      </c>
      <c r="AF1809" s="4" t="n">
        <v>0.37</v>
      </c>
      <c r="AG1809" s="3">
        <f>ROUND(AE1809-(AE1809*AF1809),2)</f>
        <v/>
      </c>
      <c r="AH1809" s="4" t="n">
        <v>0.18</v>
      </c>
      <c r="AI1809" s="3">
        <f>ROUND(AG1809+(AG1809*AH1809),2)</f>
        <v/>
      </c>
      <c r="AJ1809" s="4" t="n">
        <v>0.15</v>
      </c>
      <c r="AK1809" s="3">
        <f>ROUND(AI1809*AJ1809,2)</f>
        <v/>
      </c>
      <c r="AL1809" s="3">
        <f>AI1809+AK1809</f>
        <v/>
      </c>
      <c r="AM1809" s="3">
        <f>AE1809-AL1809</f>
        <v/>
      </c>
      <c r="AN1809" s="4">
        <f>AM1809/AE1809</f>
        <v/>
      </c>
      <c r="AO1809" s="3" t="inlineStr">
        <is>
          <t>60 mins</t>
        </is>
      </c>
      <c r="AQ1809" s="3" t="inlineStr">
        <is>
          <t>Weight</t>
        </is>
      </c>
      <c r="AT1809" s="3" t="inlineStr">
        <is>
          <t>Inactive</t>
        </is>
      </c>
    </row>
    <row r="1810" ht="15.75" customHeight="1">
      <c r="A1810" s="3" t="inlineStr">
        <is>
          <t>PROD_0330</t>
        </is>
      </c>
      <c r="B1810" s="3" t="inlineStr">
        <is>
          <t>VAR_5</t>
        </is>
      </c>
      <c r="C1810" s="3" t="inlineStr">
        <is>
          <t>Plumbing</t>
        </is>
      </c>
      <c r="D1810" s="3" t="inlineStr">
        <is>
          <t>Bends &amp; Connectors</t>
        </is>
      </c>
      <c r="E1810" s="3" t="inlineStr">
        <is>
          <t>Prince</t>
        </is>
      </c>
      <c r="F1810" s="3" t="inlineStr">
        <is>
          <t>Reducer (SDR 11 &amp; SCH 80)</t>
        </is>
      </c>
      <c r="H1810" s="3" t="inlineStr">
        <is>
          <t>Size</t>
        </is>
      </c>
      <c r="I1810" s="3" t="inlineStr">
        <is>
          <t>32 mm X 20 mm (1.25 inch X .75 inch)</t>
        </is>
      </c>
      <c r="Q1810" s="3" t="inlineStr">
        <is>
          <t>Manufacturer's Warranty</t>
        </is>
      </c>
      <c r="R1810" s="3" t="inlineStr">
        <is>
          <t>SIM104958</t>
        </is>
      </c>
      <c r="Y1810" s="3" t="inlineStr">
        <is>
          <t>PLB_PRNC_RED_SDR11</t>
        </is>
      </c>
      <c r="Z1810" s="3" t="n">
        <v>3917</v>
      </c>
      <c r="AE1810" s="3" t="n">
        <v>60</v>
      </c>
      <c r="AF1810" s="4" t="n">
        <v>0.37</v>
      </c>
      <c r="AG1810" s="3">
        <f>ROUND(AE1810-(AE1810*AF1810),2)</f>
        <v/>
      </c>
      <c r="AH1810" s="4" t="n">
        <v>0.18</v>
      </c>
      <c r="AI1810" s="3">
        <f>ROUND(AG1810+(AG1810*AH1810),2)</f>
        <v/>
      </c>
      <c r="AJ1810" s="4" t="n">
        <v>0.15</v>
      </c>
      <c r="AK1810" s="3">
        <f>ROUND(AI1810*AJ1810,2)</f>
        <v/>
      </c>
      <c r="AL1810" s="3">
        <f>AI1810+AK1810</f>
        <v/>
      </c>
      <c r="AM1810" s="3">
        <f>AE1810-AL1810</f>
        <v/>
      </c>
      <c r="AN1810" s="4">
        <f>AM1810/AE1810</f>
        <v/>
      </c>
      <c r="AO1810" s="3" t="inlineStr">
        <is>
          <t>60 mins</t>
        </is>
      </c>
      <c r="AQ1810" s="3" t="inlineStr">
        <is>
          <t>Weight</t>
        </is>
      </c>
      <c r="AT1810" s="3" t="inlineStr">
        <is>
          <t>Inactive</t>
        </is>
      </c>
    </row>
    <row r="1811" ht="15.75" customHeight="1">
      <c r="A1811" s="3" t="inlineStr">
        <is>
          <t>PROD_0330</t>
        </is>
      </c>
      <c r="B1811" s="3" t="inlineStr">
        <is>
          <t>VAR_6</t>
        </is>
      </c>
      <c r="C1811" s="3" t="inlineStr">
        <is>
          <t>Plumbing</t>
        </is>
      </c>
      <c r="D1811" s="3" t="inlineStr">
        <is>
          <t>Bends &amp; Connectors</t>
        </is>
      </c>
      <c r="E1811" s="3" t="inlineStr">
        <is>
          <t>Prince</t>
        </is>
      </c>
      <c r="F1811" s="3" t="inlineStr">
        <is>
          <t>Reducer (SDR 11 &amp; SCH 80)</t>
        </is>
      </c>
      <c r="H1811" s="3" t="inlineStr">
        <is>
          <t>Size</t>
        </is>
      </c>
      <c r="I1811" s="3" t="inlineStr">
        <is>
          <t>32 mm X 25 mm (1.25 inch X 1 inch)</t>
        </is>
      </c>
      <c r="Q1811" s="3" t="inlineStr">
        <is>
          <t>Manufacturer's Warranty</t>
        </is>
      </c>
      <c r="R1811" s="3" t="inlineStr">
        <is>
          <t>SIM104959</t>
        </is>
      </c>
      <c r="Y1811" s="3" t="inlineStr">
        <is>
          <t>PLB_PRNC_RED_SDR11</t>
        </is>
      </c>
      <c r="Z1811" s="3" t="n">
        <v>3917</v>
      </c>
      <c r="AE1811" s="3" t="n">
        <v>65</v>
      </c>
      <c r="AF1811" s="4" t="n">
        <v>0.37</v>
      </c>
      <c r="AG1811" s="3">
        <f>ROUND(AE1811-(AE1811*AF1811),2)</f>
        <v/>
      </c>
      <c r="AH1811" s="4" t="n">
        <v>0.18</v>
      </c>
      <c r="AI1811" s="3">
        <f>ROUND(AG1811+(AG1811*AH1811),2)</f>
        <v/>
      </c>
      <c r="AJ1811" s="4" t="n">
        <v>0.15</v>
      </c>
      <c r="AK1811" s="3">
        <f>ROUND(AI1811*AJ1811,2)</f>
        <v/>
      </c>
      <c r="AL1811" s="3">
        <f>AI1811+AK1811</f>
        <v/>
      </c>
      <c r="AM1811" s="3">
        <f>AE1811-AL1811</f>
        <v/>
      </c>
      <c r="AN1811" s="4">
        <f>AM1811/AE1811</f>
        <v/>
      </c>
      <c r="AO1811" s="3" t="inlineStr">
        <is>
          <t>60 mins</t>
        </is>
      </c>
      <c r="AQ1811" s="3" t="inlineStr">
        <is>
          <t>Weight</t>
        </is>
      </c>
      <c r="AT1811" s="3" t="inlineStr">
        <is>
          <t>Inactive</t>
        </is>
      </c>
    </row>
    <row r="1812" ht="15.75" customHeight="1">
      <c r="A1812" s="3" t="inlineStr">
        <is>
          <t>PROD_0330</t>
        </is>
      </c>
      <c r="B1812" s="3" t="inlineStr">
        <is>
          <t>VAR_7</t>
        </is>
      </c>
      <c r="C1812" s="3" t="inlineStr">
        <is>
          <t>Plumbing</t>
        </is>
      </c>
      <c r="D1812" s="3" t="inlineStr">
        <is>
          <t>Bends &amp; Connectors</t>
        </is>
      </c>
      <c r="E1812" s="3" t="inlineStr">
        <is>
          <t>Prince</t>
        </is>
      </c>
      <c r="F1812" s="3" t="inlineStr">
        <is>
          <t>Reducer (SDR 11 &amp; SCH 80)</t>
        </is>
      </c>
      <c r="H1812" s="3" t="inlineStr">
        <is>
          <t>Size</t>
        </is>
      </c>
      <c r="I1812" s="3" t="inlineStr">
        <is>
          <t>50 mm X 25 mm (2 inch X 1 inch)</t>
        </is>
      </c>
      <c r="Q1812" s="3" t="inlineStr">
        <is>
          <t>Manufacturer's Warranty</t>
        </is>
      </c>
      <c r="R1812" s="3" t="inlineStr">
        <is>
          <t>SIM104966</t>
        </is>
      </c>
      <c r="Y1812" s="3" t="inlineStr">
        <is>
          <t>PLB_PRNC_RED_SDR11</t>
        </is>
      </c>
      <c r="Z1812" s="3" t="n">
        <v>3917</v>
      </c>
      <c r="AE1812" s="3" t="n">
        <v>194</v>
      </c>
      <c r="AF1812" s="4" t="n">
        <v>0.37</v>
      </c>
      <c r="AG1812" s="3">
        <f>ROUND(AE1812-(AE1812*AF1812),2)</f>
        <v/>
      </c>
      <c r="AH1812" s="4" t="n">
        <v>0.18</v>
      </c>
      <c r="AI1812" s="3">
        <f>ROUND(AG1812+(AG1812*AH1812),2)</f>
        <v/>
      </c>
      <c r="AJ1812" s="4" t="n">
        <v>0.15</v>
      </c>
      <c r="AK1812" s="3">
        <f>ROUND(AI1812*AJ1812,2)</f>
        <v/>
      </c>
      <c r="AL1812" s="3">
        <f>AI1812+AK1812</f>
        <v/>
      </c>
      <c r="AM1812" s="3">
        <f>AE1812-AL1812</f>
        <v/>
      </c>
      <c r="AN1812" s="4">
        <f>AM1812/AE1812</f>
        <v/>
      </c>
      <c r="AO1812" s="3" t="inlineStr">
        <is>
          <t>60 mins</t>
        </is>
      </c>
      <c r="AQ1812" s="3" t="inlineStr">
        <is>
          <t>Weight</t>
        </is>
      </c>
      <c r="AT1812" s="3" t="inlineStr">
        <is>
          <t>Inactive</t>
        </is>
      </c>
    </row>
    <row r="1813" ht="15.75" customHeight="1">
      <c r="A1813" s="3" t="inlineStr">
        <is>
          <t>PROD_0331</t>
        </is>
      </c>
      <c r="B1813" s="3" t="inlineStr">
        <is>
          <t>VAR_1</t>
        </is>
      </c>
      <c r="C1813" s="3" t="inlineStr">
        <is>
          <t>Plumbing</t>
        </is>
      </c>
      <c r="D1813" s="3" t="inlineStr">
        <is>
          <t>Bends &amp; Connectors</t>
        </is>
      </c>
      <c r="E1813" s="3" t="inlineStr">
        <is>
          <t>Prince</t>
        </is>
      </c>
      <c r="F1813" s="3" t="inlineStr">
        <is>
          <t>Male Threaded Adaptor Heavy (SDR 11)</t>
        </is>
      </c>
      <c r="H1813" s="3" t="inlineStr">
        <is>
          <t>Size</t>
        </is>
      </c>
      <c r="I1813" s="3" t="inlineStr">
        <is>
          <t>15 mm (.5 inch)</t>
        </is>
      </c>
      <c r="Q1813" s="3" t="inlineStr">
        <is>
          <t>Manufacturer's Warranty</t>
        </is>
      </c>
      <c r="R1813" s="3" t="inlineStr">
        <is>
          <t>SIM105073</t>
        </is>
      </c>
      <c r="Y1813" s="3" t="inlineStr">
        <is>
          <t>PLB_PRNC_MLTHADP_SDR11</t>
        </is>
      </c>
      <c r="Z1813" s="3" t="n">
        <v>3917</v>
      </c>
      <c r="AE1813" s="3" t="n">
        <v>198</v>
      </c>
      <c r="AF1813" s="4" t="n">
        <v>0.37</v>
      </c>
      <c r="AG1813" s="3">
        <f>ROUND(AE1813-(AE1813*AF1813),2)</f>
        <v/>
      </c>
      <c r="AH1813" s="4" t="n">
        <v>0.18</v>
      </c>
      <c r="AI1813" s="3">
        <f>ROUND(AG1813+(AG1813*AH1813),2)</f>
        <v/>
      </c>
      <c r="AJ1813" s="4" t="n">
        <v>0.15</v>
      </c>
      <c r="AK1813" s="3">
        <f>ROUND(AI1813*AJ1813,2)</f>
        <v/>
      </c>
      <c r="AL1813" s="3">
        <f>AI1813+AK1813</f>
        <v/>
      </c>
      <c r="AM1813" s="3">
        <f>AE1813-AL1813</f>
        <v/>
      </c>
      <c r="AN1813" s="4">
        <f>AM1813/AE1813</f>
        <v/>
      </c>
      <c r="AO1813" s="3" t="inlineStr">
        <is>
          <t>60 mins</t>
        </is>
      </c>
      <c r="AQ1813" s="3" t="inlineStr">
        <is>
          <t>Weight</t>
        </is>
      </c>
      <c r="AT1813" s="3" t="inlineStr">
        <is>
          <t>Inactive</t>
        </is>
      </c>
    </row>
    <row r="1814" ht="15.75" customHeight="1">
      <c r="A1814" s="3" t="inlineStr">
        <is>
          <t>PROD_0331</t>
        </is>
      </c>
      <c r="B1814" s="3" t="inlineStr">
        <is>
          <t>VAR_2</t>
        </is>
      </c>
      <c r="C1814" s="3" t="inlineStr">
        <is>
          <t>Plumbing</t>
        </is>
      </c>
      <c r="D1814" s="3" t="inlineStr">
        <is>
          <t>Bends &amp; Connectors</t>
        </is>
      </c>
      <c r="E1814" s="3" t="inlineStr">
        <is>
          <t>Prince</t>
        </is>
      </c>
      <c r="F1814" s="3" t="inlineStr">
        <is>
          <t>Male Threaded Adaptor Heavy (SDR 11)</t>
        </is>
      </c>
      <c r="H1814" s="3" t="inlineStr">
        <is>
          <t>Size</t>
        </is>
      </c>
      <c r="I1814" s="3" t="inlineStr">
        <is>
          <t>20 mm (.75 inch)</t>
        </is>
      </c>
      <c r="Q1814" s="3" t="inlineStr">
        <is>
          <t>Manufacturer's Warranty</t>
        </is>
      </c>
      <c r="R1814" s="3" t="inlineStr">
        <is>
          <t>SIM105074</t>
        </is>
      </c>
      <c r="Y1814" s="3" t="inlineStr">
        <is>
          <t>PLB_PRNC_MLTHADP_SDR11</t>
        </is>
      </c>
      <c r="Z1814" s="3" t="n">
        <v>3917</v>
      </c>
      <c r="AE1814" s="3" t="n">
        <v>252</v>
      </c>
      <c r="AF1814" s="4" t="n">
        <v>0.37</v>
      </c>
      <c r="AG1814" s="3">
        <f>ROUND(AE1814-(AE1814*AF1814),2)</f>
        <v/>
      </c>
      <c r="AH1814" s="4" t="n">
        <v>0.18</v>
      </c>
      <c r="AI1814" s="3">
        <f>ROUND(AG1814+(AG1814*AH1814),2)</f>
        <v/>
      </c>
      <c r="AJ1814" s="4" t="n">
        <v>0.15</v>
      </c>
      <c r="AK1814" s="3">
        <f>ROUND(AI1814*AJ1814,2)</f>
        <v/>
      </c>
      <c r="AL1814" s="3">
        <f>AI1814+AK1814</f>
        <v/>
      </c>
      <c r="AM1814" s="3">
        <f>AE1814-AL1814</f>
        <v/>
      </c>
      <c r="AN1814" s="4">
        <f>AM1814/AE1814</f>
        <v/>
      </c>
      <c r="AO1814" s="3" t="inlineStr">
        <is>
          <t>60 mins</t>
        </is>
      </c>
      <c r="AQ1814" s="3" t="inlineStr">
        <is>
          <t>Weight</t>
        </is>
      </c>
      <c r="AT1814" s="3" t="inlineStr">
        <is>
          <t>Inactive</t>
        </is>
      </c>
    </row>
    <row r="1815" ht="15.75" customHeight="1">
      <c r="A1815" s="3" t="inlineStr">
        <is>
          <t>PROD_0331</t>
        </is>
      </c>
      <c r="B1815" s="3" t="inlineStr">
        <is>
          <t>VAR_3</t>
        </is>
      </c>
      <c r="C1815" s="3" t="inlineStr">
        <is>
          <t>Plumbing</t>
        </is>
      </c>
      <c r="D1815" s="3" t="inlineStr">
        <is>
          <t>Bends &amp; Connectors</t>
        </is>
      </c>
      <c r="E1815" s="3" t="inlineStr">
        <is>
          <t>Prince</t>
        </is>
      </c>
      <c r="F1815" s="3" t="inlineStr">
        <is>
          <t>Male Threaded Adaptor Heavy (SDR 11)</t>
        </is>
      </c>
      <c r="H1815" s="3" t="inlineStr">
        <is>
          <t>Size</t>
        </is>
      </c>
      <c r="I1815" s="3" t="inlineStr">
        <is>
          <t>25 mm (1 inch)</t>
        </is>
      </c>
      <c r="Q1815" s="3" t="inlineStr">
        <is>
          <t>Manufacturer's Warranty</t>
        </is>
      </c>
      <c r="R1815" s="3" t="inlineStr">
        <is>
          <t>SIM105075</t>
        </is>
      </c>
      <c r="Y1815" s="3" t="inlineStr">
        <is>
          <t>PLB_PRNC_MLTHADP_SDR11</t>
        </is>
      </c>
      <c r="Z1815" s="3" t="n">
        <v>3917</v>
      </c>
      <c r="AE1815" s="3" t="n">
        <v>406</v>
      </c>
      <c r="AF1815" s="4" t="n">
        <v>0.37</v>
      </c>
      <c r="AG1815" s="3">
        <f>ROUND(AE1815-(AE1815*AF1815),2)</f>
        <v/>
      </c>
      <c r="AH1815" s="4" t="n">
        <v>0.18</v>
      </c>
      <c r="AI1815" s="3">
        <f>ROUND(AG1815+(AG1815*AH1815),2)</f>
        <v/>
      </c>
      <c r="AJ1815" s="4" t="n">
        <v>0.15</v>
      </c>
      <c r="AK1815" s="3">
        <f>ROUND(AI1815*AJ1815,2)</f>
        <v/>
      </c>
      <c r="AL1815" s="3">
        <f>AI1815+AK1815</f>
        <v/>
      </c>
      <c r="AM1815" s="3">
        <f>AE1815-AL1815</f>
        <v/>
      </c>
      <c r="AN1815" s="4">
        <f>AM1815/AE1815</f>
        <v/>
      </c>
      <c r="AO1815" s="3" t="inlineStr">
        <is>
          <t>60 mins</t>
        </is>
      </c>
      <c r="AQ1815" s="3" t="inlineStr">
        <is>
          <t>Weight</t>
        </is>
      </c>
      <c r="AT1815" s="3" t="inlineStr">
        <is>
          <t>Inactive</t>
        </is>
      </c>
    </row>
    <row r="1816" ht="15.75" customHeight="1">
      <c r="A1816" s="3" t="inlineStr">
        <is>
          <t>PROD_0331</t>
        </is>
      </c>
      <c r="B1816" s="3" t="inlineStr">
        <is>
          <t>VAR_4</t>
        </is>
      </c>
      <c r="C1816" s="3" t="inlineStr">
        <is>
          <t>Plumbing</t>
        </is>
      </c>
      <c r="D1816" s="3" t="inlineStr">
        <is>
          <t>Bends &amp; Connectors</t>
        </is>
      </c>
      <c r="E1816" s="3" t="inlineStr">
        <is>
          <t>Prince</t>
        </is>
      </c>
      <c r="F1816" s="3" t="inlineStr">
        <is>
          <t>Male Threaded Adaptor Heavy (SDR 11)</t>
        </is>
      </c>
      <c r="H1816" s="3" t="inlineStr">
        <is>
          <t>Size</t>
        </is>
      </c>
      <c r="I1816" s="3" t="inlineStr">
        <is>
          <t>32 mm (1.25 inch)</t>
        </is>
      </c>
      <c r="Q1816" s="3" t="inlineStr">
        <is>
          <t>Manufacturer's Warranty</t>
        </is>
      </c>
      <c r="R1816" s="3" t="inlineStr">
        <is>
          <t>SIM105076</t>
        </is>
      </c>
      <c r="Y1816" s="3" t="inlineStr">
        <is>
          <t>PLB_PRNC_MLTHADP_SDR11</t>
        </is>
      </c>
      <c r="Z1816" s="3" t="n">
        <v>3917</v>
      </c>
      <c r="AE1816" s="3" t="n">
        <v>825</v>
      </c>
      <c r="AF1816" s="4" t="n">
        <v>0.37</v>
      </c>
      <c r="AG1816" s="3">
        <f>ROUND(AE1816-(AE1816*AF1816),2)</f>
        <v/>
      </c>
      <c r="AH1816" s="4" t="n">
        <v>0.18</v>
      </c>
      <c r="AI1816" s="3">
        <f>ROUND(AG1816+(AG1816*AH1816),2)</f>
        <v/>
      </c>
      <c r="AJ1816" s="4" t="n">
        <v>0.15</v>
      </c>
      <c r="AK1816" s="3">
        <f>ROUND(AI1816*AJ1816,2)</f>
        <v/>
      </c>
      <c r="AL1816" s="3">
        <f>AI1816+AK1816</f>
        <v/>
      </c>
      <c r="AM1816" s="3">
        <f>AE1816-AL1816</f>
        <v/>
      </c>
      <c r="AN1816" s="4">
        <f>AM1816/AE1816</f>
        <v/>
      </c>
      <c r="AO1816" s="3" t="inlineStr">
        <is>
          <t>60 mins</t>
        </is>
      </c>
      <c r="AQ1816" s="3" t="inlineStr">
        <is>
          <t>Weight</t>
        </is>
      </c>
      <c r="AT1816" s="3" t="inlineStr">
        <is>
          <t>Inactive</t>
        </is>
      </c>
    </row>
    <row r="1817" ht="15.75" customHeight="1">
      <c r="A1817" s="3" t="inlineStr">
        <is>
          <t>PROD_0331</t>
        </is>
      </c>
      <c r="B1817" s="3" t="inlineStr">
        <is>
          <t>VAR_5</t>
        </is>
      </c>
      <c r="C1817" s="3" t="inlineStr">
        <is>
          <t>Plumbing</t>
        </is>
      </c>
      <c r="D1817" s="3" t="inlineStr">
        <is>
          <t>Bends &amp; Connectors</t>
        </is>
      </c>
      <c r="E1817" s="3" t="inlineStr">
        <is>
          <t>Prince</t>
        </is>
      </c>
      <c r="F1817" s="3" t="inlineStr">
        <is>
          <t>Male Threaded Adaptor Heavy (SDR 11)</t>
        </is>
      </c>
      <c r="H1817" s="3" t="inlineStr">
        <is>
          <t>Size</t>
        </is>
      </c>
      <c r="I1817" s="3" t="inlineStr">
        <is>
          <t>40 mm (1.5 inch)</t>
        </is>
      </c>
      <c r="Q1817" s="3" t="inlineStr">
        <is>
          <t>Manufacturer's Warranty</t>
        </is>
      </c>
      <c r="R1817" s="3" t="inlineStr">
        <is>
          <t>SIM105077</t>
        </is>
      </c>
      <c r="Y1817" s="3" t="inlineStr">
        <is>
          <t>PLB_PRNC_MLTHADP_SDR11</t>
        </is>
      </c>
      <c r="Z1817" s="3" t="n">
        <v>3917</v>
      </c>
      <c r="AE1817" s="3" t="n">
        <v>1021</v>
      </c>
      <c r="AF1817" s="4" t="n">
        <v>0.37</v>
      </c>
      <c r="AG1817" s="3">
        <f>ROUND(AE1817-(AE1817*AF1817),2)</f>
        <v/>
      </c>
      <c r="AH1817" s="4" t="n">
        <v>0.18</v>
      </c>
      <c r="AI1817" s="3">
        <f>ROUND(AG1817+(AG1817*AH1817),2)</f>
        <v/>
      </c>
      <c r="AJ1817" s="4" t="n">
        <v>0.15</v>
      </c>
      <c r="AK1817" s="3">
        <f>ROUND(AI1817*AJ1817,2)</f>
        <v/>
      </c>
      <c r="AL1817" s="3">
        <f>AI1817+AK1817</f>
        <v/>
      </c>
      <c r="AM1817" s="3">
        <f>AE1817-AL1817</f>
        <v/>
      </c>
      <c r="AN1817" s="4">
        <f>AM1817/AE1817</f>
        <v/>
      </c>
      <c r="AO1817" s="3" t="inlineStr">
        <is>
          <t>60 mins</t>
        </is>
      </c>
      <c r="AQ1817" s="3" t="inlineStr">
        <is>
          <t>Weight</t>
        </is>
      </c>
      <c r="AT1817" s="3" t="inlineStr">
        <is>
          <t>Inactive</t>
        </is>
      </c>
    </row>
    <row r="1818" ht="15.75" customHeight="1">
      <c r="A1818" s="3" t="inlineStr">
        <is>
          <t>PROD_0331</t>
        </is>
      </c>
      <c r="B1818" s="3" t="inlineStr">
        <is>
          <t>VAR_6</t>
        </is>
      </c>
      <c r="C1818" s="3" t="inlineStr">
        <is>
          <t>Plumbing</t>
        </is>
      </c>
      <c r="D1818" s="3" t="inlineStr">
        <is>
          <t>Bends &amp; Connectors</t>
        </is>
      </c>
      <c r="E1818" s="3" t="inlineStr">
        <is>
          <t>Prince</t>
        </is>
      </c>
      <c r="F1818" s="3" t="inlineStr">
        <is>
          <t>Male Threaded Adaptor Heavy (SDR 11)</t>
        </is>
      </c>
      <c r="H1818" s="3" t="inlineStr">
        <is>
          <t>Size</t>
        </is>
      </c>
      <c r="I1818" s="3" t="inlineStr">
        <is>
          <t>20 mm X 15 mm (.75 inch X .5 inch)</t>
        </is>
      </c>
      <c r="Q1818" s="3" t="inlineStr">
        <is>
          <t>Manufacturer's Warranty</t>
        </is>
      </c>
      <c r="R1818" s="3" t="inlineStr">
        <is>
          <t>SIM105085</t>
        </is>
      </c>
      <c r="Y1818" s="3" t="inlineStr">
        <is>
          <t>PLB_PRNC_MLTHADP_SDR11</t>
        </is>
      </c>
      <c r="Z1818" s="3" t="n">
        <v>3917</v>
      </c>
      <c r="AE1818" s="3" t="n">
        <v>150</v>
      </c>
      <c r="AF1818" s="4" t="n">
        <v>0.37</v>
      </c>
      <c r="AG1818" s="3">
        <f>ROUND(AE1818-(AE1818*AF1818),2)</f>
        <v/>
      </c>
      <c r="AH1818" s="4" t="n">
        <v>0.18</v>
      </c>
      <c r="AI1818" s="3">
        <f>ROUND(AG1818+(AG1818*AH1818),2)</f>
        <v/>
      </c>
      <c r="AJ1818" s="4" t="n">
        <v>0.15</v>
      </c>
      <c r="AK1818" s="3">
        <f>ROUND(AI1818*AJ1818,2)</f>
        <v/>
      </c>
      <c r="AL1818" s="3">
        <f>AI1818+AK1818</f>
        <v/>
      </c>
      <c r="AM1818" s="3">
        <f>AE1818-AL1818</f>
        <v/>
      </c>
      <c r="AN1818" s="4">
        <f>AM1818/AE1818</f>
        <v/>
      </c>
      <c r="AO1818" s="3" t="inlineStr">
        <is>
          <t>60 mins</t>
        </is>
      </c>
      <c r="AQ1818" s="3" t="inlineStr">
        <is>
          <t>Weight</t>
        </is>
      </c>
      <c r="AT1818" s="3" t="inlineStr">
        <is>
          <t>Inactive</t>
        </is>
      </c>
    </row>
    <row r="1819" ht="15.75" customHeight="1">
      <c r="A1819" s="3" t="inlineStr">
        <is>
          <t>PROD_0332</t>
        </is>
      </c>
      <c r="B1819" s="3" t="inlineStr">
        <is>
          <t>VAR_1</t>
        </is>
      </c>
      <c r="C1819" s="3" t="inlineStr">
        <is>
          <t>Plumbing</t>
        </is>
      </c>
      <c r="D1819" s="3" t="inlineStr">
        <is>
          <t>Bends &amp; Connectors</t>
        </is>
      </c>
      <c r="E1819" s="3" t="inlineStr">
        <is>
          <t>Prince</t>
        </is>
      </c>
      <c r="F1819" s="3" t="inlineStr">
        <is>
          <t>Female Threaded Adaptor (SDR 11)</t>
        </is>
      </c>
      <c r="H1819" s="3" t="inlineStr">
        <is>
          <t>Size</t>
        </is>
      </c>
      <c r="I1819" s="3" t="inlineStr">
        <is>
          <t>15 mm (.5 inch)</t>
        </is>
      </c>
      <c r="Q1819" s="3" t="inlineStr">
        <is>
          <t>Manufacturer's Warranty</t>
        </is>
      </c>
      <c r="R1819" s="3" t="inlineStr">
        <is>
          <t>SIM105047</t>
        </is>
      </c>
      <c r="Y1819" s="3" t="inlineStr">
        <is>
          <t>PLB_PRNC_FMTHADP_SDR11</t>
        </is>
      </c>
      <c r="Z1819" s="3" t="n">
        <v>3917</v>
      </c>
      <c r="AE1819" s="3" t="n">
        <v>123</v>
      </c>
      <c r="AF1819" s="4" t="n">
        <v>0.37</v>
      </c>
      <c r="AG1819" s="3">
        <f>ROUND(AE1819-(AE1819*AF1819),2)</f>
        <v/>
      </c>
      <c r="AH1819" s="4" t="n">
        <v>0.18</v>
      </c>
      <c r="AI1819" s="3">
        <f>ROUND(AG1819+(AG1819*AH1819),2)</f>
        <v/>
      </c>
      <c r="AJ1819" s="4" t="n">
        <v>0.15</v>
      </c>
      <c r="AK1819" s="3">
        <f>ROUND(AI1819*AJ1819,2)</f>
        <v/>
      </c>
      <c r="AL1819" s="3">
        <f>AI1819+AK1819</f>
        <v/>
      </c>
      <c r="AM1819" s="3">
        <f>AE1819-AL1819</f>
        <v/>
      </c>
      <c r="AN1819" s="4">
        <f>AM1819/AE1819</f>
        <v/>
      </c>
      <c r="AO1819" s="3" t="inlineStr">
        <is>
          <t>60 mins</t>
        </is>
      </c>
      <c r="AQ1819" s="3" t="inlineStr">
        <is>
          <t>Weight</t>
        </is>
      </c>
      <c r="AT1819" s="3" t="inlineStr">
        <is>
          <t>Inactive</t>
        </is>
      </c>
    </row>
    <row r="1820" ht="15.75" customHeight="1">
      <c r="A1820" s="3" t="inlineStr">
        <is>
          <t>PROD_0332</t>
        </is>
      </c>
      <c r="B1820" s="3" t="inlineStr">
        <is>
          <t>VAR_2</t>
        </is>
      </c>
      <c r="C1820" s="3" t="inlineStr">
        <is>
          <t>Plumbing</t>
        </is>
      </c>
      <c r="D1820" s="3" t="inlineStr">
        <is>
          <t>Bends &amp; Connectors</t>
        </is>
      </c>
      <c r="E1820" s="3" t="inlineStr">
        <is>
          <t>Prince</t>
        </is>
      </c>
      <c r="F1820" s="3" t="inlineStr">
        <is>
          <t>Female Threaded Adaptor (SDR 11)</t>
        </is>
      </c>
      <c r="H1820" s="3" t="inlineStr">
        <is>
          <t>Size</t>
        </is>
      </c>
      <c r="I1820" s="3" t="inlineStr">
        <is>
          <t>20 mm (.75 inch)</t>
        </is>
      </c>
      <c r="Q1820" s="3" t="inlineStr">
        <is>
          <t>Manufacturer's Warranty</t>
        </is>
      </c>
      <c r="R1820" s="3" t="inlineStr">
        <is>
          <t>SIM105048</t>
        </is>
      </c>
      <c r="Y1820" s="3" t="inlineStr">
        <is>
          <t>PLB_PRNC_FMTHADP_SDR11</t>
        </is>
      </c>
      <c r="Z1820" s="3" t="n">
        <v>3917</v>
      </c>
      <c r="AE1820" s="3" t="n">
        <v>172</v>
      </c>
      <c r="AF1820" s="4" t="n">
        <v>0.37</v>
      </c>
      <c r="AG1820" s="3">
        <f>ROUND(AE1820-(AE1820*AF1820),2)</f>
        <v/>
      </c>
      <c r="AH1820" s="4" t="n">
        <v>0.18</v>
      </c>
      <c r="AI1820" s="3">
        <f>ROUND(AG1820+(AG1820*AH1820),2)</f>
        <v/>
      </c>
      <c r="AJ1820" s="4" t="n">
        <v>0.15</v>
      </c>
      <c r="AK1820" s="3">
        <f>ROUND(AI1820*AJ1820,2)</f>
        <v/>
      </c>
      <c r="AL1820" s="3">
        <f>AI1820+AK1820</f>
        <v/>
      </c>
      <c r="AM1820" s="3">
        <f>AE1820-AL1820</f>
        <v/>
      </c>
      <c r="AN1820" s="4">
        <f>AM1820/AE1820</f>
        <v/>
      </c>
      <c r="AO1820" s="3" t="inlineStr">
        <is>
          <t>60 mins</t>
        </is>
      </c>
      <c r="AQ1820" s="3" t="inlineStr">
        <is>
          <t>Weight</t>
        </is>
      </c>
      <c r="AT1820" s="3" t="inlineStr">
        <is>
          <t>Inactive</t>
        </is>
      </c>
    </row>
    <row r="1821" ht="15.75" customHeight="1">
      <c r="A1821" s="3" t="inlineStr">
        <is>
          <t>PROD_0332</t>
        </is>
      </c>
      <c r="B1821" s="3" t="inlineStr">
        <is>
          <t>VAR_3</t>
        </is>
      </c>
      <c r="C1821" s="3" t="inlineStr">
        <is>
          <t>Plumbing</t>
        </is>
      </c>
      <c r="D1821" s="3" t="inlineStr">
        <is>
          <t>Bends &amp; Connectors</t>
        </is>
      </c>
      <c r="E1821" s="3" t="inlineStr">
        <is>
          <t>Prince</t>
        </is>
      </c>
      <c r="F1821" s="3" t="inlineStr">
        <is>
          <t>Female Threaded Adaptor (SDR 11)</t>
        </is>
      </c>
      <c r="H1821" s="3" t="inlineStr">
        <is>
          <t>Size</t>
        </is>
      </c>
      <c r="I1821" s="3" t="inlineStr">
        <is>
          <t>25 mm (1 inch)</t>
        </is>
      </c>
      <c r="Q1821" s="3" t="inlineStr">
        <is>
          <t>Manufacturer's Warranty</t>
        </is>
      </c>
      <c r="R1821" s="3" t="inlineStr">
        <is>
          <t>SIM105050</t>
        </is>
      </c>
      <c r="Y1821" s="3" t="inlineStr">
        <is>
          <t>PLB_PRNC_FMTHADP_SDR11</t>
        </is>
      </c>
      <c r="Z1821" s="3" t="n">
        <v>3917</v>
      </c>
      <c r="AE1821" s="3" t="n">
        <v>291</v>
      </c>
      <c r="AF1821" s="4" t="n">
        <v>0.37</v>
      </c>
      <c r="AG1821" s="3">
        <f>ROUND(AE1821-(AE1821*AF1821),2)</f>
        <v/>
      </c>
      <c r="AH1821" s="4" t="n">
        <v>0.18</v>
      </c>
      <c r="AI1821" s="3">
        <f>ROUND(AG1821+(AG1821*AH1821),2)</f>
        <v/>
      </c>
      <c r="AJ1821" s="4" t="n">
        <v>0.15</v>
      </c>
      <c r="AK1821" s="3">
        <f>ROUND(AI1821*AJ1821,2)</f>
        <v/>
      </c>
      <c r="AL1821" s="3">
        <f>AI1821+AK1821</f>
        <v/>
      </c>
      <c r="AM1821" s="3">
        <f>AE1821-AL1821</f>
        <v/>
      </c>
      <c r="AN1821" s="4">
        <f>AM1821/AE1821</f>
        <v/>
      </c>
      <c r="AO1821" s="3" t="inlineStr">
        <is>
          <t>60 mins</t>
        </is>
      </c>
      <c r="AQ1821" s="3" t="inlineStr">
        <is>
          <t>Weight</t>
        </is>
      </c>
      <c r="AT1821" s="3" t="inlineStr">
        <is>
          <t>Inactive</t>
        </is>
      </c>
    </row>
    <row r="1822" ht="15.75" customHeight="1">
      <c r="A1822" s="3" t="inlineStr">
        <is>
          <t>PROD_0332</t>
        </is>
      </c>
      <c r="B1822" s="3" t="inlineStr">
        <is>
          <t>VAR_4</t>
        </is>
      </c>
      <c r="C1822" s="3" t="inlineStr">
        <is>
          <t>Plumbing</t>
        </is>
      </c>
      <c r="D1822" s="3" t="inlineStr">
        <is>
          <t>Bends &amp; Connectors</t>
        </is>
      </c>
      <c r="E1822" s="3" t="inlineStr">
        <is>
          <t>Prince</t>
        </is>
      </c>
      <c r="F1822" s="3" t="inlineStr">
        <is>
          <t>Female Threaded Adaptor (SDR 11)</t>
        </is>
      </c>
      <c r="H1822" s="3" t="inlineStr">
        <is>
          <t>Size</t>
        </is>
      </c>
      <c r="I1822" s="3" t="inlineStr">
        <is>
          <t>32 mm (1.25 inch)</t>
        </is>
      </c>
      <c r="Q1822" s="3" t="inlineStr">
        <is>
          <t>Manufacturer's Warranty</t>
        </is>
      </c>
      <c r="R1822" s="3" t="inlineStr">
        <is>
          <t>SIM105062</t>
        </is>
      </c>
      <c r="Y1822" s="3" t="inlineStr">
        <is>
          <t>PLB_PRNC_FMTHADP_SDR11</t>
        </is>
      </c>
      <c r="Z1822" s="3" t="n">
        <v>3917</v>
      </c>
      <c r="AE1822" s="3" t="n">
        <v>510</v>
      </c>
      <c r="AF1822" s="4" t="n">
        <v>0.37</v>
      </c>
      <c r="AG1822" s="3">
        <f>ROUND(AE1822-(AE1822*AF1822),2)</f>
        <v/>
      </c>
      <c r="AH1822" s="4" t="n">
        <v>0.18</v>
      </c>
      <c r="AI1822" s="3">
        <f>ROUND(AG1822+(AG1822*AH1822),2)</f>
        <v/>
      </c>
      <c r="AJ1822" s="4" t="n">
        <v>0.15</v>
      </c>
      <c r="AK1822" s="3">
        <f>ROUND(AI1822*AJ1822,2)</f>
        <v/>
      </c>
      <c r="AL1822" s="3">
        <f>AI1822+AK1822</f>
        <v/>
      </c>
      <c r="AM1822" s="3">
        <f>AE1822-AL1822</f>
        <v/>
      </c>
      <c r="AN1822" s="4">
        <f>AM1822/AE1822</f>
        <v/>
      </c>
      <c r="AO1822" s="3" t="inlineStr">
        <is>
          <t>60 mins</t>
        </is>
      </c>
      <c r="AQ1822" s="3" t="inlineStr">
        <is>
          <t>Weight</t>
        </is>
      </c>
      <c r="AT1822" s="3" t="inlineStr">
        <is>
          <t>Inactive</t>
        </is>
      </c>
    </row>
    <row r="1823" ht="15.75" customHeight="1">
      <c r="A1823" s="3" t="inlineStr">
        <is>
          <t>PROD_0332</t>
        </is>
      </c>
      <c r="B1823" s="3" t="inlineStr">
        <is>
          <t>VAR_5</t>
        </is>
      </c>
      <c r="C1823" s="3" t="inlineStr">
        <is>
          <t>Plumbing</t>
        </is>
      </c>
      <c r="D1823" s="3" t="inlineStr">
        <is>
          <t>Bends &amp; Connectors</t>
        </is>
      </c>
      <c r="E1823" s="3" t="inlineStr">
        <is>
          <t>Prince</t>
        </is>
      </c>
      <c r="F1823" s="3" t="inlineStr">
        <is>
          <t>Female Threaded Adaptor (SDR 11)</t>
        </is>
      </c>
      <c r="H1823" s="3" t="inlineStr">
        <is>
          <t>Size</t>
        </is>
      </c>
      <c r="I1823" s="3" t="inlineStr">
        <is>
          <t>40 mm (1.5 inch)</t>
        </is>
      </c>
      <c r="Q1823" s="3" t="inlineStr">
        <is>
          <t>Manufacturer's Warranty</t>
        </is>
      </c>
      <c r="R1823" s="3" t="inlineStr">
        <is>
          <t>SIM105064</t>
        </is>
      </c>
      <c r="Y1823" s="3" t="inlineStr">
        <is>
          <t>PLB_PRNC_FMTHADP_SDR11</t>
        </is>
      </c>
      <c r="Z1823" s="3" t="n">
        <v>3917</v>
      </c>
      <c r="AE1823" s="3" t="n">
        <v>750</v>
      </c>
      <c r="AF1823" s="4" t="n">
        <v>0.37</v>
      </c>
      <c r="AG1823" s="3">
        <f>ROUND(AE1823-(AE1823*AF1823),2)</f>
        <v/>
      </c>
      <c r="AH1823" s="4" t="n">
        <v>0.18</v>
      </c>
      <c r="AI1823" s="3">
        <f>ROUND(AG1823+(AG1823*AH1823),2)</f>
        <v/>
      </c>
      <c r="AJ1823" s="4" t="n">
        <v>0.15</v>
      </c>
      <c r="AK1823" s="3">
        <f>ROUND(AI1823*AJ1823,2)</f>
        <v/>
      </c>
      <c r="AL1823" s="3">
        <f>AI1823+AK1823</f>
        <v/>
      </c>
      <c r="AM1823" s="3">
        <f>AE1823-AL1823</f>
        <v/>
      </c>
      <c r="AN1823" s="4">
        <f>AM1823/AE1823</f>
        <v/>
      </c>
      <c r="AO1823" s="3" t="inlineStr">
        <is>
          <t>60 mins</t>
        </is>
      </c>
      <c r="AQ1823" s="3" t="inlineStr">
        <is>
          <t>Weight</t>
        </is>
      </c>
      <c r="AT1823" s="3" t="inlineStr">
        <is>
          <t>Inactive</t>
        </is>
      </c>
    </row>
    <row r="1824" ht="15.75" customHeight="1">
      <c r="A1824" s="3" t="inlineStr">
        <is>
          <t>PROD_0332</t>
        </is>
      </c>
      <c r="B1824" s="3" t="inlineStr">
        <is>
          <t>VAR_6</t>
        </is>
      </c>
      <c r="C1824" s="3" t="inlineStr">
        <is>
          <t>Plumbing</t>
        </is>
      </c>
      <c r="D1824" s="3" t="inlineStr">
        <is>
          <t>Bends &amp; Connectors</t>
        </is>
      </c>
      <c r="E1824" s="3" t="inlineStr">
        <is>
          <t>Prince</t>
        </is>
      </c>
      <c r="F1824" s="3" t="inlineStr">
        <is>
          <t>Female Threaded Adaptor (SDR 11)</t>
        </is>
      </c>
      <c r="H1824" s="3" t="inlineStr">
        <is>
          <t>Size</t>
        </is>
      </c>
      <c r="I1824" s="3" t="inlineStr">
        <is>
          <t>50 mm (2 inch)</t>
        </is>
      </c>
      <c r="Q1824" s="3" t="inlineStr">
        <is>
          <t>Manufacturer's Warranty</t>
        </is>
      </c>
      <c r="R1824" s="3" t="inlineStr">
        <is>
          <t>SIM105066</t>
        </is>
      </c>
      <c r="Y1824" s="3" t="inlineStr">
        <is>
          <t>PLB_PRNC_FMTHADP_SDR11</t>
        </is>
      </c>
      <c r="Z1824" s="3" t="n">
        <v>3917</v>
      </c>
      <c r="AE1824" s="3" t="n">
        <v>1300</v>
      </c>
      <c r="AF1824" s="4" t="n">
        <v>0.37</v>
      </c>
      <c r="AG1824" s="3">
        <f>ROUND(AE1824-(AE1824*AF1824),2)</f>
        <v/>
      </c>
      <c r="AH1824" s="4" t="n">
        <v>0.18</v>
      </c>
      <c r="AI1824" s="3">
        <f>ROUND(AG1824+(AG1824*AH1824),2)</f>
        <v/>
      </c>
      <c r="AJ1824" s="4" t="n">
        <v>0.15</v>
      </c>
      <c r="AK1824" s="3">
        <f>ROUND(AI1824*AJ1824,2)</f>
        <v/>
      </c>
      <c r="AL1824" s="3">
        <f>AI1824+AK1824</f>
        <v/>
      </c>
      <c r="AM1824" s="3">
        <f>AE1824-AL1824</f>
        <v/>
      </c>
      <c r="AN1824" s="4">
        <f>AM1824/AE1824</f>
        <v/>
      </c>
      <c r="AO1824" s="3" t="inlineStr">
        <is>
          <t>60 mins</t>
        </is>
      </c>
      <c r="AQ1824" s="3" t="inlineStr">
        <is>
          <t>Weight</t>
        </is>
      </c>
      <c r="AT1824" s="3" t="inlineStr">
        <is>
          <t>Inactive</t>
        </is>
      </c>
    </row>
    <row r="1825" ht="15.75" customHeight="1">
      <c r="A1825" s="3" t="inlineStr">
        <is>
          <t>PROD_0332</t>
        </is>
      </c>
      <c r="B1825" s="3" t="inlineStr">
        <is>
          <t>VAR_7</t>
        </is>
      </c>
      <c r="C1825" s="3" t="inlineStr">
        <is>
          <t>Plumbing</t>
        </is>
      </c>
      <c r="D1825" s="3" t="inlineStr">
        <is>
          <t>Bends &amp; Connectors</t>
        </is>
      </c>
      <c r="E1825" s="3" t="inlineStr">
        <is>
          <t>Prince</t>
        </is>
      </c>
      <c r="F1825" s="3" t="inlineStr">
        <is>
          <t>Female Threaded Adaptor (SDR 11)</t>
        </is>
      </c>
      <c r="H1825" s="3" t="inlineStr">
        <is>
          <t>Size</t>
        </is>
      </c>
      <c r="I1825" s="3" t="inlineStr">
        <is>
          <t>20 mm X 15 mm (.75 inch X .5 inch)</t>
        </is>
      </c>
      <c r="Q1825" s="3" t="inlineStr">
        <is>
          <t>Manufacturer's Warranty</t>
        </is>
      </c>
      <c r="R1825" s="3" t="inlineStr">
        <is>
          <t>SIM105049</t>
        </is>
      </c>
      <c r="Y1825" s="3" t="inlineStr">
        <is>
          <t>PLB_PRNC_FMTHADP_SDR11</t>
        </is>
      </c>
      <c r="Z1825" s="3" t="n">
        <v>3917</v>
      </c>
      <c r="AE1825" s="3" t="n">
        <v>91</v>
      </c>
      <c r="AF1825" s="4" t="n">
        <v>0.37</v>
      </c>
      <c r="AG1825" s="3">
        <f>ROUND(AE1825-(AE1825*AF1825),2)</f>
        <v/>
      </c>
      <c r="AH1825" s="4" t="n">
        <v>0.18</v>
      </c>
      <c r="AI1825" s="3">
        <f>ROUND(AG1825+(AG1825*AH1825),2)</f>
        <v/>
      </c>
      <c r="AJ1825" s="4" t="n">
        <v>0.15</v>
      </c>
      <c r="AK1825" s="3">
        <f>ROUND(AI1825*AJ1825,2)</f>
        <v/>
      </c>
      <c r="AL1825" s="3">
        <f>AI1825+AK1825</f>
        <v/>
      </c>
      <c r="AM1825" s="3">
        <f>AE1825-AL1825</f>
        <v/>
      </c>
      <c r="AN1825" s="4">
        <f>AM1825/AE1825</f>
        <v/>
      </c>
      <c r="AO1825" s="3" t="inlineStr">
        <is>
          <t>60 mins</t>
        </is>
      </c>
      <c r="AQ1825" s="3" t="inlineStr">
        <is>
          <t>Weight</t>
        </is>
      </c>
      <c r="AT1825" s="3" t="inlineStr">
        <is>
          <t>Inactive</t>
        </is>
      </c>
    </row>
    <row r="1826" ht="15.75" customHeight="1">
      <c r="A1826" s="3" t="inlineStr">
        <is>
          <t>PROD_0332</t>
        </is>
      </c>
      <c r="B1826" s="3" t="inlineStr">
        <is>
          <t>VAR_8</t>
        </is>
      </c>
      <c r="C1826" s="3" t="inlineStr">
        <is>
          <t>Plumbing</t>
        </is>
      </c>
      <c r="D1826" s="3" t="inlineStr">
        <is>
          <t>Bends &amp; Connectors</t>
        </is>
      </c>
      <c r="E1826" s="3" t="inlineStr">
        <is>
          <t>Prince</t>
        </is>
      </c>
      <c r="F1826" s="3" t="inlineStr">
        <is>
          <t>Female Threaded Adaptor (SDR 11)</t>
        </is>
      </c>
      <c r="H1826" s="3" t="inlineStr">
        <is>
          <t>Size</t>
        </is>
      </c>
      <c r="I1826" s="3" t="inlineStr">
        <is>
          <t>25 mm X 15 mm (1 inch X .5 inch)</t>
        </is>
      </c>
      <c r="Q1826" s="3" t="inlineStr">
        <is>
          <t>Manufacturer's Warranty</t>
        </is>
      </c>
      <c r="R1826" s="3" t="inlineStr">
        <is>
          <t>SIM105051</t>
        </is>
      </c>
      <c r="Y1826" s="3" t="inlineStr">
        <is>
          <t>PLB_PRNC_FMTHADP_SDR11</t>
        </is>
      </c>
      <c r="Z1826" s="3" t="n">
        <v>3917</v>
      </c>
      <c r="AE1826" s="3" t="n">
        <v>141</v>
      </c>
      <c r="AF1826" s="4" t="n">
        <v>0.37</v>
      </c>
      <c r="AG1826" s="3">
        <f>ROUND(AE1826-(AE1826*AF1826),2)</f>
        <v/>
      </c>
      <c r="AH1826" s="4" t="n">
        <v>0.18</v>
      </c>
      <c r="AI1826" s="3">
        <f>ROUND(AG1826+(AG1826*AH1826),2)</f>
        <v/>
      </c>
      <c r="AJ1826" s="4" t="n">
        <v>0.15</v>
      </c>
      <c r="AK1826" s="3">
        <f>ROUND(AI1826*AJ1826,2)</f>
        <v/>
      </c>
      <c r="AL1826" s="3">
        <f>AI1826+AK1826</f>
        <v/>
      </c>
      <c r="AM1826" s="3">
        <f>AE1826-AL1826</f>
        <v/>
      </c>
      <c r="AN1826" s="4">
        <f>AM1826/AE1826</f>
        <v/>
      </c>
      <c r="AO1826" s="3" t="inlineStr">
        <is>
          <t>60 mins</t>
        </is>
      </c>
      <c r="AQ1826" s="3" t="inlineStr">
        <is>
          <t>Weight</t>
        </is>
      </c>
      <c r="AT1826" s="3" t="inlineStr">
        <is>
          <t>Inactive</t>
        </is>
      </c>
    </row>
    <row r="1827" ht="15.75" customHeight="1">
      <c r="A1827" s="3" t="inlineStr">
        <is>
          <t>PROD_0332</t>
        </is>
      </c>
      <c r="B1827" s="3" t="inlineStr">
        <is>
          <t>VAR_9</t>
        </is>
      </c>
      <c r="C1827" s="3" t="inlineStr">
        <is>
          <t>Plumbing</t>
        </is>
      </c>
      <c r="D1827" s="3" t="inlineStr">
        <is>
          <t>Bends &amp; Connectors</t>
        </is>
      </c>
      <c r="E1827" s="3" t="inlineStr">
        <is>
          <t>Prince</t>
        </is>
      </c>
      <c r="F1827" s="3" t="inlineStr">
        <is>
          <t>Female Threaded Adaptor (SDR 11)</t>
        </is>
      </c>
      <c r="H1827" s="3" t="inlineStr">
        <is>
          <t>Size</t>
        </is>
      </c>
      <c r="I1827" s="3" t="inlineStr">
        <is>
          <t>25 mm X 20 mm (1 inch X .75 inch)</t>
        </is>
      </c>
      <c r="Q1827" s="3" t="inlineStr">
        <is>
          <t>Manufacturer's Warranty</t>
        </is>
      </c>
      <c r="R1827" s="3" t="inlineStr">
        <is>
          <t>SIM105068</t>
        </is>
      </c>
      <c r="Y1827" s="3" t="inlineStr">
        <is>
          <t>PLB_PRNC_FMTHADP_SDR11</t>
        </is>
      </c>
      <c r="Z1827" s="3" t="n">
        <v>3917</v>
      </c>
      <c r="AE1827" s="3" t="n">
        <v>153</v>
      </c>
      <c r="AF1827" s="4" t="n">
        <v>0.37</v>
      </c>
      <c r="AG1827" s="3">
        <f>ROUND(AE1827-(AE1827*AF1827),2)</f>
        <v/>
      </c>
      <c r="AH1827" s="4" t="n">
        <v>0.18</v>
      </c>
      <c r="AI1827" s="3">
        <f>ROUND(AG1827+(AG1827*AH1827),2)</f>
        <v/>
      </c>
      <c r="AJ1827" s="4" t="n">
        <v>0.15</v>
      </c>
      <c r="AK1827" s="3">
        <f>ROUND(AI1827*AJ1827,2)</f>
        <v/>
      </c>
      <c r="AL1827" s="3">
        <f>AI1827+AK1827</f>
        <v/>
      </c>
      <c r="AM1827" s="3">
        <f>AE1827-AL1827</f>
        <v/>
      </c>
      <c r="AN1827" s="4">
        <f>AM1827/AE1827</f>
        <v/>
      </c>
      <c r="AO1827" s="3" t="inlineStr">
        <is>
          <t>60 mins</t>
        </is>
      </c>
      <c r="AQ1827" s="3" t="inlineStr">
        <is>
          <t>Weight</t>
        </is>
      </c>
      <c r="AT1827" s="3" t="inlineStr">
        <is>
          <t>Inactive</t>
        </is>
      </c>
    </row>
    <row r="1828" ht="15.75" customHeight="1">
      <c r="A1828" s="3" t="inlineStr">
        <is>
          <t>PROD_0333</t>
        </is>
      </c>
      <c r="B1828" s="3" t="inlineStr">
        <is>
          <t>VAR_1</t>
        </is>
      </c>
      <c r="C1828" s="3" t="inlineStr">
        <is>
          <t>Plumbing</t>
        </is>
      </c>
      <c r="D1828" s="3" t="inlineStr">
        <is>
          <t>Bends &amp; Connectors</t>
        </is>
      </c>
      <c r="E1828" s="3" t="inlineStr">
        <is>
          <t>Prince</t>
        </is>
      </c>
      <c r="F1828" s="3" t="inlineStr">
        <is>
          <t>Female Threaded Elbow (SDR 11)</t>
        </is>
      </c>
      <c r="H1828" s="3" t="inlineStr">
        <is>
          <t>Size</t>
        </is>
      </c>
      <c r="I1828" s="3" t="inlineStr">
        <is>
          <t>15 mm (.5 inch)</t>
        </is>
      </c>
      <c r="Q1828" s="3" t="inlineStr">
        <is>
          <t>Manufacturer's Warranty</t>
        </is>
      </c>
      <c r="R1828" s="3" t="inlineStr">
        <is>
          <t>SIM105052</t>
        </is>
      </c>
      <c r="Y1828" s="3" t="inlineStr">
        <is>
          <t>PLB_PRNC_FMTHELB_SDR11</t>
        </is>
      </c>
      <c r="Z1828" s="3" t="n">
        <v>3917</v>
      </c>
      <c r="AE1828" s="3" t="n">
        <v>85</v>
      </c>
      <c r="AF1828" s="4" t="n">
        <v>0.37</v>
      </c>
      <c r="AG1828" s="3">
        <f>ROUND(AE1828-(AE1828*AF1828),2)</f>
        <v/>
      </c>
      <c r="AH1828" s="4" t="n">
        <v>0.18</v>
      </c>
      <c r="AI1828" s="3">
        <f>ROUND(AG1828+(AG1828*AH1828),2)</f>
        <v/>
      </c>
      <c r="AJ1828" s="4" t="n">
        <v>0.15</v>
      </c>
      <c r="AK1828" s="3">
        <f>ROUND(AI1828*AJ1828,2)</f>
        <v/>
      </c>
      <c r="AL1828" s="3">
        <f>AI1828+AK1828</f>
        <v/>
      </c>
      <c r="AM1828" s="3">
        <f>AE1828-AL1828</f>
        <v/>
      </c>
      <c r="AN1828" s="4">
        <f>AM1828/AE1828</f>
        <v/>
      </c>
      <c r="AO1828" s="3" t="inlineStr">
        <is>
          <t>60 mins</t>
        </is>
      </c>
      <c r="AQ1828" s="3" t="inlineStr">
        <is>
          <t>Weight</t>
        </is>
      </c>
      <c r="AT1828" s="3" t="inlineStr">
        <is>
          <t>Inactive</t>
        </is>
      </c>
    </row>
    <row r="1829" ht="15.75" customHeight="1">
      <c r="A1829" s="3" t="inlineStr">
        <is>
          <t>PROD_0333</t>
        </is>
      </c>
      <c r="B1829" s="3" t="inlineStr">
        <is>
          <t>VAR_2</t>
        </is>
      </c>
      <c r="C1829" s="3" t="inlineStr">
        <is>
          <t>Plumbing</t>
        </is>
      </c>
      <c r="D1829" s="3" t="inlineStr">
        <is>
          <t>Bends &amp; Connectors</t>
        </is>
      </c>
      <c r="E1829" s="3" t="inlineStr">
        <is>
          <t>Prince</t>
        </is>
      </c>
      <c r="F1829" s="3" t="inlineStr">
        <is>
          <t>Female Threaded Elbow (SDR 11)</t>
        </is>
      </c>
      <c r="H1829" s="3" t="inlineStr">
        <is>
          <t>Size</t>
        </is>
      </c>
      <c r="I1829" s="3" t="inlineStr">
        <is>
          <t>20 mm (.75 inch)</t>
        </is>
      </c>
      <c r="Q1829" s="3" t="inlineStr">
        <is>
          <t>Manufacturer's Warranty</t>
        </is>
      </c>
      <c r="R1829" s="3" t="inlineStr">
        <is>
          <t>SIM105053</t>
        </is>
      </c>
      <c r="Y1829" s="3" t="inlineStr">
        <is>
          <t>PLB_PRNC_FMTHELB_SDR11</t>
        </is>
      </c>
      <c r="Z1829" s="3" t="n">
        <v>3917</v>
      </c>
      <c r="AE1829" s="3" t="n">
        <v>128</v>
      </c>
      <c r="AF1829" s="4" t="n">
        <v>0.37</v>
      </c>
      <c r="AG1829" s="3">
        <f>ROUND(AE1829-(AE1829*AF1829),2)</f>
        <v/>
      </c>
      <c r="AH1829" s="4" t="n">
        <v>0.18</v>
      </c>
      <c r="AI1829" s="3">
        <f>ROUND(AG1829+(AG1829*AH1829),2)</f>
        <v/>
      </c>
      <c r="AJ1829" s="4" t="n">
        <v>0.15</v>
      </c>
      <c r="AK1829" s="3">
        <f>ROUND(AI1829*AJ1829,2)</f>
        <v/>
      </c>
      <c r="AL1829" s="3">
        <f>AI1829+AK1829</f>
        <v/>
      </c>
      <c r="AM1829" s="3">
        <f>AE1829-AL1829</f>
        <v/>
      </c>
      <c r="AN1829" s="4">
        <f>AM1829/AE1829</f>
        <v/>
      </c>
      <c r="AO1829" s="3" t="inlineStr">
        <is>
          <t>60 mins</t>
        </is>
      </c>
      <c r="AQ1829" s="3" t="inlineStr">
        <is>
          <t>Weight</t>
        </is>
      </c>
      <c r="AT1829" s="3" t="inlineStr">
        <is>
          <t>Inactive</t>
        </is>
      </c>
    </row>
    <row r="1830" ht="15.75" customHeight="1">
      <c r="A1830" s="3" t="inlineStr">
        <is>
          <t>PROD_0333</t>
        </is>
      </c>
      <c r="B1830" s="3" t="inlineStr">
        <is>
          <t>VAR_3</t>
        </is>
      </c>
      <c r="C1830" s="3" t="inlineStr">
        <is>
          <t>Plumbing</t>
        </is>
      </c>
      <c r="D1830" s="3" t="inlineStr">
        <is>
          <t>Bends &amp; Connectors</t>
        </is>
      </c>
      <c r="E1830" s="3" t="inlineStr">
        <is>
          <t>Prince</t>
        </is>
      </c>
      <c r="F1830" s="3" t="inlineStr">
        <is>
          <t>Female Threaded Elbow (SDR 11)</t>
        </is>
      </c>
      <c r="H1830" s="3" t="inlineStr">
        <is>
          <t>Size</t>
        </is>
      </c>
      <c r="I1830" s="3" t="inlineStr">
        <is>
          <t>25 mm (1 inch)</t>
        </is>
      </c>
      <c r="Q1830" s="3" t="inlineStr">
        <is>
          <t>Manufacturer's Warranty</t>
        </is>
      </c>
      <c r="R1830" s="3" t="inlineStr">
        <is>
          <t>SIM105058</t>
        </is>
      </c>
      <c r="Y1830" s="3" t="inlineStr">
        <is>
          <t>PLB_PRNC_FMTHELB_SDR11</t>
        </is>
      </c>
      <c r="Z1830" s="3" t="n">
        <v>3917</v>
      </c>
      <c r="AE1830" s="3" t="n">
        <v>365</v>
      </c>
      <c r="AF1830" s="4" t="n">
        <v>0.37</v>
      </c>
      <c r="AG1830" s="3">
        <f>ROUND(AE1830-(AE1830*AF1830),2)</f>
        <v/>
      </c>
      <c r="AH1830" s="4" t="n">
        <v>0.18</v>
      </c>
      <c r="AI1830" s="3">
        <f>ROUND(AG1830+(AG1830*AH1830),2)</f>
        <v/>
      </c>
      <c r="AJ1830" s="4" t="n">
        <v>0.15</v>
      </c>
      <c r="AK1830" s="3">
        <f>ROUND(AI1830*AJ1830,2)</f>
        <v/>
      </c>
      <c r="AL1830" s="3">
        <f>AI1830+AK1830</f>
        <v/>
      </c>
      <c r="AM1830" s="3">
        <f>AE1830-AL1830</f>
        <v/>
      </c>
      <c r="AN1830" s="4">
        <f>AM1830/AE1830</f>
        <v/>
      </c>
      <c r="AO1830" s="3" t="inlineStr">
        <is>
          <t>60 mins</t>
        </is>
      </c>
      <c r="AQ1830" s="3" t="inlineStr">
        <is>
          <t>Weight</t>
        </is>
      </c>
      <c r="AT1830" s="3" t="inlineStr">
        <is>
          <t>Inactive</t>
        </is>
      </c>
    </row>
    <row r="1831" ht="15.75" customHeight="1">
      <c r="A1831" s="3" t="inlineStr">
        <is>
          <t>PROD_0333</t>
        </is>
      </c>
      <c r="B1831" s="3" t="inlineStr">
        <is>
          <t>VAR_4</t>
        </is>
      </c>
      <c r="C1831" s="3" t="inlineStr">
        <is>
          <t>Plumbing</t>
        </is>
      </c>
      <c r="D1831" s="3" t="inlineStr">
        <is>
          <t>Bends &amp; Connectors</t>
        </is>
      </c>
      <c r="E1831" s="3" t="inlineStr">
        <is>
          <t>Prince</t>
        </is>
      </c>
      <c r="F1831" s="3" t="inlineStr">
        <is>
          <t>Female Threaded Elbow (SDR 11)</t>
        </is>
      </c>
      <c r="H1831" s="3" t="inlineStr">
        <is>
          <t>Size</t>
        </is>
      </c>
      <c r="I1831" s="3" t="inlineStr">
        <is>
          <t>32 mm (1.25 inch)</t>
        </is>
      </c>
      <c r="Q1831" s="3" t="inlineStr">
        <is>
          <t>Manufacturer's Warranty</t>
        </is>
      </c>
      <c r="R1831" s="3" t="inlineStr">
        <is>
          <t>SIM105060</t>
        </is>
      </c>
      <c r="Y1831" s="3" t="inlineStr">
        <is>
          <t>PLB_PRNC_FMTHELB_SDR11</t>
        </is>
      </c>
      <c r="Z1831" s="3" t="n">
        <v>3917</v>
      </c>
      <c r="AE1831" s="3" t="n">
        <v>500</v>
      </c>
      <c r="AF1831" s="4" t="n">
        <v>0.37</v>
      </c>
      <c r="AG1831" s="3">
        <f>ROUND(AE1831-(AE1831*AF1831),2)</f>
        <v/>
      </c>
      <c r="AH1831" s="4" t="n">
        <v>0.18</v>
      </c>
      <c r="AI1831" s="3">
        <f>ROUND(AG1831+(AG1831*AH1831),2)</f>
        <v/>
      </c>
      <c r="AJ1831" s="4" t="n">
        <v>0.15</v>
      </c>
      <c r="AK1831" s="3">
        <f>ROUND(AI1831*AJ1831,2)</f>
        <v/>
      </c>
      <c r="AL1831" s="3">
        <f>AI1831+AK1831</f>
        <v/>
      </c>
      <c r="AM1831" s="3">
        <f>AE1831-AL1831</f>
        <v/>
      </c>
      <c r="AN1831" s="4">
        <f>AM1831/AE1831</f>
        <v/>
      </c>
      <c r="AO1831" s="3" t="inlineStr">
        <is>
          <t>60 mins</t>
        </is>
      </c>
      <c r="AQ1831" s="3" t="inlineStr">
        <is>
          <t>Weight</t>
        </is>
      </c>
      <c r="AT1831" s="3" t="inlineStr">
        <is>
          <t>Inactive</t>
        </is>
      </c>
    </row>
    <row r="1832" ht="15.75" customHeight="1">
      <c r="A1832" s="3" t="inlineStr">
        <is>
          <t>PROD_0333</t>
        </is>
      </c>
      <c r="B1832" s="3" t="inlineStr">
        <is>
          <t>VAR_5</t>
        </is>
      </c>
      <c r="C1832" s="3" t="inlineStr">
        <is>
          <t>Plumbing</t>
        </is>
      </c>
      <c r="D1832" s="3" t="inlineStr">
        <is>
          <t>Bends &amp; Connectors</t>
        </is>
      </c>
      <c r="E1832" s="3" t="inlineStr">
        <is>
          <t>Prince</t>
        </is>
      </c>
      <c r="F1832" s="3" t="inlineStr">
        <is>
          <t>Female Threaded Elbow (SDR 11)</t>
        </is>
      </c>
      <c r="H1832" s="3" t="inlineStr">
        <is>
          <t>Size</t>
        </is>
      </c>
      <c r="I1832" s="3" t="inlineStr">
        <is>
          <t>20 mm X 15 mm (.75 inch X .5 inch)</t>
        </is>
      </c>
      <c r="Q1832" s="3" t="inlineStr">
        <is>
          <t>Manufacturer's Warranty</t>
        </is>
      </c>
      <c r="R1832" s="3" t="inlineStr">
        <is>
          <t>SIM105054</t>
        </is>
      </c>
      <c r="Y1832" s="3" t="inlineStr">
        <is>
          <t>PLB_PRNC_FMTHELB_SDR11</t>
        </is>
      </c>
      <c r="Z1832" s="3" t="n">
        <v>3917</v>
      </c>
      <c r="AE1832" s="3" t="n">
        <v>75</v>
      </c>
      <c r="AF1832" s="4" t="n">
        <v>0.37</v>
      </c>
      <c r="AG1832" s="3">
        <f>ROUND(AE1832-(AE1832*AF1832),2)</f>
        <v/>
      </c>
      <c r="AH1832" s="4" t="n">
        <v>0.18</v>
      </c>
      <c r="AI1832" s="3">
        <f>ROUND(AG1832+(AG1832*AH1832),2)</f>
        <v/>
      </c>
      <c r="AJ1832" s="4" t="n">
        <v>0.15</v>
      </c>
      <c r="AK1832" s="3">
        <f>ROUND(AI1832*AJ1832,2)</f>
        <v/>
      </c>
      <c r="AL1832" s="3">
        <f>AI1832+AK1832</f>
        <v/>
      </c>
      <c r="AM1832" s="3">
        <f>AE1832-AL1832</f>
        <v/>
      </c>
      <c r="AN1832" s="4">
        <f>AM1832/AE1832</f>
        <v/>
      </c>
      <c r="AO1832" s="3" t="inlineStr">
        <is>
          <t>60 mins</t>
        </is>
      </c>
      <c r="AQ1832" s="3" t="inlineStr">
        <is>
          <t>Weight</t>
        </is>
      </c>
      <c r="AT1832" s="3" t="inlineStr">
        <is>
          <t>Inactive</t>
        </is>
      </c>
    </row>
    <row r="1833" ht="15.75" customHeight="1">
      <c r="A1833" s="3" t="inlineStr">
        <is>
          <t>PROD_0333</t>
        </is>
      </c>
      <c r="B1833" s="3" t="inlineStr">
        <is>
          <t>VAR_6</t>
        </is>
      </c>
      <c r="C1833" s="3" t="inlineStr">
        <is>
          <t>Plumbing</t>
        </is>
      </c>
      <c r="D1833" s="3" t="inlineStr">
        <is>
          <t>Bends &amp; Connectors</t>
        </is>
      </c>
      <c r="E1833" s="3" t="inlineStr">
        <is>
          <t>Prince</t>
        </is>
      </c>
      <c r="F1833" s="3" t="inlineStr">
        <is>
          <t>Female Threaded Elbow (SDR 11)</t>
        </is>
      </c>
      <c r="H1833" s="3" t="inlineStr">
        <is>
          <t>Size</t>
        </is>
      </c>
      <c r="I1833" s="3" t="inlineStr">
        <is>
          <t>25 mm X 15 mm (1 inch X .5 inch)</t>
        </is>
      </c>
      <c r="Q1833" s="3" t="inlineStr">
        <is>
          <t>Manufacturer's Warranty</t>
        </is>
      </c>
      <c r="R1833" s="3" t="inlineStr">
        <is>
          <t>SIM105059</t>
        </is>
      </c>
      <c r="Y1833" s="3" t="inlineStr">
        <is>
          <t>PLB_PRNC_FMTHELB_SDR11</t>
        </is>
      </c>
      <c r="Z1833" s="3" t="n">
        <v>3917</v>
      </c>
      <c r="AE1833" s="3" t="n">
        <v>125</v>
      </c>
      <c r="AF1833" s="4" t="n">
        <v>0.37</v>
      </c>
      <c r="AG1833" s="3">
        <f>ROUND(AE1833-(AE1833*AF1833),2)</f>
        <v/>
      </c>
      <c r="AH1833" s="4" t="n">
        <v>0.18</v>
      </c>
      <c r="AI1833" s="3">
        <f>ROUND(AG1833+(AG1833*AH1833),2)</f>
        <v/>
      </c>
      <c r="AJ1833" s="4" t="n">
        <v>0.15</v>
      </c>
      <c r="AK1833" s="3">
        <f>ROUND(AI1833*AJ1833,2)</f>
        <v/>
      </c>
      <c r="AL1833" s="3">
        <f>AI1833+AK1833</f>
        <v/>
      </c>
      <c r="AM1833" s="3">
        <f>AE1833-AL1833</f>
        <v/>
      </c>
      <c r="AN1833" s="4">
        <f>AM1833/AE1833</f>
        <v/>
      </c>
      <c r="AO1833" s="3" t="inlineStr">
        <is>
          <t>60 mins</t>
        </is>
      </c>
      <c r="AQ1833" s="3" t="inlineStr">
        <is>
          <t>Weight</t>
        </is>
      </c>
      <c r="AT1833" s="3" t="inlineStr">
        <is>
          <t>Inactive</t>
        </is>
      </c>
    </row>
    <row r="1834" ht="15.75" customHeight="1">
      <c r="A1834" s="3" t="inlineStr">
        <is>
          <t>PROD_0333</t>
        </is>
      </c>
      <c r="B1834" s="3" t="inlineStr">
        <is>
          <t>VAR_7</t>
        </is>
      </c>
      <c r="C1834" s="3" t="inlineStr">
        <is>
          <t>Plumbing</t>
        </is>
      </c>
      <c r="D1834" s="3" t="inlineStr">
        <is>
          <t>Bends &amp; Connectors</t>
        </is>
      </c>
      <c r="E1834" s="3" t="inlineStr">
        <is>
          <t>Prince</t>
        </is>
      </c>
      <c r="F1834" s="3" t="inlineStr">
        <is>
          <t>Female Threaded Elbow (SDR 11)</t>
        </is>
      </c>
      <c r="H1834" s="3" t="inlineStr">
        <is>
          <t>Size</t>
        </is>
      </c>
      <c r="I1834" s="3" t="inlineStr">
        <is>
          <t>25 mm X 20 mm (1 inch X .75 inch)</t>
        </is>
      </c>
      <c r="Q1834" s="3" t="inlineStr">
        <is>
          <t>Manufacturer's Warranty</t>
        </is>
      </c>
      <c r="R1834" s="3" t="inlineStr">
        <is>
          <t>SIM105071</t>
        </is>
      </c>
      <c r="Y1834" s="3" t="inlineStr">
        <is>
          <t>PLB_PRNC_FMTHELB_SDR11</t>
        </is>
      </c>
      <c r="Z1834" s="3" t="n">
        <v>3917</v>
      </c>
      <c r="AE1834" s="3" t="n">
        <v>246</v>
      </c>
      <c r="AF1834" s="4" t="n">
        <v>0.37</v>
      </c>
      <c r="AG1834" s="3">
        <f>ROUND(AE1834-(AE1834*AF1834),2)</f>
        <v/>
      </c>
      <c r="AH1834" s="4" t="n">
        <v>0.18</v>
      </c>
      <c r="AI1834" s="3">
        <f>ROUND(AG1834+(AG1834*AH1834),2)</f>
        <v/>
      </c>
      <c r="AJ1834" s="4" t="n">
        <v>0.15</v>
      </c>
      <c r="AK1834" s="3">
        <f>ROUND(AI1834*AJ1834,2)</f>
        <v/>
      </c>
      <c r="AL1834" s="3">
        <f>AI1834+AK1834</f>
        <v/>
      </c>
      <c r="AM1834" s="3">
        <f>AE1834-AL1834</f>
        <v/>
      </c>
      <c r="AN1834" s="4">
        <f>AM1834/AE1834</f>
        <v/>
      </c>
      <c r="AO1834" s="3" t="inlineStr">
        <is>
          <t>60 mins</t>
        </is>
      </c>
      <c r="AQ1834" s="3" t="inlineStr">
        <is>
          <t>Weight</t>
        </is>
      </c>
      <c r="AT1834" s="3" t="inlineStr">
        <is>
          <t>Inactive</t>
        </is>
      </c>
    </row>
    <row r="1835" ht="15.75" customHeight="1">
      <c r="A1835" s="3" t="inlineStr">
        <is>
          <t>PROD_0333</t>
        </is>
      </c>
      <c r="B1835" s="3" t="inlineStr">
        <is>
          <t>VAR_8</t>
        </is>
      </c>
      <c r="C1835" s="3" t="inlineStr">
        <is>
          <t>Plumbing</t>
        </is>
      </c>
      <c r="D1835" s="3" t="inlineStr">
        <is>
          <t>Bends &amp; Connectors</t>
        </is>
      </c>
      <c r="E1835" s="3" t="inlineStr">
        <is>
          <t>Prince</t>
        </is>
      </c>
      <c r="F1835" s="3" t="inlineStr">
        <is>
          <t>Female Threaded Elbow (SDR 11)</t>
        </is>
      </c>
      <c r="H1835" s="3" t="inlineStr">
        <is>
          <t>Size</t>
        </is>
      </c>
      <c r="I1835" s="3" t="inlineStr">
        <is>
          <t>32 mm X 15 mm (1.25 inch X .5 inch)</t>
        </is>
      </c>
      <c r="Q1835" s="3" t="inlineStr">
        <is>
          <t>Manufacturer's Warranty</t>
        </is>
      </c>
      <c r="R1835" s="3" t="inlineStr">
        <is>
          <t>SIM107058</t>
        </is>
      </c>
      <c r="Y1835" s="3" t="inlineStr">
        <is>
          <t>PLB_PRNC_FMTHELB_SDR11</t>
        </is>
      </c>
      <c r="Z1835" s="3" t="n">
        <v>3917</v>
      </c>
      <c r="AE1835" s="3" t="n">
        <v>164</v>
      </c>
      <c r="AF1835" s="4" t="n">
        <v>0.37</v>
      </c>
      <c r="AG1835" s="3">
        <f>ROUND(AE1835-(AE1835*AF1835),2)</f>
        <v/>
      </c>
      <c r="AH1835" s="4" t="n">
        <v>0.18</v>
      </c>
      <c r="AI1835" s="3">
        <f>ROUND(AG1835+(AG1835*AH1835),2)</f>
        <v/>
      </c>
      <c r="AJ1835" s="4" t="n">
        <v>0.15</v>
      </c>
      <c r="AK1835" s="3">
        <f>ROUND(AI1835*AJ1835,2)</f>
        <v/>
      </c>
      <c r="AL1835" s="3">
        <f>AI1835+AK1835</f>
        <v/>
      </c>
      <c r="AM1835" s="3">
        <f>AE1835-AL1835</f>
        <v/>
      </c>
      <c r="AN1835" s="4">
        <f>AM1835/AE1835</f>
        <v/>
      </c>
      <c r="AO1835" s="3" t="inlineStr">
        <is>
          <t>60 mins</t>
        </is>
      </c>
      <c r="AQ1835" s="3" t="inlineStr">
        <is>
          <t>Weight</t>
        </is>
      </c>
      <c r="AT1835" s="3" t="inlineStr">
        <is>
          <t>Inactive</t>
        </is>
      </c>
    </row>
    <row r="1836" ht="15.75" customHeight="1">
      <c r="A1836" s="3" t="inlineStr">
        <is>
          <t>PROD_0334</t>
        </is>
      </c>
      <c r="B1836" s="3" t="inlineStr">
        <is>
          <t>VAR_1</t>
        </is>
      </c>
      <c r="C1836" s="3" t="inlineStr">
        <is>
          <t>Plumbing</t>
        </is>
      </c>
      <c r="D1836" s="3" t="inlineStr">
        <is>
          <t>Bends &amp; Connectors</t>
        </is>
      </c>
      <c r="E1836" s="3" t="inlineStr">
        <is>
          <t>Prince</t>
        </is>
      </c>
      <c r="F1836" s="3" t="inlineStr">
        <is>
          <t>Female Threaded Tee (SDR 11)</t>
        </is>
      </c>
      <c r="H1836" s="3" t="inlineStr">
        <is>
          <t>Size</t>
        </is>
      </c>
      <c r="I1836" s="3" t="inlineStr">
        <is>
          <t>15 mm (.5 inch)</t>
        </is>
      </c>
      <c r="Q1836" s="3" t="inlineStr">
        <is>
          <t>Manufacturer's Warranty</t>
        </is>
      </c>
      <c r="R1836" s="3" t="inlineStr">
        <is>
          <t>SIM105055</t>
        </is>
      </c>
      <c r="Y1836" s="3" t="inlineStr">
        <is>
          <t>PLB_PRNC_FMTHEE_SDR11</t>
        </is>
      </c>
      <c r="Z1836" s="3" t="n">
        <v>3917</v>
      </c>
      <c r="AE1836" s="3" t="n">
        <v>100</v>
      </c>
      <c r="AF1836" s="4" t="n">
        <v>0.37</v>
      </c>
      <c r="AG1836" s="3">
        <f>ROUND(AE1836-(AE1836*AF1836),2)</f>
        <v/>
      </c>
      <c r="AH1836" s="4" t="n">
        <v>0.18</v>
      </c>
      <c r="AI1836" s="3">
        <f>ROUND(AG1836+(AG1836*AH1836),2)</f>
        <v/>
      </c>
      <c r="AJ1836" s="4" t="n">
        <v>0.15</v>
      </c>
      <c r="AK1836" s="3">
        <f>ROUND(AI1836*AJ1836,2)</f>
        <v/>
      </c>
      <c r="AL1836" s="3">
        <f>AI1836+AK1836</f>
        <v/>
      </c>
      <c r="AM1836" s="3">
        <f>AE1836-AL1836</f>
        <v/>
      </c>
      <c r="AN1836" s="4">
        <f>AM1836/AE1836</f>
        <v/>
      </c>
      <c r="AO1836" s="3" t="inlineStr">
        <is>
          <t>60 mins</t>
        </is>
      </c>
      <c r="AQ1836" s="3" t="inlineStr">
        <is>
          <t>Weight</t>
        </is>
      </c>
      <c r="AT1836" s="3" t="inlineStr">
        <is>
          <t>Inactive</t>
        </is>
      </c>
    </row>
    <row r="1837" ht="15.75" customHeight="1">
      <c r="A1837" s="3" t="inlineStr">
        <is>
          <t>PROD_0334</t>
        </is>
      </c>
      <c r="B1837" s="3" t="inlineStr">
        <is>
          <t>VAR_2</t>
        </is>
      </c>
      <c r="C1837" s="3" t="inlineStr">
        <is>
          <t>Plumbing</t>
        </is>
      </c>
      <c r="D1837" s="3" t="inlineStr">
        <is>
          <t>Bends &amp; Connectors</t>
        </is>
      </c>
      <c r="E1837" s="3" t="inlineStr">
        <is>
          <t>Prince</t>
        </is>
      </c>
      <c r="F1837" s="3" t="inlineStr">
        <is>
          <t>Female Threaded Tee (SDR 11)</t>
        </is>
      </c>
      <c r="H1837" s="3" t="inlineStr">
        <is>
          <t>Size</t>
        </is>
      </c>
      <c r="I1837" s="3" t="inlineStr">
        <is>
          <t>20 mm (.75 inch)</t>
        </is>
      </c>
      <c r="Q1837" s="3" t="inlineStr">
        <is>
          <t>Manufacturer's Warranty</t>
        </is>
      </c>
      <c r="R1837" s="3" t="inlineStr">
        <is>
          <t>SIM105072</t>
        </is>
      </c>
      <c r="Y1837" s="3" t="inlineStr">
        <is>
          <t>PLB_PRNC_FMTHEE_SDR11</t>
        </is>
      </c>
      <c r="Z1837" s="3" t="n">
        <v>3917</v>
      </c>
      <c r="AE1837" s="3" t="n">
        <v>161</v>
      </c>
      <c r="AF1837" s="4" t="n">
        <v>0.37</v>
      </c>
      <c r="AG1837" s="3">
        <f>ROUND(AE1837-(AE1837*AF1837),2)</f>
        <v/>
      </c>
      <c r="AH1837" s="4" t="n">
        <v>0.18</v>
      </c>
      <c r="AI1837" s="3">
        <f>ROUND(AG1837+(AG1837*AH1837),2)</f>
        <v/>
      </c>
      <c r="AJ1837" s="4" t="n">
        <v>0.15</v>
      </c>
      <c r="AK1837" s="3">
        <f>ROUND(AI1837*AJ1837,2)</f>
        <v/>
      </c>
      <c r="AL1837" s="3">
        <f>AI1837+AK1837</f>
        <v/>
      </c>
      <c r="AM1837" s="3">
        <f>AE1837-AL1837</f>
        <v/>
      </c>
      <c r="AN1837" s="4">
        <f>AM1837/AE1837</f>
        <v/>
      </c>
      <c r="AO1837" s="3" t="inlineStr">
        <is>
          <t>60 mins</t>
        </is>
      </c>
      <c r="AQ1837" s="3" t="inlineStr">
        <is>
          <t>Weight</t>
        </is>
      </c>
      <c r="AT1837" s="3" t="inlineStr">
        <is>
          <t>Inactive</t>
        </is>
      </c>
    </row>
    <row r="1838" ht="15.75" customHeight="1">
      <c r="A1838" s="3" t="inlineStr">
        <is>
          <t>PROD_0334</t>
        </is>
      </c>
      <c r="B1838" s="3" t="inlineStr">
        <is>
          <t>VAR_3</t>
        </is>
      </c>
      <c r="C1838" s="3" t="inlineStr">
        <is>
          <t>Plumbing</t>
        </is>
      </c>
      <c r="D1838" s="3" t="inlineStr">
        <is>
          <t>Bends &amp; Connectors</t>
        </is>
      </c>
      <c r="E1838" s="3" t="inlineStr">
        <is>
          <t>Prince</t>
        </is>
      </c>
      <c r="F1838" s="3" t="inlineStr">
        <is>
          <t>Female Threaded Tee (SDR 11)</t>
        </is>
      </c>
      <c r="H1838" s="3" t="inlineStr">
        <is>
          <t>Size</t>
        </is>
      </c>
      <c r="I1838" s="3" t="inlineStr">
        <is>
          <t>25 mm (1 inch)</t>
        </is>
      </c>
      <c r="Q1838" s="3" t="inlineStr">
        <is>
          <t>Manufacturer's Warranty</t>
        </is>
      </c>
      <c r="R1838" s="3" t="inlineStr">
        <is>
          <t>SIM105110</t>
        </is>
      </c>
      <c r="Y1838" s="3" t="inlineStr">
        <is>
          <t>PLB_PRNC_FMTHEE_SDR11</t>
        </is>
      </c>
      <c r="Z1838" s="3" t="n">
        <v>3917</v>
      </c>
      <c r="AE1838" s="3" t="n">
        <v>260</v>
      </c>
      <c r="AF1838" s="4" t="n">
        <v>0.37</v>
      </c>
      <c r="AG1838" s="3">
        <f>ROUND(AE1838-(AE1838*AF1838),2)</f>
        <v/>
      </c>
      <c r="AH1838" s="4" t="n">
        <v>0.18</v>
      </c>
      <c r="AI1838" s="3">
        <f>ROUND(AG1838+(AG1838*AH1838),2)</f>
        <v/>
      </c>
      <c r="AJ1838" s="4" t="n">
        <v>0.15</v>
      </c>
      <c r="AK1838" s="3">
        <f>ROUND(AI1838*AJ1838,2)</f>
        <v/>
      </c>
      <c r="AL1838" s="3">
        <f>AI1838+AK1838</f>
        <v/>
      </c>
      <c r="AM1838" s="3">
        <f>AE1838-AL1838</f>
        <v/>
      </c>
      <c r="AN1838" s="4">
        <f>AM1838/AE1838</f>
        <v/>
      </c>
      <c r="AO1838" s="3" t="inlineStr">
        <is>
          <t>60 mins</t>
        </is>
      </c>
      <c r="AQ1838" s="3" t="inlineStr">
        <is>
          <t>Weight</t>
        </is>
      </c>
      <c r="AT1838" s="3" t="inlineStr">
        <is>
          <t>Inactive</t>
        </is>
      </c>
    </row>
    <row r="1839" ht="15.75" customHeight="1">
      <c r="A1839" s="3" t="inlineStr">
        <is>
          <t>PROD_0334</t>
        </is>
      </c>
      <c r="B1839" s="3" t="inlineStr">
        <is>
          <t>VAR_4</t>
        </is>
      </c>
      <c r="C1839" s="3" t="inlineStr">
        <is>
          <t>Plumbing</t>
        </is>
      </c>
      <c r="D1839" s="3" t="inlineStr">
        <is>
          <t>Bends &amp; Connectors</t>
        </is>
      </c>
      <c r="E1839" s="3" t="inlineStr">
        <is>
          <t>Prince</t>
        </is>
      </c>
      <c r="F1839" s="3" t="inlineStr">
        <is>
          <t>Female Threaded Tee (SDR 11)</t>
        </is>
      </c>
      <c r="H1839" s="3" t="inlineStr">
        <is>
          <t>Size</t>
        </is>
      </c>
      <c r="I1839" s="3" t="inlineStr">
        <is>
          <t>32 mm (1.25 inch)</t>
        </is>
      </c>
      <c r="Q1839" s="3" t="inlineStr">
        <is>
          <t>Manufacturer's Warranty</t>
        </is>
      </c>
      <c r="R1839" s="3" t="inlineStr">
        <is>
          <t>SIM105061</t>
        </is>
      </c>
      <c r="Y1839" s="3" t="inlineStr">
        <is>
          <t>PLB_PRNC_FMTHEE_SDR11</t>
        </is>
      </c>
      <c r="Z1839" s="3" t="n">
        <v>3917</v>
      </c>
      <c r="AE1839" s="3" t="n">
        <v>425</v>
      </c>
      <c r="AF1839" s="4" t="n">
        <v>0.37</v>
      </c>
      <c r="AG1839" s="3">
        <f>ROUND(AE1839-(AE1839*AF1839),2)</f>
        <v/>
      </c>
      <c r="AH1839" s="4" t="n">
        <v>0.18</v>
      </c>
      <c r="AI1839" s="3">
        <f>ROUND(AG1839+(AG1839*AH1839),2)</f>
        <v/>
      </c>
      <c r="AJ1839" s="4" t="n">
        <v>0.15</v>
      </c>
      <c r="AK1839" s="3">
        <f>ROUND(AI1839*AJ1839,2)</f>
        <v/>
      </c>
      <c r="AL1839" s="3">
        <f>AI1839+AK1839</f>
        <v/>
      </c>
      <c r="AM1839" s="3">
        <f>AE1839-AL1839</f>
        <v/>
      </c>
      <c r="AN1839" s="4">
        <f>AM1839/AE1839</f>
        <v/>
      </c>
      <c r="AO1839" s="3" t="inlineStr">
        <is>
          <t>60 mins</t>
        </is>
      </c>
      <c r="AQ1839" s="3" t="inlineStr">
        <is>
          <t>Weight</t>
        </is>
      </c>
      <c r="AT1839" s="3" t="inlineStr">
        <is>
          <t>Inactive</t>
        </is>
      </c>
    </row>
    <row r="1840" ht="15.75" customHeight="1">
      <c r="A1840" s="3" t="inlineStr">
        <is>
          <t>PROD_0334</t>
        </is>
      </c>
      <c r="B1840" s="3" t="inlineStr">
        <is>
          <t>VAR_5</t>
        </is>
      </c>
      <c r="C1840" s="3" t="inlineStr">
        <is>
          <t>Plumbing</t>
        </is>
      </c>
      <c r="D1840" s="3" t="inlineStr">
        <is>
          <t>Bends &amp; Connectors</t>
        </is>
      </c>
      <c r="E1840" s="3" t="inlineStr">
        <is>
          <t>Prince</t>
        </is>
      </c>
      <c r="F1840" s="3" t="inlineStr">
        <is>
          <t>Female Threaded Tee (SDR 11)</t>
        </is>
      </c>
      <c r="H1840" s="3" t="inlineStr">
        <is>
          <t>Size</t>
        </is>
      </c>
      <c r="I1840" s="3" t="inlineStr">
        <is>
          <t>20 mm X 15 mm (.75 inch X .5 inch)</t>
        </is>
      </c>
      <c r="Q1840" s="3" t="inlineStr">
        <is>
          <t>Manufacturer's Warranty</t>
        </is>
      </c>
      <c r="R1840" s="3" t="inlineStr">
        <is>
          <t>SIM105056</t>
        </is>
      </c>
      <c r="Y1840" s="3" t="inlineStr">
        <is>
          <t>PLB_PRNC_FMTHEE_SDR11</t>
        </is>
      </c>
      <c r="Z1840" s="3" t="n">
        <v>3917</v>
      </c>
      <c r="AE1840" s="3" t="n">
        <v>90</v>
      </c>
      <c r="AF1840" s="4" t="n">
        <v>0.37</v>
      </c>
      <c r="AG1840" s="3">
        <f>ROUND(AE1840-(AE1840*AF1840),2)</f>
        <v/>
      </c>
      <c r="AH1840" s="4" t="n">
        <v>0.18</v>
      </c>
      <c r="AI1840" s="3">
        <f>ROUND(AG1840+(AG1840*AH1840),2)</f>
        <v/>
      </c>
      <c r="AJ1840" s="4" t="n">
        <v>0.15</v>
      </c>
      <c r="AK1840" s="3">
        <f>ROUND(AI1840*AJ1840,2)</f>
        <v/>
      </c>
      <c r="AL1840" s="3">
        <f>AI1840+AK1840</f>
        <v/>
      </c>
      <c r="AM1840" s="3">
        <f>AE1840-AL1840</f>
        <v/>
      </c>
      <c r="AN1840" s="4">
        <f>AM1840/AE1840</f>
        <v/>
      </c>
      <c r="AO1840" s="3" t="inlineStr">
        <is>
          <t>60 mins</t>
        </is>
      </c>
      <c r="AQ1840" s="3" t="inlineStr">
        <is>
          <t>Weight</t>
        </is>
      </c>
      <c r="AT1840" s="3" t="inlineStr">
        <is>
          <t>Inactive</t>
        </is>
      </c>
    </row>
    <row r="1841" ht="15.75" customHeight="1">
      <c r="A1841" s="3" t="inlineStr">
        <is>
          <t>PROD_0334</t>
        </is>
      </c>
      <c r="B1841" s="3" t="inlineStr">
        <is>
          <t>VAR_6</t>
        </is>
      </c>
      <c r="C1841" s="3" t="inlineStr">
        <is>
          <t>Plumbing</t>
        </is>
      </c>
      <c r="D1841" s="3" t="inlineStr">
        <is>
          <t>Bends &amp; Connectors</t>
        </is>
      </c>
      <c r="E1841" s="3" t="inlineStr">
        <is>
          <t>Prince</t>
        </is>
      </c>
      <c r="F1841" s="3" t="inlineStr">
        <is>
          <t>Female Threaded Tee (SDR 11)</t>
        </is>
      </c>
      <c r="H1841" s="3" t="inlineStr">
        <is>
          <t>Size</t>
        </is>
      </c>
      <c r="I1841" s="3" t="inlineStr">
        <is>
          <t>25 mm X 15 mm (1 inch X .5 inch)</t>
        </is>
      </c>
      <c r="Q1841" s="3" t="inlineStr">
        <is>
          <t>Manufacturer's Warranty</t>
        </is>
      </c>
      <c r="R1841" s="3" t="inlineStr">
        <is>
          <t>SIM105057</t>
        </is>
      </c>
      <c r="Y1841" s="3" t="inlineStr">
        <is>
          <t>PLB_PRNC_FMTHEE_SDR11</t>
        </is>
      </c>
      <c r="Z1841" s="3" t="n">
        <v>3917</v>
      </c>
      <c r="AE1841" s="3" t="n">
        <v>190</v>
      </c>
      <c r="AF1841" s="4" t="n">
        <v>0.37</v>
      </c>
      <c r="AG1841" s="3">
        <f>ROUND(AE1841-(AE1841*AF1841),2)</f>
        <v/>
      </c>
      <c r="AH1841" s="4" t="n">
        <v>0.18</v>
      </c>
      <c r="AI1841" s="3">
        <f>ROUND(AG1841+(AG1841*AH1841),2)</f>
        <v/>
      </c>
      <c r="AJ1841" s="4" t="n">
        <v>0.15</v>
      </c>
      <c r="AK1841" s="3">
        <f>ROUND(AI1841*AJ1841,2)</f>
        <v/>
      </c>
      <c r="AL1841" s="3">
        <f>AI1841+AK1841</f>
        <v/>
      </c>
      <c r="AM1841" s="3">
        <f>AE1841-AL1841</f>
        <v/>
      </c>
      <c r="AN1841" s="4">
        <f>AM1841/AE1841</f>
        <v/>
      </c>
      <c r="AO1841" s="3" t="inlineStr">
        <is>
          <t>60 mins</t>
        </is>
      </c>
      <c r="AQ1841" s="3" t="inlineStr">
        <is>
          <t>Weight</t>
        </is>
      </c>
      <c r="AT1841" s="3" t="inlineStr">
        <is>
          <t>Inactive</t>
        </is>
      </c>
    </row>
    <row r="1842" ht="15.75" customHeight="1">
      <c r="A1842" s="3" t="inlineStr">
        <is>
          <t>PROD_0334</t>
        </is>
      </c>
      <c r="B1842" s="3" t="inlineStr">
        <is>
          <t>VAR_7</t>
        </is>
      </c>
      <c r="C1842" s="3" t="inlineStr">
        <is>
          <t>Plumbing</t>
        </is>
      </c>
      <c r="D1842" s="3" t="inlineStr">
        <is>
          <t>Bends &amp; Connectors</t>
        </is>
      </c>
      <c r="E1842" s="3" t="inlineStr">
        <is>
          <t>Prince</t>
        </is>
      </c>
      <c r="F1842" s="3" t="inlineStr">
        <is>
          <t>Female Threaded Tee (SDR 11)</t>
        </is>
      </c>
      <c r="H1842" s="3" t="inlineStr">
        <is>
          <t>Size</t>
        </is>
      </c>
      <c r="I1842" s="3" t="inlineStr">
        <is>
          <t>25 mm X 20 mm (1 inch X .75 inch)</t>
        </is>
      </c>
      <c r="Q1842" s="3" t="inlineStr">
        <is>
          <t>Manufacturer's Warranty</t>
        </is>
      </c>
      <c r="R1842" s="3" t="inlineStr">
        <is>
          <t>SIM105070</t>
        </is>
      </c>
      <c r="Y1842" s="3" t="inlineStr">
        <is>
          <t>PLB_PRNC_FMTHEE_SDR11</t>
        </is>
      </c>
      <c r="Z1842" s="3" t="n">
        <v>3917</v>
      </c>
      <c r="AE1842" s="3" t="n">
        <v>263</v>
      </c>
      <c r="AF1842" s="4" t="n">
        <v>0.37</v>
      </c>
      <c r="AG1842" s="3">
        <f>ROUND(AE1842-(AE1842*AF1842),2)</f>
        <v/>
      </c>
      <c r="AH1842" s="4" t="n">
        <v>0.18</v>
      </c>
      <c r="AI1842" s="3">
        <f>ROUND(AG1842+(AG1842*AH1842),2)</f>
        <v/>
      </c>
      <c r="AJ1842" s="4" t="n">
        <v>0.15</v>
      </c>
      <c r="AK1842" s="3">
        <f>ROUND(AI1842*AJ1842,2)</f>
        <v/>
      </c>
      <c r="AL1842" s="3">
        <f>AI1842+AK1842</f>
        <v/>
      </c>
      <c r="AM1842" s="3">
        <f>AE1842-AL1842</f>
        <v/>
      </c>
      <c r="AN1842" s="4">
        <f>AM1842/AE1842</f>
        <v/>
      </c>
      <c r="AO1842" s="3" t="inlineStr">
        <is>
          <t>60 mins</t>
        </is>
      </c>
      <c r="AQ1842" s="3" t="inlineStr">
        <is>
          <t>Weight</t>
        </is>
      </c>
      <c r="AT1842" s="3" t="inlineStr">
        <is>
          <t>Inactive</t>
        </is>
      </c>
    </row>
    <row r="1843" ht="15.75" customHeight="1">
      <c r="A1843" s="3" t="inlineStr">
        <is>
          <t>PROD_0335</t>
        </is>
      </c>
      <c r="B1843" s="3" t="inlineStr">
        <is>
          <t>VAR_1</t>
        </is>
      </c>
      <c r="C1843" s="3" t="inlineStr">
        <is>
          <t>Plumbing</t>
        </is>
      </c>
      <c r="D1843" s="3" t="inlineStr">
        <is>
          <t>Bends &amp; Connectors</t>
        </is>
      </c>
      <c r="E1843" s="3" t="inlineStr">
        <is>
          <t>Prince</t>
        </is>
      </c>
      <c r="F1843" s="3" t="inlineStr">
        <is>
          <t>Reducing Male Threaded Tee (SDR 11)</t>
        </is>
      </c>
      <c r="H1843" s="3" t="inlineStr">
        <is>
          <t>Size</t>
        </is>
      </c>
      <c r="I1843" s="3" t="inlineStr">
        <is>
          <t>20 mm X 15 mm (.75 inch X .5 inch)</t>
        </is>
      </c>
      <c r="Q1843" s="3" t="inlineStr">
        <is>
          <t>Manufacturer's Warranty</t>
        </is>
      </c>
      <c r="R1843" s="3" t="inlineStr">
        <is>
          <t>SIM107292</t>
        </is>
      </c>
      <c r="Y1843" s="3" t="inlineStr">
        <is>
          <t>PLB_REDUCING_MALE_THREADED_TEE</t>
        </is>
      </c>
      <c r="Z1843" s="3" t="n">
        <v>3917</v>
      </c>
      <c r="AE1843" s="3" t="n">
        <v>174</v>
      </c>
      <c r="AF1843" s="4" t="n">
        <v>0.37</v>
      </c>
      <c r="AG1843" s="3">
        <f>ROUND(AE1843-(AE1843*AF1843),2)</f>
        <v/>
      </c>
      <c r="AH1843" s="4" t="n">
        <v>0.18</v>
      </c>
      <c r="AI1843" s="3">
        <f>ROUND(AG1843+(AG1843*AH1843),2)</f>
        <v/>
      </c>
      <c r="AJ1843" s="4" t="n">
        <v>0.15</v>
      </c>
      <c r="AK1843" s="3">
        <f>ROUND(AI1843*AJ1843,2)</f>
        <v/>
      </c>
      <c r="AL1843" s="3">
        <f>AI1843+AK1843</f>
        <v/>
      </c>
      <c r="AM1843" s="3">
        <f>AE1843-AL1843</f>
        <v/>
      </c>
      <c r="AN1843" s="4">
        <f>AM1843/AE1843</f>
        <v/>
      </c>
      <c r="AO1843" s="3" t="inlineStr">
        <is>
          <t>60 mins</t>
        </is>
      </c>
      <c r="AQ1843" s="3" t="inlineStr">
        <is>
          <t>Weight</t>
        </is>
      </c>
      <c r="AT1843" s="3" t="inlineStr">
        <is>
          <t>Inactive</t>
        </is>
      </c>
    </row>
    <row r="1844" ht="15.75" customHeight="1">
      <c r="A1844" s="3" t="inlineStr">
        <is>
          <t>PROD_0336</t>
        </is>
      </c>
      <c r="B1844" s="3" t="inlineStr">
        <is>
          <t>VAR_1</t>
        </is>
      </c>
      <c r="C1844" s="3" t="inlineStr">
        <is>
          <t>Plumbing</t>
        </is>
      </c>
      <c r="D1844" s="3" t="inlineStr">
        <is>
          <t>Bends &amp; Connectors</t>
        </is>
      </c>
      <c r="E1844" s="3" t="inlineStr">
        <is>
          <t>Prince</t>
        </is>
      </c>
      <c r="F1844" s="3" t="inlineStr">
        <is>
          <t>Female Threaded Elbow Extension (SDR 11)</t>
        </is>
      </c>
      <c r="H1844" s="3" t="inlineStr">
        <is>
          <t>Size</t>
        </is>
      </c>
      <c r="I1844" s="3" t="inlineStr">
        <is>
          <t>15 mm (.5 inch)</t>
        </is>
      </c>
      <c r="Q1844" s="3" t="inlineStr">
        <is>
          <t>Manufacturer's Warranty</t>
        </is>
      </c>
      <c r="R1844" s="3" t="inlineStr">
        <is>
          <t>SIM105091</t>
        </is>
      </c>
      <c r="Y1844" s="3" t="inlineStr">
        <is>
          <t>PLB_PRNC_FMTHELBRED_SDR11</t>
        </is>
      </c>
      <c r="Z1844" s="3" t="n">
        <v>3917</v>
      </c>
      <c r="AE1844" s="3" t="n">
        <v>283</v>
      </c>
      <c r="AF1844" s="4" t="n">
        <v>0.37</v>
      </c>
      <c r="AG1844" s="3">
        <f>ROUND(AE1844-(AE1844*AF1844),2)</f>
        <v/>
      </c>
      <c r="AH1844" s="4" t="n">
        <v>0.18</v>
      </c>
      <c r="AI1844" s="3">
        <f>ROUND(AG1844+(AG1844*AH1844),2)</f>
        <v/>
      </c>
      <c r="AJ1844" s="4" t="n">
        <v>0.15</v>
      </c>
      <c r="AK1844" s="3">
        <f>ROUND(AI1844*AJ1844,2)</f>
        <v/>
      </c>
      <c r="AL1844" s="3">
        <f>AI1844+AK1844</f>
        <v/>
      </c>
      <c r="AM1844" s="3">
        <f>AE1844-AL1844</f>
        <v/>
      </c>
      <c r="AN1844" s="4">
        <f>AM1844/AE1844</f>
        <v/>
      </c>
      <c r="AO1844" s="3" t="inlineStr">
        <is>
          <t>60 mins</t>
        </is>
      </c>
      <c r="AQ1844" s="3" t="inlineStr">
        <is>
          <t>Weight</t>
        </is>
      </c>
      <c r="AT1844" s="3" t="inlineStr">
        <is>
          <t>Inactive</t>
        </is>
      </c>
    </row>
    <row r="1845" ht="15.75" customHeight="1">
      <c r="A1845" s="3" t="inlineStr">
        <is>
          <t>PROD_0336</t>
        </is>
      </c>
      <c r="B1845" s="3" t="inlineStr">
        <is>
          <t>VAR_2</t>
        </is>
      </c>
      <c r="C1845" s="3" t="inlineStr">
        <is>
          <t>Plumbing</t>
        </is>
      </c>
      <c r="D1845" s="3" t="inlineStr">
        <is>
          <t>Bends &amp; Connectors</t>
        </is>
      </c>
      <c r="E1845" s="3" t="inlineStr">
        <is>
          <t>Prince</t>
        </is>
      </c>
      <c r="F1845" s="3" t="inlineStr">
        <is>
          <t>Female Threaded Elbow Extension (SDR 11)</t>
        </is>
      </c>
      <c r="H1845" s="3" t="inlineStr">
        <is>
          <t>Size</t>
        </is>
      </c>
      <c r="I1845" s="3" t="inlineStr">
        <is>
          <t>20 mm X 15 mm (.75 inch X .5 inch)</t>
        </is>
      </c>
      <c r="Q1845" s="3" t="inlineStr">
        <is>
          <t>Manufacturer's Warranty</t>
        </is>
      </c>
      <c r="R1845" s="3" t="inlineStr">
        <is>
          <t>SIM105092</t>
        </is>
      </c>
      <c r="Y1845" s="3" t="inlineStr">
        <is>
          <t>PLB_PRNC_FMTHELBRED_SDR11</t>
        </is>
      </c>
      <c r="Z1845" s="3" t="n">
        <v>3917</v>
      </c>
      <c r="AE1845" s="3" t="n">
        <v>283</v>
      </c>
      <c r="AF1845" s="4" t="n">
        <v>0.37</v>
      </c>
      <c r="AG1845" s="3">
        <f>ROUND(AE1845-(AE1845*AF1845),2)</f>
        <v/>
      </c>
      <c r="AH1845" s="4" t="n">
        <v>0.18</v>
      </c>
      <c r="AI1845" s="3">
        <f>ROUND(AG1845+(AG1845*AH1845),2)</f>
        <v/>
      </c>
      <c r="AJ1845" s="4" t="n">
        <v>0.15</v>
      </c>
      <c r="AK1845" s="3">
        <f>ROUND(AI1845*AJ1845,2)</f>
        <v/>
      </c>
      <c r="AL1845" s="3">
        <f>AI1845+AK1845</f>
        <v/>
      </c>
      <c r="AM1845" s="3">
        <f>AE1845-AL1845</f>
        <v/>
      </c>
      <c r="AN1845" s="4">
        <f>AM1845/AE1845</f>
        <v/>
      </c>
      <c r="AO1845" s="3" t="inlineStr">
        <is>
          <t>60 mins</t>
        </is>
      </c>
      <c r="AQ1845" s="3" t="inlineStr">
        <is>
          <t>Weight</t>
        </is>
      </c>
      <c r="AT1845" s="3" t="inlineStr">
        <is>
          <t>Inactive</t>
        </is>
      </c>
    </row>
    <row r="1846" ht="15.75" customHeight="1">
      <c r="A1846" s="3" t="inlineStr">
        <is>
          <t>PROD_0337</t>
        </is>
      </c>
      <c r="B1846" s="3" t="inlineStr">
        <is>
          <t>VAR_1</t>
        </is>
      </c>
      <c r="C1846" s="3" t="inlineStr">
        <is>
          <t>Plumbing</t>
        </is>
      </c>
      <c r="D1846" s="3" t="inlineStr">
        <is>
          <t>Solvent</t>
        </is>
      </c>
      <c r="E1846" s="3" t="inlineStr">
        <is>
          <t>Astral</t>
        </is>
      </c>
      <c r="F1846" s="3" t="inlineStr">
        <is>
          <t>Pipefix</t>
        </is>
      </c>
      <c r="H1846" s="3" t="inlineStr">
        <is>
          <t>Quantity</t>
        </is>
      </c>
      <c r="I1846" s="3" t="inlineStr">
        <is>
          <t>50 ml</t>
        </is>
      </c>
      <c r="Q1846" s="3" t="inlineStr">
        <is>
          <t>Manufacturer's Warranty</t>
        </is>
      </c>
      <c r="R1846" s="3" t="inlineStr">
        <is>
          <t>M003607005</t>
        </is>
      </c>
      <c r="Y1846" s="3" t="inlineStr">
        <is>
          <t>PLB_SOL_AST_PPFX</t>
        </is>
      </c>
      <c r="Z1846" s="3" t="n">
        <v>3917</v>
      </c>
      <c r="AE1846" s="3" t="n">
        <v>105</v>
      </c>
      <c r="AF1846" s="4" t="n">
        <v>0.37</v>
      </c>
      <c r="AG1846" s="3">
        <f>ROUND(AE1846-(AE1846*AF1846),2)</f>
        <v/>
      </c>
      <c r="AH1846" s="4" t="n">
        <v>0.18</v>
      </c>
      <c r="AI1846" s="3">
        <f>ROUND(AG1846+(AG1846*AH1846),2)</f>
        <v/>
      </c>
      <c r="AJ1846" s="4" t="n">
        <v>0.15</v>
      </c>
      <c r="AK1846" s="3">
        <f>ROUND(AI1846*AJ1846,2)</f>
        <v/>
      </c>
      <c r="AL1846" s="3">
        <f>AI1846+AK1846</f>
        <v/>
      </c>
      <c r="AM1846" s="3">
        <f>AE1846-AL1846</f>
        <v/>
      </c>
      <c r="AN1846" s="4">
        <f>AM1846/AE1846</f>
        <v/>
      </c>
      <c r="AO1846" s="3" t="inlineStr">
        <is>
          <t>60 mins</t>
        </is>
      </c>
      <c r="AQ1846" s="3" t="inlineStr">
        <is>
          <t>Weight</t>
        </is>
      </c>
      <c r="AT1846" s="3" t="inlineStr">
        <is>
          <t>Active</t>
        </is>
      </c>
    </row>
    <row r="1847" ht="15.75" customHeight="1">
      <c r="A1847" s="3" t="inlineStr">
        <is>
          <t>PROD_0337</t>
        </is>
      </c>
      <c r="B1847" s="3" t="inlineStr">
        <is>
          <t>VAR_2</t>
        </is>
      </c>
      <c r="C1847" s="3" t="inlineStr">
        <is>
          <t>Plumbing</t>
        </is>
      </c>
      <c r="D1847" s="3" t="inlineStr">
        <is>
          <t>Solvent</t>
        </is>
      </c>
      <c r="E1847" s="3" t="inlineStr">
        <is>
          <t>Astral</t>
        </is>
      </c>
      <c r="F1847" s="3" t="inlineStr">
        <is>
          <t>Pipefix</t>
        </is>
      </c>
      <c r="H1847" s="3" t="inlineStr">
        <is>
          <t>Quantity</t>
        </is>
      </c>
      <c r="I1847" s="3" t="inlineStr">
        <is>
          <t>118 ml</t>
        </is>
      </c>
      <c r="Q1847" s="3" t="inlineStr">
        <is>
          <t>Manufacturer's Warranty</t>
        </is>
      </c>
      <c r="R1847" s="3" t="inlineStr">
        <is>
          <t>M003607010</t>
        </is>
      </c>
      <c r="Y1847" s="3" t="inlineStr">
        <is>
          <t>PLB_SOL_AST_PPFX</t>
        </is>
      </c>
      <c r="Z1847" s="3" t="n">
        <v>3917</v>
      </c>
      <c r="AE1847" s="3" t="n">
        <v>180</v>
      </c>
      <c r="AF1847" s="4" t="n">
        <v>0.37</v>
      </c>
      <c r="AG1847" s="3">
        <f>ROUND(AE1847-(AE1847*AF1847),2)</f>
        <v/>
      </c>
      <c r="AH1847" s="4" t="n">
        <v>0.18</v>
      </c>
      <c r="AI1847" s="3">
        <f>ROUND(AG1847+(AG1847*AH1847),2)</f>
        <v/>
      </c>
      <c r="AJ1847" s="4" t="n">
        <v>0.15</v>
      </c>
      <c r="AK1847" s="3">
        <f>ROUND(AI1847*AJ1847,2)</f>
        <v/>
      </c>
      <c r="AL1847" s="3">
        <f>AI1847+AK1847</f>
        <v/>
      </c>
      <c r="AM1847" s="3">
        <f>AE1847-AL1847</f>
        <v/>
      </c>
      <c r="AN1847" s="4">
        <f>AM1847/AE1847</f>
        <v/>
      </c>
      <c r="AO1847" s="3" t="inlineStr">
        <is>
          <t>60 mins</t>
        </is>
      </c>
      <c r="AQ1847" s="3" t="inlineStr">
        <is>
          <t>Weight</t>
        </is>
      </c>
      <c r="AT1847" s="3" t="inlineStr">
        <is>
          <t>Active</t>
        </is>
      </c>
    </row>
    <row r="1848" ht="15.75" customHeight="1">
      <c r="A1848" s="3" t="inlineStr">
        <is>
          <t>PROD_0337</t>
        </is>
      </c>
      <c r="B1848" s="3" t="inlineStr">
        <is>
          <t>VAR_3</t>
        </is>
      </c>
      <c r="C1848" s="3" t="inlineStr">
        <is>
          <t>Plumbing</t>
        </is>
      </c>
      <c r="D1848" s="3" t="inlineStr">
        <is>
          <t>Solvent</t>
        </is>
      </c>
      <c r="E1848" s="3" t="inlineStr">
        <is>
          <t>Astral</t>
        </is>
      </c>
      <c r="F1848" s="3" t="inlineStr">
        <is>
          <t>Pipefix</t>
        </is>
      </c>
      <c r="H1848" s="3" t="inlineStr">
        <is>
          <t>Quantity</t>
        </is>
      </c>
      <c r="I1848" s="3" t="inlineStr">
        <is>
          <t>237 ml</t>
        </is>
      </c>
      <c r="Q1848" s="3" t="inlineStr">
        <is>
          <t>Manufacturer's Warranty</t>
        </is>
      </c>
      <c r="R1848" s="3" t="inlineStr">
        <is>
          <t>M003607015</t>
        </is>
      </c>
      <c r="Y1848" s="3" t="inlineStr">
        <is>
          <t>PLB_SOL_AST_PPFX</t>
        </is>
      </c>
      <c r="Z1848" s="3" t="n">
        <v>3917</v>
      </c>
      <c r="AE1848" s="3" t="n">
        <v>275</v>
      </c>
      <c r="AF1848" s="4" t="n">
        <v>0.37</v>
      </c>
      <c r="AG1848" s="3">
        <f>ROUND(AE1848-(AE1848*AF1848),2)</f>
        <v/>
      </c>
      <c r="AH1848" s="4" t="n">
        <v>0.18</v>
      </c>
      <c r="AI1848" s="3">
        <f>ROUND(AG1848+(AG1848*AH1848),2)</f>
        <v/>
      </c>
      <c r="AJ1848" s="4" t="n">
        <v>0.15</v>
      </c>
      <c r="AK1848" s="3">
        <f>ROUND(AI1848*AJ1848,2)</f>
        <v/>
      </c>
      <c r="AL1848" s="3">
        <f>AI1848+AK1848</f>
        <v/>
      </c>
      <c r="AM1848" s="3">
        <f>AE1848-AL1848</f>
        <v/>
      </c>
      <c r="AN1848" s="4">
        <f>AM1848/AE1848</f>
        <v/>
      </c>
      <c r="AO1848" s="3" t="inlineStr">
        <is>
          <t>60 mins</t>
        </is>
      </c>
      <c r="AQ1848" s="3" t="inlineStr">
        <is>
          <t>Weight</t>
        </is>
      </c>
      <c r="AT1848" s="3" t="inlineStr">
        <is>
          <t>Active</t>
        </is>
      </c>
    </row>
    <row r="1849" ht="15.75" customHeight="1">
      <c r="A1849" s="3" t="inlineStr">
        <is>
          <t>PROD_0337</t>
        </is>
      </c>
      <c r="B1849" s="3" t="inlineStr">
        <is>
          <t>VAR_4</t>
        </is>
      </c>
      <c r="C1849" s="3" t="inlineStr">
        <is>
          <t>Plumbing</t>
        </is>
      </c>
      <c r="D1849" s="3" t="inlineStr">
        <is>
          <t>Solvent</t>
        </is>
      </c>
      <c r="E1849" s="3" t="inlineStr">
        <is>
          <t>Astral</t>
        </is>
      </c>
      <c r="F1849" s="3" t="inlineStr">
        <is>
          <t>Pipefix</t>
        </is>
      </c>
      <c r="H1849" s="3" t="inlineStr">
        <is>
          <t>Quantity</t>
        </is>
      </c>
      <c r="I1849" s="3" t="inlineStr">
        <is>
          <t>473 ml</t>
        </is>
      </c>
      <c r="Q1849" s="3" t="inlineStr">
        <is>
          <t>Manufacturer's Warranty</t>
        </is>
      </c>
      <c r="R1849" s="3" t="inlineStr">
        <is>
          <t>M003607020</t>
        </is>
      </c>
      <c r="Y1849" s="3" t="inlineStr">
        <is>
          <t>PLB_SOL_AST_PPFX</t>
        </is>
      </c>
      <c r="Z1849" s="3" t="n">
        <v>3917</v>
      </c>
      <c r="AE1849" s="3" t="n">
        <v>515</v>
      </c>
      <c r="AF1849" s="4" t="n">
        <v>0.37</v>
      </c>
      <c r="AG1849" s="3">
        <f>ROUND(AE1849-(AE1849*AF1849),2)</f>
        <v/>
      </c>
      <c r="AH1849" s="4" t="n">
        <v>0.18</v>
      </c>
      <c r="AI1849" s="3">
        <f>ROUND(AG1849+(AG1849*AH1849),2)</f>
        <v/>
      </c>
      <c r="AJ1849" s="4" t="n">
        <v>0.15</v>
      </c>
      <c r="AK1849" s="3">
        <f>ROUND(AI1849*AJ1849,2)</f>
        <v/>
      </c>
      <c r="AL1849" s="3">
        <f>AI1849+AK1849</f>
        <v/>
      </c>
      <c r="AM1849" s="3">
        <f>AE1849-AL1849</f>
        <v/>
      </c>
      <c r="AN1849" s="4">
        <f>AM1849/AE1849</f>
        <v/>
      </c>
      <c r="AO1849" s="3" t="inlineStr">
        <is>
          <t>60 mins</t>
        </is>
      </c>
      <c r="AQ1849" s="3" t="inlineStr">
        <is>
          <t>Weight</t>
        </is>
      </c>
      <c r="AT1849" s="3" t="inlineStr">
        <is>
          <t>Active</t>
        </is>
      </c>
    </row>
    <row r="1850" ht="15.75" customHeight="1">
      <c r="A1850" s="3" t="inlineStr">
        <is>
          <t>PROD_0337</t>
        </is>
      </c>
      <c r="B1850" s="3" t="inlineStr">
        <is>
          <t>VAR_5</t>
        </is>
      </c>
      <c r="C1850" s="3" t="inlineStr">
        <is>
          <t>Plumbing</t>
        </is>
      </c>
      <c r="D1850" s="3" t="inlineStr">
        <is>
          <t>Solvent</t>
        </is>
      </c>
      <c r="E1850" s="3" t="inlineStr">
        <is>
          <t>Astral</t>
        </is>
      </c>
      <c r="F1850" s="3" t="inlineStr">
        <is>
          <t>Pipefix</t>
        </is>
      </c>
      <c r="H1850" s="3" t="inlineStr">
        <is>
          <t>Quantity</t>
        </is>
      </c>
      <c r="I1850" s="3" t="inlineStr">
        <is>
          <t>946 ml</t>
        </is>
      </c>
      <c r="Q1850" s="3" t="inlineStr">
        <is>
          <t>Manufacturer's Warranty</t>
        </is>
      </c>
      <c r="R1850" s="3" t="inlineStr">
        <is>
          <t>M003607025</t>
        </is>
      </c>
      <c r="Y1850" s="3" t="inlineStr">
        <is>
          <t>PLB_SOL_AST_PPFX</t>
        </is>
      </c>
      <c r="Z1850" s="3" t="n">
        <v>3506</v>
      </c>
      <c r="AE1850" s="3" t="n">
        <v>945</v>
      </c>
      <c r="AF1850" s="4" t="n">
        <v>0.37</v>
      </c>
      <c r="AG1850" s="3">
        <f>ROUND(AE1850-(AE1850*AF1850),2)</f>
        <v/>
      </c>
      <c r="AH1850" s="4" t="n">
        <v>0.18</v>
      </c>
      <c r="AI1850" s="3">
        <f>ROUND(AG1850+(AG1850*AH1850),2)</f>
        <v/>
      </c>
      <c r="AJ1850" s="4" t="n">
        <v>0.15</v>
      </c>
      <c r="AK1850" s="3">
        <f>ROUND(AI1850*AJ1850,2)</f>
        <v/>
      </c>
      <c r="AL1850" s="3">
        <f>AI1850+AK1850</f>
        <v/>
      </c>
      <c r="AM1850" s="3">
        <f>AE1850-AL1850</f>
        <v/>
      </c>
      <c r="AN1850" s="4">
        <f>AM1850/AE1850</f>
        <v/>
      </c>
      <c r="AO1850" s="3" t="inlineStr">
        <is>
          <t>60 mins</t>
        </is>
      </c>
      <c r="AQ1850" s="3" t="inlineStr">
        <is>
          <t>Weight</t>
        </is>
      </c>
      <c r="AT1850" s="3" t="inlineStr">
        <is>
          <t>Active</t>
        </is>
      </c>
    </row>
    <row r="1851" ht="15.75" customHeight="1">
      <c r="A1851" s="3" t="inlineStr">
        <is>
          <t>PROD_0338</t>
        </is>
      </c>
      <c r="B1851" s="3" t="inlineStr">
        <is>
          <t>VAR_1</t>
        </is>
      </c>
      <c r="C1851" s="3" t="inlineStr">
        <is>
          <t>Plumbing</t>
        </is>
      </c>
      <c r="D1851" s="3" t="inlineStr">
        <is>
          <t>Solvent</t>
        </is>
      </c>
      <c r="E1851" s="3" t="inlineStr">
        <is>
          <t>Astral</t>
        </is>
      </c>
      <c r="F1851" s="3" t="inlineStr">
        <is>
          <t>Weld-on</t>
        </is>
      </c>
      <c r="H1851" s="3" t="inlineStr">
        <is>
          <t>Quantity</t>
        </is>
      </c>
      <c r="I1851" s="3" t="inlineStr">
        <is>
          <t>50 ml</t>
        </is>
      </c>
      <c r="Q1851" s="3" t="inlineStr">
        <is>
          <t>Manufacturer's Warranty</t>
        </is>
      </c>
      <c r="R1851" s="3" t="inlineStr">
        <is>
          <t>M004901006</t>
        </is>
      </c>
      <c r="Y1851" s="3" t="inlineStr">
        <is>
          <t>PLB_SOL_AST_WLDON</t>
        </is>
      </c>
      <c r="Z1851" s="3" t="n">
        <v>3506</v>
      </c>
      <c r="AE1851" s="3" t="n">
        <v>65</v>
      </c>
      <c r="AF1851" s="4" t="n">
        <v>0.37</v>
      </c>
      <c r="AG1851" s="3">
        <f>ROUND(AE1851-(AE1851*AF1851),2)</f>
        <v/>
      </c>
      <c r="AH1851" s="4" t="n">
        <v>0.18</v>
      </c>
      <c r="AI1851" s="3">
        <f>ROUND(AG1851+(AG1851*AH1851),2)</f>
        <v/>
      </c>
      <c r="AJ1851" s="4" t="n">
        <v>0.15</v>
      </c>
      <c r="AK1851" s="3">
        <f>ROUND(AI1851*AJ1851,2)</f>
        <v/>
      </c>
      <c r="AL1851" s="3">
        <f>AI1851+AK1851</f>
        <v/>
      </c>
      <c r="AM1851" s="3">
        <f>AE1851-AL1851</f>
        <v/>
      </c>
      <c r="AN1851" s="4">
        <f>AM1851/AE1851</f>
        <v/>
      </c>
      <c r="AO1851" s="3" t="inlineStr">
        <is>
          <t>60 mins</t>
        </is>
      </c>
      <c r="AQ1851" s="3" t="inlineStr">
        <is>
          <t>Weight</t>
        </is>
      </c>
      <c r="AT1851" s="3" t="inlineStr">
        <is>
          <t>Active</t>
        </is>
      </c>
    </row>
    <row r="1852" ht="15.75" customHeight="1">
      <c r="A1852" s="3" t="inlineStr">
        <is>
          <t>PROD_0338</t>
        </is>
      </c>
      <c r="B1852" s="3" t="inlineStr">
        <is>
          <t>VAR_2</t>
        </is>
      </c>
      <c r="C1852" s="3" t="inlineStr">
        <is>
          <t>Plumbing</t>
        </is>
      </c>
      <c r="D1852" s="3" t="inlineStr">
        <is>
          <t>Solvent</t>
        </is>
      </c>
      <c r="E1852" s="3" t="inlineStr">
        <is>
          <t>Astral</t>
        </is>
      </c>
      <c r="F1852" s="3" t="inlineStr">
        <is>
          <t>Weld-on</t>
        </is>
      </c>
      <c r="H1852" s="3" t="inlineStr">
        <is>
          <t>Quantity</t>
        </is>
      </c>
      <c r="I1852" s="3" t="inlineStr">
        <is>
          <t>118 ml</t>
        </is>
      </c>
      <c r="Q1852" s="3" t="inlineStr">
        <is>
          <t>Manufacturer's Warranty</t>
        </is>
      </c>
      <c r="R1852" s="3" t="inlineStr">
        <is>
          <t>M004901011</t>
        </is>
      </c>
      <c r="Y1852" s="3" t="inlineStr">
        <is>
          <t>PLB_SOL_AST_WLDON</t>
        </is>
      </c>
      <c r="Z1852" s="3" t="n">
        <v>3506</v>
      </c>
      <c r="AE1852" s="3" t="n">
        <v>90</v>
      </c>
      <c r="AF1852" s="4" t="n">
        <v>0.37</v>
      </c>
      <c r="AG1852" s="3">
        <f>ROUND(AE1852-(AE1852*AF1852),2)</f>
        <v/>
      </c>
      <c r="AH1852" s="4" t="n">
        <v>0.18</v>
      </c>
      <c r="AI1852" s="3">
        <f>ROUND(AG1852+(AG1852*AH1852),2)</f>
        <v/>
      </c>
      <c r="AJ1852" s="4" t="n">
        <v>0.15</v>
      </c>
      <c r="AK1852" s="3">
        <f>ROUND(AI1852*AJ1852,2)</f>
        <v/>
      </c>
      <c r="AL1852" s="3">
        <f>AI1852+AK1852</f>
        <v/>
      </c>
      <c r="AM1852" s="3">
        <f>AE1852-AL1852</f>
        <v/>
      </c>
      <c r="AN1852" s="4">
        <f>AM1852/AE1852</f>
        <v/>
      </c>
      <c r="AO1852" s="3" t="inlineStr">
        <is>
          <t>60 mins</t>
        </is>
      </c>
      <c r="AQ1852" s="3" t="inlineStr">
        <is>
          <t>Weight</t>
        </is>
      </c>
      <c r="AT1852" s="3" t="inlineStr">
        <is>
          <t>Active</t>
        </is>
      </c>
    </row>
    <row r="1853" ht="15.75" customHeight="1">
      <c r="A1853" s="3" t="inlineStr">
        <is>
          <t>PROD_0338</t>
        </is>
      </c>
      <c r="B1853" s="3" t="inlineStr">
        <is>
          <t>VAR_3</t>
        </is>
      </c>
      <c r="C1853" s="3" t="inlineStr">
        <is>
          <t>Plumbing</t>
        </is>
      </c>
      <c r="D1853" s="3" t="inlineStr">
        <is>
          <t>Solvent</t>
        </is>
      </c>
      <c r="E1853" s="3" t="inlineStr">
        <is>
          <t>Astral</t>
        </is>
      </c>
      <c r="F1853" s="3" t="inlineStr">
        <is>
          <t>Weld-on</t>
        </is>
      </c>
      <c r="H1853" s="3" t="inlineStr">
        <is>
          <t>Quantity</t>
        </is>
      </c>
      <c r="I1853" s="3" t="inlineStr">
        <is>
          <t>237 ml</t>
        </is>
      </c>
      <c r="Q1853" s="3" t="inlineStr">
        <is>
          <t>Manufacturer's Warranty</t>
        </is>
      </c>
      <c r="R1853" s="3" t="inlineStr">
        <is>
          <t>M004901005</t>
        </is>
      </c>
      <c r="Y1853" s="3" t="inlineStr">
        <is>
          <t>PLB_SOL_AST_WLDON</t>
        </is>
      </c>
      <c r="Z1853" s="3" t="n">
        <v>3506</v>
      </c>
      <c r="AE1853" s="3" t="n">
        <v>165</v>
      </c>
      <c r="AF1853" s="4" t="n">
        <v>0.37</v>
      </c>
      <c r="AG1853" s="3">
        <f>ROUND(AE1853-(AE1853*AF1853),2)</f>
        <v/>
      </c>
      <c r="AH1853" s="4" t="n">
        <v>0.18</v>
      </c>
      <c r="AI1853" s="3">
        <f>ROUND(AG1853+(AG1853*AH1853),2)</f>
        <v/>
      </c>
      <c r="AJ1853" s="4" t="n">
        <v>0.15</v>
      </c>
      <c r="AK1853" s="3">
        <f>ROUND(AI1853*AJ1853,2)</f>
        <v/>
      </c>
      <c r="AL1853" s="3">
        <f>AI1853+AK1853</f>
        <v/>
      </c>
      <c r="AM1853" s="3">
        <f>AE1853-AL1853</f>
        <v/>
      </c>
      <c r="AN1853" s="4">
        <f>AM1853/AE1853</f>
        <v/>
      </c>
      <c r="AO1853" s="3" t="inlineStr">
        <is>
          <t>60 mins</t>
        </is>
      </c>
      <c r="AQ1853" s="3" t="inlineStr">
        <is>
          <t>Weight</t>
        </is>
      </c>
      <c r="AT1853" s="3" t="inlineStr">
        <is>
          <t>Active</t>
        </is>
      </c>
    </row>
    <row r="1854" ht="15.75" customHeight="1">
      <c r="A1854" s="3" t="inlineStr">
        <is>
          <t>PROD_0338</t>
        </is>
      </c>
      <c r="B1854" s="3" t="inlineStr">
        <is>
          <t>VAR_4</t>
        </is>
      </c>
      <c r="C1854" s="3" t="inlineStr">
        <is>
          <t>Plumbing</t>
        </is>
      </c>
      <c r="D1854" s="3" t="inlineStr">
        <is>
          <t>Solvent</t>
        </is>
      </c>
      <c r="E1854" s="3" t="inlineStr">
        <is>
          <t>Astral</t>
        </is>
      </c>
      <c r="F1854" s="3" t="inlineStr">
        <is>
          <t>Weld-on</t>
        </is>
      </c>
      <c r="H1854" s="3" t="inlineStr">
        <is>
          <t>Quantity</t>
        </is>
      </c>
      <c r="I1854" s="3" t="inlineStr">
        <is>
          <t>473 ml</t>
        </is>
      </c>
      <c r="Q1854" s="3" t="inlineStr">
        <is>
          <t>Manufacturer's Warranty</t>
        </is>
      </c>
      <c r="R1854" s="3" t="inlineStr">
        <is>
          <t>M004901010</t>
        </is>
      </c>
      <c r="Y1854" s="3" t="inlineStr">
        <is>
          <t>PLB_SOL_AST_WLDON</t>
        </is>
      </c>
      <c r="Z1854" s="3" t="n">
        <v>3506</v>
      </c>
      <c r="AE1854" s="3" t="n">
        <v>280</v>
      </c>
      <c r="AF1854" s="4" t="n">
        <v>0.37</v>
      </c>
      <c r="AG1854" s="3">
        <f>ROUND(AE1854-(AE1854*AF1854),2)</f>
        <v/>
      </c>
      <c r="AH1854" s="4" t="n">
        <v>0.18</v>
      </c>
      <c r="AI1854" s="3">
        <f>ROUND(AG1854+(AG1854*AH1854),2)</f>
        <v/>
      </c>
      <c r="AJ1854" s="4" t="n">
        <v>0.15</v>
      </c>
      <c r="AK1854" s="3">
        <f>ROUND(AI1854*AJ1854,2)</f>
        <v/>
      </c>
      <c r="AL1854" s="3">
        <f>AI1854+AK1854</f>
        <v/>
      </c>
      <c r="AM1854" s="3">
        <f>AE1854-AL1854</f>
        <v/>
      </c>
      <c r="AN1854" s="4">
        <f>AM1854/AE1854</f>
        <v/>
      </c>
      <c r="AO1854" s="3" t="inlineStr">
        <is>
          <t>60 mins</t>
        </is>
      </c>
      <c r="AQ1854" s="3" t="inlineStr">
        <is>
          <t>Weight</t>
        </is>
      </c>
      <c r="AT1854" s="3" t="inlineStr">
        <is>
          <t>Active</t>
        </is>
      </c>
    </row>
    <row r="1855" ht="15.75" customHeight="1">
      <c r="A1855" s="3" t="inlineStr">
        <is>
          <t>PROD_0338</t>
        </is>
      </c>
      <c r="B1855" s="3" t="inlineStr">
        <is>
          <t>VAR_5</t>
        </is>
      </c>
      <c r="C1855" s="3" t="inlineStr">
        <is>
          <t>Plumbing</t>
        </is>
      </c>
      <c r="D1855" s="3" t="inlineStr">
        <is>
          <t>Solvent</t>
        </is>
      </c>
      <c r="E1855" s="3" t="inlineStr">
        <is>
          <t>Astral</t>
        </is>
      </c>
      <c r="F1855" s="3" t="inlineStr">
        <is>
          <t>Weld-on</t>
        </is>
      </c>
      <c r="H1855" s="3" t="inlineStr">
        <is>
          <t>Quantity</t>
        </is>
      </c>
      <c r="I1855" s="3" t="inlineStr">
        <is>
          <t>946 ml</t>
        </is>
      </c>
      <c r="Q1855" s="3" t="inlineStr">
        <is>
          <t>Manufacturer's Warranty</t>
        </is>
      </c>
      <c r="R1855" s="3" t="inlineStr">
        <is>
          <t>M004901015</t>
        </is>
      </c>
      <c r="Y1855" s="3" t="inlineStr">
        <is>
          <t>PLB_SOL_AST_WLDON</t>
        </is>
      </c>
      <c r="Z1855" s="3" t="n">
        <v>3506</v>
      </c>
      <c r="AE1855" s="3" t="n">
        <v>495</v>
      </c>
      <c r="AF1855" s="4" t="n">
        <v>0.37</v>
      </c>
      <c r="AG1855" s="3">
        <f>ROUND(AE1855-(AE1855*AF1855),2)</f>
        <v/>
      </c>
      <c r="AH1855" s="4" t="n">
        <v>0.18</v>
      </c>
      <c r="AI1855" s="3">
        <f>ROUND(AG1855+(AG1855*AH1855),2)</f>
        <v/>
      </c>
      <c r="AJ1855" s="4" t="n">
        <v>0.15</v>
      </c>
      <c r="AK1855" s="3">
        <f>ROUND(AI1855*AJ1855,2)</f>
        <v/>
      </c>
      <c r="AL1855" s="3">
        <f>AI1855+AK1855</f>
        <v/>
      </c>
      <c r="AM1855" s="3">
        <f>AE1855-AL1855</f>
        <v/>
      </c>
      <c r="AN1855" s="4">
        <f>AM1855/AE1855</f>
        <v/>
      </c>
      <c r="AO1855" s="3" t="inlineStr">
        <is>
          <t>60 mins</t>
        </is>
      </c>
      <c r="AQ1855" s="3" t="inlineStr">
        <is>
          <t>Weight</t>
        </is>
      </c>
      <c r="AT1855" s="3" t="inlineStr">
        <is>
          <t>Active</t>
        </is>
      </c>
    </row>
    <row r="1856" ht="15.75" customHeight="1">
      <c r="A1856" s="3" t="inlineStr">
        <is>
          <t>PROD_0339</t>
        </is>
      </c>
      <c r="B1856" s="3" t="inlineStr">
        <is>
          <t>VAR_1</t>
        </is>
      </c>
      <c r="C1856" s="3" t="inlineStr">
        <is>
          <t>Plumbing</t>
        </is>
      </c>
      <c r="D1856" s="3" t="inlineStr">
        <is>
          <t>Solvent</t>
        </is>
      </c>
      <c r="E1856" s="3" t="inlineStr">
        <is>
          <t>Supreme</t>
        </is>
      </c>
      <c r="F1856" s="3" t="inlineStr">
        <is>
          <t>Medium Bodied (cPVC)</t>
        </is>
      </c>
      <c r="H1856" s="3" t="inlineStr">
        <is>
          <t>Quantity</t>
        </is>
      </c>
      <c r="I1856" s="3" t="inlineStr">
        <is>
          <t>7 ml</t>
        </is>
      </c>
      <c r="Q1856" s="3" t="inlineStr">
        <is>
          <t>Manufacturer's Warranty</t>
        </is>
      </c>
      <c r="Y1856" s="3" t="inlineStr">
        <is>
          <t>PLB_SOL_SPRM_MEDBND</t>
        </is>
      </c>
      <c r="Z1856" s="3" t="n">
        <v>3506</v>
      </c>
      <c r="AE1856" s="3" t="n">
        <v>495</v>
      </c>
      <c r="AF1856" s="4" t="n">
        <v>0.37</v>
      </c>
      <c r="AG1856" s="3">
        <f>ROUND(AE1856-(AE1856*AF1856),2)</f>
        <v/>
      </c>
      <c r="AH1856" s="4" t="n">
        <v>0.18</v>
      </c>
      <c r="AI1856" s="3">
        <f>ROUND(AG1856+(AG1856*AH1856),2)</f>
        <v/>
      </c>
      <c r="AJ1856" s="4" t="n">
        <v>0.15</v>
      </c>
      <c r="AK1856" s="3">
        <f>ROUND(AI1856*AJ1856,2)</f>
        <v/>
      </c>
      <c r="AL1856" s="3">
        <f>AI1856+AK1856</f>
        <v/>
      </c>
      <c r="AM1856" s="3">
        <f>AE1856-AL1856</f>
        <v/>
      </c>
      <c r="AN1856" s="4">
        <f>AM1856/AE1856</f>
        <v/>
      </c>
      <c r="AO1856" s="3" t="inlineStr">
        <is>
          <t>60 mins</t>
        </is>
      </c>
      <c r="AQ1856" s="3" t="inlineStr">
        <is>
          <t>Weight</t>
        </is>
      </c>
      <c r="AT1856" s="3" t="inlineStr">
        <is>
          <t>Inactive</t>
        </is>
      </c>
    </row>
    <row r="1857" ht="15.75" customHeight="1">
      <c r="A1857" s="3" t="inlineStr">
        <is>
          <t>PROD_0339</t>
        </is>
      </c>
      <c r="B1857" s="3" t="inlineStr">
        <is>
          <t>VAR_2</t>
        </is>
      </c>
      <c r="C1857" s="3" t="inlineStr">
        <is>
          <t>Plumbing</t>
        </is>
      </c>
      <c r="D1857" s="3" t="inlineStr">
        <is>
          <t>Solvent</t>
        </is>
      </c>
      <c r="E1857" s="3" t="inlineStr">
        <is>
          <t>Supreme</t>
        </is>
      </c>
      <c r="F1857" s="3" t="inlineStr">
        <is>
          <t>Medium Bodied (cPVC)</t>
        </is>
      </c>
      <c r="H1857" s="3" t="inlineStr">
        <is>
          <t>Quantity</t>
        </is>
      </c>
      <c r="I1857" s="3" t="inlineStr">
        <is>
          <t>15 ml</t>
        </is>
      </c>
      <c r="Q1857" s="3" t="inlineStr">
        <is>
          <t>Manufacturer's Warranty</t>
        </is>
      </c>
      <c r="Y1857" s="3" t="inlineStr">
        <is>
          <t>PLB_SOL_SPRM_MEDBND</t>
        </is>
      </c>
      <c r="Z1857" s="3" t="n">
        <v>3506</v>
      </c>
      <c r="AE1857" s="3" t="n">
        <v>85</v>
      </c>
      <c r="AF1857" s="4" t="n">
        <v>0.37</v>
      </c>
      <c r="AG1857" s="3">
        <f>ROUND(AE1857-(AE1857*AF1857),2)</f>
        <v/>
      </c>
      <c r="AH1857" s="4" t="n">
        <v>0.18</v>
      </c>
      <c r="AI1857" s="3">
        <f>ROUND(AG1857+(AG1857*AH1857),2)</f>
        <v/>
      </c>
      <c r="AJ1857" s="4" t="n">
        <v>0.15</v>
      </c>
      <c r="AK1857" s="3">
        <f>ROUND(AI1857*AJ1857,2)</f>
        <v/>
      </c>
      <c r="AL1857" s="3">
        <f>AI1857+AK1857</f>
        <v/>
      </c>
      <c r="AM1857" s="3">
        <f>AE1857-AL1857</f>
        <v/>
      </c>
      <c r="AN1857" s="4">
        <f>AM1857/AE1857</f>
        <v/>
      </c>
      <c r="AO1857" s="3" t="inlineStr">
        <is>
          <t>60 mins</t>
        </is>
      </c>
      <c r="AQ1857" s="3" t="inlineStr">
        <is>
          <t>Weight</t>
        </is>
      </c>
      <c r="AT1857" s="3" t="inlineStr">
        <is>
          <t>Inactive</t>
        </is>
      </c>
    </row>
    <row r="1858" ht="15.75" customHeight="1">
      <c r="A1858" s="3" t="inlineStr">
        <is>
          <t>PROD_0339</t>
        </is>
      </c>
      <c r="B1858" s="3" t="inlineStr">
        <is>
          <t>VAR_3</t>
        </is>
      </c>
      <c r="C1858" s="3" t="inlineStr">
        <is>
          <t>Plumbing</t>
        </is>
      </c>
      <c r="D1858" s="3" t="inlineStr">
        <is>
          <t>Solvent</t>
        </is>
      </c>
      <c r="E1858" s="3" t="inlineStr">
        <is>
          <t>Supreme</t>
        </is>
      </c>
      <c r="F1858" s="3" t="inlineStr">
        <is>
          <t>Medium Bodied (cPVC)</t>
        </is>
      </c>
      <c r="H1858" s="3" t="inlineStr">
        <is>
          <t>Quantity</t>
        </is>
      </c>
      <c r="I1858" s="3" t="inlineStr">
        <is>
          <t>30 ml</t>
        </is>
      </c>
      <c r="Q1858" s="3" t="inlineStr">
        <is>
          <t>Manufacturer's Warranty</t>
        </is>
      </c>
      <c r="Y1858" s="3" t="inlineStr">
        <is>
          <t>PLB_SOL_SPRM_MEDBND</t>
        </is>
      </c>
      <c r="Z1858" s="3" t="n">
        <v>3506</v>
      </c>
      <c r="AE1858" s="3" t="n">
        <v>120</v>
      </c>
      <c r="AF1858" s="4" t="n">
        <v>0.37</v>
      </c>
      <c r="AG1858" s="3">
        <f>ROUND(AE1858-(AE1858*AF1858),2)</f>
        <v/>
      </c>
      <c r="AH1858" s="4" t="n">
        <v>0.18</v>
      </c>
      <c r="AI1858" s="3">
        <f>ROUND(AG1858+(AG1858*AH1858),2)</f>
        <v/>
      </c>
      <c r="AJ1858" s="4" t="n">
        <v>0.15</v>
      </c>
      <c r="AK1858" s="3">
        <f>ROUND(AI1858*AJ1858,2)</f>
        <v/>
      </c>
      <c r="AL1858" s="3">
        <f>AI1858+AK1858</f>
        <v/>
      </c>
      <c r="AM1858" s="3">
        <f>AE1858-AL1858</f>
        <v/>
      </c>
      <c r="AN1858" s="4">
        <f>AM1858/AE1858</f>
        <v/>
      </c>
      <c r="AO1858" s="3" t="inlineStr">
        <is>
          <t>60 mins</t>
        </is>
      </c>
      <c r="AQ1858" s="3" t="inlineStr">
        <is>
          <t>Weight</t>
        </is>
      </c>
      <c r="AT1858" s="3" t="inlineStr">
        <is>
          <t>Inactive</t>
        </is>
      </c>
    </row>
    <row r="1859" ht="15.75" customHeight="1">
      <c r="A1859" s="3" t="inlineStr">
        <is>
          <t>PROD_0339</t>
        </is>
      </c>
      <c r="B1859" s="3" t="inlineStr">
        <is>
          <t>VAR_4</t>
        </is>
      </c>
      <c r="C1859" s="3" t="inlineStr">
        <is>
          <t>Plumbing</t>
        </is>
      </c>
      <c r="D1859" s="3" t="inlineStr">
        <is>
          <t>Solvent</t>
        </is>
      </c>
      <c r="E1859" s="3" t="inlineStr">
        <is>
          <t>Supreme</t>
        </is>
      </c>
      <c r="F1859" s="3" t="inlineStr">
        <is>
          <t>Medium Bodied (cPVC)</t>
        </is>
      </c>
      <c r="H1859" s="3" t="inlineStr">
        <is>
          <t>Quantity</t>
        </is>
      </c>
      <c r="I1859" s="3" t="inlineStr">
        <is>
          <t>60 ml</t>
        </is>
      </c>
      <c r="Q1859" s="3" t="inlineStr">
        <is>
          <t>Manufacturer's Warranty</t>
        </is>
      </c>
      <c r="Y1859" s="3" t="inlineStr">
        <is>
          <t>PLB_SOL_SPRM_MEDBND</t>
        </is>
      </c>
      <c r="Z1859" s="3" t="n">
        <v>3506</v>
      </c>
      <c r="AE1859" s="3" t="n">
        <v>170</v>
      </c>
      <c r="AF1859" s="4" t="n">
        <v>0.37</v>
      </c>
      <c r="AG1859" s="3">
        <f>ROUND(AE1859-(AE1859*AF1859),2)</f>
        <v/>
      </c>
      <c r="AH1859" s="4" t="n">
        <v>0.18</v>
      </c>
      <c r="AI1859" s="3">
        <f>ROUND(AG1859+(AG1859*AH1859),2)</f>
        <v/>
      </c>
      <c r="AJ1859" s="4" t="n">
        <v>0.15</v>
      </c>
      <c r="AK1859" s="3">
        <f>ROUND(AI1859*AJ1859,2)</f>
        <v/>
      </c>
      <c r="AL1859" s="3">
        <f>AI1859+AK1859</f>
        <v/>
      </c>
      <c r="AM1859" s="3">
        <f>AE1859-AL1859</f>
        <v/>
      </c>
      <c r="AN1859" s="4">
        <f>AM1859/AE1859</f>
        <v/>
      </c>
      <c r="AO1859" s="3" t="inlineStr">
        <is>
          <t>60 mins</t>
        </is>
      </c>
      <c r="AQ1859" s="3" t="inlineStr">
        <is>
          <t>Weight</t>
        </is>
      </c>
      <c r="AT1859" s="3" t="inlineStr">
        <is>
          <t>Inactive</t>
        </is>
      </c>
    </row>
    <row r="1860" ht="15.75" customHeight="1">
      <c r="A1860" s="3" t="inlineStr">
        <is>
          <t>PROD_0339</t>
        </is>
      </c>
      <c r="B1860" s="3" t="inlineStr">
        <is>
          <t>VAR_5</t>
        </is>
      </c>
      <c r="C1860" s="3" t="inlineStr">
        <is>
          <t>Plumbing</t>
        </is>
      </c>
      <c r="D1860" s="3" t="inlineStr">
        <is>
          <t>Solvent</t>
        </is>
      </c>
      <c r="E1860" s="3" t="inlineStr">
        <is>
          <t>Supreme</t>
        </is>
      </c>
      <c r="F1860" s="3" t="inlineStr">
        <is>
          <t>Medium Bodied (cPVC)</t>
        </is>
      </c>
      <c r="H1860" s="3" t="inlineStr">
        <is>
          <t>Quantity</t>
        </is>
      </c>
      <c r="I1860" s="3" t="inlineStr">
        <is>
          <t>100 ml</t>
        </is>
      </c>
      <c r="Q1860" s="3" t="inlineStr">
        <is>
          <t>Manufacturer's Warranty</t>
        </is>
      </c>
      <c r="Y1860" s="3" t="inlineStr">
        <is>
          <t>PLB_SOL_SPRM_MEDBND</t>
        </is>
      </c>
      <c r="Z1860" s="3" t="n">
        <v>3506</v>
      </c>
      <c r="AE1860" s="3" t="n">
        <v>170</v>
      </c>
      <c r="AF1860" s="4" t="n">
        <v>0.37</v>
      </c>
      <c r="AG1860" s="3">
        <f>ROUND(AE1860-(AE1860*AF1860),2)</f>
        <v/>
      </c>
      <c r="AH1860" s="4" t="n">
        <v>0.18</v>
      </c>
      <c r="AI1860" s="3">
        <f>ROUND(AG1860+(AG1860*AH1860),2)</f>
        <v/>
      </c>
      <c r="AJ1860" s="4" t="n">
        <v>0.15</v>
      </c>
      <c r="AK1860" s="3">
        <f>ROUND(AI1860*AJ1860,2)</f>
        <v/>
      </c>
      <c r="AL1860" s="3">
        <f>AI1860+AK1860</f>
        <v/>
      </c>
      <c r="AM1860" s="3">
        <f>AE1860-AL1860</f>
        <v/>
      </c>
      <c r="AN1860" s="4">
        <f>AM1860/AE1860</f>
        <v/>
      </c>
      <c r="AO1860" s="3" t="inlineStr">
        <is>
          <t>60 mins</t>
        </is>
      </c>
      <c r="AQ1860" s="3" t="inlineStr">
        <is>
          <t>Weight</t>
        </is>
      </c>
      <c r="AT1860" s="3" t="inlineStr">
        <is>
          <t>Inactive</t>
        </is>
      </c>
    </row>
    <row r="1861" ht="15.75" customHeight="1">
      <c r="A1861" s="3" t="inlineStr">
        <is>
          <t>PROD_0339</t>
        </is>
      </c>
      <c r="B1861" s="3" t="inlineStr">
        <is>
          <t>VAR_6</t>
        </is>
      </c>
      <c r="C1861" s="3" t="inlineStr">
        <is>
          <t>Plumbing</t>
        </is>
      </c>
      <c r="D1861" s="3" t="inlineStr">
        <is>
          <t>Solvent</t>
        </is>
      </c>
      <c r="E1861" s="3" t="inlineStr">
        <is>
          <t>Supreme</t>
        </is>
      </c>
      <c r="F1861" s="3" t="inlineStr">
        <is>
          <t>Medium Bodied (cPVC)</t>
        </is>
      </c>
      <c r="H1861" s="3" t="inlineStr">
        <is>
          <t>Quantity</t>
        </is>
      </c>
      <c r="I1861" s="3" t="inlineStr">
        <is>
          <t>250 ml</t>
        </is>
      </c>
      <c r="Q1861" s="3" t="inlineStr">
        <is>
          <t>Manufacturer's Warranty</t>
        </is>
      </c>
      <c r="Y1861" s="3" t="inlineStr">
        <is>
          <t>PLB_SOL_SPRM_MEDBND</t>
        </is>
      </c>
      <c r="Z1861" s="3" t="n">
        <v>3506</v>
      </c>
      <c r="AE1861" s="3" t="n">
        <v>170</v>
      </c>
      <c r="AF1861" s="4" t="n">
        <v>0.37</v>
      </c>
      <c r="AG1861" s="3">
        <f>ROUND(AE1861-(AE1861*AF1861),2)</f>
        <v/>
      </c>
      <c r="AH1861" s="4" t="n">
        <v>0.18</v>
      </c>
      <c r="AI1861" s="3">
        <f>ROUND(AG1861+(AG1861*AH1861),2)</f>
        <v/>
      </c>
      <c r="AJ1861" s="4" t="n">
        <v>0.15</v>
      </c>
      <c r="AK1861" s="3">
        <f>ROUND(AI1861*AJ1861,2)</f>
        <v/>
      </c>
      <c r="AL1861" s="3">
        <f>AI1861+AK1861</f>
        <v/>
      </c>
      <c r="AM1861" s="3">
        <f>AE1861-AL1861</f>
        <v/>
      </c>
      <c r="AN1861" s="4">
        <f>AM1861/AE1861</f>
        <v/>
      </c>
      <c r="AO1861" s="3" t="inlineStr">
        <is>
          <t>60 mins</t>
        </is>
      </c>
      <c r="AQ1861" s="3" t="inlineStr">
        <is>
          <t>Weight</t>
        </is>
      </c>
      <c r="AT1861" s="3" t="inlineStr">
        <is>
          <t>Inactive</t>
        </is>
      </c>
    </row>
    <row r="1862" ht="15.75" customHeight="1">
      <c r="A1862" s="3" t="inlineStr">
        <is>
          <t>PROD_0339</t>
        </is>
      </c>
      <c r="B1862" s="3" t="inlineStr">
        <is>
          <t>VAR_7</t>
        </is>
      </c>
      <c r="C1862" s="3" t="inlineStr">
        <is>
          <t>Plumbing</t>
        </is>
      </c>
      <c r="D1862" s="3" t="inlineStr">
        <is>
          <t>Solvent</t>
        </is>
      </c>
      <c r="E1862" s="3" t="inlineStr">
        <is>
          <t>Supreme</t>
        </is>
      </c>
      <c r="F1862" s="3" t="inlineStr">
        <is>
          <t>Medium Bodied (cPVC)</t>
        </is>
      </c>
      <c r="H1862" s="3" t="inlineStr">
        <is>
          <t>Quantity</t>
        </is>
      </c>
      <c r="I1862" s="3" t="inlineStr">
        <is>
          <t>500 ml</t>
        </is>
      </c>
      <c r="Q1862" s="3" t="inlineStr">
        <is>
          <t>Manufacturer's Warranty</t>
        </is>
      </c>
      <c r="Y1862" s="3" t="inlineStr">
        <is>
          <t>PLB_SOL_SPRM_MEDBND</t>
        </is>
      </c>
      <c r="Z1862" s="3" t="n">
        <v>3506</v>
      </c>
      <c r="AE1862" s="3" t="n">
        <v>170</v>
      </c>
      <c r="AF1862" s="4" t="n">
        <v>0.37</v>
      </c>
      <c r="AG1862" s="3">
        <f>ROUND(AE1862-(AE1862*AF1862),2)</f>
        <v/>
      </c>
      <c r="AH1862" s="4" t="n">
        <v>0.18</v>
      </c>
      <c r="AI1862" s="3">
        <f>ROUND(AG1862+(AG1862*AH1862),2)</f>
        <v/>
      </c>
      <c r="AJ1862" s="4" t="n">
        <v>0.15</v>
      </c>
      <c r="AK1862" s="3">
        <f>ROUND(AI1862*AJ1862,2)</f>
        <v/>
      </c>
      <c r="AL1862" s="3">
        <f>AI1862+AK1862</f>
        <v/>
      </c>
      <c r="AM1862" s="3">
        <f>AE1862-AL1862</f>
        <v/>
      </c>
      <c r="AN1862" s="4">
        <f>AM1862/AE1862</f>
        <v/>
      </c>
      <c r="AO1862" s="3" t="inlineStr">
        <is>
          <t>60 mins</t>
        </is>
      </c>
      <c r="AQ1862" s="3" t="inlineStr">
        <is>
          <t>Weight</t>
        </is>
      </c>
      <c r="AT1862" s="3" t="inlineStr">
        <is>
          <t>Inactive</t>
        </is>
      </c>
    </row>
    <row r="1863" ht="15.75" customHeight="1">
      <c r="A1863" s="3" t="inlineStr">
        <is>
          <t>PROD_0340</t>
        </is>
      </c>
      <c r="B1863" s="3" t="inlineStr">
        <is>
          <t>VAR_1</t>
        </is>
      </c>
      <c r="C1863" s="3" t="inlineStr">
        <is>
          <t>Plumbing</t>
        </is>
      </c>
      <c r="D1863" s="3" t="inlineStr">
        <is>
          <t>Solvent</t>
        </is>
      </c>
      <c r="E1863" s="3" t="inlineStr">
        <is>
          <t>Supreme</t>
        </is>
      </c>
      <c r="F1863" s="3" t="inlineStr">
        <is>
          <t>Heavy Bodied (cPVC)</t>
        </is>
      </c>
      <c r="H1863" s="3" t="inlineStr">
        <is>
          <t>Quantity</t>
        </is>
      </c>
      <c r="I1863" s="3" t="inlineStr">
        <is>
          <t>7 ml</t>
        </is>
      </c>
      <c r="Q1863" s="3" t="inlineStr">
        <is>
          <t>Manufacturer's Warranty</t>
        </is>
      </c>
      <c r="Y1863" s="3" t="inlineStr">
        <is>
          <t>PLB_SOL_SPRM_HVYBND</t>
        </is>
      </c>
      <c r="Z1863" s="3" t="n">
        <v>3506</v>
      </c>
      <c r="AE1863" s="3" t="n">
        <v>170</v>
      </c>
      <c r="AF1863" s="4" t="n">
        <v>0.37</v>
      </c>
      <c r="AG1863" s="3">
        <f>ROUND(AE1863-(AE1863*AF1863),2)</f>
        <v/>
      </c>
      <c r="AH1863" s="4" t="n">
        <v>0.18</v>
      </c>
      <c r="AI1863" s="3">
        <f>ROUND(AG1863+(AG1863*AH1863),2)</f>
        <v/>
      </c>
      <c r="AJ1863" s="4" t="n">
        <v>0.15</v>
      </c>
      <c r="AK1863" s="3">
        <f>ROUND(AI1863*AJ1863,2)</f>
        <v/>
      </c>
      <c r="AL1863" s="3">
        <f>AI1863+AK1863</f>
        <v/>
      </c>
      <c r="AM1863" s="3">
        <f>AE1863-AL1863</f>
        <v/>
      </c>
      <c r="AN1863" s="4">
        <f>AM1863/AE1863</f>
        <v/>
      </c>
      <c r="AO1863" s="3" t="inlineStr">
        <is>
          <t>60 mins</t>
        </is>
      </c>
      <c r="AQ1863" s="3" t="inlineStr">
        <is>
          <t>Weight</t>
        </is>
      </c>
      <c r="AT1863" s="3" t="inlineStr">
        <is>
          <t>Inactive</t>
        </is>
      </c>
    </row>
    <row r="1864" ht="15.75" customHeight="1">
      <c r="A1864" s="3" t="inlineStr">
        <is>
          <t>PROD_0340</t>
        </is>
      </c>
      <c r="B1864" s="3" t="inlineStr">
        <is>
          <t>VAR_2</t>
        </is>
      </c>
      <c r="C1864" s="3" t="inlineStr">
        <is>
          <t>Plumbing</t>
        </is>
      </c>
      <c r="D1864" s="3" t="inlineStr">
        <is>
          <t>Solvent</t>
        </is>
      </c>
      <c r="E1864" s="3" t="inlineStr">
        <is>
          <t>Supreme</t>
        </is>
      </c>
      <c r="F1864" s="3" t="inlineStr">
        <is>
          <t>Heavy Bodied (cPVC)</t>
        </is>
      </c>
      <c r="H1864" s="3" t="inlineStr">
        <is>
          <t>Quantity</t>
        </is>
      </c>
      <c r="I1864" s="3" t="inlineStr">
        <is>
          <t>15 ml</t>
        </is>
      </c>
      <c r="Q1864" s="3" t="inlineStr">
        <is>
          <t>Manufacturer's Warranty</t>
        </is>
      </c>
      <c r="Y1864" s="3" t="inlineStr">
        <is>
          <t>PLB_SOL_SPRM_HVYBND</t>
        </is>
      </c>
      <c r="Z1864" s="3" t="n">
        <v>3506</v>
      </c>
      <c r="AE1864" s="3" t="n">
        <v>170</v>
      </c>
      <c r="AF1864" s="4" t="n">
        <v>0.37</v>
      </c>
      <c r="AG1864" s="3">
        <f>ROUND(AE1864-(AE1864*AF1864),2)</f>
        <v/>
      </c>
      <c r="AH1864" s="4" t="n">
        <v>0.18</v>
      </c>
      <c r="AI1864" s="3">
        <f>ROUND(AG1864+(AG1864*AH1864),2)</f>
        <v/>
      </c>
      <c r="AJ1864" s="4" t="n">
        <v>0.15</v>
      </c>
      <c r="AK1864" s="3">
        <f>ROUND(AI1864*AJ1864,2)</f>
        <v/>
      </c>
      <c r="AL1864" s="3">
        <f>AI1864+AK1864</f>
        <v/>
      </c>
      <c r="AM1864" s="3">
        <f>AE1864-AL1864</f>
        <v/>
      </c>
      <c r="AN1864" s="4">
        <f>AM1864/AE1864</f>
        <v/>
      </c>
      <c r="AO1864" s="3" t="inlineStr">
        <is>
          <t>60 mins</t>
        </is>
      </c>
      <c r="AQ1864" s="3" t="inlineStr">
        <is>
          <t>Weight</t>
        </is>
      </c>
      <c r="AT1864" s="3" t="inlineStr">
        <is>
          <t>Inactive</t>
        </is>
      </c>
    </row>
    <row r="1865" ht="15.75" customHeight="1">
      <c r="A1865" s="3" t="inlineStr">
        <is>
          <t>PROD_0340</t>
        </is>
      </c>
      <c r="B1865" s="3" t="inlineStr">
        <is>
          <t>VAR_3</t>
        </is>
      </c>
      <c r="C1865" s="3" t="inlineStr">
        <is>
          <t>Plumbing</t>
        </is>
      </c>
      <c r="D1865" s="3" t="inlineStr">
        <is>
          <t>Solvent</t>
        </is>
      </c>
      <c r="E1865" s="3" t="inlineStr">
        <is>
          <t>Supreme</t>
        </is>
      </c>
      <c r="F1865" s="3" t="inlineStr">
        <is>
          <t>Heavy Bodied (cPVC)</t>
        </is>
      </c>
      <c r="H1865" s="3" t="inlineStr">
        <is>
          <t>Quantity</t>
        </is>
      </c>
      <c r="I1865" s="3" t="inlineStr">
        <is>
          <t>30 ml</t>
        </is>
      </c>
      <c r="Q1865" s="3" t="inlineStr">
        <is>
          <t>Manufacturer's Warranty</t>
        </is>
      </c>
      <c r="Y1865" s="3" t="inlineStr">
        <is>
          <t>PLB_SOL_SPRM_HVYBND</t>
        </is>
      </c>
      <c r="Z1865" s="3" t="n">
        <v>3506</v>
      </c>
      <c r="AE1865" s="3" t="n">
        <v>170</v>
      </c>
      <c r="AF1865" s="4" t="n">
        <v>0.37</v>
      </c>
      <c r="AG1865" s="3">
        <f>ROUND(AE1865-(AE1865*AF1865),2)</f>
        <v/>
      </c>
      <c r="AH1865" s="4" t="n">
        <v>0.18</v>
      </c>
      <c r="AI1865" s="3">
        <f>ROUND(AG1865+(AG1865*AH1865),2)</f>
        <v/>
      </c>
      <c r="AJ1865" s="4" t="n">
        <v>0.15</v>
      </c>
      <c r="AK1865" s="3">
        <f>ROUND(AI1865*AJ1865,2)</f>
        <v/>
      </c>
      <c r="AL1865" s="3">
        <f>AI1865+AK1865</f>
        <v/>
      </c>
      <c r="AM1865" s="3">
        <f>AE1865-AL1865</f>
        <v/>
      </c>
      <c r="AN1865" s="4">
        <f>AM1865/AE1865</f>
        <v/>
      </c>
      <c r="AO1865" s="3" t="inlineStr">
        <is>
          <t>60 mins</t>
        </is>
      </c>
      <c r="AQ1865" s="3" t="inlineStr">
        <is>
          <t>Weight</t>
        </is>
      </c>
      <c r="AT1865" s="3" t="inlineStr">
        <is>
          <t>Inactive</t>
        </is>
      </c>
    </row>
    <row r="1866" ht="15.75" customHeight="1">
      <c r="A1866" s="3" t="inlineStr">
        <is>
          <t>PROD_0340</t>
        </is>
      </c>
      <c r="B1866" s="3" t="inlineStr">
        <is>
          <t>VAR_4</t>
        </is>
      </c>
      <c r="C1866" s="3" t="inlineStr">
        <is>
          <t>Plumbing</t>
        </is>
      </c>
      <c r="D1866" s="3" t="inlineStr">
        <is>
          <t>Solvent</t>
        </is>
      </c>
      <c r="E1866" s="3" t="inlineStr">
        <is>
          <t>Supreme</t>
        </is>
      </c>
      <c r="F1866" s="3" t="inlineStr">
        <is>
          <t>Heavy Bodied (cPVC)</t>
        </is>
      </c>
      <c r="H1866" s="3" t="inlineStr">
        <is>
          <t>Quantity</t>
        </is>
      </c>
      <c r="I1866" s="3" t="inlineStr">
        <is>
          <t>60 ml</t>
        </is>
      </c>
      <c r="Q1866" s="3" t="inlineStr">
        <is>
          <t>Manufacturer's Warranty</t>
        </is>
      </c>
      <c r="Y1866" s="3" t="inlineStr">
        <is>
          <t>PLB_SOL_SPRM_HVYBND</t>
        </is>
      </c>
      <c r="Z1866" s="3" t="n">
        <v>3506</v>
      </c>
      <c r="AE1866" s="3" t="n">
        <v>170</v>
      </c>
      <c r="AF1866" s="4" t="n">
        <v>0.37</v>
      </c>
      <c r="AG1866" s="3">
        <f>ROUND(AE1866-(AE1866*AF1866),2)</f>
        <v/>
      </c>
      <c r="AH1866" s="4" t="n">
        <v>0.18</v>
      </c>
      <c r="AI1866" s="3">
        <f>ROUND(AG1866+(AG1866*AH1866),2)</f>
        <v/>
      </c>
      <c r="AJ1866" s="4" t="n">
        <v>0.15</v>
      </c>
      <c r="AK1866" s="3">
        <f>ROUND(AI1866*AJ1866,2)</f>
        <v/>
      </c>
      <c r="AL1866" s="3">
        <f>AI1866+AK1866</f>
        <v/>
      </c>
      <c r="AM1866" s="3">
        <f>AE1866-AL1866</f>
        <v/>
      </c>
      <c r="AN1866" s="4">
        <f>AM1866/AE1866</f>
        <v/>
      </c>
      <c r="AO1866" s="3" t="inlineStr">
        <is>
          <t>60 mins</t>
        </is>
      </c>
      <c r="AQ1866" s="3" t="inlineStr">
        <is>
          <t>Weight</t>
        </is>
      </c>
      <c r="AT1866" s="3" t="inlineStr">
        <is>
          <t>Inactive</t>
        </is>
      </c>
    </row>
    <row r="1867" ht="15.75" customHeight="1">
      <c r="A1867" s="3" t="inlineStr">
        <is>
          <t>PROD_0340</t>
        </is>
      </c>
      <c r="B1867" s="3" t="inlineStr">
        <is>
          <t>VAR_5</t>
        </is>
      </c>
      <c r="C1867" s="3" t="inlineStr">
        <is>
          <t>Plumbing</t>
        </is>
      </c>
      <c r="D1867" s="3" t="inlineStr">
        <is>
          <t>Solvent</t>
        </is>
      </c>
      <c r="E1867" s="3" t="inlineStr">
        <is>
          <t>Supreme</t>
        </is>
      </c>
      <c r="F1867" s="3" t="inlineStr">
        <is>
          <t>Heavy Bodied (cPVC)</t>
        </is>
      </c>
      <c r="H1867" s="3" t="inlineStr">
        <is>
          <t>Quantity</t>
        </is>
      </c>
      <c r="I1867" s="3" t="inlineStr">
        <is>
          <t>100 ml</t>
        </is>
      </c>
      <c r="Q1867" s="3" t="inlineStr">
        <is>
          <t>Manufacturer's Warranty</t>
        </is>
      </c>
      <c r="Y1867" s="3" t="inlineStr">
        <is>
          <t>PLB_SOL_SPRM_HVYBND</t>
        </is>
      </c>
      <c r="Z1867" s="3" t="n">
        <v>3506</v>
      </c>
      <c r="AE1867" s="3" t="n">
        <v>170</v>
      </c>
      <c r="AF1867" s="4" t="n">
        <v>0.37</v>
      </c>
      <c r="AG1867" s="3">
        <f>ROUND(AE1867-(AE1867*AF1867),2)</f>
        <v/>
      </c>
      <c r="AH1867" s="4" t="n">
        <v>0.18</v>
      </c>
      <c r="AI1867" s="3">
        <f>ROUND(AG1867+(AG1867*AH1867),2)</f>
        <v/>
      </c>
      <c r="AJ1867" s="4" t="n">
        <v>0.15</v>
      </c>
      <c r="AK1867" s="3">
        <f>ROUND(AI1867*AJ1867,2)</f>
        <v/>
      </c>
      <c r="AL1867" s="3">
        <f>AI1867+AK1867</f>
        <v/>
      </c>
      <c r="AM1867" s="3">
        <f>AE1867-AL1867</f>
        <v/>
      </c>
      <c r="AN1867" s="4">
        <f>AM1867/AE1867</f>
        <v/>
      </c>
      <c r="AO1867" s="3" t="inlineStr">
        <is>
          <t>60 mins</t>
        </is>
      </c>
      <c r="AQ1867" s="3" t="inlineStr">
        <is>
          <t>Weight</t>
        </is>
      </c>
      <c r="AT1867" s="3" t="inlineStr">
        <is>
          <t>Inactive</t>
        </is>
      </c>
    </row>
    <row r="1868" ht="15.75" customHeight="1">
      <c r="A1868" s="3" t="inlineStr">
        <is>
          <t>PROD_0340</t>
        </is>
      </c>
      <c r="B1868" s="3" t="inlineStr">
        <is>
          <t>VAR_6</t>
        </is>
      </c>
      <c r="C1868" s="3" t="inlineStr">
        <is>
          <t>Plumbing</t>
        </is>
      </c>
      <c r="D1868" s="3" t="inlineStr">
        <is>
          <t>Solvent</t>
        </is>
      </c>
      <c r="E1868" s="3" t="inlineStr">
        <is>
          <t>Supreme</t>
        </is>
      </c>
      <c r="F1868" s="3" t="inlineStr">
        <is>
          <t>Heavy Bodied (cPVC)</t>
        </is>
      </c>
      <c r="H1868" s="3" t="inlineStr">
        <is>
          <t>Quantity</t>
        </is>
      </c>
      <c r="I1868" s="3" t="inlineStr">
        <is>
          <t>250 ml</t>
        </is>
      </c>
      <c r="Q1868" s="3" t="inlineStr">
        <is>
          <t>Manufacturer's Warranty</t>
        </is>
      </c>
      <c r="Y1868" s="3" t="inlineStr">
        <is>
          <t>PLB_SOL_SPRM_HVYBND</t>
        </is>
      </c>
      <c r="Z1868" s="3" t="n">
        <v>3506</v>
      </c>
      <c r="AE1868" s="3" t="n">
        <v>170</v>
      </c>
      <c r="AF1868" s="4" t="n">
        <v>0.37</v>
      </c>
      <c r="AG1868" s="3">
        <f>ROUND(AE1868-(AE1868*AF1868),2)</f>
        <v/>
      </c>
      <c r="AH1868" s="4" t="n">
        <v>0.18</v>
      </c>
      <c r="AI1868" s="3">
        <f>ROUND(AG1868+(AG1868*AH1868),2)</f>
        <v/>
      </c>
      <c r="AJ1868" s="4" t="n">
        <v>0.15</v>
      </c>
      <c r="AK1868" s="3">
        <f>ROUND(AI1868*AJ1868,2)</f>
        <v/>
      </c>
      <c r="AL1868" s="3">
        <f>AI1868+AK1868</f>
        <v/>
      </c>
      <c r="AM1868" s="3">
        <f>AE1868-AL1868</f>
        <v/>
      </c>
      <c r="AN1868" s="4">
        <f>AM1868/AE1868</f>
        <v/>
      </c>
      <c r="AO1868" s="3" t="inlineStr">
        <is>
          <t>60 mins</t>
        </is>
      </c>
      <c r="AQ1868" s="3" t="inlineStr">
        <is>
          <t>Weight</t>
        </is>
      </c>
      <c r="AT1868" s="3" t="inlineStr">
        <is>
          <t>Inactive</t>
        </is>
      </c>
    </row>
    <row r="1869" ht="15.75" customHeight="1">
      <c r="A1869" s="3" t="inlineStr">
        <is>
          <t>PROD_0340</t>
        </is>
      </c>
      <c r="B1869" s="3" t="inlineStr">
        <is>
          <t>VAR_7</t>
        </is>
      </c>
      <c r="C1869" s="3" t="inlineStr">
        <is>
          <t>Plumbing</t>
        </is>
      </c>
      <c r="D1869" s="3" t="inlineStr">
        <is>
          <t>Solvent</t>
        </is>
      </c>
      <c r="E1869" s="3" t="inlineStr">
        <is>
          <t>Supreme</t>
        </is>
      </c>
      <c r="F1869" s="3" t="inlineStr">
        <is>
          <t>Heavy Bodied (cPVC)</t>
        </is>
      </c>
      <c r="H1869" s="3" t="inlineStr">
        <is>
          <t>Quantity</t>
        </is>
      </c>
      <c r="I1869" s="3" t="inlineStr">
        <is>
          <t>500 ml</t>
        </is>
      </c>
      <c r="Q1869" s="3" t="inlineStr">
        <is>
          <t>Manufacturer's Warranty</t>
        </is>
      </c>
      <c r="Y1869" s="3" t="inlineStr">
        <is>
          <t>PLB_SOL_SPRM_HVYBND</t>
        </is>
      </c>
      <c r="Z1869" s="3" t="n">
        <v>3506</v>
      </c>
      <c r="AE1869" s="3" t="n">
        <v>170</v>
      </c>
      <c r="AF1869" s="4" t="n">
        <v>0.37</v>
      </c>
      <c r="AG1869" s="3">
        <f>ROUND(AE1869-(AE1869*AF1869),2)</f>
        <v/>
      </c>
      <c r="AH1869" s="4" t="n">
        <v>0.18</v>
      </c>
      <c r="AI1869" s="3">
        <f>ROUND(AG1869+(AG1869*AH1869),2)</f>
        <v/>
      </c>
      <c r="AJ1869" s="4" t="n">
        <v>0.15</v>
      </c>
      <c r="AK1869" s="3">
        <f>ROUND(AI1869*AJ1869,2)</f>
        <v/>
      </c>
      <c r="AL1869" s="3">
        <f>AI1869+AK1869</f>
        <v/>
      </c>
      <c r="AM1869" s="3">
        <f>AE1869-AL1869</f>
        <v/>
      </c>
      <c r="AN1869" s="4">
        <f>AM1869/AE1869</f>
        <v/>
      </c>
      <c r="AO1869" s="3" t="inlineStr">
        <is>
          <t>60 mins</t>
        </is>
      </c>
      <c r="AQ1869" s="3" t="inlineStr">
        <is>
          <t>Weight</t>
        </is>
      </c>
      <c r="AT1869" s="3" t="inlineStr">
        <is>
          <t>Inactive</t>
        </is>
      </c>
    </row>
    <row r="1870" ht="15.75" customHeight="1">
      <c r="A1870" s="3" t="inlineStr">
        <is>
          <t>PROD_0341</t>
        </is>
      </c>
      <c r="B1870" s="3" t="inlineStr">
        <is>
          <t>VAR_1</t>
        </is>
      </c>
      <c r="C1870" s="3" t="inlineStr">
        <is>
          <t>Plumbing</t>
        </is>
      </c>
      <c r="D1870" s="3" t="inlineStr">
        <is>
          <t>Adhesive Tape</t>
        </is>
      </c>
      <c r="E1870" s="3" t="inlineStr">
        <is>
          <t>Generic</t>
        </is>
      </c>
      <c r="F1870" s="3" t="inlineStr">
        <is>
          <t>Teflon Tape</t>
        </is>
      </c>
      <c r="Q1870" s="3" t="inlineStr">
        <is>
          <t>Manufacturer's Warranty</t>
        </is>
      </c>
      <c r="Y1870" s="3" t="inlineStr">
        <is>
          <t>PLB_GNRC_TFLNTPE</t>
        </is>
      </c>
      <c r="Z1870" s="3" t="n">
        <v>3506</v>
      </c>
      <c r="AE1870" s="3" t="n">
        <v>50</v>
      </c>
      <c r="AF1870" s="4" t="n">
        <v>0.75</v>
      </c>
      <c r="AG1870" s="3">
        <f>ROUND(AE1870-(AE1870*AF1870),2)</f>
        <v/>
      </c>
      <c r="AH1870" s="4" t="n">
        <v>0.18</v>
      </c>
      <c r="AI1870" s="3">
        <f>ROUND(AG1870+(AG1870*AH1870),2)</f>
        <v/>
      </c>
      <c r="AJ1870" s="4" t="n">
        <v>0.2</v>
      </c>
      <c r="AK1870" s="3">
        <f>ROUND(AI1870*AJ1870,2)</f>
        <v/>
      </c>
      <c r="AL1870" s="3">
        <f>AI1870+AK1870</f>
        <v/>
      </c>
      <c r="AM1870" s="3">
        <f>AE1870-AL1870</f>
        <v/>
      </c>
      <c r="AN1870" s="4">
        <f>AM1870/AE1870</f>
        <v/>
      </c>
      <c r="AO1870" s="3" t="inlineStr">
        <is>
          <t>60 mins</t>
        </is>
      </c>
      <c r="AQ1870" s="3" t="inlineStr">
        <is>
          <t>Weight</t>
        </is>
      </c>
      <c r="AT1870" s="3" t="inlineStr">
        <is>
          <t>Active</t>
        </is>
      </c>
    </row>
    <row r="1871" ht="15.75" customHeight="1">
      <c r="A1871" s="3" t="inlineStr">
        <is>
          <t>PROD_0342</t>
        </is>
      </c>
      <c r="B1871" s="3" t="inlineStr">
        <is>
          <t>VAR_1</t>
        </is>
      </c>
      <c r="C1871" s="3" t="inlineStr">
        <is>
          <t>Electrical Material</t>
        </is>
      </c>
      <c r="D1871" s="3" t="inlineStr">
        <is>
          <t>GI Box</t>
        </is>
      </c>
      <c r="E1871" s="3" t="inlineStr">
        <is>
          <t>Generic</t>
        </is>
      </c>
      <c r="F1871" s="3" t="inlineStr">
        <is>
          <t>GI Box</t>
        </is>
      </c>
      <c r="H1871" s="3" t="inlineStr">
        <is>
          <t>Size</t>
        </is>
      </c>
      <c r="I1871" s="3" t="inlineStr">
        <is>
          <t>3 in X 3 in</t>
        </is>
      </c>
      <c r="Q1871" s="3" t="inlineStr">
        <is>
          <t>Manufacturer's Warranty</t>
        </is>
      </c>
      <c r="AE1871" s="3" t="n">
        <v>99</v>
      </c>
      <c r="AF1871" s="4" t="n">
        <v>0.7</v>
      </c>
      <c r="AG1871" s="3">
        <f>ROUND(AE1871-(AE1871*AF1871),2)</f>
        <v/>
      </c>
      <c r="AH1871" s="4" t="n">
        <v>0.18</v>
      </c>
      <c r="AI1871" s="3">
        <f>ROUND(AG1871+(AG1871*AH1871),2)</f>
        <v/>
      </c>
      <c r="AJ1871" s="4" t="n">
        <v>0.15</v>
      </c>
      <c r="AK1871" s="3">
        <f>ROUND(AI1871*AJ1871,2)</f>
        <v/>
      </c>
      <c r="AL1871" s="3">
        <f>AI1871+AK1871</f>
        <v/>
      </c>
      <c r="AM1871" s="3">
        <f>AE1871-AL1871</f>
        <v/>
      </c>
      <c r="AN1871" s="4">
        <f>AM1871/AE1871</f>
        <v/>
      </c>
      <c r="AO1871" s="3" t="inlineStr">
        <is>
          <t>60 mins</t>
        </is>
      </c>
      <c r="AS1871" s="3" t="inlineStr">
        <is>
          <t xml:space="preserve"> Metal Modular Box can be used both in industries and individual houses/flats. Modular boxes are used behind switch boards during construction. It is made of GI sheet and is available in both 18 Gauge and 20 Gauge.</t>
        </is>
      </c>
      <c r="AT1871" s="3" t="inlineStr">
        <is>
          <t>60 mins</t>
        </is>
      </c>
    </row>
    <row r="1872" ht="15.75" customHeight="1">
      <c r="A1872" s="3" t="inlineStr">
        <is>
          <t>PROD_0342</t>
        </is>
      </c>
      <c r="B1872" s="3" t="inlineStr">
        <is>
          <t>VAR_2</t>
        </is>
      </c>
      <c r="C1872" s="3" t="inlineStr">
        <is>
          <t>Electrical Material</t>
        </is>
      </c>
      <c r="D1872" s="3" t="inlineStr">
        <is>
          <t>GI Box</t>
        </is>
      </c>
      <c r="E1872" s="3" t="inlineStr">
        <is>
          <t>Generic</t>
        </is>
      </c>
      <c r="F1872" s="3" t="inlineStr">
        <is>
          <t>GI Box</t>
        </is>
      </c>
      <c r="H1872" s="3" t="inlineStr">
        <is>
          <t>Size</t>
        </is>
      </c>
      <c r="I1872" s="3" t="inlineStr">
        <is>
          <t>4 in X 3 in</t>
        </is>
      </c>
      <c r="Q1872" s="3" t="inlineStr">
        <is>
          <t>Manufacturer's Warranty</t>
        </is>
      </c>
      <c r="AE1872" s="3" t="n">
        <v>125</v>
      </c>
      <c r="AF1872" s="4" t="n">
        <v>0.7</v>
      </c>
      <c r="AG1872" s="3">
        <f>ROUND(AE1872-(AE1872*AF1872),2)</f>
        <v/>
      </c>
      <c r="AH1872" s="4" t="n">
        <v>0.18</v>
      </c>
      <c r="AI1872" s="3">
        <f>ROUND(AG1872+(AG1872*AH1872),2)</f>
        <v/>
      </c>
      <c r="AJ1872" s="4" t="n">
        <v>0.15</v>
      </c>
      <c r="AK1872" s="3">
        <f>ROUND(AI1872*AJ1872,2)</f>
        <v/>
      </c>
      <c r="AL1872" s="3">
        <f>AI1872+AK1872</f>
        <v/>
      </c>
      <c r="AM1872" s="3">
        <f>AE1872-AL1872</f>
        <v/>
      </c>
      <c r="AN1872" s="4">
        <f>AM1872/AE1872</f>
        <v/>
      </c>
      <c r="AO1872" s="3" t="inlineStr">
        <is>
          <t>60 mins</t>
        </is>
      </c>
      <c r="AS1872" s="3" t="inlineStr">
        <is>
          <t xml:space="preserve"> Metal Modular Box can be used both in industries and individual houses/flats. Modular boxes are used behind switch boards during construction. It is made of GI sheet and is available in both 18 Gauge and 20 Gauge.</t>
        </is>
      </c>
      <c r="AT1872" s="3" t="inlineStr">
        <is>
          <t>60 mins</t>
        </is>
      </c>
    </row>
    <row r="1873" ht="15.75" customHeight="1">
      <c r="A1873" s="3" t="inlineStr">
        <is>
          <t>PROD_0342</t>
        </is>
      </c>
      <c r="B1873" s="3" t="inlineStr">
        <is>
          <t>VAR_3</t>
        </is>
      </c>
      <c r="C1873" s="3" t="inlineStr">
        <is>
          <t>Electrical Material</t>
        </is>
      </c>
      <c r="D1873" s="3" t="inlineStr">
        <is>
          <t>GI Box</t>
        </is>
      </c>
      <c r="E1873" s="3" t="inlineStr">
        <is>
          <t>Generic</t>
        </is>
      </c>
      <c r="F1873" s="3" t="inlineStr">
        <is>
          <t>GI Box</t>
        </is>
      </c>
      <c r="H1873" s="3" t="inlineStr">
        <is>
          <t>Size</t>
        </is>
      </c>
      <c r="I1873" s="3" t="inlineStr">
        <is>
          <t>5 in X 3 in</t>
        </is>
      </c>
      <c r="Q1873" s="3" t="inlineStr">
        <is>
          <t>Manufacturer's Warranty</t>
        </is>
      </c>
      <c r="AE1873" s="3" t="n">
        <v>150</v>
      </c>
      <c r="AF1873" s="4" t="n">
        <v>0.7</v>
      </c>
      <c r="AG1873" s="3">
        <f>ROUND(AE1873-(AE1873*AF1873),2)</f>
        <v/>
      </c>
      <c r="AH1873" s="4" t="n">
        <v>0.18</v>
      </c>
      <c r="AI1873" s="3">
        <f>ROUND(AG1873+(AG1873*AH1873),2)</f>
        <v/>
      </c>
      <c r="AJ1873" s="4" t="n">
        <v>0.15</v>
      </c>
      <c r="AK1873" s="3">
        <f>ROUND(AI1873*AJ1873,2)</f>
        <v/>
      </c>
      <c r="AL1873" s="3">
        <f>AI1873+AK1873</f>
        <v/>
      </c>
      <c r="AM1873" s="3">
        <f>AE1873-AL1873</f>
        <v/>
      </c>
      <c r="AN1873" s="4">
        <f>AM1873/AE1873</f>
        <v/>
      </c>
      <c r="AO1873" s="3" t="inlineStr">
        <is>
          <t>60 mins</t>
        </is>
      </c>
      <c r="AS1873" s="3" t="inlineStr">
        <is>
          <t xml:space="preserve"> Metal Modular Box can be used both in industries and individual houses/flats. Modular boxes are used behind switch boards during construction. It is made of GI sheet and is available in both 18 Gauge and 20 Gauge.</t>
        </is>
      </c>
      <c r="AT1873" s="3" t="inlineStr">
        <is>
          <t>60 mins</t>
        </is>
      </c>
    </row>
    <row r="1874" ht="15.75" customHeight="1">
      <c r="A1874" s="3" t="inlineStr">
        <is>
          <t>PROD_0342</t>
        </is>
      </c>
      <c r="B1874" s="3" t="inlineStr">
        <is>
          <t>VAR_4</t>
        </is>
      </c>
      <c r="C1874" s="3" t="inlineStr">
        <is>
          <t>Electrical Material</t>
        </is>
      </c>
      <c r="D1874" s="3" t="inlineStr">
        <is>
          <t>GI Box</t>
        </is>
      </c>
      <c r="E1874" s="3" t="inlineStr">
        <is>
          <t>Generic</t>
        </is>
      </c>
      <c r="F1874" s="3" t="inlineStr">
        <is>
          <t>GI Box</t>
        </is>
      </c>
      <c r="H1874" s="3" t="inlineStr">
        <is>
          <t>Size</t>
        </is>
      </c>
      <c r="I1874" s="3" t="inlineStr">
        <is>
          <t>5 in X 5 in</t>
        </is>
      </c>
      <c r="Q1874" s="3" t="inlineStr">
        <is>
          <t>Manufacturer's Warranty</t>
        </is>
      </c>
      <c r="AE1874" s="3" t="n">
        <v>199</v>
      </c>
      <c r="AF1874" s="4" t="n">
        <v>0.7</v>
      </c>
      <c r="AG1874" s="3">
        <f>ROUND(AE1874-(AE1874*AF1874),2)</f>
        <v/>
      </c>
      <c r="AH1874" s="4" t="n">
        <v>0.18</v>
      </c>
      <c r="AI1874" s="3">
        <f>ROUND(AG1874+(AG1874*AH1874),2)</f>
        <v/>
      </c>
      <c r="AJ1874" s="4" t="n">
        <v>0.15</v>
      </c>
      <c r="AK1874" s="3">
        <f>ROUND(AI1874*AJ1874,2)</f>
        <v/>
      </c>
      <c r="AL1874" s="3">
        <f>AI1874+AK1874</f>
        <v/>
      </c>
      <c r="AM1874" s="3">
        <f>AE1874-AL1874</f>
        <v/>
      </c>
      <c r="AN1874" s="4">
        <f>AM1874/AE1874</f>
        <v/>
      </c>
      <c r="AO1874" s="3" t="inlineStr">
        <is>
          <t>60 mins</t>
        </is>
      </c>
      <c r="AS1874" s="3" t="inlineStr">
        <is>
          <t xml:space="preserve"> Metal Modular Box can be used both in industries and individual houses/flats. Modular boxes are used behind switch boards during construction. It is made of GI sheet and is available in both 18 Gauge and 20 Gauge.</t>
        </is>
      </c>
      <c r="AT1874" s="3" t="inlineStr">
        <is>
          <t>60 mins</t>
        </is>
      </c>
    </row>
    <row r="1875" ht="15.75" customHeight="1">
      <c r="A1875" s="3" t="inlineStr">
        <is>
          <t>PROD_0342</t>
        </is>
      </c>
      <c r="B1875" s="3" t="inlineStr">
        <is>
          <t>VAR_5</t>
        </is>
      </c>
      <c r="C1875" s="3" t="inlineStr">
        <is>
          <t>Electrical Material</t>
        </is>
      </c>
      <c r="D1875" s="3" t="inlineStr">
        <is>
          <t>GI Box</t>
        </is>
      </c>
      <c r="E1875" s="3" t="inlineStr">
        <is>
          <t>Generic</t>
        </is>
      </c>
      <c r="F1875" s="3" t="inlineStr">
        <is>
          <t>GI Box</t>
        </is>
      </c>
      <c r="H1875" s="3" t="inlineStr">
        <is>
          <t>Size</t>
        </is>
      </c>
      <c r="I1875" s="3" t="inlineStr">
        <is>
          <t>8 in X 3 in</t>
        </is>
      </c>
      <c r="Q1875" s="3" t="inlineStr">
        <is>
          <t>Manufacturer's Warranty</t>
        </is>
      </c>
      <c r="AE1875" s="3" t="n">
        <v>189</v>
      </c>
      <c r="AF1875" s="4" t="n">
        <v>0.7</v>
      </c>
      <c r="AG1875" s="3">
        <f>ROUND(AE1875-(AE1875*AF1875),2)</f>
        <v/>
      </c>
      <c r="AH1875" s="4" t="n">
        <v>0.18</v>
      </c>
      <c r="AI1875" s="3">
        <f>ROUND(AG1875+(AG1875*AH1875),2)</f>
        <v/>
      </c>
      <c r="AJ1875" s="4" t="n">
        <v>0.15</v>
      </c>
      <c r="AK1875" s="3">
        <f>ROUND(AI1875*AJ1875,2)</f>
        <v/>
      </c>
      <c r="AL1875" s="3">
        <f>AI1875+AK1875</f>
        <v/>
      </c>
      <c r="AM1875" s="3">
        <f>AE1875-AL1875</f>
        <v/>
      </c>
      <c r="AN1875" s="4">
        <f>AM1875/AE1875</f>
        <v/>
      </c>
      <c r="AO1875" s="3" t="inlineStr">
        <is>
          <t>60 mins</t>
        </is>
      </c>
      <c r="AS1875" s="3" t="inlineStr">
        <is>
          <t xml:space="preserve"> Metal Modular Box can be used both in industries and individual houses/flats. Modular boxes are used behind switch boards during construction. It is made of GI sheet and is available in both 18 Gauge and 20 Gauge.</t>
        </is>
      </c>
      <c r="AT1875" s="3" t="inlineStr">
        <is>
          <t>60 mins</t>
        </is>
      </c>
    </row>
    <row r="1876" ht="15.75" customHeight="1">
      <c r="A1876" s="3" t="inlineStr">
        <is>
          <t>PROD_0342</t>
        </is>
      </c>
      <c r="B1876" s="3" t="inlineStr">
        <is>
          <t>VAR_6</t>
        </is>
      </c>
      <c r="C1876" s="3" t="inlineStr">
        <is>
          <t>Electrical Material</t>
        </is>
      </c>
      <c r="D1876" s="3" t="inlineStr">
        <is>
          <t>GI Box</t>
        </is>
      </c>
      <c r="E1876" s="3" t="inlineStr">
        <is>
          <t>Generic</t>
        </is>
      </c>
      <c r="F1876" s="3" t="inlineStr">
        <is>
          <t>GI Box</t>
        </is>
      </c>
      <c r="H1876" s="3" t="inlineStr">
        <is>
          <t>Size</t>
        </is>
      </c>
      <c r="I1876" s="3" t="inlineStr">
        <is>
          <t>8 in X 6 in</t>
        </is>
      </c>
      <c r="Q1876" s="3" t="inlineStr">
        <is>
          <t>Manufacturer's Warranty</t>
        </is>
      </c>
      <c r="AE1876" s="3" t="n">
        <v>225</v>
      </c>
      <c r="AF1876" s="4" t="n">
        <v>0.7</v>
      </c>
      <c r="AG1876" s="3">
        <f>ROUND(AE1876-(AE1876*AF1876),2)</f>
        <v/>
      </c>
      <c r="AH1876" s="4" t="n">
        <v>0.18</v>
      </c>
      <c r="AI1876" s="3">
        <f>ROUND(AG1876+(AG1876*AH1876),2)</f>
        <v/>
      </c>
      <c r="AJ1876" s="4" t="n">
        <v>0.15</v>
      </c>
      <c r="AK1876" s="3">
        <f>ROUND(AI1876*AJ1876,2)</f>
        <v/>
      </c>
      <c r="AL1876" s="3">
        <f>AI1876+AK1876</f>
        <v/>
      </c>
      <c r="AM1876" s="3">
        <f>AE1876-AL1876</f>
        <v/>
      </c>
      <c r="AN1876" s="4">
        <f>AM1876/AE1876</f>
        <v/>
      </c>
      <c r="AO1876" s="3" t="inlineStr">
        <is>
          <t>60 mins</t>
        </is>
      </c>
      <c r="AS1876" s="3" t="inlineStr">
        <is>
          <t xml:space="preserve"> Metal Modular Box can be used both in industries and individual houses/flats. Modular boxes are used behind switch boards during construction. It is made of GI sheet and is available in both 18 Gauge and 20 Gauge.</t>
        </is>
      </c>
      <c r="AT1876" s="3" t="inlineStr">
        <is>
          <t>60 mins</t>
        </is>
      </c>
    </row>
    <row r="1877" ht="15.75" customHeight="1">
      <c r="A1877" s="3" t="inlineStr">
        <is>
          <t>PROD_0342</t>
        </is>
      </c>
      <c r="B1877" s="3" t="inlineStr">
        <is>
          <t>VAR_7</t>
        </is>
      </c>
      <c r="C1877" s="3" t="inlineStr">
        <is>
          <t>Electrical Material</t>
        </is>
      </c>
      <c r="D1877" s="3" t="inlineStr">
        <is>
          <t>GI Box</t>
        </is>
      </c>
      <c r="E1877" s="3" t="inlineStr">
        <is>
          <t>Generic</t>
        </is>
      </c>
      <c r="F1877" s="3" t="inlineStr">
        <is>
          <t>GI Box</t>
        </is>
      </c>
      <c r="H1877" s="3" t="inlineStr">
        <is>
          <t>Size</t>
        </is>
      </c>
      <c r="I1877" s="3" t="inlineStr">
        <is>
          <t>9 in X 3 in</t>
        </is>
      </c>
      <c r="Q1877" s="3" t="inlineStr">
        <is>
          <t>Manufacturer's Warranty</t>
        </is>
      </c>
      <c r="AE1877" s="3" t="n">
        <v>279</v>
      </c>
      <c r="AF1877" s="4" t="n">
        <v>0.7</v>
      </c>
      <c r="AG1877" s="3">
        <f>ROUND(AE1877-(AE1877*AF1877),2)</f>
        <v/>
      </c>
      <c r="AH1877" s="4" t="n">
        <v>0.18</v>
      </c>
      <c r="AI1877" s="3">
        <f>ROUND(AG1877+(AG1877*AH1877),2)</f>
        <v/>
      </c>
      <c r="AJ1877" s="4" t="n">
        <v>0.15</v>
      </c>
      <c r="AK1877" s="3">
        <f>ROUND(AI1877*AJ1877,2)</f>
        <v/>
      </c>
      <c r="AL1877" s="3">
        <f>AI1877+AK1877</f>
        <v/>
      </c>
      <c r="AM1877" s="3">
        <f>AE1877-AL1877</f>
        <v/>
      </c>
      <c r="AN1877" s="4">
        <f>AM1877/AE1877</f>
        <v/>
      </c>
      <c r="AO1877" s="3" t="inlineStr">
        <is>
          <t>60 mins</t>
        </is>
      </c>
      <c r="AS1877" s="3" t="inlineStr">
        <is>
          <t xml:space="preserve"> Metal Modular Box can be used both in industries and individual houses/flats. Modular boxes are used behind switch boards during construction. It is made of GI sheet and is available in both 18 Gauge and 20 Gauge.</t>
        </is>
      </c>
      <c r="AT1877" s="3" t="inlineStr">
        <is>
          <t>60 mins</t>
        </is>
      </c>
    </row>
    <row r="1878" ht="15.75" customHeight="1">
      <c r="A1878" s="3" t="inlineStr">
        <is>
          <t>PROD_0343</t>
        </is>
      </c>
      <c r="B1878" s="3" t="inlineStr">
        <is>
          <t>VAR_1</t>
        </is>
      </c>
      <c r="C1878" s="3" t="inlineStr">
        <is>
          <t>Electrical Material</t>
        </is>
      </c>
      <c r="D1878" s="3" t="inlineStr">
        <is>
          <t>Pipe</t>
        </is>
      </c>
      <c r="E1878" s="3" t="inlineStr">
        <is>
          <t>Generic</t>
        </is>
      </c>
      <c r="F1878" s="3" t="inlineStr">
        <is>
          <t>PVC conduit pipe</t>
        </is>
      </c>
      <c r="H1878" s="3" t="inlineStr">
        <is>
          <t>Size</t>
        </is>
      </c>
      <c r="I1878" s="3" t="inlineStr">
        <is>
          <t>20 mm</t>
        </is>
      </c>
      <c r="Q1878" s="3" t="inlineStr">
        <is>
          <t>Manufacturer's Warranty</t>
        </is>
      </c>
      <c r="AE1878" s="3" t="n">
        <v>139</v>
      </c>
      <c r="AF1878" s="4" t="n">
        <v>0.7</v>
      </c>
      <c r="AG1878" s="3">
        <f>ROUND(AE1878-(AE1878*AF1878),2)</f>
        <v/>
      </c>
      <c r="AH1878" s="4" t="n">
        <v>0.18</v>
      </c>
      <c r="AI1878" s="3">
        <f>ROUND(AG1878+(AG1878*AH1878),2)</f>
        <v/>
      </c>
      <c r="AJ1878" s="4" t="n">
        <v>0.15</v>
      </c>
      <c r="AK1878" s="3">
        <f>ROUND(AI1878*AJ1878,2)</f>
        <v/>
      </c>
      <c r="AL1878" s="3">
        <f>AI1878+AK1878</f>
        <v/>
      </c>
      <c r="AM1878" s="3">
        <f>AE1878-AL1878</f>
        <v/>
      </c>
      <c r="AN1878" s="4">
        <f>AM1878/AE1878</f>
        <v/>
      </c>
      <c r="AO1878" s="3" t="inlineStr">
        <is>
          <t>60 mins</t>
        </is>
      </c>
      <c r="AS1878" s="3" t="inlineStr">
        <is>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is>
      </c>
      <c r="AT1878" s="3" t="inlineStr">
        <is>
          <t>60 mins</t>
        </is>
      </c>
    </row>
    <row r="1879" ht="15.75" customHeight="1">
      <c r="A1879" s="3" t="inlineStr">
        <is>
          <t>PROD_0343</t>
        </is>
      </c>
      <c r="B1879" s="3" t="inlineStr">
        <is>
          <t>VAR_2</t>
        </is>
      </c>
      <c r="C1879" s="3" t="inlineStr">
        <is>
          <t>Electrical Material</t>
        </is>
      </c>
      <c r="D1879" s="3" t="inlineStr">
        <is>
          <t>Pipe</t>
        </is>
      </c>
      <c r="E1879" s="3" t="inlineStr">
        <is>
          <t>Generic</t>
        </is>
      </c>
      <c r="F1879" s="3" t="inlineStr">
        <is>
          <t>PVC conduit pipe</t>
        </is>
      </c>
      <c r="H1879" s="3" t="inlineStr">
        <is>
          <t>Size</t>
        </is>
      </c>
      <c r="I1879" s="3" t="inlineStr">
        <is>
          <t>25 mm</t>
        </is>
      </c>
      <c r="Q1879" s="3" t="inlineStr">
        <is>
          <t>Manufacturer's Warranty</t>
        </is>
      </c>
      <c r="AE1879" s="3" t="n">
        <v>199</v>
      </c>
      <c r="AF1879" s="4" t="n">
        <v>0.7</v>
      </c>
      <c r="AG1879" s="3">
        <f>ROUND(AE1879-(AE1879*AF1879),2)</f>
        <v/>
      </c>
      <c r="AH1879" s="4" t="n">
        <v>0.18</v>
      </c>
      <c r="AI1879" s="3">
        <f>ROUND(AG1879+(AG1879*AH1879),2)</f>
        <v/>
      </c>
      <c r="AJ1879" s="4" t="n">
        <v>0.15</v>
      </c>
      <c r="AK1879" s="3">
        <f>ROUND(AI1879*AJ1879,2)</f>
        <v/>
      </c>
      <c r="AL1879" s="3">
        <f>AI1879+AK1879</f>
        <v/>
      </c>
      <c r="AM1879" s="3">
        <f>AE1879-AL1879</f>
        <v/>
      </c>
      <c r="AN1879" s="4">
        <f>AM1879/AE1879</f>
        <v/>
      </c>
      <c r="AO1879" s="3" t="inlineStr">
        <is>
          <t>60 mins</t>
        </is>
      </c>
      <c r="AS1879" s="3" t="inlineStr">
        <is>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is>
      </c>
      <c r="AT1879" s="3" t="inlineStr">
        <is>
          <t>60 mins</t>
        </is>
      </c>
    </row>
    <row r="1880" ht="15.75" customHeight="1">
      <c r="A1880" s="3" t="inlineStr">
        <is>
          <t>PROD_0344</t>
        </is>
      </c>
      <c r="B1880" s="3" t="inlineStr">
        <is>
          <t>VAR_1</t>
        </is>
      </c>
      <c r="C1880" s="3" t="inlineStr">
        <is>
          <t>Electrical Material</t>
        </is>
      </c>
      <c r="D1880" s="3" t="inlineStr">
        <is>
          <t>Clip</t>
        </is>
      </c>
      <c r="E1880" s="3" t="inlineStr">
        <is>
          <t>Generic</t>
        </is>
      </c>
      <c r="F1880" s="3" t="inlineStr">
        <is>
          <t>Pvc  white Cable Clip</t>
        </is>
      </c>
      <c r="H1880" s="3" t="inlineStr">
        <is>
          <t>Size</t>
        </is>
      </c>
      <c r="I1880" s="3" t="inlineStr">
        <is>
          <t>20 mm</t>
        </is>
      </c>
      <c r="J1880" s="3" t="inlineStr">
        <is>
          <t xml:space="preserve">Package </t>
        </is>
      </c>
      <c r="K1880" s="3" t="inlineStr">
        <is>
          <t>100 Pcs</t>
        </is>
      </c>
      <c r="Q1880" s="3" t="inlineStr">
        <is>
          <t>Manufacturer's Warranty</t>
        </is>
      </c>
      <c r="Y1880" s="3" t="inlineStr">
        <is>
          <t>CLIP_GEN_PVC_WHITE</t>
        </is>
      </c>
      <c r="AE1880" s="3" t="n">
        <v>499</v>
      </c>
      <c r="AF1880" s="4" t="n">
        <v>0.7</v>
      </c>
      <c r="AG1880" s="3">
        <f>ROUND(AE1880-(AE1880*AF1880),2)</f>
        <v/>
      </c>
      <c r="AH1880" s="4" t="n">
        <v>0.18</v>
      </c>
      <c r="AI1880" s="3">
        <f>ROUND(AG1880+(AG1880*AH1880),2)</f>
        <v/>
      </c>
      <c r="AJ1880" s="4" t="n">
        <v>0.15</v>
      </c>
      <c r="AK1880" s="3">
        <f>ROUND(AI1880*AJ1880,2)</f>
        <v/>
      </c>
      <c r="AL1880" s="3">
        <f>AI1880+AK1880</f>
        <v/>
      </c>
      <c r="AM1880" s="3">
        <f>AE1880-AL1880</f>
        <v/>
      </c>
      <c r="AN1880" s="4">
        <f>AM1880/AE1880</f>
        <v/>
      </c>
      <c r="AO1880" s="3" t="inlineStr">
        <is>
          <t>60 mins</t>
        </is>
      </c>
      <c r="AT1880" s="3" t="inlineStr">
        <is>
          <t>60 mins</t>
        </is>
      </c>
    </row>
    <row r="1881" ht="15.75" customHeight="1">
      <c r="A1881" s="3" t="inlineStr">
        <is>
          <t>PROD_0345</t>
        </is>
      </c>
      <c r="B1881" s="3" t="inlineStr">
        <is>
          <t>VAR_1</t>
        </is>
      </c>
      <c r="C1881" s="3" t="inlineStr">
        <is>
          <t>Electrical Material</t>
        </is>
      </c>
      <c r="D1881" s="3" t="inlineStr">
        <is>
          <t>Tape</t>
        </is>
      </c>
      <c r="E1881" s="3" t="inlineStr">
        <is>
          <t>Generic</t>
        </is>
      </c>
      <c r="F1881" s="3" t="inlineStr">
        <is>
          <t>Electrical Tape</t>
        </is>
      </c>
      <c r="H1881" s="3" t="inlineStr">
        <is>
          <t>Color</t>
        </is>
      </c>
      <c r="I1881" s="3" t="inlineStr">
        <is>
          <t>Red</t>
        </is>
      </c>
      <c r="J1881" s="3" t="inlineStr">
        <is>
          <t xml:space="preserve">Package </t>
        </is>
      </c>
      <c r="K1881" s="3" t="inlineStr">
        <is>
          <t>10 Pcs</t>
        </is>
      </c>
      <c r="Q1881" s="3" t="inlineStr">
        <is>
          <t>Manufacturer's Warranty</t>
        </is>
      </c>
      <c r="AE1881" s="3" t="n">
        <v>349</v>
      </c>
      <c r="AF1881" s="4" t="n">
        <v>0.7</v>
      </c>
      <c r="AG1881" s="3">
        <f>ROUND(AE1881-(AE1881*AF1881),2)</f>
        <v/>
      </c>
      <c r="AH1881" s="4" t="n">
        <v>0.18</v>
      </c>
      <c r="AI1881" s="3">
        <f>ROUND(AG1881+(AG1881*AH1881),2)</f>
        <v/>
      </c>
      <c r="AJ1881" s="4" t="n">
        <v>0.15</v>
      </c>
      <c r="AK1881" s="3">
        <f>ROUND(AI1881*AJ1881,2)</f>
        <v/>
      </c>
      <c r="AL1881" s="3">
        <f>AI1881+AK1881</f>
        <v/>
      </c>
      <c r="AM1881" s="3">
        <f>AE1881-AL1881</f>
        <v/>
      </c>
      <c r="AN1881" s="4">
        <f>AM1881/AE1881</f>
        <v/>
      </c>
      <c r="AO1881" s="3" t="inlineStr">
        <is>
          <t>60 mins</t>
        </is>
      </c>
      <c r="AT1881" s="3" t="inlineStr">
        <is>
          <t>60 mins</t>
        </is>
      </c>
    </row>
    <row r="1882" ht="15.75" customHeight="1">
      <c r="A1882" s="3" t="inlineStr">
        <is>
          <t>PROD_0345</t>
        </is>
      </c>
      <c r="B1882" s="3" t="inlineStr">
        <is>
          <t>VAR_2</t>
        </is>
      </c>
      <c r="C1882" s="3" t="inlineStr">
        <is>
          <t>Electrical Material</t>
        </is>
      </c>
      <c r="D1882" s="3" t="inlineStr">
        <is>
          <t>Tape</t>
        </is>
      </c>
      <c r="E1882" s="3" t="inlineStr">
        <is>
          <t>Generic</t>
        </is>
      </c>
      <c r="F1882" s="3" t="inlineStr">
        <is>
          <t>Electrical Tape</t>
        </is>
      </c>
      <c r="H1882" s="3" t="inlineStr">
        <is>
          <t>Color</t>
        </is>
      </c>
      <c r="I1882" s="3" t="inlineStr">
        <is>
          <t>Yellow</t>
        </is>
      </c>
      <c r="J1882" s="3" t="inlineStr">
        <is>
          <t xml:space="preserve">Package </t>
        </is>
      </c>
      <c r="K1882" s="3" t="inlineStr">
        <is>
          <t>10 Pcs</t>
        </is>
      </c>
      <c r="Q1882" s="3" t="inlineStr">
        <is>
          <t>Manufacturer's Warranty</t>
        </is>
      </c>
      <c r="AE1882" s="3" t="n">
        <v>349</v>
      </c>
      <c r="AF1882" s="4" t="n">
        <v>0.7</v>
      </c>
      <c r="AG1882" s="3">
        <f>ROUND(AE1882-(AE1882*AF1882),2)</f>
        <v/>
      </c>
      <c r="AH1882" s="4" t="n">
        <v>0.18</v>
      </c>
      <c r="AI1882" s="3">
        <f>ROUND(AG1882+(AG1882*AH1882),2)</f>
        <v/>
      </c>
      <c r="AJ1882" s="4" t="n">
        <v>0.15</v>
      </c>
      <c r="AK1882" s="3">
        <f>ROUND(AI1882*AJ1882,2)</f>
        <v/>
      </c>
      <c r="AL1882" s="3">
        <f>AI1882+AK1882</f>
        <v/>
      </c>
      <c r="AM1882" s="3">
        <f>AE1882-AL1882</f>
        <v/>
      </c>
      <c r="AN1882" s="4">
        <f>AM1882/AE1882</f>
        <v/>
      </c>
      <c r="AO1882" s="3" t="inlineStr">
        <is>
          <t>60 mins</t>
        </is>
      </c>
      <c r="AT1882" s="3" t="inlineStr">
        <is>
          <t>60 mins</t>
        </is>
      </c>
    </row>
    <row r="1883" ht="15.75" customHeight="1">
      <c r="A1883" s="3" t="inlineStr">
        <is>
          <t>PROD_0345</t>
        </is>
      </c>
      <c r="B1883" s="3" t="inlineStr">
        <is>
          <t>VAR_3</t>
        </is>
      </c>
      <c r="C1883" s="3" t="inlineStr">
        <is>
          <t>Electrical Material</t>
        </is>
      </c>
      <c r="D1883" s="3" t="inlineStr">
        <is>
          <t>Tape</t>
        </is>
      </c>
      <c r="E1883" s="3" t="inlineStr">
        <is>
          <t>Generic</t>
        </is>
      </c>
      <c r="F1883" s="3" t="inlineStr">
        <is>
          <t>Electrical Tape</t>
        </is>
      </c>
      <c r="H1883" s="3" t="inlineStr">
        <is>
          <t>Color</t>
        </is>
      </c>
      <c r="I1883" s="3" t="inlineStr">
        <is>
          <t>Black</t>
        </is>
      </c>
      <c r="J1883" s="3" t="inlineStr">
        <is>
          <t xml:space="preserve">Package </t>
        </is>
      </c>
      <c r="K1883" s="3" t="inlineStr">
        <is>
          <t>10 Pcs</t>
        </is>
      </c>
      <c r="Q1883" s="3" t="inlineStr">
        <is>
          <t>Manufacturer's Warranty</t>
        </is>
      </c>
      <c r="AE1883" s="3" t="n">
        <v>349</v>
      </c>
      <c r="AF1883" s="4" t="n">
        <v>0.7</v>
      </c>
      <c r="AG1883" s="3">
        <f>ROUND(AE1883-(AE1883*AF1883),2)</f>
        <v/>
      </c>
      <c r="AH1883" s="4" t="n">
        <v>0.18</v>
      </c>
      <c r="AI1883" s="3">
        <f>ROUND(AG1883+(AG1883*AH1883),2)</f>
        <v/>
      </c>
      <c r="AJ1883" s="4" t="n">
        <v>0.15</v>
      </c>
      <c r="AK1883" s="3">
        <f>ROUND(AI1883*AJ1883,2)</f>
        <v/>
      </c>
      <c r="AL1883" s="3">
        <f>AI1883+AK1883</f>
        <v/>
      </c>
      <c r="AM1883" s="3">
        <f>AE1883-AL1883</f>
        <v/>
      </c>
      <c r="AN1883" s="4">
        <f>AM1883/AE1883</f>
        <v/>
      </c>
      <c r="AO1883" s="3" t="inlineStr">
        <is>
          <t>60 mins</t>
        </is>
      </c>
      <c r="AT1883" s="3" t="inlineStr">
        <is>
          <t>60 mins</t>
        </is>
      </c>
    </row>
    <row r="1884" ht="15.75" customHeight="1">
      <c r="A1884" s="3" t="inlineStr">
        <is>
          <t>PROD_0345</t>
        </is>
      </c>
      <c r="B1884" s="3" t="inlineStr">
        <is>
          <t>VAR_4</t>
        </is>
      </c>
      <c r="C1884" s="3" t="inlineStr">
        <is>
          <t>Electrical Material</t>
        </is>
      </c>
      <c r="D1884" s="3" t="inlineStr">
        <is>
          <t>Tape</t>
        </is>
      </c>
      <c r="E1884" s="3" t="inlineStr">
        <is>
          <t>Generic</t>
        </is>
      </c>
      <c r="F1884" s="3" t="inlineStr">
        <is>
          <t>Electrical Tape</t>
        </is>
      </c>
      <c r="H1884" s="3" t="inlineStr">
        <is>
          <t>Color</t>
        </is>
      </c>
      <c r="I1884" s="3" t="inlineStr">
        <is>
          <t>Green</t>
        </is>
      </c>
      <c r="J1884" s="3" t="inlineStr">
        <is>
          <t xml:space="preserve">Package </t>
        </is>
      </c>
      <c r="K1884" s="3" t="inlineStr">
        <is>
          <t>10 Pcs</t>
        </is>
      </c>
      <c r="Q1884" s="3" t="inlineStr">
        <is>
          <t>Manufacturer's Warranty</t>
        </is>
      </c>
      <c r="AE1884" s="3" t="n">
        <v>349</v>
      </c>
      <c r="AF1884" s="4" t="n">
        <v>0.7</v>
      </c>
      <c r="AG1884" s="3">
        <f>ROUND(AE1884-(AE1884*AF1884),2)</f>
        <v/>
      </c>
      <c r="AH1884" s="4" t="n">
        <v>0.18</v>
      </c>
      <c r="AI1884" s="3">
        <f>ROUND(AG1884+(AG1884*AH1884),2)</f>
        <v/>
      </c>
      <c r="AJ1884" s="4" t="n">
        <v>0.15</v>
      </c>
      <c r="AK1884" s="3">
        <f>ROUND(AI1884*AJ1884,2)</f>
        <v/>
      </c>
      <c r="AL1884" s="3">
        <f>AI1884+AK1884</f>
        <v/>
      </c>
      <c r="AM1884" s="3">
        <f>AE1884-AL1884</f>
        <v/>
      </c>
      <c r="AN1884" s="4">
        <f>AM1884/AE1884</f>
        <v/>
      </c>
      <c r="AO1884" s="3" t="inlineStr">
        <is>
          <t>60 mins</t>
        </is>
      </c>
      <c r="AT1884" s="3" t="inlineStr">
        <is>
          <t>60 mins</t>
        </is>
      </c>
    </row>
    <row r="1885" ht="15.75" customHeight="1">
      <c r="A1885" s="3" t="inlineStr">
        <is>
          <t>PROD_0345</t>
        </is>
      </c>
      <c r="B1885" s="3" t="inlineStr">
        <is>
          <t>VAR_5</t>
        </is>
      </c>
      <c r="C1885" s="3" t="inlineStr">
        <is>
          <t>Electrical Material</t>
        </is>
      </c>
      <c r="D1885" s="3" t="inlineStr">
        <is>
          <t>Tape</t>
        </is>
      </c>
      <c r="E1885" s="3" t="inlineStr">
        <is>
          <t>Generic</t>
        </is>
      </c>
      <c r="F1885" s="3" t="inlineStr">
        <is>
          <t>Electrical Tape</t>
        </is>
      </c>
      <c r="H1885" s="3" t="inlineStr">
        <is>
          <t>Color</t>
        </is>
      </c>
      <c r="I1885" s="3" t="inlineStr">
        <is>
          <t>White</t>
        </is>
      </c>
      <c r="J1885" s="3" t="inlineStr">
        <is>
          <t xml:space="preserve">Package </t>
        </is>
      </c>
      <c r="K1885" s="3" t="inlineStr">
        <is>
          <t>10 Pcs</t>
        </is>
      </c>
      <c r="Q1885" s="3" t="inlineStr">
        <is>
          <t>Manufacturer's Warranty</t>
        </is>
      </c>
      <c r="AE1885" s="3" t="n">
        <v>349</v>
      </c>
      <c r="AF1885" s="4" t="n">
        <v>0.7</v>
      </c>
      <c r="AG1885" s="3">
        <f>ROUND(AE1885-(AE1885*AF1885),2)</f>
        <v/>
      </c>
      <c r="AH1885" s="4" t="n">
        <v>0.18</v>
      </c>
      <c r="AI1885" s="3">
        <f>ROUND(AG1885+(AG1885*AH1885),2)</f>
        <v/>
      </c>
      <c r="AJ1885" s="4" t="n">
        <v>0.15</v>
      </c>
      <c r="AK1885" s="3">
        <f>ROUND(AI1885*AJ1885,2)</f>
        <v/>
      </c>
      <c r="AL1885" s="3">
        <f>AI1885+AK1885</f>
        <v/>
      </c>
      <c r="AM1885" s="3">
        <f>AE1885-AL1885</f>
        <v/>
      </c>
      <c r="AN1885" s="4">
        <f>AM1885/AE1885</f>
        <v/>
      </c>
      <c r="AO1885" s="3" t="inlineStr">
        <is>
          <t>60 mins</t>
        </is>
      </c>
      <c r="AT1885" s="3" t="inlineStr">
        <is>
          <t>60 mins</t>
        </is>
      </c>
    </row>
    <row r="1886" ht="15.75" customHeight="1">
      <c r="A1886" s="3" t="inlineStr">
        <is>
          <t>PROD_0345</t>
        </is>
      </c>
      <c r="B1886" s="3" t="inlineStr">
        <is>
          <t>VAR_6</t>
        </is>
      </c>
      <c r="C1886" s="3" t="inlineStr">
        <is>
          <t>Electrical Material</t>
        </is>
      </c>
      <c r="D1886" s="3" t="inlineStr">
        <is>
          <t>Tape</t>
        </is>
      </c>
      <c r="E1886" s="3" t="inlineStr">
        <is>
          <t>Generic</t>
        </is>
      </c>
      <c r="F1886" s="3" t="inlineStr">
        <is>
          <t>Electrical Tape</t>
        </is>
      </c>
      <c r="H1886" s="3" t="inlineStr">
        <is>
          <t>Color</t>
        </is>
      </c>
      <c r="I1886" s="3" t="inlineStr">
        <is>
          <t>Blue</t>
        </is>
      </c>
      <c r="J1886" s="3" t="inlineStr">
        <is>
          <t xml:space="preserve">Package </t>
        </is>
      </c>
      <c r="K1886" s="3" t="inlineStr">
        <is>
          <t>10 Pcs</t>
        </is>
      </c>
      <c r="Q1886" s="3" t="inlineStr">
        <is>
          <t>Manufacturer's Warranty</t>
        </is>
      </c>
      <c r="AE1886" s="3" t="n">
        <v>349</v>
      </c>
      <c r="AF1886" s="4" t="n">
        <v>0.7</v>
      </c>
      <c r="AG1886" s="3">
        <f>ROUND(AE1886-(AE1886*AF1886),2)</f>
        <v/>
      </c>
      <c r="AH1886" s="4" t="n">
        <v>0.18</v>
      </c>
      <c r="AI1886" s="3">
        <f>ROUND(AG1886+(AG1886*AH1886),2)</f>
        <v/>
      </c>
      <c r="AJ1886" s="4" t="n">
        <v>0.15</v>
      </c>
      <c r="AK1886" s="3">
        <f>ROUND(AI1886*AJ1886,2)</f>
        <v/>
      </c>
      <c r="AL1886" s="3">
        <f>AI1886+AK1886</f>
        <v/>
      </c>
      <c r="AM1886" s="3">
        <f>AE1886-AL1886</f>
        <v/>
      </c>
      <c r="AN1886" s="4">
        <f>AM1886/AE1886</f>
        <v/>
      </c>
      <c r="AO1886" s="3" t="inlineStr">
        <is>
          <t>60 mins</t>
        </is>
      </c>
      <c r="AT1886" s="3" t="inlineStr">
        <is>
          <t>60 mins</t>
        </is>
      </c>
    </row>
    <row r="1887" ht="15.75" customHeight="1">
      <c r="A1887" s="10" t="inlineStr">
        <is>
          <t>PROD_0346</t>
        </is>
      </c>
      <c r="B1887" s="10" t="inlineStr">
        <is>
          <t>VAR_1</t>
        </is>
      </c>
      <c r="C1887" s="10" t="inlineStr">
        <is>
          <t>Electrical Material</t>
        </is>
      </c>
      <c r="D1887" s="10" t="inlineStr">
        <is>
          <t>Fan</t>
        </is>
      </c>
      <c r="E1887" s="10" t="inlineStr">
        <is>
          <t>Orient</t>
        </is>
      </c>
      <c r="F1887" s="10" t="inlineStr">
        <is>
          <t>Cieling Fan | Apex FX</t>
        </is>
      </c>
      <c r="G1887" s="10" t="n"/>
      <c r="H1887" s="10" t="inlineStr">
        <is>
          <t>Motor Type</t>
        </is>
      </c>
      <c r="I1887" s="10" t="inlineStr">
        <is>
          <t>Brushed</t>
        </is>
      </c>
      <c r="J1887" s="10" t="inlineStr">
        <is>
          <t>Color</t>
        </is>
      </c>
      <c r="K1887" s="10" t="inlineStr">
        <is>
          <t>Blue</t>
        </is>
      </c>
      <c r="L1887" s="10" t="n"/>
      <c r="M1887" s="10" t="n"/>
      <c r="N1887" s="10" t="n"/>
      <c r="O1887" s="10" t="n"/>
      <c r="P1887" s="10" t="n"/>
      <c r="Q1887" s="10" t="inlineStr">
        <is>
          <t>Manufacturer's Warranty</t>
        </is>
      </c>
      <c r="R1887" s="10" t="n">
        <v>3134832214810</v>
      </c>
      <c r="S1887" s="10" t="n"/>
      <c r="T1887" s="10" t="n"/>
      <c r="U1887" s="10" t="n"/>
      <c r="V1887" s="10" t="n"/>
      <c r="W1887" s="10" t="n"/>
      <c r="X1887" s="10" t="n"/>
      <c r="Y1887" s="10" t="inlineStr">
        <is>
          <t>elec_fan_1</t>
        </is>
      </c>
      <c r="Z1887" s="10" t="n"/>
      <c r="AA1887" s="10" t="n"/>
      <c r="AB1887" s="10" t="n"/>
      <c r="AC1887" s="10" t="n"/>
      <c r="AD1887" s="10" t="n"/>
      <c r="AE1887" s="10" t="n">
        <v>2800</v>
      </c>
      <c r="AF1887" s="11" t="n"/>
      <c r="AG1887" s="10">
        <f>ROUND(AE1887-(AE1887*AF1887),2)</f>
        <v/>
      </c>
      <c r="AH1887" s="11" t="n"/>
      <c r="AI1887" s="10">
        <f>ROUND(AG1887+(AG1887*AH1887),2)</f>
        <v/>
      </c>
      <c r="AJ1887" s="11" t="n"/>
      <c r="AK1887" s="10">
        <f>ROUND(AI1887*AJ1887,2)</f>
        <v/>
      </c>
      <c r="AL1887" s="10">
        <f>AI1887+AK1887</f>
        <v/>
      </c>
      <c r="AM1887" s="10">
        <f>AE1887-AL1887</f>
        <v/>
      </c>
      <c r="AN1887" s="11">
        <f>AM1887/AE1887</f>
        <v/>
      </c>
      <c r="AO1887" s="10" t="n"/>
      <c r="AP1887" s="10" t="n"/>
      <c r="AQ1887" s="10" t="n"/>
      <c r="AR1887" s="10" t="n"/>
      <c r="AS1887" s="10" t="n"/>
      <c r="AT1887" s="3" t="inlineStr">
        <is>
          <t>Inactive</t>
        </is>
      </c>
    </row>
    <row r="1888" ht="15.75" customHeight="1">
      <c r="A1888" s="10" t="inlineStr">
        <is>
          <t>PROD_0346</t>
        </is>
      </c>
      <c r="B1888" s="10" t="inlineStr">
        <is>
          <t>VAR_2</t>
        </is>
      </c>
      <c r="C1888" s="10" t="inlineStr">
        <is>
          <t>Electrical Material</t>
        </is>
      </c>
      <c r="D1888" s="10" t="inlineStr">
        <is>
          <t>Fan</t>
        </is>
      </c>
      <c r="E1888" s="10" t="inlineStr">
        <is>
          <t>Orient</t>
        </is>
      </c>
      <c r="F1888" s="10" t="inlineStr">
        <is>
          <t>Cieling Fan | Apex FX</t>
        </is>
      </c>
      <c r="G1888" s="10" t="n"/>
      <c r="H1888" s="10" t="inlineStr">
        <is>
          <t>Motor Type</t>
        </is>
      </c>
      <c r="I1888" s="10" t="inlineStr">
        <is>
          <t>Brushed</t>
        </is>
      </c>
      <c r="J1888" s="10" t="inlineStr">
        <is>
          <t>Color</t>
        </is>
      </c>
      <c r="K1888" s="10" t="inlineStr">
        <is>
          <t>Smoke Brown</t>
        </is>
      </c>
      <c r="L1888" s="10" t="n"/>
      <c r="M1888" s="10" t="n"/>
      <c r="N1888" s="10" t="n"/>
      <c r="O1888" s="10" t="n"/>
      <c r="P1888" s="10" t="n"/>
      <c r="Q1888" s="10" t="inlineStr">
        <is>
          <t>Manufacturer's Warranty</t>
        </is>
      </c>
      <c r="R1888" s="10" t="n">
        <v>3134832219510</v>
      </c>
      <c r="S1888" s="10" t="n"/>
      <c r="T1888" s="10" t="n"/>
      <c r="U1888" s="10" t="n"/>
      <c r="V1888" s="10" t="n"/>
      <c r="W1888" s="10" t="n"/>
      <c r="X1888" s="10" t="n"/>
      <c r="Y1888" s="10" t="inlineStr">
        <is>
          <t>elec_fan_2</t>
        </is>
      </c>
      <c r="Z1888" s="10" t="n"/>
      <c r="AA1888" s="10" t="n"/>
      <c r="AB1888" s="10" t="n"/>
      <c r="AC1888" s="10" t="n"/>
      <c r="AD1888" s="10" t="n"/>
      <c r="AE1888" s="10" t="n">
        <v>2800</v>
      </c>
      <c r="AF1888" s="11" t="n"/>
      <c r="AG1888" s="10">
        <f>ROUND(AE1888-(AE1888*AF1888),2)</f>
        <v/>
      </c>
      <c r="AH1888" s="11" t="n"/>
      <c r="AI1888" s="10">
        <f>ROUND(AG1888+(AG1888*AH1888),2)</f>
        <v/>
      </c>
      <c r="AJ1888" s="11" t="n"/>
      <c r="AK1888" s="10">
        <f>ROUND(AI1888*AJ1888,2)</f>
        <v/>
      </c>
      <c r="AL1888" s="10">
        <f>AI1888+AK1888</f>
        <v/>
      </c>
      <c r="AM1888" s="10">
        <f>AE1888-AL1888</f>
        <v/>
      </c>
      <c r="AN1888" s="11">
        <f>AM1888/AE1888</f>
        <v/>
      </c>
      <c r="AO1888" s="10" t="n"/>
      <c r="AP1888" s="10" t="n"/>
      <c r="AQ1888" s="10" t="n"/>
      <c r="AR1888" s="10" t="n"/>
      <c r="AS1888" s="10" t="n"/>
      <c r="AT1888" s="3" t="inlineStr">
        <is>
          <t>Inactive</t>
        </is>
      </c>
    </row>
    <row r="1889" ht="15.75" customHeight="1">
      <c r="A1889" s="10" t="inlineStr">
        <is>
          <t>PROD_0346</t>
        </is>
      </c>
      <c r="B1889" s="10" t="inlineStr">
        <is>
          <t>VAR_3</t>
        </is>
      </c>
      <c r="C1889" s="10" t="inlineStr">
        <is>
          <t>Electrical Material</t>
        </is>
      </c>
      <c r="D1889" s="10" t="inlineStr">
        <is>
          <t>Fan</t>
        </is>
      </c>
      <c r="E1889" s="10" t="inlineStr">
        <is>
          <t>Orient</t>
        </is>
      </c>
      <c r="F1889" s="10" t="inlineStr">
        <is>
          <t>Cieling Fan | Apex FX</t>
        </is>
      </c>
      <c r="G1889" s="10" t="n"/>
      <c r="H1889" s="10" t="inlineStr">
        <is>
          <t>Motor Type</t>
        </is>
      </c>
      <c r="I1889" s="10" t="inlineStr">
        <is>
          <t>Brushed</t>
        </is>
      </c>
      <c r="J1889" s="10" t="inlineStr">
        <is>
          <t>Color</t>
        </is>
      </c>
      <c r="K1889" s="10" t="inlineStr">
        <is>
          <t>White</t>
        </is>
      </c>
      <c r="L1889" s="10" t="n"/>
      <c r="M1889" s="10" t="n"/>
      <c r="N1889" s="10" t="n"/>
      <c r="O1889" s="10" t="n"/>
      <c r="P1889" s="10" t="n"/>
      <c r="Q1889" s="10" t="inlineStr">
        <is>
          <t>Manufacturer's Warranty</t>
        </is>
      </c>
      <c r="R1889" s="10" t="n">
        <v>3134832211010</v>
      </c>
      <c r="S1889" s="10" t="n"/>
      <c r="T1889" s="10" t="n"/>
      <c r="U1889" s="10" t="n"/>
      <c r="V1889" s="10" t="n"/>
      <c r="W1889" s="10" t="n"/>
      <c r="X1889" s="10" t="n"/>
      <c r="Y1889" s="10" t="n"/>
      <c r="Z1889" s="10" t="n"/>
      <c r="AA1889" s="10" t="n"/>
      <c r="AB1889" s="10" t="n"/>
      <c r="AC1889" s="10" t="n"/>
      <c r="AD1889" s="10" t="n"/>
      <c r="AE1889" s="10" t="n">
        <v>2800</v>
      </c>
      <c r="AF1889" s="11" t="n"/>
      <c r="AG1889" s="10">
        <f>ROUND(AE1889-(AE1889*AF1889),2)</f>
        <v/>
      </c>
      <c r="AH1889" s="11" t="n"/>
      <c r="AI1889" s="10">
        <f>ROUND(AG1889+(AG1889*AH1889),2)</f>
        <v/>
      </c>
      <c r="AJ1889" s="11" t="n"/>
      <c r="AK1889" s="10">
        <f>ROUND(AI1889*AJ1889,2)</f>
        <v/>
      </c>
      <c r="AL1889" s="10">
        <f>AI1889+AK1889</f>
        <v/>
      </c>
      <c r="AM1889" s="10">
        <f>AE1889-AL1889</f>
        <v/>
      </c>
      <c r="AN1889" s="11">
        <f>AM1889/AE1889</f>
        <v/>
      </c>
      <c r="AO1889" s="10" t="n"/>
      <c r="AP1889" s="10" t="n"/>
      <c r="AQ1889" s="10" t="n"/>
      <c r="AR1889" s="10" t="n"/>
      <c r="AS1889" s="10" t="n"/>
      <c r="AT1889" s="3" t="inlineStr">
        <is>
          <t>Inactive</t>
        </is>
      </c>
    </row>
    <row r="1890" ht="15.75" customHeight="1">
      <c r="A1890" s="3" t="inlineStr">
        <is>
          <t>PROD_0347</t>
        </is>
      </c>
      <c r="B1890" s="3" t="inlineStr">
        <is>
          <t>VAR_1</t>
        </is>
      </c>
      <c r="C1890" s="3" t="inlineStr">
        <is>
          <t>Electrical Material</t>
        </is>
      </c>
      <c r="D1890" s="3" t="inlineStr">
        <is>
          <t>Fan</t>
        </is>
      </c>
      <c r="E1890" s="3" t="inlineStr">
        <is>
          <t>Orient</t>
        </is>
      </c>
      <c r="F1890" s="3" t="inlineStr">
        <is>
          <t>Cieling Fan | Pacific Air Déco</t>
        </is>
      </c>
      <c r="H1890" s="3" t="inlineStr">
        <is>
          <t>Motor Type</t>
        </is>
      </c>
      <c r="I1890" s="3" t="inlineStr">
        <is>
          <t>Brushed</t>
        </is>
      </c>
      <c r="J1890" s="3" t="inlineStr">
        <is>
          <t>Color</t>
        </is>
      </c>
      <c r="K1890" s="3" t="inlineStr">
        <is>
          <t>White</t>
        </is>
      </c>
      <c r="Q1890" s="3" t="inlineStr">
        <is>
          <t>Manufacturer's Warranty</t>
        </is>
      </c>
      <c r="R1890" s="3" t="n">
        <v>3134832511010</v>
      </c>
      <c r="Y1890" s="3" t="inlineStr">
        <is>
          <t>elec_fan_4</t>
        </is>
      </c>
      <c r="AE1890" s="3" t="n">
        <v>3150</v>
      </c>
      <c r="AF1890" s="4" t="n"/>
      <c r="AG1890" s="3">
        <f>ROUND(AE1890-(AE1890*AF1890),2)</f>
        <v/>
      </c>
      <c r="AH1890" s="4" t="n"/>
      <c r="AI1890" s="3">
        <f>ROUND(AG1890+(AG1890*AH1890),2)</f>
        <v/>
      </c>
      <c r="AJ1890" s="4" t="n"/>
      <c r="AK1890" s="3">
        <f>ROUND(AI1890*AJ1890,2)</f>
        <v/>
      </c>
      <c r="AL1890" s="3">
        <f>AI1890+AK1890</f>
        <v/>
      </c>
      <c r="AM1890" s="3">
        <f>AE1890-AL1890</f>
        <v/>
      </c>
      <c r="AN1890" s="4">
        <f>AM1890/AE1890</f>
        <v/>
      </c>
      <c r="AT1890" s="3" t="inlineStr">
        <is>
          <t>Active</t>
        </is>
      </c>
    </row>
    <row r="1891" ht="15.75" customHeight="1">
      <c r="A1891" s="3" t="inlineStr">
        <is>
          <t>PROD_0347</t>
        </is>
      </c>
      <c r="B1891" s="3" t="inlineStr">
        <is>
          <t>VAR_2</t>
        </is>
      </c>
      <c r="C1891" s="3" t="inlineStr">
        <is>
          <t>Electrical Material</t>
        </is>
      </c>
      <c r="D1891" s="3" t="inlineStr">
        <is>
          <t>Fan</t>
        </is>
      </c>
      <c r="E1891" s="3" t="inlineStr">
        <is>
          <t>Orient</t>
        </is>
      </c>
      <c r="F1891" s="3" t="inlineStr">
        <is>
          <t>Cieling Fan | Pacific Air Déco</t>
        </is>
      </c>
      <c r="H1891" s="3" t="inlineStr">
        <is>
          <t>Motor Type</t>
        </is>
      </c>
      <c r="I1891" s="3" t="inlineStr">
        <is>
          <t>Brushed</t>
        </is>
      </c>
      <c r="J1891" s="3" t="inlineStr">
        <is>
          <t>Color</t>
        </is>
      </c>
      <c r="K1891" s="3" t="inlineStr">
        <is>
          <t>Ivory Gold</t>
        </is>
      </c>
      <c r="Q1891" s="3" t="inlineStr">
        <is>
          <t>Manufacturer's Warranty</t>
        </is>
      </c>
      <c r="R1891" s="3" t="n">
        <v>3134832514450</v>
      </c>
      <c r="Y1891" s="3" t="inlineStr">
        <is>
          <t>elec_fan_5</t>
        </is>
      </c>
      <c r="AE1891" s="3" t="n">
        <v>3150</v>
      </c>
      <c r="AF1891" s="4" t="n"/>
      <c r="AG1891" s="3">
        <f>ROUND(AE1891-(AE1891*AF1891),2)</f>
        <v/>
      </c>
      <c r="AH1891" s="4" t="n"/>
      <c r="AI1891" s="3">
        <f>ROUND(AG1891+(AG1891*AH1891),2)</f>
        <v/>
      </c>
      <c r="AJ1891" s="4" t="n"/>
      <c r="AK1891" s="3">
        <f>ROUND(AI1891*AJ1891,2)</f>
        <v/>
      </c>
      <c r="AL1891" s="3">
        <f>AI1891+AK1891</f>
        <v/>
      </c>
      <c r="AM1891" s="3">
        <f>AE1891-AL1891</f>
        <v/>
      </c>
      <c r="AN1891" s="4">
        <f>AM1891/AE1891</f>
        <v/>
      </c>
      <c r="AT1891" s="3" t="inlineStr">
        <is>
          <t>Active</t>
        </is>
      </c>
    </row>
    <row r="1892" ht="15.75" customHeight="1">
      <c r="A1892" s="3" t="inlineStr">
        <is>
          <t>PROD_0347</t>
        </is>
      </c>
      <c r="B1892" s="3" t="inlineStr">
        <is>
          <t>VAR_3</t>
        </is>
      </c>
      <c r="C1892" s="3" t="inlineStr">
        <is>
          <t>Electrical Material</t>
        </is>
      </c>
      <c r="D1892" s="3" t="inlineStr">
        <is>
          <t>Fan</t>
        </is>
      </c>
      <c r="E1892" s="3" t="inlineStr">
        <is>
          <t>Orient</t>
        </is>
      </c>
      <c r="F1892" s="3" t="inlineStr">
        <is>
          <t>Cieling Fan | Pacific Air Déco</t>
        </is>
      </c>
      <c r="H1892" s="3" t="inlineStr">
        <is>
          <t>Motor Type</t>
        </is>
      </c>
      <c r="I1892" s="3" t="inlineStr">
        <is>
          <t>Brushed</t>
        </is>
      </c>
      <c r="J1892" s="3" t="inlineStr">
        <is>
          <t>Color</t>
        </is>
      </c>
      <c r="K1892" s="3" t="inlineStr">
        <is>
          <t>Smoke Brown</t>
        </is>
      </c>
      <c r="Q1892" s="3" t="inlineStr">
        <is>
          <t>Manufacturer's Warranty</t>
        </is>
      </c>
      <c r="R1892" s="3" t="n">
        <v>3134832519910</v>
      </c>
      <c r="Y1892" s="3" t="inlineStr">
        <is>
          <t>elec_fan_6</t>
        </is>
      </c>
      <c r="AE1892" s="3" t="n">
        <v>3150</v>
      </c>
      <c r="AF1892" s="4" t="n"/>
      <c r="AG1892" s="3">
        <f>ROUND(AE1892-(AE1892*AF1892),2)</f>
        <v/>
      </c>
      <c r="AH1892" s="4" t="n"/>
      <c r="AI1892" s="3">
        <f>ROUND(AG1892+(AG1892*AH1892),2)</f>
        <v/>
      </c>
      <c r="AJ1892" s="4" t="n"/>
      <c r="AK1892" s="3">
        <f>ROUND(AI1892*AJ1892,2)</f>
        <v/>
      </c>
      <c r="AL1892" s="3">
        <f>AI1892+AK1892</f>
        <v/>
      </c>
      <c r="AM1892" s="3">
        <f>AE1892-AL1892</f>
        <v/>
      </c>
      <c r="AN1892" s="4">
        <f>AM1892/AE1892</f>
        <v/>
      </c>
      <c r="AT1892" s="3" t="inlineStr">
        <is>
          <t>Active</t>
        </is>
      </c>
    </row>
    <row r="1893" ht="15.75" customHeight="1">
      <c r="A1893" s="10" t="inlineStr">
        <is>
          <t>PROD_0348</t>
        </is>
      </c>
      <c r="B1893" s="10" t="inlineStr">
        <is>
          <t>VAR_1</t>
        </is>
      </c>
      <c r="C1893" s="10" t="inlineStr">
        <is>
          <t>Electrical Material</t>
        </is>
      </c>
      <c r="D1893" s="10" t="inlineStr">
        <is>
          <t>Fan</t>
        </is>
      </c>
      <c r="E1893" s="10" t="inlineStr">
        <is>
          <t>Orient</t>
        </is>
      </c>
      <c r="F1893" s="10" t="inlineStr">
        <is>
          <t>Cieling Fan | Zeno BLDC</t>
        </is>
      </c>
      <c r="G1893" s="10" t="n"/>
      <c r="H1893" s="10" t="inlineStr">
        <is>
          <t>Motor Type</t>
        </is>
      </c>
      <c r="I1893" s="10" t="inlineStr">
        <is>
          <t>BLDC</t>
        </is>
      </c>
      <c r="J1893" s="10" t="inlineStr">
        <is>
          <t>Color</t>
        </is>
      </c>
      <c r="K1893" s="10" t="inlineStr">
        <is>
          <t>White</t>
        </is>
      </c>
      <c r="L1893" s="10" t="n"/>
      <c r="M1893" s="10" t="n"/>
      <c r="N1893" s="10" t="n"/>
      <c r="O1893" s="10" t="n"/>
      <c r="P1893" s="10" t="n"/>
      <c r="Q1893" s="10" t="inlineStr">
        <is>
          <t>Manufacturer's Warranty</t>
        </is>
      </c>
      <c r="R1893" s="10" t="inlineStr">
        <is>
          <t>‎Zeno BLDC</t>
        </is>
      </c>
      <c r="S1893" s="10" t="n"/>
      <c r="T1893" s="10" t="n"/>
      <c r="U1893" s="10" t="n"/>
      <c r="V1893" s="10" t="n"/>
      <c r="W1893" s="10" t="n"/>
      <c r="X1893" s="10" t="n"/>
      <c r="Y1893" s="10" t="inlineStr">
        <is>
          <t>elec_fan_7</t>
        </is>
      </c>
      <c r="Z1893" s="10" t="n"/>
      <c r="AA1893" s="10" t="n"/>
      <c r="AB1893" s="10" t="n"/>
      <c r="AC1893" s="10" t="n"/>
      <c r="AD1893" s="10" t="n"/>
      <c r="AE1893" s="10" t="n">
        <v>4600</v>
      </c>
      <c r="AF1893" s="11" t="n"/>
      <c r="AG1893" s="10">
        <f>ROUND(AE1893-(AE1893*AF1893),2)</f>
        <v/>
      </c>
      <c r="AH1893" s="11" t="n"/>
      <c r="AI1893" s="10">
        <f>ROUND(AG1893+(AG1893*AH1893),2)</f>
        <v/>
      </c>
      <c r="AJ1893" s="11" t="n"/>
      <c r="AK1893" s="10">
        <f>ROUND(AI1893*AJ1893,2)</f>
        <v/>
      </c>
      <c r="AL1893" s="10">
        <f>AI1893+AK1893</f>
        <v/>
      </c>
      <c r="AM1893" s="10">
        <f>AE1893-AL1893</f>
        <v/>
      </c>
      <c r="AN1893" s="11">
        <f>AM1893/AE1893</f>
        <v/>
      </c>
      <c r="AO1893" s="10" t="n"/>
      <c r="AP1893" s="10" t="n"/>
      <c r="AQ1893" s="10" t="n"/>
      <c r="AR1893" s="10" t="n"/>
      <c r="AS1893" s="10" t="n"/>
      <c r="AT1893" s="3" t="inlineStr">
        <is>
          <t>Inactive</t>
        </is>
      </c>
    </row>
    <row r="1894" ht="15.75" customHeight="1">
      <c r="A1894" s="10" t="inlineStr">
        <is>
          <t>PROD_0348</t>
        </is>
      </c>
      <c r="B1894" s="10" t="inlineStr">
        <is>
          <t>VAR_2</t>
        </is>
      </c>
      <c r="C1894" s="10" t="inlineStr">
        <is>
          <t>Electrical Material</t>
        </is>
      </c>
      <c r="D1894" s="10" t="inlineStr">
        <is>
          <t>Fan</t>
        </is>
      </c>
      <c r="E1894" s="10" t="inlineStr">
        <is>
          <t>Orient</t>
        </is>
      </c>
      <c r="F1894" s="10" t="inlineStr">
        <is>
          <t>Cieling Fan | Zeno BLDC</t>
        </is>
      </c>
      <c r="G1894" s="10" t="n"/>
      <c r="H1894" s="10" t="inlineStr">
        <is>
          <t>Motor Type</t>
        </is>
      </c>
      <c r="I1894" s="10" t="inlineStr">
        <is>
          <t>BLDC</t>
        </is>
      </c>
      <c r="J1894" s="10" t="inlineStr">
        <is>
          <t>Color</t>
        </is>
      </c>
      <c r="K1894" s="10" t="inlineStr">
        <is>
          <t>Brown</t>
        </is>
      </c>
      <c r="L1894" s="10" t="n"/>
      <c r="M1894" s="10" t="n"/>
      <c r="N1894" s="10" t="n"/>
      <c r="O1894" s="10" t="n"/>
      <c r="P1894" s="10" t="n"/>
      <c r="Q1894" s="10" t="inlineStr">
        <is>
          <t>Manufacturer's Warranty</t>
        </is>
      </c>
      <c r="R1894" s="10" t="inlineStr">
        <is>
          <t>‎Zeno BLDC</t>
        </is>
      </c>
      <c r="S1894" s="10" t="n"/>
      <c r="T1894" s="10" t="n"/>
      <c r="U1894" s="10" t="n"/>
      <c r="V1894" s="10" t="n"/>
      <c r="W1894" s="10" t="n"/>
      <c r="X1894" s="10" t="n"/>
      <c r="Y1894" s="10" t="inlineStr">
        <is>
          <t>elec_fan_8</t>
        </is>
      </c>
      <c r="Z1894" s="10" t="n"/>
      <c r="AA1894" s="10" t="n"/>
      <c r="AB1894" s="10" t="n"/>
      <c r="AC1894" s="10" t="n"/>
      <c r="AD1894" s="10" t="n"/>
      <c r="AE1894" s="10" t="n">
        <v>4600</v>
      </c>
      <c r="AF1894" s="11" t="n"/>
      <c r="AG1894" s="10">
        <f>ROUND(AE1894-(AE1894*AF1894),2)</f>
        <v/>
      </c>
      <c r="AH1894" s="11" t="n"/>
      <c r="AI1894" s="10">
        <f>ROUND(AG1894+(AG1894*AH1894),2)</f>
        <v/>
      </c>
      <c r="AJ1894" s="11" t="n"/>
      <c r="AK1894" s="10">
        <f>ROUND(AI1894*AJ1894,2)</f>
        <v/>
      </c>
      <c r="AL1894" s="10">
        <f>AI1894+AK1894</f>
        <v/>
      </c>
      <c r="AM1894" s="10">
        <f>AE1894-AL1894</f>
        <v/>
      </c>
      <c r="AN1894" s="11">
        <f>AM1894/AE1894</f>
        <v/>
      </c>
      <c r="AO1894" s="10" t="n"/>
      <c r="AP1894" s="10" t="n"/>
      <c r="AQ1894" s="10" t="n"/>
      <c r="AR1894" s="10" t="n"/>
      <c r="AS1894" s="10" t="n"/>
      <c r="AT1894" s="3" t="inlineStr">
        <is>
          <t>Inactive</t>
        </is>
      </c>
    </row>
    <row r="1895" ht="15.75" customHeight="1">
      <c r="A1895" s="10" t="inlineStr">
        <is>
          <t>PROD_0349</t>
        </is>
      </c>
      <c r="B1895" s="10" t="inlineStr">
        <is>
          <t>VAR_1</t>
        </is>
      </c>
      <c r="C1895" s="10" t="inlineStr">
        <is>
          <t>Electrical Material</t>
        </is>
      </c>
      <c r="D1895" s="10" t="inlineStr">
        <is>
          <t>Fan</t>
        </is>
      </c>
      <c r="E1895" s="10" t="inlineStr">
        <is>
          <t>Orient</t>
        </is>
      </c>
      <c r="F1895" s="10" t="inlineStr">
        <is>
          <t>Cieling Fan | Tome Pro BLDC</t>
        </is>
      </c>
      <c r="G1895" s="10" t="n"/>
      <c r="H1895" s="10" t="inlineStr">
        <is>
          <t>Motor Type</t>
        </is>
      </c>
      <c r="I1895" s="10" t="inlineStr">
        <is>
          <t>BLDC</t>
        </is>
      </c>
      <c r="J1895" s="10" t="inlineStr">
        <is>
          <t>Color</t>
        </is>
      </c>
      <c r="K1895" s="10" t="inlineStr">
        <is>
          <t>White</t>
        </is>
      </c>
      <c r="L1895" s="10" t="n"/>
      <c r="M1895" s="10" t="n"/>
      <c r="N1895" s="10" t="n"/>
      <c r="O1895" s="10" t="n"/>
      <c r="P1895" s="10" t="n"/>
      <c r="Q1895" s="10" t="inlineStr">
        <is>
          <t>Manufacturer's Warranty</t>
        </is>
      </c>
      <c r="R1895" s="10" t="inlineStr">
        <is>
          <t>‎2135641811011_Parent</t>
        </is>
      </c>
      <c r="S1895" s="10" t="n"/>
      <c r="T1895" s="10" t="n"/>
      <c r="U1895" s="10" t="n"/>
      <c r="V1895" s="10" t="n"/>
      <c r="W1895" s="10" t="n"/>
      <c r="X1895" s="10" t="n"/>
      <c r="Y1895" s="10" t="inlineStr">
        <is>
          <t>elec_fan_9</t>
        </is>
      </c>
      <c r="Z1895" s="10" t="n"/>
      <c r="AA1895" s="10" t="n"/>
      <c r="AB1895" s="10" t="n"/>
      <c r="AC1895" s="10" t="n"/>
      <c r="AD1895" s="10" t="n"/>
      <c r="AE1895" s="10" t="n">
        <v>5235</v>
      </c>
      <c r="AF1895" s="11" t="n"/>
      <c r="AG1895" s="10">
        <f>ROUND(AE1895-(AE1895*AF1895),2)</f>
        <v/>
      </c>
      <c r="AH1895" s="11" t="n"/>
      <c r="AI1895" s="10">
        <f>ROUND(AG1895+(AG1895*AH1895),2)</f>
        <v/>
      </c>
      <c r="AJ1895" s="11" t="n"/>
      <c r="AK1895" s="10">
        <f>ROUND(AI1895*AJ1895,2)</f>
        <v/>
      </c>
      <c r="AL1895" s="10">
        <f>AI1895+AK1895</f>
        <v/>
      </c>
      <c r="AM1895" s="10">
        <f>AE1895-AL1895</f>
        <v/>
      </c>
      <c r="AN1895" s="11">
        <f>AM1895/AE1895</f>
        <v/>
      </c>
      <c r="AO1895" s="10" t="n"/>
      <c r="AP1895" s="10" t="n"/>
      <c r="AQ1895" s="10" t="n"/>
      <c r="AR1895" s="10" t="n"/>
      <c r="AS1895" s="10" t="n"/>
      <c r="AT1895" s="3" t="inlineStr">
        <is>
          <t>Inactive</t>
        </is>
      </c>
    </row>
    <row r="1896" ht="15.75" customHeight="1">
      <c r="A1896" s="10" t="inlineStr">
        <is>
          <t>PROD_0349</t>
        </is>
      </c>
      <c r="B1896" s="10" t="inlineStr">
        <is>
          <t>VAR_2</t>
        </is>
      </c>
      <c r="C1896" s="10" t="inlineStr">
        <is>
          <t>Electrical Material</t>
        </is>
      </c>
      <c r="D1896" s="10" t="inlineStr">
        <is>
          <t>Fan</t>
        </is>
      </c>
      <c r="E1896" s="10" t="inlineStr">
        <is>
          <t>Orient</t>
        </is>
      </c>
      <c r="F1896" s="10" t="inlineStr">
        <is>
          <t>Cieling Fan | Tome Pro BLDC</t>
        </is>
      </c>
      <c r="G1896" s="10" t="n"/>
      <c r="H1896" s="10" t="inlineStr">
        <is>
          <t>Motor Type</t>
        </is>
      </c>
      <c r="I1896" s="10" t="inlineStr">
        <is>
          <t>BLDC</t>
        </is>
      </c>
      <c r="J1896" s="10" t="inlineStr">
        <is>
          <t>Color</t>
        </is>
      </c>
      <c r="K1896" s="10" t="inlineStr">
        <is>
          <t>Space Grey</t>
        </is>
      </c>
      <c r="L1896" s="10" t="n"/>
      <c r="M1896" s="10" t="n"/>
      <c r="N1896" s="10" t="n"/>
      <c r="O1896" s="10" t="n"/>
      <c r="P1896" s="10" t="n"/>
      <c r="Q1896" s="10" t="inlineStr">
        <is>
          <t>Manufacturer's Warranty</t>
        </is>
      </c>
      <c r="R1896" s="10" t="inlineStr">
        <is>
          <t>‎2135641811011_Parent</t>
        </is>
      </c>
      <c r="S1896" s="10" t="n"/>
      <c r="T1896" s="10" t="n"/>
      <c r="U1896" s="10" t="n"/>
      <c r="V1896" s="10" t="n"/>
      <c r="W1896" s="10" t="n"/>
      <c r="X1896" s="10" t="n"/>
      <c r="Y1896" s="10" t="inlineStr">
        <is>
          <t>elec_fan_10</t>
        </is>
      </c>
      <c r="Z1896" s="10" t="n"/>
      <c r="AA1896" s="10" t="n"/>
      <c r="AB1896" s="10" t="n"/>
      <c r="AC1896" s="10" t="n"/>
      <c r="AD1896" s="10" t="n"/>
      <c r="AE1896" s="10" t="n">
        <v>5235</v>
      </c>
      <c r="AF1896" s="11" t="n"/>
      <c r="AG1896" s="10">
        <f>ROUND(AE1896-(AE1896*AF1896),2)</f>
        <v/>
      </c>
      <c r="AH1896" s="11" t="n"/>
      <c r="AI1896" s="10">
        <f>ROUND(AG1896+(AG1896*AH1896),2)</f>
        <v/>
      </c>
      <c r="AJ1896" s="11" t="n"/>
      <c r="AK1896" s="10">
        <f>ROUND(AI1896*AJ1896,2)</f>
        <v/>
      </c>
      <c r="AL1896" s="10">
        <f>AI1896+AK1896</f>
        <v/>
      </c>
      <c r="AM1896" s="10">
        <f>AE1896-AL1896</f>
        <v/>
      </c>
      <c r="AN1896" s="11">
        <f>AM1896/AE1896</f>
        <v/>
      </c>
      <c r="AO1896" s="10" t="n"/>
      <c r="AP1896" s="10" t="n"/>
      <c r="AQ1896" s="10" t="n"/>
      <c r="AR1896" s="10" t="n"/>
      <c r="AS1896" s="10" t="n"/>
      <c r="AT1896" s="3" t="inlineStr">
        <is>
          <t>Inactive</t>
        </is>
      </c>
    </row>
    <row r="1897" ht="15.75" customHeight="1">
      <c r="A1897" s="10" t="inlineStr">
        <is>
          <t>PROD_0349</t>
        </is>
      </c>
      <c r="B1897" s="10" t="inlineStr">
        <is>
          <t>VAR_3</t>
        </is>
      </c>
      <c r="C1897" s="10" t="inlineStr">
        <is>
          <t>Electrical Material</t>
        </is>
      </c>
      <c r="D1897" s="10" t="inlineStr">
        <is>
          <t>Fan</t>
        </is>
      </c>
      <c r="E1897" s="10" t="inlineStr">
        <is>
          <t>Orient</t>
        </is>
      </c>
      <c r="F1897" s="10" t="inlineStr">
        <is>
          <t>Cieling Fan | Tome Pro BLDC</t>
        </is>
      </c>
      <c r="G1897" s="10" t="n"/>
      <c r="H1897" s="10" t="inlineStr">
        <is>
          <t>Motor Type</t>
        </is>
      </c>
      <c r="I1897" s="10" t="inlineStr">
        <is>
          <t>BLDC</t>
        </is>
      </c>
      <c r="J1897" s="10" t="inlineStr">
        <is>
          <t>Color</t>
        </is>
      </c>
      <c r="K1897" s="10" t="inlineStr">
        <is>
          <t>Topaz Gold</t>
        </is>
      </c>
      <c r="L1897" s="10" t="n"/>
      <c r="M1897" s="10" t="n"/>
      <c r="N1897" s="10" t="n"/>
      <c r="O1897" s="10" t="n"/>
      <c r="P1897" s="10" t="n"/>
      <c r="Q1897" s="10" t="inlineStr">
        <is>
          <t>Manufacturer's Warranty</t>
        </is>
      </c>
      <c r="R1897" s="10" t="inlineStr">
        <is>
          <t>‎2135641811011_Parent</t>
        </is>
      </c>
      <c r="S1897" s="10" t="n"/>
      <c r="T1897" s="10" t="n"/>
      <c r="U1897" s="10" t="n"/>
      <c r="V1897" s="10" t="n"/>
      <c r="W1897" s="10" t="n"/>
      <c r="X1897" s="10" t="n"/>
      <c r="Y1897" s="10" t="inlineStr">
        <is>
          <t>elec_fan_11</t>
        </is>
      </c>
      <c r="Z1897" s="10" t="n"/>
      <c r="AA1897" s="10" t="n"/>
      <c r="AB1897" s="10" t="n"/>
      <c r="AC1897" s="10" t="n"/>
      <c r="AD1897" s="10" t="n"/>
      <c r="AE1897" s="10" t="n">
        <v>5235</v>
      </c>
      <c r="AF1897" s="11" t="n"/>
      <c r="AG1897" s="10">
        <f>ROUND(AE1897-(AE1897*AF1897),2)</f>
        <v/>
      </c>
      <c r="AH1897" s="11" t="n"/>
      <c r="AI1897" s="10">
        <f>ROUND(AG1897+(AG1897*AH1897),2)</f>
        <v/>
      </c>
      <c r="AJ1897" s="11" t="n"/>
      <c r="AK1897" s="10">
        <f>ROUND(AI1897*AJ1897,2)</f>
        <v/>
      </c>
      <c r="AL1897" s="10">
        <f>AI1897+AK1897</f>
        <v/>
      </c>
      <c r="AM1897" s="10">
        <f>AE1897-AL1897</f>
        <v/>
      </c>
      <c r="AN1897" s="11">
        <f>AM1897/AE1897</f>
        <v/>
      </c>
      <c r="AO1897" s="10" t="n"/>
      <c r="AP1897" s="10" t="n"/>
      <c r="AQ1897" s="10" t="n"/>
      <c r="AR1897" s="10" t="n"/>
      <c r="AS1897" s="10" t="n"/>
      <c r="AT1897" s="3" t="inlineStr">
        <is>
          <t>Inactive</t>
        </is>
      </c>
    </row>
    <row r="1898" ht="15.75" customHeight="1">
      <c r="A1898" s="10" t="inlineStr">
        <is>
          <t>PROD_0350</t>
        </is>
      </c>
      <c r="B1898" s="10" t="inlineStr">
        <is>
          <t>VAR_1</t>
        </is>
      </c>
      <c r="C1898" s="10" t="inlineStr">
        <is>
          <t>Electrical Material</t>
        </is>
      </c>
      <c r="D1898" s="10" t="inlineStr">
        <is>
          <t>Fan</t>
        </is>
      </c>
      <c r="E1898" s="10" t="inlineStr">
        <is>
          <t>Orient</t>
        </is>
      </c>
      <c r="F1898" s="10" t="inlineStr">
        <is>
          <t>Cieling Fan | UNO BLDC</t>
        </is>
      </c>
      <c r="G1898" s="10" t="n"/>
      <c r="H1898" s="10" t="inlineStr">
        <is>
          <t>Motor Type</t>
        </is>
      </c>
      <c r="I1898" s="10" t="inlineStr">
        <is>
          <t>BLDC</t>
        </is>
      </c>
      <c r="J1898" s="10" t="inlineStr">
        <is>
          <t>Color</t>
        </is>
      </c>
      <c r="K1898" s="10" t="inlineStr">
        <is>
          <t>Glacier Grey</t>
        </is>
      </c>
      <c r="L1898" s="10" t="n"/>
      <c r="M1898" s="10" t="n"/>
      <c r="N1898" s="10" t="n"/>
      <c r="O1898" s="10" t="n"/>
      <c r="P1898" s="10" t="n"/>
      <c r="Q1898" s="10" t="inlineStr">
        <is>
          <t>Manufacturer's Warranty</t>
        </is>
      </c>
      <c r="R1898" s="10" t="inlineStr">
        <is>
          <t>‎2134861411010_Parent</t>
        </is>
      </c>
      <c r="S1898" s="10" t="n"/>
      <c r="T1898" s="10" t="n"/>
      <c r="U1898" s="10" t="n"/>
      <c r="V1898" s="10" t="n"/>
      <c r="W1898" s="10" t="n"/>
      <c r="X1898" s="10" t="n"/>
      <c r="Y1898" s="10" t="inlineStr">
        <is>
          <t>elec_fan_12</t>
        </is>
      </c>
      <c r="Z1898" s="10" t="n"/>
      <c r="AA1898" s="10" t="n"/>
      <c r="AB1898" s="10" t="n"/>
      <c r="AC1898" s="10" t="n"/>
      <c r="AD1898" s="10" t="n"/>
      <c r="AE1898" s="10" t="n">
        <v>4200</v>
      </c>
      <c r="AF1898" s="11" t="n"/>
      <c r="AG1898" s="10">
        <f>ROUND(AE1898-(AE1898*AF1898),2)</f>
        <v/>
      </c>
      <c r="AH1898" s="11" t="n"/>
      <c r="AI1898" s="10">
        <f>ROUND(AG1898+(AG1898*AH1898),2)</f>
        <v/>
      </c>
      <c r="AJ1898" s="11" t="n"/>
      <c r="AK1898" s="10">
        <f>ROUND(AI1898*AJ1898,2)</f>
        <v/>
      </c>
      <c r="AL1898" s="10">
        <f>AI1898+AK1898</f>
        <v/>
      </c>
      <c r="AM1898" s="10">
        <f>AE1898-AL1898</f>
        <v/>
      </c>
      <c r="AN1898" s="11">
        <f>AM1898/AE1898</f>
        <v/>
      </c>
      <c r="AO1898" s="10" t="n"/>
      <c r="AP1898" s="10" t="n"/>
      <c r="AQ1898" s="10" t="n"/>
      <c r="AR1898" s="10" t="n"/>
      <c r="AS1898" s="10" t="n"/>
      <c r="AT1898" s="3" t="inlineStr">
        <is>
          <t>Inactive</t>
        </is>
      </c>
    </row>
    <row r="1899" ht="15.75" customHeight="1">
      <c r="A1899" s="10" t="inlineStr">
        <is>
          <t>PROD_0350</t>
        </is>
      </c>
      <c r="B1899" s="10" t="inlineStr">
        <is>
          <t>VAR_2</t>
        </is>
      </c>
      <c r="C1899" s="10" t="inlineStr">
        <is>
          <t>Electrical Material</t>
        </is>
      </c>
      <c r="D1899" s="10" t="inlineStr">
        <is>
          <t>Fan</t>
        </is>
      </c>
      <c r="E1899" s="10" t="inlineStr">
        <is>
          <t>Orient</t>
        </is>
      </c>
      <c r="F1899" s="10" t="inlineStr">
        <is>
          <t>Cieling Fan | UNO BLDC</t>
        </is>
      </c>
      <c r="G1899" s="10" t="n"/>
      <c r="H1899" s="10" t="inlineStr">
        <is>
          <t>Motor Type</t>
        </is>
      </c>
      <c r="I1899" s="10" t="inlineStr">
        <is>
          <t>BLDC</t>
        </is>
      </c>
      <c r="J1899" s="10" t="inlineStr">
        <is>
          <t>Color</t>
        </is>
      </c>
      <c r="K1899" s="10" t="inlineStr">
        <is>
          <t>White</t>
        </is>
      </c>
      <c r="L1899" s="10" t="n"/>
      <c r="M1899" s="10" t="n"/>
      <c r="N1899" s="10" t="n"/>
      <c r="O1899" s="10" t="n"/>
      <c r="P1899" s="10" t="n"/>
      <c r="Q1899" s="10" t="inlineStr">
        <is>
          <t>Manufacturer's Warranty</t>
        </is>
      </c>
      <c r="R1899" s="10" t="inlineStr">
        <is>
          <t>‎2134861411010_Parent</t>
        </is>
      </c>
      <c r="S1899" s="10" t="n"/>
      <c r="T1899" s="10" t="n"/>
      <c r="U1899" s="10" t="n"/>
      <c r="V1899" s="10" t="n"/>
      <c r="W1899" s="10" t="n"/>
      <c r="X1899" s="10" t="n"/>
      <c r="Y1899" s="10" t="inlineStr">
        <is>
          <t>elec_fan_13</t>
        </is>
      </c>
      <c r="Z1899" s="10" t="n"/>
      <c r="AA1899" s="10" t="n"/>
      <c r="AB1899" s="10" t="n"/>
      <c r="AC1899" s="10" t="n"/>
      <c r="AD1899" s="10" t="n"/>
      <c r="AE1899" s="10" t="n">
        <v>4200</v>
      </c>
      <c r="AF1899" s="11" t="n"/>
      <c r="AG1899" s="10">
        <f>ROUND(AE1899-(AE1899*AF1899),2)</f>
        <v/>
      </c>
      <c r="AH1899" s="11" t="n"/>
      <c r="AI1899" s="10">
        <f>ROUND(AG1899+(AG1899*AH1899),2)</f>
        <v/>
      </c>
      <c r="AJ1899" s="11" t="n"/>
      <c r="AK1899" s="10">
        <f>ROUND(AI1899*AJ1899,2)</f>
        <v/>
      </c>
      <c r="AL1899" s="10">
        <f>AI1899+AK1899</f>
        <v/>
      </c>
      <c r="AM1899" s="10">
        <f>AE1899-AL1899</f>
        <v/>
      </c>
      <c r="AN1899" s="11">
        <f>AM1899/AE1899</f>
        <v/>
      </c>
      <c r="AO1899" s="10" t="n"/>
      <c r="AP1899" s="10" t="n"/>
      <c r="AQ1899" s="10" t="n"/>
      <c r="AR1899" s="10" t="n"/>
      <c r="AS1899" s="10" t="n"/>
      <c r="AT1899" s="3" t="inlineStr">
        <is>
          <t>Inactive</t>
        </is>
      </c>
    </row>
    <row r="1900" ht="15.75" customHeight="1">
      <c r="A1900" s="10" t="inlineStr">
        <is>
          <t>PROD_0351</t>
        </is>
      </c>
      <c r="B1900" s="10" t="inlineStr">
        <is>
          <t>VAR_1</t>
        </is>
      </c>
      <c r="C1900" s="10" t="inlineStr">
        <is>
          <t>Electrical Material</t>
        </is>
      </c>
      <c r="D1900" s="10" t="inlineStr">
        <is>
          <t>Fan</t>
        </is>
      </c>
      <c r="E1900" s="10" t="inlineStr">
        <is>
          <t>Crompton</t>
        </is>
      </c>
      <c r="F1900" s="10" t="inlineStr">
        <is>
          <t>Cieling Fan | Highspeed Toro</t>
        </is>
      </c>
      <c r="G1900" s="10" t="n"/>
      <c r="H1900" s="10" t="inlineStr">
        <is>
          <t>Motor Type</t>
        </is>
      </c>
      <c r="I1900" s="10" t="inlineStr">
        <is>
          <t>Brushed</t>
        </is>
      </c>
      <c r="J1900" s="10" t="inlineStr">
        <is>
          <t>Color</t>
        </is>
      </c>
      <c r="K1900" s="10" t="inlineStr">
        <is>
          <t>Magic Brown</t>
        </is>
      </c>
      <c r="L1900" s="10" t="n"/>
      <c r="M1900" s="10" t="n"/>
      <c r="N1900" s="10" t="n"/>
      <c r="O1900" s="10" t="n"/>
      <c r="P1900" s="10" t="n"/>
      <c r="Q1900" s="10" t="inlineStr">
        <is>
          <t>Manufacturer's Warranty</t>
        </is>
      </c>
      <c r="R1900" s="10" t="inlineStr">
        <is>
          <t>CFHSTOR48MBRAD1S</t>
        </is>
      </c>
      <c r="S1900" s="10" t="n"/>
      <c r="T1900" s="10" t="n"/>
      <c r="U1900" s="10" t="n"/>
      <c r="V1900" s="10" t="n"/>
      <c r="W1900" s="10" t="n"/>
      <c r="X1900" s="10" t="n"/>
      <c r="Y1900" s="10" t="inlineStr">
        <is>
          <t>ELCT_CF_CRMP_TORO_1</t>
        </is>
      </c>
      <c r="Z1900" s="10" t="n"/>
      <c r="AA1900" s="10" t="n"/>
      <c r="AB1900" s="10" t="n"/>
      <c r="AC1900" s="10" t="n"/>
      <c r="AD1900" s="10" t="n"/>
      <c r="AE1900" s="10" t="n">
        <v>3500</v>
      </c>
      <c r="AF1900" s="11" t="n"/>
      <c r="AG1900" s="10">
        <f>ROUND(AE1900-(AE1900*AF1900),2)</f>
        <v/>
      </c>
      <c r="AH1900" s="11" t="n"/>
      <c r="AI1900" s="10">
        <f>ROUND(AG1900+(AG1900*AH1900),2)</f>
        <v/>
      </c>
      <c r="AJ1900" s="11" t="n"/>
      <c r="AK1900" s="10">
        <f>ROUND(AI1900*AJ1900,2)</f>
        <v/>
      </c>
      <c r="AL1900" s="10">
        <f>AI1900+AK1900</f>
        <v/>
      </c>
      <c r="AM1900" s="10">
        <f>AE1900-AL1900</f>
        <v/>
      </c>
      <c r="AN1900" s="11">
        <f>AM1900/AE1900</f>
        <v/>
      </c>
      <c r="AO1900" s="10" t="n"/>
      <c r="AP1900" s="10" t="n"/>
      <c r="AQ1900" s="10" t="n"/>
      <c r="AR1900" s="10" t="n"/>
      <c r="AS1900" s="10" t="n"/>
      <c r="AT1900" s="3" t="inlineStr">
        <is>
          <t>Inactive</t>
        </is>
      </c>
    </row>
    <row r="1901" ht="15.75" customHeight="1">
      <c r="A1901" s="10" t="inlineStr">
        <is>
          <t>PROD_0351</t>
        </is>
      </c>
      <c r="B1901" s="10" t="inlineStr">
        <is>
          <t>VAR_2</t>
        </is>
      </c>
      <c r="C1901" s="10" t="inlineStr">
        <is>
          <t>Electrical Material</t>
        </is>
      </c>
      <c r="D1901" s="10" t="inlineStr">
        <is>
          <t>Fan</t>
        </is>
      </c>
      <c r="E1901" s="10" t="inlineStr">
        <is>
          <t>Crompton</t>
        </is>
      </c>
      <c r="F1901" s="10" t="inlineStr">
        <is>
          <t>Cieling Fan | Highspeed Toro</t>
        </is>
      </c>
      <c r="G1901" s="10" t="n"/>
      <c r="H1901" s="10" t="inlineStr">
        <is>
          <t>Motor Type</t>
        </is>
      </c>
      <c r="I1901" s="10" t="inlineStr">
        <is>
          <t>Brushed</t>
        </is>
      </c>
      <c r="J1901" s="10" t="inlineStr">
        <is>
          <t>Color</t>
        </is>
      </c>
      <c r="K1901" s="10" t="inlineStr">
        <is>
          <t>Birken Effect</t>
        </is>
      </c>
      <c r="L1901" s="10" t="n"/>
      <c r="M1901" s="10" t="n"/>
      <c r="N1901" s="10" t="n"/>
      <c r="O1901" s="10" t="n"/>
      <c r="P1901" s="10" t="n"/>
      <c r="Q1901" s="10" t="inlineStr">
        <is>
          <t>Manufacturer's Warranty</t>
        </is>
      </c>
      <c r="R1901" s="10" t="inlineStr">
        <is>
          <t>CFHSTOR48BKEAD1S</t>
        </is>
      </c>
      <c r="S1901" s="10" t="n"/>
      <c r="T1901" s="10" t="n"/>
      <c r="U1901" s="10" t="n"/>
      <c r="V1901" s="10" t="n"/>
      <c r="W1901" s="10" t="n"/>
      <c r="X1901" s="10" t="n"/>
      <c r="Y1901" s="10" t="inlineStr">
        <is>
          <t>ELCT_CF_CRMP_TORO_2</t>
        </is>
      </c>
      <c r="Z1901" s="10" t="n"/>
      <c r="AA1901" s="10" t="n"/>
      <c r="AB1901" s="10" t="n"/>
      <c r="AC1901" s="10" t="n"/>
      <c r="AD1901" s="10" t="n"/>
      <c r="AE1901" s="10" t="n">
        <v>3999</v>
      </c>
      <c r="AF1901" s="11" t="n"/>
      <c r="AG1901" s="10">
        <f>ROUND(AE1901-(AE1901*AF1901),2)</f>
        <v/>
      </c>
      <c r="AH1901" s="11" t="n"/>
      <c r="AI1901" s="10">
        <f>ROUND(AG1901+(AG1901*AH1901),2)</f>
        <v/>
      </c>
      <c r="AJ1901" s="11" t="n"/>
      <c r="AK1901" s="10">
        <f>ROUND(AI1901*AJ1901,2)</f>
        <v/>
      </c>
      <c r="AL1901" s="10">
        <f>AI1901+AK1901</f>
        <v/>
      </c>
      <c r="AM1901" s="10">
        <f>AE1901-AL1901</f>
        <v/>
      </c>
      <c r="AN1901" s="11">
        <f>AM1901/AE1901</f>
        <v/>
      </c>
      <c r="AO1901" s="10" t="n"/>
      <c r="AP1901" s="10" t="n"/>
      <c r="AQ1901" s="10" t="n"/>
      <c r="AR1901" s="10" t="n"/>
      <c r="AS1901" s="10" t="n"/>
      <c r="AT1901" s="3" t="inlineStr">
        <is>
          <t>Inactive</t>
        </is>
      </c>
    </row>
    <row r="1902" ht="15.75" customHeight="1">
      <c r="A1902" s="10" t="inlineStr">
        <is>
          <t>PROD_0351</t>
        </is>
      </c>
      <c r="B1902" s="10" t="inlineStr">
        <is>
          <t>VAR_3</t>
        </is>
      </c>
      <c r="C1902" s="10" t="inlineStr">
        <is>
          <t>Electrical Material</t>
        </is>
      </c>
      <c r="D1902" s="10" t="inlineStr">
        <is>
          <t>Fan</t>
        </is>
      </c>
      <c r="E1902" s="10" t="inlineStr">
        <is>
          <t>Crompton</t>
        </is>
      </c>
      <c r="F1902" s="10" t="inlineStr">
        <is>
          <t>Cieling Fan | Highspeed Toro</t>
        </is>
      </c>
      <c r="G1902" s="10" t="n"/>
      <c r="H1902" s="10" t="inlineStr">
        <is>
          <t>Motor Type</t>
        </is>
      </c>
      <c r="I1902" s="10" t="inlineStr">
        <is>
          <t>Brushed</t>
        </is>
      </c>
      <c r="J1902" s="10" t="inlineStr">
        <is>
          <t>Color</t>
        </is>
      </c>
      <c r="K1902" s="10" t="inlineStr">
        <is>
          <t>Lustre Borwn</t>
        </is>
      </c>
      <c r="L1902" s="10" t="n"/>
      <c r="M1902" s="10" t="n"/>
      <c r="N1902" s="10" t="n"/>
      <c r="O1902" s="10" t="n"/>
      <c r="P1902" s="10" t="n"/>
      <c r="Q1902" s="10" t="inlineStr">
        <is>
          <t>Manufacturer's Warranty</t>
        </is>
      </c>
      <c r="R1902" s="10" t="inlineStr">
        <is>
          <t>SEAWIND48LB</t>
        </is>
      </c>
      <c r="S1902" s="10" t="n"/>
      <c r="T1902" s="10" t="n"/>
      <c r="U1902" s="10" t="n"/>
      <c r="V1902" s="10" t="n"/>
      <c r="W1902" s="10" t="n"/>
      <c r="X1902" s="10" t="n"/>
      <c r="Y1902" s="10" t="inlineStr">
        <is>
          <t>ELCT_CF_CRMP_TORO_3</t>
        </is>
      </c>
      <c r="Z1902" s="10" t="n"/>
      <c r="AA1902" s="10" t="n"/>
      <c r="AB1902" s="10" t="n"/>
      <c r="AC1902" s="10" t="n"/>
      <c r="AD1902" s="10" t="n"/>
      <c r="AE1902" s="10" t="n">
        <v>1999</v>
      </c>
      <c r="AF1902" s="11" t="n"/>
      <c r="AG1902" s="10">
        <f>ROUND(AE1902-(AE1902*AF1902),2)</f>
        <v/>
      </c>
      <c r="AH1902" s="11" t="n"/>
      <c r="AI1902" s="10">
        <f>ROUND(AG1902+(AG1902*AH1902),2)</f>
        <v/>
      </c>
      <c r="AJ1902" s="11" t="n"/>
      <c r="AK1902" s="10">
        <f>ROUND(AI1902*AJ1902,2)</f>
        <v/>
      </c>
      <c r="AL1902" s="10">
        <f>AI1902+AK1902</f>
        <v/>
      </c>
      <c r="AM1902" s="10">
        <f>AE1902-AL1902</f>
        <v/>
      </c>
      <c r="AN1902" s="11">
        <f>AM1902/AE1902</f>
        <v/>
      </c>
      <c r="AO1902" s="10" t="n"/>
      <c r="AP1902" s="10" t="n"/>
      <c r="AQ1902" s="10" t="n"/>
      <c r="AR1902" s="10" t="n"/>
      <c r="AS1902" s="10" t="n"/>
      <c r="AT1902" s="3" t="inlineStr">
        <is>
          <t>Inactive</t>
        </is>
      </c>
    </row>
    <row r="1903" ht="15.75" customHeight="1">
      <c r="A1903" s="10" t="inlineStr">
        <is>
          <t>PROD_0351</t>
        </is>
      </c>
      <c r="B1903" s="10" t="inlineStr">
        <is>
          <t>VAR_4</t>
        </is>
      </c>
      <c r="C1903" s="10" t="inlineStr">
        <is>
          <t>Electrical Material</t>
        </is>
      </c>
      <c r="D1903" s="10" t="inlineStr">
        <is>
          <t>Fan</t>
        </is>
      </c>
      <c r="E1903" s="10" t="inlineStr">
        <is>
          <t>Crompton</t>
        </is>
      </c>
      <c r="F1903" s="10" t="inlineStr">
        <is>
          <t>Cieling Fan | Highspeed Toro</t>
        </is>
      </c>
      <c r="G1903" s="10" t="n"/>
      <c r="H1903" s="10" t="inlineStr">
        <is>
          <t>Motor Type</t>
        </is>
      </c>
      <c r="I1903" s="10" t="inlineStr">
        <is>
          <t>Brushed</t>
        </is>
      </c>
      <c r="J1903" s="10" t="inlineStr">
        <is>
          <t>Color</t>
        </is>
      </c>
      <c r="K1903" s="10" t="inlineStr">
        <is>
          <t>Silver Magic White</t>
        </is>
      </c>
      <c r="L1903" s="10" t="n"/>
      <c r="M1903" s="10" t="n"/>
      <c r="N1903" s="10" t="n"/>
      <c r="O1903" s="10" t="n"/>
      <c r="P1903" s="10" t="n"/>
      <c r="Q1903" s="10" t="inlineStr">
        <is>
          <t>Manufacturer's Warranty</t>
        </is>
      </c>
      <c r="R1903" s="10" t="inlineStr">
        <is>
          <t>CFHSTOR48MWTAD1S</t>
        </is>
      </c>
      <c r="S1903" s="10" t="n"/>
      <c r="T1903" s="10" t="n"/>
      <c r="U1903" s="10" t="n"/>
      <c r="V1903" s="10" t="n"/>
      <c r="W1903" s="10" t="n"/>
      <c r="X1903" s="10" t="n"/>
      <c r="Y1903" s="10" t="inlineStr">
        <is>
          <t>ELCT_CF_CRMP_TORO_4</t>
        </is>
      </c>
      <c r="Z1903" s="10" t="n"/>
      <c r="AA1903" s="10" t="n"/>
      <c r="AB1903" s="10" t="n"/>
      <c r="AC1903" s="10" t="n"/>
      <c r="AD1903" s="10" t="n"/>
      <c r="AE1903" s="10" t="n">
        <v>3999</v>
      </c>
      <c r="AF1903" s="11" t="n"/>
      <c r="AG1903" s="10">
        <f>ROUND(AE1903-(AE1903*AF1903),2)</f>
        <v/>
      </c>
      <c r="AH1903" s="11" t="n"/>
      <c r="AI1903" s="10">
        <f>ROUND(AG1903+(AG1903*AH1903),2)</f>
        <v/>
      </c>
      <c r="AJ1903" s="11" t="n"/>
      <c r="AK1903" s="10">
        <f>ROUND(AI1903*AJ1903,2)</f>
        <v/>
      </c>
      <c r="AL1903" s="10">
        <f>AI1903+AK1903</f>
        <v/>
      </c>
      <c r="AM1903" s="10">
        <f>AE1903-AL1903</f>
        <v/>
      </c>
      <c r="AN1903" s="11">
        <f>AM1903/AE1903</f>
        <v/>
      </c>
      <c r="AO1903" s="10" t="n"/>
      <c r="AP1903" s="10" t="n"/>
      <c r="AQ1903" s="10" t="n"/>
      <c r="AR1903" s="10" t="n"/>
      <c r="AS1903" s="10" t="n"/>
      <c r="AT1903" s="3" t="inlineStr">
        <is>
          <t>Inactive</t>
        </is>
      </c>
    </row>
    <row r="1904" ht="15.75" customHeight="1">
      <c r="A1904" s="10" t="inlineStr">
        <is>
          <t>PROD_0351</t>
        </is>
      </c>
      <c r="B1904" s="10" t="inlineStr">
        <is>
          <t>VAR_5</t>
        </is>
      </c>
      <c r="C1904" s="10" t="inlineStr">
        <is>
          <t>Electrical Material</t>
        </is>
      </c>
      <c r="D1904" s="10" t="inlineStr">
        <is>
          <t>Fan</t>
        </is>
      </c>
      <c r="E1904" s="10" t="inlineStr">
        <is>
          <t>Crompton</t>
        </is>
      </c>
      <c r="F1904" s="10" t="inlineStr">
        <is>
          <t>Cieling Fan | Highspeed Toro</t>
        </is>
      </c>
      <c r="G1904" s="10" t="n"/>
      <c r="H1904" s="10" t="inlineStr">
        <is>
          <t>Motor Type</t>
        </is>
      </c>
      <c r="I1904" s="10" t="inlineStr">
        <is>
          <t>Brushed</t>
        </is>
      </c>
      <c r="J1904" s="10" t="inlineStr">
        <is>
          <t>Color</t>
        </is>
      </c>
      <c r="K1904" s="10" t="inlineStr">
        <is>
          <t>Warm Grey</t>
        </is>
      </c>
      <c r="L1904" s="10" t="n"/>
      <c r="M1904" s="10" t="n"/>
      <c r="N1904" s="10" t="n"/>
      <c r="O1904" s="10" t="n"/>
      <c r="P1904" s="10" t="n"/>
      <c r="Q1904" s="10" t="inlineStr">
        <is>
          <t>Manufacturer's Warranty</t>
        </is>
      </c>
      <c r="R1904" s="10" t="inlineStr">
        <is>
          <t>CFHSTOR48WGRAD1S</t>
        </is>
      </c>
      <c r="S1904" s="10" t="n"/>
      <c r="T1904" s="10" t="n"/>
      <c r="U1904" s="10" t="n"/>
      <c r="V1904" s="10" t="n"/>
      <c r="W1904" s="10" t="n"/>
      <c r="X1904" s="10" t="n"/>
      <c r="Y1904" s="10" t="inlineStr">
        <is>
          <t>ELCT_CF_CRMP_TORO_5</t>
        </is>
      </c>
      <c r="Z1904" s="10" t="n"/>
      <c r="AA1904" s="10" t="n"/>
      <c r="AB1904" s="10" t="n"/>
      <c r="AC1904" s="10" t="n"/>
      <c r="AD1904" s="10" t="n"/>
      <c r="AE1904" s="10" t="n">
        <v>5000</v>
      </c>
      <c r="AF1904" s="11" t="n"/>
      <c r="AG1904" s="10">
        <f>ROUND(AE1904-(AE1904*AF1904),2)</f>
        <v/>
      </c>
      <c r="AH1904" s="11" t="n"/>
      <c r="AI1904" s="10">
        <f>ROUND(AG1904+(AG1904*AH1904),2)</f>
        <v/>
      </c>
      <c r="AJ1904" s="11" t="n"/>
      <c r="AK1904" s="10">
        <f>ROUND(AI1904*AJ1904,2)</f>
        <v/>
      </c>
      <c r="AL1904" s="10">
        <f>AI1904+AK1904</f>
        <v/>
      </c>
      <c r="AM1904" s="10">
        <f>AE1904-AL1904</f>
        <v/>
      </c>
      <c r="AN1904" s="11">
        <f>AM1904/AE1904</f>
        <v/>
      </c>
      <c r="AO1904" s="10" t="n"/>
      <c r="AP1904" s="10" t="n"/>
      <c r="AQ1904" s="10" t="n"/>
      <c r="AR1904" s="10" t="n"/>
      <c r="AS1904" s="10" t="n"/>
      <c r="AT1904" s="3" t="inlineStr">
        <is>
          <t>Inactive</t>
        </is>
      </c>
    </row>
    <row r="1905" ht="15.75" customHeight="1">
      <c r="A1905" s="10" t="inlineStr">
        <is>
          <t>PROD_0352</t>
        </is>
      </c>
      <c r="B1905" s="10" t="inlineStr">
        <is>
          <t>VAR_1</t>
        </is>
      </c>
      <c r="C1905" s="10" t="inlineStr">
        <is>
          <t>Electrical Material</t>
        </is>
      </c>
      <c r="D1905" s="10" t="inlineStr">
        <is>
          <t>Fan</t>
        </is>
      </c>
      <c r="E1905" s="10" t="inlineStr">
        <is>
          <t>Crompton</t>
        </is>
      </c>
      <c r="F1905" s="10" t="inlineStr">
        <is>
          <t>Cieling Fan | Surebreeze Sea Sapphira</t>
        </is>
      </c>
      <c r="G1905" s="10" t="n"/>
      <c r="H1905" s="10" t="inlineStr">
        <is>
          <t>Motor Type</t>
        </is>
      </c>
      <c r="I1905" s="10" t="inlineStr">
        <is>
          <t>Brushed</t>
        </is>
      </c>
      <c r="J1905" s="10" t="inlineStr">
        <is>
          <t>Color</t>
        </is>
      </c>
      <c r="K1905" s="10" t="inlineStr">
        <is>
          <t>Lustre Borwn</t>
        </is>
      </c>
      <c r="L1905" s="10" t="n"/>
      <c r="M1905" s="10" t="n"/>
      <c r="N1905" s="10" t="n"/>
      <c r="O1905" s="10" t="n"/>
      <c r="P1905" s="10" t="n"/>
      <c r="Q1905" s="10" t="inlineStr">
        <is>
          <t>Manufacturer's Warranty</t>
        </is>
      </c>
      <c r="R1905" s="10" t="inlineStr">
        <is>
          <t>CFSBSSP48BRN1Z</t>
        </is>
      </c>
      <c r="S1905" s="10" t="n"/>
      <c r="T1905" s="10" t="n"/>
      <c r="U1905" s="10" t="n"/>
      <c r="V1905" s="10" t="n"/>
      <c r="W1905" s="10" t="n"/>
      <c r="X1905" s="10" t="n"/>
      <c r="Y1905" s="10" t="inlineStr">
        <is>
          <t>ELCT_CF_CRMP_SRBRZ_1</t>
        </is>
      </c>
      <c r="Z1905" s="10" t="n"/>
      <c r="AA1905" s="10" t="n"/>
      <c r="AB1905" s="10" t="n"/>
      <c r="AC1905" s="10" t="n"/>
      <c r="AD1905" s="10" t="n"/>
      <c r="AE1905" s="10" t="n">
        <v>2599</v>
      </c>
      <c r="AF1905" s="11" t="n"/>
      <c r="AG1905" s="10">
        <f>ROUND(AE1905-(AE1905*AF1905),2)</f>
        <v/>
      </c>
      <c r="AH1905" s="11" t="n"/>
      <c r="AI1905" s="10">
        <f>ROUND(AG1905+(AG1905*AH1905),2)</f>
        <v/>
      </c>
      <c r="AJ1905" s="11" t="n"/>
      <c r="AK1905" s="10">
        <f>ROUND(AI1905*AJ1905,2)</f>
        <v/>
      </c>
      <c r="AL1905" s="10">
        <f>AI1905+AK1905</f>
        <v/>
      </c>
      <c r="AM1905" s="10">
        <f>AE1905-AL1905</f>
        <v/>
      </c>
      <c r="AN1905" s="11">
        <f>AM1905/AE1905</f>
        <v/>
      </c>
      <c r="AO1905" s="10" t="n"/>
      <c r="AP1905" s="10" t="n"/>
      <c r="AQ1905" s="10" t="n"/>
      <c r="AR1905" s="10" t="n"/>
      <c r="AS1905" s="10" t="n"/>
      <c r="AT1905" s="3" t="inlineStr">
        <is>
          <t>Inactive</t>
        </is>
      </c>
    </row>
    <row r="1906" ht="15.75" customHeight="1">
      <c r="A1906" s="10" t="inlineStr">
        <is>
          <t>PROD_0352</t>
        </is>
      </c>
      <c r="B1906" s="10" t="inlineStr">
        <is>
          <t>VAR_2</t>
        </is>
      </c>
      <c r="C1906" s="10" t="inlineStr">
        <is>
          <t>Electrical Material</t>
        </is>
      </c>
      <c r="D1906" s="10" t="inlineStr">
        <is>
          <t>Fan</t>
        </is>
      </c>
      <c r="E1906" s="10" t="inlineStr">
        <is>
          <t>Crompton</t>
        </is>
      </c>
      <c r="F1906" s="10" t="inlineStr">
        <is>
          <t>Cieling Fan | Surebreeze Sea Sapphira</t>
        </is>
      </c>
      <c r="G1906" s="10" t="n"/>
      <c r="H1906" s="10" t="inlineStr">
        <is>
          <t>Motor Type</t>
        </is>
      </c>
      <c r="I1906" s="10" t="inlineStr">
        <is>
          <t>Brushed</t>
        </is>
      </c>
      <c r="J1906" s="10" t="inlineStr">
        <is>
          <t>Color</t>
        </is>
      </c>
      <c r="K1906" s="10" t="inlineStr">
        <is>
          <t>Ivory White</t>
        </is>
      </c>
      <c r="L1906" s="10" t="n"/>
      <c r="M1906" s="10" t="n"/>
      <c r="N1906" s="10" t="n"/>
      <c r="O1906" s="10" t="n"/>
      <c r="P1906" s="10" t="n"/>
      <c r="Q1906" s="10" t="inlineStr">
        <is>
          <t>Manufacturer's Warranty</t>
        </is>
      </c>
      <c r="R1906" s="10" t="inlineStr">
        <is>
          <t>CFSBSSP48IVY1Z</t>
        </is>
      </c>
      <c r="S1906" s="10" t="n"/>
      <c r="T1906" s="10" t="n"/>
      <c r="U1906" s="10" t="n"/>
      <c r="V1906" s="10" t="n"/>
      <c r="W1906" s="10" t="n"/>
      <c r="X1906" s="10" t="n"/>
      <c r="Y1906" s="10" t="inlineStr">
        <is>
          <t>ELCT_CF_CRMP_SRBRZ_2</t>
        </is>
      </c>
      <c r="Z1906" s="10" t="n"/>
      <c r="AA1906" s="10" t="n"/>
      <c r="AB1906" s="10" t="n"/>
      <c r="AC1906" s="10" t="n"/>
      <c r="AD1906" s="10" t="n"/>
      <c r="AE1906" s="10" t="n">
        <v>2599</v>
      </c>
      <c r="AF1906" s="11" t="n"/>
      <c r="AG1906" s="10">
        <f>ROUND(AE1906-(AE1906*AF1906),2)</f>
        <v/>
      </c>
      <c r="AH1906" s="11" t="n"/>
      <c r="AI1906" s="10">
        <f>ROUND(AG1906+(AG1906*AH1906),2)</f>
        <v/>
      </c>
      <c r="AJ1906" s="11" t="n"/>
      <c r="AK1906" s="10">
        <f>ROUND(AI1906*AJ1906,2)</f>
        <v/>
      </c>
      <c r="AL1906" s="10">
        <f>AI1906+AK1906</f>
        <v/>
      </c>
      <c r="AM1906" s="10">
        <f>AE1906-AL1906</f>
        <v/>
      </c>
      <c r="AN1906" s="11">
        <f>AM1906/AE1906</f>
        <v/>
      </c>
      <c r="AO1906" s="10" t="n"/>
      <c r="AP1906" s="10" t="n"/>
      <c r="AQ1906" s="10" t="n"/>
      <c r="AR1906" s="10" t="n"/>
      <c r="AS1906" s="10" t="n"/>
      <c r="AT1906" s="3" t="inlineStr">
        <is>
          <t>Inactive</t>
        </is>
      </c>
    </row>
    <row r="1907" ht="15.75" customHeight="1">
      <c r="A1907" s="10" t="inlineStr">
        <is>
          <t>PROD_0353</t>
        </is>
      </c>
      <c r="B1907" s="10" t="inlineStr">
        <is>
          <t>VAR_1</t>
        </is>
      </c>
      <c r="C1907" s="10" t="inlineStr">
        <is>
          <t>Electrical Material</t>
        </is>
      </c>
      <c r="D1907" s="10" t="inlineStr">
        <is>
          <t>Fan</t>
        </is>
      </c>
      <c r="E1907" s="10" t="inlineStr">
        <is>
          <t>Crompton</t>
        </is>
      </c>
      <c r="F1907" s="10" t="inlineStr">
        <is>
          <t>Cieling Fan | Hyperjet BLDC</t>
        </is>
      </c>
      <c r="G1907" s="10" t="n"/>
      <c r="H1907" s="10" t="inlineStr">
        <is>
          <t>Motor Type</t>
        </is>
      </c>
      <c r="I1907" s="10" t="inlineStr">
        <is>
          <t>BLDC</t>
        </is>
      </c>
      <c r="J1907" s="10" t="inlineStr">
        <is>
          <t>Color</t>
        </is>
      </c>
      <c r="K1907" s="10" t="inlineStr">
        <is>
          <t>Opal White</t>
        </is>
      </c>
      <c r="L1907" s="10" t="n"/>
      <c r="M1907" s="10" t="n"/>
      <c r="N1907" s="10" t="n"/>
      <c r="O1907" s="10" t="n"/>
      <c r="P1907" s="10" t="n"/>
      <c r="Q1907" s="10" t="inlineStr">
        <is>
          <t>Manufacturer's Warranty</t>
        </is>
      </c>
      <c r="R1907" s="10" t="inlineStr">
        <is>
          <t>CFENHP35W48OPWRM</t>
        </is>
      </c>
      <c r="S1907" s="10" t="n"/>
      <c r="T1907" s="10" t="n"/>
      <c r="U1907" s="10" t="n"/>
      <c r="V1907" s="10" t="n"/>
      <c r="W1907" s="10" t="n"/>
      <c r="X1907" s="10" t="n"/>
      <c r="Y1907" s="10" t="inlineStr">
        <is>
          <t>ELCT_CF_CRMP_HYPRJT_1</t>
        </is>
      </c>
      <c r="Z1907" s="10" t="n"/>
      <c r="AA1907" s="10" t="n"/>
      <c r="AB1907" s="10" t="n"/>
      <c r="AC1907" s="10" t="n"/>
      <c r="AD1907" s="10" t="n"/>
      <c r="AE1907" s="10" t="n">
        <v>5549</v>
      </c>
      <c r="AF1907" s="11" t="n"/>
      <c r="AG1907" s="10">
        <f>ROUND(AE1907-(AE1907*AF1907),2)</f>
        <v/>
      </c>
      <c r="AH1907" s="11" t="n"/>
      <c r="AI1907" s="10">
        <f>ROUND(AG1907+(AG1907*AH1907),2)</f>
        <v/>
      </c>
      <c r="AJ1907" s="11" t="n"/>
      <c r="AK1907" s="10">
        <f>ROUND(AI1907*AJ1907,2)</f>
        <v/>
      </c>
      <c r="AL1907" s="10">
        <f>AI1907+AK1907</f>
        <v/>
      </c>
      <c r="AM1907" s="10">
        <f>AE1907-AL1907</f>
        <v/>
      </c>
      <c r="AN1907" s="11">
        <f>AM1907/AE1907</f>
        <v/>
      </c>
      <c r="AO1907" s="10" t="n"/>
      <c r="AP1907" s="10" t="n"/>
      <c r="AQ1907" s="10" t="n"/>
      <c r="AR1907" s="10" t="n"/>
      <c r="AS1907" s="10" t="n"/>
      <c r="AT1907" s="3" t="inlineStr">
        <is>
          <t>Inactive</t>
        </is>
      </c>
    </row>
    <row r="1908" ht="15.75" customHeight="1">
      <c r="A1908" s="10" t="inlineStr">
        <is>
          <t>PROD_0353</t>
        </is>
      </c>
      <c r="B1908" s="10" t="inlineStr">
        <is>
          <t>VAR_2</t>
        </is>
      </c>
      <c r="C1908" s="10" t="inlineStr">
        <is>
          <t>Electrical Material</t>
        </is>
      </c>
      <c r="D1908" s="10" t="inlineStr">
        <is>
          <t>Fan</t>
        </is>
      </c>
      <c r="E1908" s="10" t="inlineStr">
        <is>
          <t>Crompton</t>
        </is>
      </c>
      <c r="F1908" s="10" t="inlineStr">
        <is>
          <t>Cieling Fan | Hyperjet BLDC</t>
        </is>
      </c>
      <c r="G1908" s="10" t="n"/>
      <c r="H1908" s="10" t="inlineStr">
        <is>
          <t>Motor Type</t>
        </is>
      </c>
      <c r="I1908" s="10" t="inlineStr">
        <is>
          <t>BLDC</t>
        </is>
      </c>
      <c r="J1908" s="10" t="inlineStr">
        <is>
          <t>Color</t>
        </is>
      </c>
      <c r="K1908" s="10" t="inlineStr">
        <is>
          <t>Brown</t>
        </is>
      </c>
      <c r="L1908" s="10" t="n"/>
      <c r="M1908" s="10" t="n"/>
      <c r="N1908" s="10" t="n"/>
      <c r="O1908" s="10" t="n"/>
      <c r="P1908" s="10" t="n"/>
      <c r="Q1908" s="10" t="inlineStr">
        <is>
          <t>Manufacturer's Warranty</t>
        </is>
      </c>
      <c r="R1908" s="10" t="inlineStr">
        <is>
          <t>CFENHP35W48BRNRM</t>
        </is>
      </c>
      <c r="S1908" s="10" t="n"/>
      <c r="T1908" s="10" t="n"/>
      <c r="U1908" s="10" t="n"/>
      <c r="V1908" s="10" t="n"/>
      <c r="W1908" s="10" t="n"/>
      <c r="X1908" s="10" t="n"/>
      <c r="Y1908" s="10" t="inlineStr">
        <is>
          <t>ELCT_CF_CRMP_HYPRJT_2</t>
        </is>
      </c>
      <c r="Z1908" s="10" t="n"/>
      <c r="AA1908" s="10" t="n"/>
      <c r="AB1908" s="10" t="n"/>
      <c r="AC1908" s="10" t="n"/>
      <c r="AD1908" s="10" t="n"/>
      <c r="AE1908" s="10" t="n">
        <v>5549</v>
      </c>
      <c r="AF1908" s="11" t="n"/>
      <c r="AG1908" s="10">
        <f>ROUND(AE1908-(AE1908*AF1908),2)</f>
        <v/>
      </c>
      <c r="AH1908" s="11" t="n"/>
      <c r="AI1908" s="10">
        <f>ROUND(AG1908+(AG1908*AH1908),2)</f>
        <v/>
      </c>
      <c r="AJ1908" s="11" t="n"/>
      <c r="AK1908" s="10">
        <f>ROUND(AI1908*AJ1908,2)</f>
        <v/>
      </c>
      <c r="AL1908" s="10">
        <f>AI1908+AK1908</f>
        <v/>
      </c>
      <c r="AM1908" s="10">
        <f>AE1908-AL1908</f>
        <v/>
      </c>
      <c r="AN1908" s="11">
        <f>AM1908/AE1908</f>
        <v/>
      </c>
      <c r="AO1908" s="10" t="n"/>
      <c r="AP1908" s="10" t="n"/>
      <c r="AQ1908" s="10" t="n"/>
      <c r="AR1908" s="10" t="n"/>
      <c r="AS1908" s="10" t="n"/>
      <c r="AT1908" s="3" t="inlineStr">
        <is>
          <t>Inactive</t>
        </is>
      </c>
    </row>
    <row r="1909" ht="15.75" customHeight="1">
      <c r="A1909" s="10" t="inlineStr">
        <is>
          <t>PROD_0353</t>
        </is>
      </c>
      <c r="B1909" s="10" t="inlineStr">
        <is>
          <t>VAR_3</t>
        </is>
      </c>
      <c r="C1909" s="10" t="inlineStr">
        <is>
          <t>Electrical Material</t>
        </is>
      </c>
      <c r="D1909" s="10" t="inlineStr">
        <is>
          <t>Fan</t>
        </is>
      </c>
      <c r="E1909" s="10" t="inlineStr">
        <is>
          <t>Crompton</t>
        </is>
      </c>
      <c r="F1909" s="10" t="inlineStr">
        <is>
          <t>Cieling Fan | Hyperjet BLDC</t>
        </is>
      </c>
      <c r="G1909" s="10" t="n"/>
      <c r="H1909" s="10" t="inlineStr">
        <is>
          <t>Motor Type</t>
        </is>
      </c>
      <c r="I1909" s="10" t="inlineStr">
        <is>
          <t>BLDC</t>
        </is>
      </c>
      <c r="J1909" s="10" t="inlineStr">
        <is>
          <t>Color</t>
        </is>
      </c>
      <c r="K1909" s="10" t="inlineStr">
        <is>
          <t>Matte Black</t>
        </is>
      </c>
      <c r="L1909" s="10" t="n"/>
      <c r="M1909" s="10" t="n"/>
      <c r="N1909" s="10" t="n"/>
      <c r="O1909" s="10" t="n"/>
      <c r="P1909" s="10" t="n"/>
      <c r="Q1909" s="10" t="inlineStr">
        <is>
          <t>Manufacturer's Warranty</t>
        </is>
      </c>
      <c r="R1909" s="10" t="inlineStr">
        <is>
          <t>CFENHP35W48MBKRM</t>
        </is>
      </c>
      <c r="S1909" s="10" t="n"/>
      <c r="T1909" s="10" t="n"/>
      <c r="U1909" s="10" t="n"/>
      <c r="V1909" s="10" t="n"/>
      <c r="W1909" s="10" t="n"/>
      <c r="X1909" s="10" t="n"/>
      <c r="Y1909" s="10" t="inlineStr">
        <is>
          <t>ELCT_CF_CRMP_HYPRJT_3</t>
        </is>
      </c>
      <c r="Z1909" s="10" t="n"/>
      <c r="AA1909" s="10" t="n"/>
      <c r="AB1909" s="10" t="n"/>
      <c r="AC1909" s="10" t="n"/>
      <c r="AD1909" s="10" t="n"/>
      <c r="AE1909" s="10" t="n">
        <v>5549</v>
      </c>
      <c r="AF1909" s="11" t="n"/>
      <c r="AG1909" s="10">
        <f>ROUND(AE1909-(AE1909*AF1909),2)</f>
        <v/>
      </c>
      <c r="AH1909" s="11" t="n"/>
      <c r="AI1909" s="10">
        <f>ROUND(AG1909+(AG1909*AH1909),2)</f>
        <v/>
      </c>
      <c r="AJ1909" s="11" t="n"/>
      <c r="AK1909" s="10">
        <f>ROUND(AI1909*AJ1909,2)</f>
        <v/>
      </c>
      <c r="AL1909" s="10">
        <f>AI1909+AK1909</f>
        <v/>
      </c>
      <c r="AM1909" s="10">
        <f>AE1909-AL1909</f>
        <v/>
      </c>
      <c r="AN1909" s="11">
        <f>AM1909/AE1909</f>
        <v/>
      </c>
      <c r="AO1909" s="10" t="n"/>
      <c r="AP1909" s="10" t="n"/>
      <c r="AQ1909" s="10" t="n"/>
      <c r="AR1909" s="10" t="n"/>
      <c r="AS1909" s="10" t="n"/>
      <c r="AT1909" s="3" t="inlineStr">
        <is>
          <t>Inactive</t>
        </is>
      </c>
    </row>
    <row r="1910" ht="15.75" customHeight="1">
      <c r="A1910" s="10" t="inlineStr">
        <is>
          <t>PROD_0353</t>
        </is>
      </c>
      <c r="B1910" s="10" t="inlineStr">
        <is>
          <t>VAR_4</t>
        </is>
      </c>
      <c r="C1910" s="10" t="inlineStr">
        <is>
          <t>Electrical Material</t>
        </is>
      </c>
      <c r="D1910" s="10" t="inlineStr">
        <is>
          <t>Fan</t>
        </is>
      </c>
      <c r="E1910" s="10" t="inlineStr">
        <is>
          <t>Crompton</t>
        </is>
      </c>
      <c r="F1910" s="10" t="inlineStr">
        <is>
          <t>Cieling Fan | Hyperjet BLDC</t>
        </is>
      </c>
      <c r="G1910" s="10" t="n"/>
      <c r="H1910" s="10" t="inlineStr">
        <is>
          <t>Motor Type</t>
        </is>
      </c>
      <c r="I1910" s="10" t="inlineStr">
        <is>
          <t>BLDC</t>
        </is>
      </c>
      <c r="J1910" s="10" t="inlineStr">
        <is>
          <t>Color</t>
        </is>
      </c>
      <c r="K1910" s="10" t="inlineStr">
        <is>
          <t>Ivory</t>
        </is>
      </c>
      <c r="L1910" s="10" t="n"/>
      <c r="M1910" s="10" t="n"/>
      <c r="N1910" s="10" t="n"/>
      <c r="O1910" s="10" t="n"/>
      <c r="P1910" s="10" t="n"/>
      <c r="Q1910" s="10" t="inlineStr">
        <is>
          <t>Manufacturer's Warranty</t>
        </is>
      </c>
      <c r="R1910" s="10" t="inlineStr">
        <is>
          <t>CFENHP35W48IVYRM</t>
        </is>
      </c>
      <c r="S1910" s="10" t="n"/>
      <c r="T1910" s="10" t="n"/>
      <c r="U1910" s="10" t="n"/>
      <c r="V1910" s="10" t="n"/>
      <c r="W1910" s="10" t="n"/>
      <c r="X1910" s="10" t="n"/>
      <c r="Y1910" s="10" t="inlineStr">
        <is>
          <t>ELCT_CF_CRMP_HYPRJT_4</t>
        </is>
      </c>
      <c r="Z1910" s="10" t="n"/>
      <c r="AA1910" s="10" t="n"/>
      <c r="AB1910" s="10" t="n"/>
      <c r="AC1910" s="10" t="n"/>
      <c r="AD1910" s="10" t="n"/>
      <c r="AE1910" s="10" t="n">
        <v>5549</v>
      </c>
      <c r="AF1910" s="11" t="n"/>
      <c r="AG1910" s="10">
        <f>ROUND(AE1910-(AE1910*AF1910),2)</f>
        <v/>
      </c>
      <c r="AH1910" s="11" t="n"/>
      <c r="AI1910" s="10">
        <f>ROUND(AG1910+(AG1910*AH1910),2)</f>
        <v/>
      </c>
      <c r="AJ1910" s="11" t="n"/>
      <c r="AK1910" s="10">
        <f>ROUND(AI1910*AJ1910,2)</f>
        <v/>
      </c>
      <c r="AL1910" s="10">
        <f>AI1910+AK1910</f>
        <v/>
      </c>
      <c r="AM1910" s="10">
        <f>AE1910-AL1910</f>
        <v/>
      </c>
      <c r="AN1910" s="11">
        <f>AM1910/AE1910</f>
        <v/>
      </c>
      <c r="AO1910" s="10" t="n"/>
      <c r="AP1910" s="10" t="n"/>
      <c r="AQ1910" s="10" t="n"/>
      <c r="AR1910" s="10" t="n"/>
      <c r="AS1910" s="10" t="n"/>
      <c r="AT1910" s="3" t="inlineStr">
        <is>
          <t>Inactive</t>
        </is>
      </c>
    </row>
    <row r="1911" ht="15.75" customHeight="1">
      <c r="A1911" s="10" t="inlineStr">
        <is>
          <t>PROD_0354</t>
        </is>
      </c>
      <c r="B1911" s="10" t="inlineStr">
        <is>
          <t>VAR_1</t>
        </is>
      </c>
      <c r="C1911" s="10" t="inlineStr">
        <is>
          <t>Electrical Material</t>
        </is>
      </c>
      <c r="D1911" s="10" t="inlineStr">
        <is>
          <t>Fan</t>
        </is>
      </c>
      <c r="E1911" s="10" t="inlineStr">
        <is>
          <t>Crompton</t>
        </is>
      </c>
      <c r="F1911" s="10" t="inlineStr">
        <is>
          <t>Cieling Fan | Energion Nucleoid BLDC</t>
        </is>
      </c>
      <c r="G1911" s="10" t="n"/>
      <c r="H1911" s="10" t="inlineStr">
        <is>
          <t>Motor Type</t>
        </is>
      </c>
      <c r="I1911" s="10" t="inlineStr">
        <is>
          <t>BLDC</t>
        </is>
      </c>
      <c r="J1911" s="10" t="inlineStr">
        <is>
          <t>Color</t>
        </is>
      </c>
      <c r="K1911" s="10" t="inlineStr">
        <is>
          <t>Metallic Grey</t>
        </is>
      </c>
      <c r="L1911" s="10" t="n"/>
      <c r="M1911" s="10" t="n"/>
      <c r="N1911" s="10" t="n"/>
      <c r="O1911" s="10" t="n"/>
      <c r="P1911" s="10" t="n"/>
      <c r="Q1911" s="10" t="inlineStr">
        <is>
          <t>Manufacturer's Warranty</t>
        </is>
      </c>
      <c r="R1911" s="10" t="inlineStr">
        <is>
          <t>CFENNC30W48MGR5SRM</t>
        </is>
      </c>
      <c r="S1911" s="10" t="n"/>
      <c r="T1911" s="10" t="n"/>
      <c r="U1911" s="10" t="n"/>
      <c r="V1911" s="10" t="n"/>
      <c r="W1911" s="10" t="n"/>
      <c r="X1911" s="10" t="n"/>
      <c r="Y1911" s="10" t="inlineStr">
        <is>
          <t>ELCT_CF_CRMP_NUCLD_1</t>
        </is>
      </c>
      <c r="Z1911" s="10" t="n"/>
      <c r="AA1911" s="10" t="n"/>
      <c r="AB1911" s="10" t="n"/>
      <c r="AC1911" s="10" t="n"/>
      <c r="AD1911" s="10" t="n"/>
      <c r="AE1911" s="10" t="n">
        <v>4919</v>
      </c>
      <c r="AF1911" s="11" t="n"/>
      <c r="AG1911" s="10">
        <f>ROUND(AE1911-(AE1911*AF1911),2)</f>
        <v/>
      </c>
      <c r="AH1911" s="11" t="n"/>
      <c r="AI1911" s="10">
        <f>ROUND(AG1911+(AG1911*AH1911),2)</f>
        <v/>
      </c>
      <c r="AJ1911" s="11" t="n"/>
      <c r="AK1911" s="10">
        <f>ROUND(AI1911*AJ1911,2)</f>
        <v/>
      </c>
      <c r="AL1911" s="10">
        <f>AI1911+AK1911</f>
        <v/>
      </c>
      <c r="AM1911" s="10">
        <f>AE1911-AL1911</f>
        <v/>
      </c>
      <c r="AN1911" s="11">
        <f>AM1911/AE1911</f>
        <v/>
      </c>
      <c r="AO1911" s="10" t="n"/>
      <c r="AP1911" s="10" t="n"/>
      <c r="AQ1911" s="10" t="n"/>
      <c r="AR1911" s="10" t="n"/>
      <c r="AS1911" s="10" t="n"/>
      <c r="AT1911" s="3" t="inlineStr">
        <is>
          <t>Inactive</t>
        </is>
      </c>
    </row>
    <row r="1912" ht="15.75" customHeight="1">
      <c r="A1912" s="10" t="inlineStr">
        <is>
          <t>PROD_0354</t>
        </is>
      </c>
      <c r="B1912" s="10" t="inlineStr">
        <is>
          <t>VAR_2</t>
        </is>
      </c>
      <c r="C1912" s="10" t="inlineStr">
        <is>
          <t>Electrical Material</t>
        </is>
      </c>
      <c r="D1912" s="10" t="inlineStr">
        <is>
          <t>Fan</t>
        </is>
      </c>
      <c r="E1912" s="10" t="inlineStr">
        <is>
          <t>Crompton</t>
        </is>
      </c>
      <c r="F1912" s="10" t="inlineStr">
        <is>
          <t>Cieling Fan | Energion Nucleoid BLDC</t>
        </is>
      </c>
      <c r="G1912" s="10" t="n"/>
      <c r="H1912" s="10" t="inlineStr">
        <is>
          <t>Motor Type</t>
        </is>
      </c>
      <c r="I1912" s="10" t="inlineStr">
        <is>
          <t>BLDC</t>
        </is>
      </c>
      <c r="J1912" s="10" t="inlineStr">
        <is>
          <t>Color</t>
        </is>
      </c>
      <c r="K1912" s="10" t="inlineStr">
        <is>
          <t>Ivory</t>
        </is>
      </c>
      <c r="L1912" s="10" t="n"/>
      <c r="M1912" s="10" t="n"/>
      <c r="N1912" s="10" t="n"/>
      <c r="O1912" s="10" t="n"/>
      <c r="P1912" s="10" t="n"/>
      <c r="Q1912" s="10" t="inlineStr">
        <is>
          <t>Manufacturer's Warranty</t>
        </is>
      </c>
      <c r="R1912" s="10" t="inlineStr">
        <is>
          <t>CFENNC30W48IVY5SRM</t>
        </is>
      </c>
      <c r="S1912" s="10" t="n"/>
      <c r="T1912" s="10" t="n"/>
      <c r="U1912" s="10" t="n"/>
      <c r="V1912" s="10" t="n"/>
      <c r="W1912" s="10" t="n"/>
      <c r="X1912" s="10" t="n"/>
      <c r="Y1912" s="10" t="inlineStr">
        <is>
          <t>ELCT_CF_CRMP_NUCLD_2</t>
        </is>
      </c>
      <c r="Z1912" s="10" t="n"/>
      <c r="AA1912" s="10" t="n"/>
      <c r="AB1912" s="10" t="n"/>
      <c r="AC1912" s="10" t="n"/>
      <c r="AD1912" s="10" t="n"/>
      <c r="AE1912" s="10" t="n">
        <v>4919</v>
      </c>
      <c r="AF1912" s="11" t="n"/>
      <c r="AG1912" s="10">
        <f>ROUND(AE1912-(AE1912*AF1912),2)</f>
        <v/>
      </c>
      <c r="AH1912" s="11" t="n"/>
      <c r="AI1912" s="10">
        <f>ROUND(AG1912+(AG1912*AH1912),2)</f>
        <v/>
      </c>
      <c r="AJ1912" s="11" t="n"/>
      <c r="AK1912" s="10">
        <f>ROUND(AI1912*AJ1912,2)</f>
        <v/>
      </c>
      <c r="AL1912" s="10">
        <f>AI1912+AK1912</f>
        <v/>
      </c>
      <c r="AM1912" s="10">
        <f>AE1912-AL1912</f>
        <v/>
      </c>
      <c r="AN1912" s="11">
        <f>AM1912/AE1912</f>
        <v/>
      </c>
      <c r="AO1912" s="10" t="n"/>
      <c r="AP1912" s="10" t="n"/>
      <c r="AQ1912" s="10" t="n"/>
      <c r="AR1912" s="10" t="n"/>
      <c r="AS1912" s="10" t="n"/>
      <c r="AT1912" s="3" t="inlineStr">
        <is>
          <t>Inactive</t>
        </is>
      </c>
    </row>
    <row r="1913" ht="15.75" customHeight="1">
      <c r="A1913" s="10" t="inlineStr">
        <is>
          <t>PROD_0354</t>
        </is>
      </c>
      <c r="B1913" s="10" t="inlineStr">
        <is>
          <t>VAR_3</t>
        </is>
      </c>
      <c r="C1913" s="10" t="inlineStr">
        <is>
          <t>Electrical Material</t>
        </is>
      </c>
      <c r="D1913" s="10" t="inlineStr">
        <is>
          <t>Fan</t>
        </is>
      </c>
      <c r="E1913" s="10" t="inlineStr">
        <is>
          <t>Crompton</t>
        </is>
      </c>
      <c r="F1913" s="10" t="inlineStr">
        <is>
          <t>Cieling Fan | Energion Nucleoid BLDC</t>
        </is>
      </c>
      <c r="G1913" s="10" t="n"/>
      <c r="H1913" s="10" t="inlineStr">
        <is>
          <t>Motor Type</t>
        </is>
      </c>
      <c r="I1913" s="10" t="inlineStr">
        <is>
          <t>BLDC</t>
        </is>
      </c>
      <c r="J1913" s="10" t="inlineStr">
        <is>
          <t>Color</t>
        </is>
      </c>
      <c r="K1913" s="10" t="inlineStr">
        <is>
          <t>Ivory Black</t>
        </is>
      </c>
      <c r="L1913" s="10" t="n"/>
      <c r="M1913" s="10" t="n"/>
      <c r="N1913" s="10" t="n"/>
      <c r="O1913" s="10" t="n"/>
      <c r="P1913" s="10" t="n"/>
      <c r="Q1913" s="10" t="inlineStr">
        <is>
          <t>Manufacturer's Warranty</t>
        </is>
      </c>
      <c r="R1913" s="10" t="inlineStr">
        <is>
          <t>CFENNC30W48IBK5SRM</t>
        </is>
      </c>
      <c r="S1913" s="10" t="n"/>
      <c r="T1913" s="10" t="n"/>
      <c r="U1913" s="10" t="n"/>
      <c r="V1913" s="10" t="n"/>
      <c r="W1913" s="10" t="n"/>
      <c r="X1913" s="10" t="n"/>
      <c r="Y1913" s="10" t="inlineStr">
        <is>
          <t>ELCT_CF_CRMP_NUCLD_3</t>
        </is>
      </c>
      <c r="Z1913" s="10" t="n"/>
      <c r="AA1913" s="10" t="n"/>
      <c r="AB1913" s="10" t="n"/>
      <c r="AC1913" s="10" t="n"/>
      <c r="AD1913" s="10" t="n"/>
      <c r="AE1913" s="10" t="n">
        <v>4919</v>
      </c>
      <c r="AF1913" s="11" t="n"/>
      <c r="AG1913" s="10">
        <f>ROUND(AE1913-(AE1913*AF1913),2)</f>
        <v/>
      </c>
      <c r="AH1913" s="11" t="n"/>
      <c r="AI1913" s="10">
        <f>ROUND(AG1913+(AG1913*AH1913),2)</f>
        <v/>
      </c>
      <c r="AJ1913" s="11" t="n"/>
      <c r="AK1913" s="10">
        <f>ROUND(AI1913*AJ1913,2)</f>
        <v/>
      </c>
      <c r="AL1913" s="10">
        <f>AI1913+AK1913</f>
        <v/>
      </c>
      <c r="AM1913" s="10">
        <f>AE1913-AL1913</f>
        <v/>
      </c>
      <c r="AN1913" s="11">
        <f>AM1913/AE1913</f>
        <v/>
      </c>
      <c r="AO1913" s="10" t="n"/>
      <c r="AP1913" s="10" t="n"/>
      <c r="AQ1913" s="10" t="n"/>
      <c r="AR1913" s="10" t="n"/>
      <c r="AS1913" s="10" t="n"/>
      <c r="AT1913" s="3" t="inlineStr">
        <is>
          <t>Inactive</t>
        </is>
      </c>
    </row>
    <row r="1914" ht="15.75" customHeight="1">
      <c r="A1914" s="10" t="inlineStr">
        <is>
          <t>PROD_0354</t>
        </is>
      </c>
      <c r="B1914" s="10" t="inlineStr">
        <is>
          <t>VAR_4</t>
        </is>
      </c>
      <c r="C1914" s="10" t="inlineStr">
        <is>
          <t>Electrical Material</t>
        </is>
      </c>
      <c r="D1914" s="10" t="inlineStr">
        <is>
          <t>Fan</t>
        </is>
      </c>
      <c r="E1914" s="10" t="inlineStr">
        <is>
          <t>Crompton</t>
        </is>
      </c>
      <c r="F1914" s="10" t="inlineStr">
        <is>
          <t>Cieling Fan | Energion Nucleoid BLDC</t>
        </is>
      </c>
      <c r="G1914" s="10" t="n"/>
      <c r="H1914" s="10" t="inlineStr">
        <is>
          <t>Motor Type</t>
        </is>
      </c>
      <c r="I1914" s="10" t="inlineStr">
        <is>
          <t>BLDC</t>
        </is>
      </c>
      <c r="J1914" s="10" t="inlineStr">
        <is>
          <t>Color</t>
        </is>
      </c>
      <c r="K1914" s="10" t="inlineStr">
        <is>
          <t>Matte Black</t>
        </is>
      </c>
      <c r="L1914" s="10" t="n"/>
      <c r="M1914" s="10" t="n"/>
      <c r="N1914" s="10" t="n"/>
      <c r="O1914" s="10" t="n"/>
      <c r="P1914" s="10" t="n"/>
      <c r="Q1914" s="10" t="inlineStr">
        <is>
          <t>Manufacturer's Warranty</t>
        </is>
      </c>
      <c r="R1914" s="10" t="inlineStr">
        <is>
          <t>CFENNC30W48MBK5SRM</t>
        </is>
      </c>
      <c r="S1914" s="10" t="n"/>
      <c r="T1914" s="10" t="n"/>
      <c r="U1914" s="10" t="n"/>
      <c r="V1914" s="10" t="n"/>
      <c r="W1914" s="10" t="n"/>
      <c r="X1914" s="10" t="n"/>
      <c r="Y1914" s="10" t="inlineStr">
        <is>
          <t>ELCT_CF_CRMP_NUCLD_4</t>
        </is>
      </c>
      <c r="Z1914" s="10" t="n"/>
      <c r="AA1914" s="10" t="n"/>
      <c r="AB1914" s="10" t="n"/>
      <c r="AC1914" s="10" t="n"/>
      <c r="AD1914" s="10" t="n"/>
      <c r="AE1914" s="10" t="n">
        <v>4919</v>
      </c>
      <c r="AF1914" s="11" t="n"/>
      <c r="AG1914" s="10">
        <f>ROUND(AE1914-(AE1914*AF1914),2)</f>
        <v/>
      </c>
      <c r="AH1914" s="11" t="n"/>
      <c r="AI1914" s="10">
        <f>ROUND(AG1914+(AG1914*AH1914),2)</f>
        <v/>
      </c>
      <c r="AJ1914" s="11" t="n"/>
      <c r="AK1914" s="10">
        <f>ROUND(AI1914*AJ1914,2)</f>
        <v/>
      </c>
      <c r="AL1914" s="10">
        <f>AI1914+AK1914</f>
        <v/>
      </c>
      <c r="AM1914" s="10">
        <f>AE1914-AL1914</f>
        <v/>
      </c>
      <c r="AN1914" s="11">
        <f>AM1914/AE1914</f>
        <v/>
      </c>
      <c r="AO1914" s="10" t="n"/>
      <c r="AP1914" s="10" t="n"/>
      <c r="AQ1914" s="10" t="n"/>
      <c r="AR1914" s="10" t="n"/>
      <c r="AS1914" s="10" t="n"/>
      <c r="AT1914" s="3" t="inlineStr">
        <is>
          <t>Inactive</t>
        </is>
      </c>
    </row>
    <row r="1915" ht="15.75" customHeight="1">
      <c r="A1915" s="10" t="inlineStr">
        <is>
          <t>PROD_0354</t>
        </is>
      </c>
      <c r="B1915" s="10" t="inlineStr">
        <is>
          <t>VAR_5</t>
        </is>
      </c>
      <c r="C1915" s="10" t="inlineStr">
        <is>
          <t>Electrical Material</t>
        </is>
      </c>
      <c r="D1915" s="10" t="inlineStr">
        <is>
          <t>Fan</t>
        </is>
      </c>
      <c r="E1915" s="10" t="inlineStr">
        <is>
          <t>Crompton</t>
        </is>
      </c>
      <c r="F1915" s="10" t="inlineStr">
        <is>
          <t>Cieling Fan | Energion Nucleoid BLDC</t>
        </is>
      </c>
      <c r="G1915" s="10" t="n"/>
      <c r="H1915" s="10" t="inlineStr">
        <is>
          <t>Motor Type</t>
        </is>
      </c>
      <c r="I1915" s="10" t="inlineStr">
        <is>
          <t>BLDC</t>
        </is>
      </c>
      <c r="J1915" s="10" t="inlineStr">
        <is>
          <t>Color</t>
        </is>
      </c>
      <c r="K1915" s="10" t="inlineStr">
        <is>
          <t>Silver White</t>
        </is>
      </c>
      <c r="L1915" s="10" t="n"/>
      <c r="M1915" s="10" t="n"/>
      <c r="N1915" s="10" t="n"/>
      <c r="O1915" s="10" t="n"/>
      <c r="P1915" s="10" t="n"/>
      <c r="Q1915" s="10" t="inlineStr">
        <is>
          <t>Manufacturer's Warranty</t>
        </is>
      </c>
      <c r="R1915" s="10" t="inlineStr">
        <is>
          <t>CFENNC30W48SWM5SRM</t>
        </is>
      </c>
      <c r="S1915" s="10" t="n"/>
      <c r="T1915" s="10" t="n"/>
      <c r="U1915" s="10" t="n"/>
      <c r="V1915" s="10" t="n"/>
      <c r="W1915" s="10" t="n"/>
      <c r="X1915" s="10" t="n"/>
      <c r="Y1915" s="10" t="inlineStr">
        <is>
          <t>ELCT_CF_CRMP_NUCLD_5</t>
        </is>
      </c>
      <c r="Z1915" s="10" t="n"/>
      <c r="AA1915" s="10" t="n"/>
      <c r="AB1915" s="10" t="n"/>
      <c r="AC1915" s="10" t="n"/>
      <c r="AD1915" s="10" t="n"/>
      <c r="AE1915" s="10" t="n">
        <v>4919</v>
      </c>
      <c r="AF1915" s="11" t="n"/>
      <c r="AG1915" s="10">
        <f>ROUND(AE1915-(AE1915*AF1915),2)</f>
        <v/>
      </c>
      <c r="AH1915" s="11" t="n"/>
      <c r="AI1915" s="10">
        <f>ROUND(AG1915+(AG1915*AH1915),2)</f>
        <v/>
      </c>
      <c r="AJ1915" s="11" t="n"/>
      <c r="AK1915" s="10">
        <f>ROUND(AI1915*AJ1915,2)</f>
        <v/>
      </c>
      <c r="AL1915" s="10">
        <f>AI1915+AK1915</f>
        <v/>
      </c>
      <c r="AM1915" s="10">
        <f>AE1915-AL1915</f>
        <v/>
      </c>
      <c r="AN1915" s="11">
        <f>AM1915/AE1915</f>
        <v/>
      </c>
      <c r="AO1915" s="10" t="n"/>
      <c r="AP1915" s="10" t="n"/>
      <c r="AQ1915" s="10" t="n"/>
      <c r="AR1915" s="10" t="n"/>
      <c r="AS1915" s="10" t="n"/>
      <c r="AT1915" s="3" t="inlineStr">
        <is>
          <t>Inactive</t>
        </is>
      </c>
    </row>
    <row r="1916" ht="15.75" customHeight="1">
      <c r="A1916" s="10" t="inlineStr">
        <is>
          <t>PROD_0354</t>
        </is>
      </c>
      <c r="B1916" s="10" t="inlineStr">
        <is>
          <t>VAR_6</t>
        </is>
      </c>
      <c r="C1916" s="10" t="inlineStr">
        <is>
          <t>Electrical Material</t>
        </is>
      </c>
      <c r="D1916" s="10" t="inlineStr">
        <is>
          <t>Fan</t>
        </is>
      </c>
      <c r="E1916" s="10" t="inlineStr">
        <is>
          <t>Crompton</t>
        </is>
      </c>
      <c r="F1916" s="10" t="inlineStr">
        <is>
          <t>Cieling Fan | Energion Nucleoid BLDC</t>
        </is>
      </c>
      <c r="G1916" s="10" t="n"/>
      <c r="H1916" s="10" t="inlineStr">
        <is>
          <t>Motor Type</t>
        </is>
      </c>
      <c r="I1916" s="10" t="inlineStr">
        <is>
          <t>BLDC</t>
        </is>
      </c>
      <c r="J1916" s="10" t="inlineStr">
        <is>
          <t>Color</t>
        </is>
      </c>
      <c r="K1916" s="10" t="inlineStr">
        <is>
          <t>White Black</t>
        </is>
      </c>
      <c r="L1916" s="10" t="n"/>
      <c r="M1916" s="10" t="n"/>
      <c r="N1916" s="10" t="n"/>
      <c r="O1916" s="10" t="n"/>
      <c r="P1916" s="10" t="n"/>
      <c r="Q1916" s="10" t="inlineStr">
        <is>
          <t>Manufacturer's Warranty</t>
        </is>
      </c>
      <c r="R1916" s="10" t="inlineStr">
        <is>
          <t>CFENNC30W48WBK5SRM</t>
        </is>
      </c>
      <c r="S1916" s="10" t="n"/>
      <c r="T1916" s="10" t="n"/>
      <c r="U1916" s="10" t="n"/>
      <c r="V1916" s="10" t="n"/>
      <c r="W1916" s="10" t="n"/>
      <c r="X1916" s="10" t="n"/>
      <c r="Y1916" s="10" t="inlineStr">
        <is>
          <t>ELCT_CF_CRMP_NUCLD_6</t>
        </is>
      </c>
      <c r="Z1916" s="10" t="n"/>
      <c r="AA1916" s="10" t="n"/>
      <c r="AB1916" s="10" t="n"/>
      <c r="AC1916" s="10" t="n"/>
      <c r="AD1916" s="10" t="n"/>
      <c r="AE1916" s="10" t="n">
        <v>5039</v>
      </c>
      <c r="AF1916" s="11" t="n"/>
      <c r="AG1916" s="10">
        <f>ROUND(AE1916-(AE1916*AF1916),2)</f>
        <v/>
      </c>
      <c r="AH1916" s="11" t="n"/>
      <c r="AI1916" s="10">
        <f>ROUND(AG1916+(AG1916*AH1916),2)</f>
        <v/>
      </c>
      <c r="AJ1916" s="11" t="n"/>
      <c r="AK1916" s="10">
        <f>ROUND(AI1916*AJ1916,2)</f>
        <v/>
      </c>
      <c r="AL1916" s="10">
        <f>AI1916+AK1916</f>
        <v/>
      </c>
      <c r="AM1916" s="10">
        <f>AE1916-AL1916</f>
        <v/>
      </c>
      <c r="AN1916" s="11">
        <f>AM1916/AE1916</f>
        <v/>
      </c>
      <c r="AO1916" s="10" t="n"/>
      <c r="AP1916" s="10" t="n"/>
      <c r="AQ1916" s="10" t="n"/>
      <c r="AR1916" s="10" t="n"/>
      <c r="AS1916" s="10" t="n"/>
      <c r="AT1916" s="3" t="inlineStr">
        <is>
          <t>Inactive</t>
        </is>
      </c>
    </row>
    <row r="1917" ht="15.75" customHeight="1">
      <c r="A1917" s="3" t="inlineStr">
        <is>
          <t>PROD_0355</t>
        </is>
      </c>
      <c r="B1917" s="3" t="inlineStr">
        <is>
          <t>VAR_1</t>
        </is>
      </c>
      <c r="C1917" s="3" t="inlineStr">
        <is>
          <t>Electrical Material</t>
        </is>
      </c>
      <c r="D1917" s="3" t="inlineStr">
        <is>
          <t>Fan</t>
        </is>
      </c>
      <c r="E1917" s="3" t="inlineStr">
        <is>
          <t>Polycab</t>
        </is>
      </c>
      <c r="F1917" s="3" t="inlineStr">
        <is>
          <t>Cieling Fan | Superb Plus</t>
        </is>
      </c>
      <c r="H1917" s="3" t="inlineStr">
        <is>
          <t>Motor Type</t>
        </is>
      </c>
      <c r="I1917" s="3" t="inlineStr">
        <is>
          <t>Brushed</t>
        </is>
      </c>
      <c r="J1917" s="3" t="inlineStr">
        <is>
          <t>Color</t>
        </is>
      </c>
      <c r="K1917" s="3" t="inlineStr">
        <is>
          <t>Smoke Brown</t>
        </is>
      </c>
      <c r="Q1917" s="3" t="inlineStr">
        <is>
          <t>Manufacturer's Warranty</t>
        </is>
      </c>
      <c r="R1917" s="3" t="inlineStr">
        <is>
          <t>FCEECST233M</t>
        </is>
      </c>
      <c r="Y1917" s="3" t="inlineStr">
        <is>
          <t>ELCT_CF_PLCB_SUP_1</t>
        </is>
      </c>
      <c r="AE1917" s="3" t="n">
        <v>3199</v>
      </c>
      <c r="AF1917" s="4" t="n"/>
      <c r="AG1917" s="3">
        <f>ROUND(AE1917-(AE1917*AF1917),2)</f>
        <v/>
      </c>
      <c r="AH1917" s="4" t="n"/>
      <c r="AI1917" s="3">
        <f>ROUND(AG1917+(AG1917*AH1917),2)</f>
        <v/>
      </c>
      <c r="AJ1917" s="4" t="n"/>
      <c r="AK1917" s="3">
        <f>ROUND(AI1917*AJ1917,2)</f>
        <v/>
      </c>
      <c r="AL1917" s="3">
        <f>AI1917+AK1917</f>
        <v/>
      </c>
      <c r="AM1917" s="3">
        <f>AE1917-AL1917</f>
        <v/>
      </c>
      <c r="AN1917" s="4">
        <f>AM1917/AE1917</f>
        <v/>
      </c>
      <c r="AT1917" s="3" t="inlineStr">
        <is>
          <t>Active</t>
        </is>
      </c>
    </row>
    <row r="1918" ht="15.75" customHeight="1">
      <c r="A1918" s="3" t="inlineStr">
        <is>
          <t>PROD_0355</t>
        </is>
      </c>
      <c r="B1918" s="3" t="inlineStr">
        <is>
          <t>VAR_2</t>
        </is>
      </c>
      <c r="C1918" s="3" t="inlineStr">
        <is>
          <t>Electrical Material</t>
        </is>
      </c>
      <c r="D1918" s="3" t="inlineStr">
        <is>
          <t>Fan</t>
        </is>
      </c>
      <c r="E1918" s="3" t="inlineStr">
        <is>
          <t>Polycab</t>
        </is>
      </c>
      <c r="F1918" s="3" t="inlineStr">
        <is>
          <t>Cieling Fan | Superb Plus</t>
        </is>
      </c>
      <c r="H1918" s="3" t="inlineStr">
        <is>
          <t>Motor Type</t>
        </is>
      </c>
      <c r="I1918" s="3" t="inlineStr">
        <is>
          <t>Brushed</t>
        </is>
      </c>
      <c r="J1918" s="3" t="inlineStr">
        <is>
          <t>Color</t>
        </is>
      </c>
      <c r="K1918" s="3" t="inlineStr">
        <is>
          <t>Snow White</t>
        </is>
      </c>
      <c r="Q1918" s="3" t="inlineStr">
        <is>
          <t>Manufacturer's Warranty</t>
        </is>
      </c>
      <c r="R1918" s="3" t="inlineStr">
        <is>
          <t>FCEECST232M</t>
        </is>
      </c>
      <c r="Y1918" s="3" t="inlineStr">
        <is>
          <t>ELCT_CF_PLCB_SUP_2</t>
        </is>
      </c>
      <c r="AE1918" s="3" t="n">
        <v>3199</v>
      </c>
      <c r="AF1918" s="4" t="n"/>
      <c r="AG1918" s="3">
        <f>ROUND(AE1918-(AE1918*AF1918),2)</f>
        <v/>
      </c>
      <c r="AH1918" s="4" t="n"/>
      <c r="AI1918" s="3">
        <f>ROUND(AG1918+(AG1918*AH1918),2)</f>
        <v/>
      </c>
      <c r="AJ1918" s="4" t="n"/>
      <c r="AK1918" s="3">
        <f>ROUND(AI1918*AJ1918,2)</f>
        <v/>
      </c>
      <c r="AL1918" s="3">
        <f>AI1918+AK1918</f>
        <v/>
      </c>
      <c r="AM1918" s="3">
        <f>AE1918-AL1918</f>
        <v/>
      </c>
      <c r="AN1918" s="4">
        <f>AM1918/AE1918</f>
        <v/>
      </c>
      <c r="AT1918" s="3" t="inlineStr">
        <is>
          <t>Active</t>
        </is>
      </c>
    </row>
    <row r="1919" ht="15.75" customHeight="1">
      <c r="A1919" s="3" t="inlineStr">
        <is>
          <t>PROD_0356</t>
        </is>
      </c>
      <c r="B1919" s="3" t="inlineStr">
        <is>
          <t>VAR_1</t>
        </is>
      </c>
      <c r="C1919" s="3" t="inlineStr">
        <is>
          <t>Electrical Material</t>
        </is>
      </c>
      <c r="D1919" s="3" t="inlineStr">
        <is>
          <t>Fan</t>
        </is>
      </c>
      <c r="E1919" s="3" t="inlineStr">
        <is>
          <t>Polycab</t>
        </is>
      </c>
      <c r="F1919" s="3" t="inlineStr">
        <is>
          <t>Cieling Fan | Nippy</t>
        </is>
      </c>
      <c r="H1919" s="3" t="inlineStr">
        <is>
          <t>Motor Type</t>
        </is>
      </c>
      <c r="I1919" s="3" t="inlineStr">
        <is>
          <t>Brushed</t>
        </is>
      </c>
      <c r="J1919" s="3" t="inlineStr">
        <is>
          <t>Color</t>
        </is>
      </c>
      <c r="K1919" s="3" t="inlineStr">
        <is>
          <t>White</t>
        </is>
      </c>
      <c r="Q1919" s="3" t="inlineStr">
        <is>
          <t>Manufacturer's Warranty</t>
        </is>
      </c>
      <c r="R1919" s="3" t="inlineStr">
        <is>
          <t>Nippy</t>
        </is>
      </c>
      <c r="Y1919" s="3" t="inlineStr">
        <is>
          <t>ELCT_CF_PLCB_NIP_1</t>
        </is>
      </c>
      <c r="AE1919" s="3" t="n">
        <v>2799</v>
      </c>
      <c r="AF1919" s="4" t="n"/>
      <c r="AG1919" s="3">
        <f>ROUND(AE1919-(AE1919*AF1919),2)</f>
        <v/>
      </c>
      <c r="AH1919" s="4" t="n"/>
      <c r="AI1919" s="3">
        <f>ROUND(AG1919+(AG1919*AH1919),2)</f>
        <v/>
      </c>
      <c r="AJ1919" s="4" t="n"/>
      <c r="AK1919" s="3">
        <f>ROUND(AI1919*AJ1919,2)</f>
        <v/>
      </c>
      <c r="AL1919" s="3">
        <f>AI1919+AK1919</f>
        <v/>
      </c>
      <c r="AM1919" s="3">
        <f>AE1919-AL1919</f>
        <v/>
      </c>
      <c r="AN1919" s="4">
        <f>AM1919/AE1919</f>
        <v/>
      </c>
      <c r="AT1919" s="3" t="inlineStr">
        <is>
          <t>Active</t>
        </is>
      </c>
    </row>
    <row r="1920" ht="15.75" customHeight="1">
      <c r="A1920" s="3" t="inlineStr">
        <is>
          <t>PROD_0357</t>
        </is>
      </c>
      <c r="B1920" s="3" t="inlineStr">
        <is>
          <t>VAR_1</t>
        </is>
      </c>
      <c r="C1920" s="3" t="inlineStr">
        <is>
          <t>Electrical Material</t>
        </is>
      </c>
      <c r="D1920" s="3" t="inlineStr">
        <is>
          <t>Fan</t>
        </is>
      </c>
      <c r="E1920" s="3" t="inlineStr">
        <is>
          <t>Polycab</t>
        </is>
      </c>
      <c r="F1920" s="3" t="inlineStr">
        <is>
          <t>Cieling Fan | Wizzy Plus</t>
        </is>
      </c>
      <c r="H1920" s="3" t="inlineStr">
        <is>
          <t>Motor Type</t>
        </is>
      </c>
      <c r="I1920" s="3" t="inlineStr">
        <is>
          <t>BLDC</t>
        </is>
      </c>
      <c r="J1920" s="3" t="inlineStr">
        <is>
          <t>Color</t>
        </is>
      </c>
      <c r="K1920" s="3" t="inlineStr">
        <is>
          <t>Matt White Black</t>
        </is>
      </c>
      <c r="Q1920" s="3" t="inlineStr">
        <is>
          <t>Manufacturer's Warranty</t>
        </is>
      </c>
      <c r="R1920" s="3" t="inlineStr">
        <is>
          <t>FCBLDCES106M</t>
        </is>
      </c>
      <c r="Y1920" s="3" t="inlineStr">
        <is>
          <t>ELCT_CF_PLCB_WZYPLS_1</t>
        </is>
      </c>
      <c r="AE1920" s="3" t="n">
        <v>6599</v>
      </c>
      <c r="AF1920" s="4" t="n"/>
      <c r="AG1920" s="3">
        <f>ROUND(AE1920-(AE1920*AF1920),2)</f>
        <v/>
      </c>
      <c r="AH1920" s="4" t="n"/>
      <c r="AI1920" s="3">
        <f>ROUND(AG1920+(AG1920*AH1920),2)</f>
        <v/>
      </c>
      <c r="AJ1920" s="4" t="n"/>
      <c r="AK1920" s="3">
        <f>ROUND(AI1920*AJ1920,2)</f>
        <v/>
      </c>
      <c r="AL1920" s="3">
        <f>AI1920+AK1920</f>
        <v/>
      </c>
      <c r="AM1920" s="3">
        <f>AE1920-AL1920</f>
        <v/>
      </c>
      <c r="AN1920" s="4">
        <f>AM1920/AE1920</f>
        <v/>
      </c>
      <c r="AT1920" s="3" t="inlineStr">
        <is>
          <t>Active</t>
        </is>
      </c>
    </row>
    <row r="1921" ht="15.75" customHeight="1">
      <c r="A1921" s="3" t="inlineStr">
        <is>
          <t>PROD_0357</t>
        </is>
      </c>
      <c r="B1921" s="3" t="inlineStr">
        <is>
          <t>VAR_2</t>
        </is>
      </c>
      <c r="C1921" s="3" t="inlineStr">
        <is>
          <t>Electrical Material</t>
        </is>
      </c>
      <c r="D1921" s="3" t="inlineStr">
        <is>
          <t>Fan</t>
        </is>
      </c>
      <c r="E1921" s="3" t="inlineStr">
        <is>
          <t>Polycab</t>
        </is>
      </c>
      <c r="F1921" s="3" t="inlineStr">
        <is>
          <t>Cieling Fan | Wizzy Plus</t>
        </is>
      </c>
      <c r="H1921" s="3" t="inlineStr">
        <is>
          <t>Motor Type</t>
        </is>
      </c>
      <c r="I1921" s="3" t="inlineStr">
        <is>
          <t>BLDC</t>
        </is>
      </c>
      <c r="J1921" s="3" t="inlineStr">
        <is>
          <t>Color</t>
        </is>
      </c>
      <c r="K1921" s="3" t="inlineStr">
        <is>
          <t>Beige Rose Gold</t>
        </is>
      </c>
      <c r="Q1921" s="3" t="inlineStr">
        <is>
          <t>Manufacturer's Warranty</t>
        </is>
      </c>
      <c r="R1921" s="3" t="inlineStr">
        <is>
          <t>FCBLDCES107M</t>
        </is>
      </c>
      <c r="Y1921" s="3" t="inlineStr">
        <is>
          <t>ELCT_CF_PLCB_WZYPLS_2</t>
        </is>
      </c>
      <c r="AE1921" s="3" t="n">
        <v>6599</v>
      </c>
      <c r="AF1921" s="4" t="n"/>
      <c r="AG1921" s="3">
        <f>ROUND(AE1921-(AE1921*AF1921),2)</f>
        <v/>
      </c>
      <c r="AH1921" s="4" t="n"/>
      <c r="AI1921" s="3">
        <f>ROUND(AG1921+(AG1921*AH1921),2)</f>
        <v/>
      </c>
      <c r="AJ1921" s="4" t="n"/>
      <c r="AK1921" s="3">
        <f>ROUND(AI1921*AJ1921,2)</f>
        <v/>
      </c>
      <c r="AL1921" s="3">
        <f>AI1921+AK1921</f>
        <v/>
      </c>
      <c r="AM1921" s="3">
        <f>AE1921-AL1921</f>
        <v/>
      </c>
      <c r="AN1921" s="4">
        <f>AM1921/AE1921</f>
        <v/>
      </c>
      <c r="AT1921" s="3" t="inlineStr">
        <is>
          <t>Active</t>
        </is>
      </c>
    </row>
    <row r="1922" ht="15.75" customHeight="1">
      <c r="A1922" s="3" t="inlineStr">
        <is>
          <t>PROD_0358</t>
        </is>
      </c>
      <c r="B1922" s="3" t="inlineStr">
        <is>
          <t>VAR_1</t>
        </is>
      </c>
      <c r="C1922" s="3" t="inlineStr">
        <is>
          <t>Electrical Material</t>
        </is>
      </c>
      <c r="D1922" s="3" t="inlineStr">
        <is>
          <t>Fan</t>
        </is>
      </c>
      <c r="E1922" s="3" t="inlineStr">
        <is>
          <t>Polycab</t>
        </is>
      </c>
      <c r="F1922" s="3" t="inlineStr">
        <is>
          <t>Cieling Fan | Wizzy Plus LED</t>
        </is>
      </c>
      <c r="H1922" s="3" t="inlineStr">
        <is>
          <t>Motor Type</t>
        </is>
      </c>
      <c r="I1922" s="3" t="inlineStr">
        <is>
          <t>BLDC</t>
        </is>
      </c>
      <c r="J1922" s="3" t="inlineStr">
        <is>
          <t>Color</t>
        </is>
      </c>
      <c r="K1922" s="3" t="inlineStr">
        <is>
          <t>Beige Rose Gold</t>
        </is>
      </c>
      <c r="Q1922" s="3" t="inlineStr">
        <is>
          <t>Manufacturer's Warranty</t>
        </is>
      </c>
      <c r="R1922" s="3" t="inlineStr">
        <is>
          <t>FCBLDCES114M</t>
        </is>
      </c>
      <c r="Y1922" s="3" t="inlineStr">
        <is>
          <t>ELCT_CF_PLCB_WZYPLSLD_1</t>
        </is>
      </c>
      <c r="AE1922" s="3" t="n">
        <v>6799</v>
      </c>
      <c r="AF1922" s="4" t="n"/>
      <c r="AG1922" s="3">
        <f>ROUND(AE1922-(AE1922*AF1922),2)</f>
        <v/>
      </c>
      <c r="AH1922" s="4" t="n"/>
      <c r="AI1922" s="3">
        <f>ROUND(AG1922+(AG1922*AH1922),2)</f>
        <v/>
      </c>
      <c r="AJ1922" s="4" t="n"/>
      <c r="AK1922" s="3">
        <f>ROUND(AI1922*AJ1922,2)</f>
        <v/>
      </c>
      <c r="AL1922" s="3">
        <f>AI1922+AK1922</f>
        <v/>
      </c>
      <c r="AM1922" s="3">
        <f>AE1922-AL1922</f>
        <v/>
      </c>
      <c r="AN1922" s="4">
        <f>AM1922/AE1922</f>
        <v/>
      </c>
      <c r="AT1922" s="3" t="inlineStr">
        <is>
          <t>Active</t>
        </is>
      </c>
    </row>
    <row r="1923" ht="15.75" customHeight="1">
      <c r="A1923" s="3" t="inlineStr">
        <is>
          <t>PROD_0358</t>
        </is>
      </c>
      <c r="B1923" s="3" t="inlineStr">
        <is>
          <t>VAR_2</t>
        </is>
      </c>
      <c r="C1923" s="3" t="inlineStr">
        <is>
          <t>Electrical Material</t>
        </is>
      </c>
      <c r="D1923" s="3" t="inlineStr">
        <is>
          <t>Fan</t>
        </is>
      </c>
      <c r="E1923" s="3" t="inlineStr">
        <is>
          <t>Polycab</t>
        </is>
      </c>
      <c r="F1923" s="3" t="inlineStr">
        <is>
          <t>Cieling Fan | Wizzy Plus LED</t>
        </is>
      </c>
      <c r="H1923" s="3" t="inlineStr">
        <is>
          <t>Motor Type</t>
        </is>
      </c>
      <c r="I1923" s="3" t="inlineStr">
        <is>
          <t>BLDC</t>
        </is>
      </c>
      <c r="J1923" s="3" t="inlineStr">
        <is>
          <t>Color</t>
        </is>
      </c>
      <c r="K1923" s="3" t="inlineStr">
        <is>
          <t>Black</t>
        </is>
      </c>
      <c r="Q1923" s="3" t="inlineStr">
        <is>
          <t>Manufacturer's Warranty</t>
        </is>
      </c>
      <c r="R1923" s="3" t="inlineStr">
        <is>
          <t>FCBLDCES112M</t>
        </is>
      </c>
      <c r="Y1923" s="3" t="inlineStr">
        <is>
          <t>ELCT_CF_PLCB_WZYPLSLD_2</t>
        </is>
      </c>
      <c r="AE1923" s="3" t="n">
        <v>6799</v>
      </c>
      <c r="AF1923" s="4" t="n"/>
      <c r="AG1923" s="3">
        <f>ROUND(AE1923-(AE1923*AF1923),2)</f>
        <v/>
      </c>
      <c r="AH1923" s="4" t="n"/>
      <c r="AI1923" s="3">
        <f>ROUND(AG1923+(AG1923*AH1923),2)</f>
        <v/>
      </c>
      <c r="AJ1923" s="4" t="n"/>
      <c r="AK1923" s="3">
        <f>ROUND(AI1923*AJ1923,2)</f>
        <v/>
      </c>
      <c r="AL1923" s="3">
        <f>AI1923+AK1923</f>
        <v/>
      </c>
      <c r="AM1923" s="3">
        <f>AE1923-AL1923</f>
        <v/>
      </c>
      <c r="AN1923" s="4">
        <f>AM1923/AE1923</f>
        <v/>
      </c>
      <c r="AT1923" s="3" t="inlineStr">
        <is>
          <t>Active</t>
        </is>
      </c>
    </row>
    <row r="1924" ht="15.75" customHeight="1">
      <c r="A1924" s="3" t="inlineStr">
        <is>
          <t>PROD_0358</t>
        </is>
      </c>
      <c r="B1924" s="3" t="inlineStr">
        <is>
          <t>VAR_3</t>
        </is>
      </c>
      <c r="C1924" s="3" t="inlineStr">
        <is>
          <t>Electrical Material</t>
        </is>
      </c>
      <c r="D1924" s="3" t="inlineStr">
        <is>
          <t>Fan</t>
        </is>
      </c>
      <c r="E1924" s="3" t="inlineStr">
        <is>
          <t>Polycab</t>
        </is>
      </c>
      <c r="F1924" s="3" t="inlineStr">
        <is>
          <t>Cieling Fan | Wizzy Plus LED</t>
        </is>
      </c>
      <c r="H1924" s="3" t="inlineStr">
        <is>
          <t>Motor Type</t>
        </is>
      </c>
      <c r="I1924" s="3" t="inlineStr">
        <is>
          <t>BLDC</t>
        </is>
      </c>
      <c r="J1924" s="3" t="inlineStr">
        <is>
          <t>Color</t>
        </is>
      </c>
      <c r="K1924" s="3" t="inlineStr">
        <is>
          <t>Matt White Black</t>
        </is>
      </c>
      <c r="Q1924" s="3" t="inlineStr">
        <is>
          <t>Manufacturer's Warranty</t>
        </is>
      </c>
      <c r="R1924" s="3" t="inlineStr">
        <is>
          <t>FCBLDCES113M</t>
        </is>
      </c>
      <c r="Y1924" s="3" t="inlineStr">
        <is>
          <t>ELCT_CF_PLCB_WZYPLSLD_3</t>
        </is>
      </c>
      <c r="AE1924" s="3" t="n">
        <v>6799</v>
      </c>
      <c r="AF1924" s="4" t="n"/>
      <c r="AG1924" s="3">
        <f>ROUND(AE1924-(AE1924*AF1924),2)</f>
        <v/>
      </c>
      <c r="AH1924" s="4" t="n"/>
      <c r="AI1924" s="3">
        <f>ROUND(AG1924+(AG1924*AH1924),2)</f>
        <v/>
      </c>
      <c r="AJ1924" s="4" t="n"/>
      <c r="AK1924" s="3">
        <f>ROUND(AI1924*AJ1924,2)</f>
        <v/>
      </c>
      <c r="AL1924" s="3">
        <f>AI1924+AK1924</f>
        <v/>
      </c>
      <c r="AM1924" s="3">
        <f>AE1924-AL1924</f>
        <v/>
      </c>
      <c r="AN1924" s="4">
        <f>AM1924/AE1924</f>
        <v/>
      </c>
      <c r="AT1924" s="3" t="inlineStr">
        <is>
          <t>Active</t>
        </is>
      </c>
    </row>
    <row r="1925" ht="15.75" customHeight="1">
      <c r="A1925" s="3" t="inlineStr">
        <is>
          <t>PROD_0359</t>
        </is>
      </c>
      <c r="B1925" s="3" t="inlineStr">
        <is>
          <t>VAR_1</t>
        </is>
      </c>
      <c r="C1925" s="3" t="inlineStr">
        <is>
          <t>Electrical Material</t>
        </is>
      </c>
      <c r="D1925" s="3" t="inlineStr">
        <is>
          <t>Fan</t>
        </is>
      </c>
      <c r="E1925" s="3" t="inlineStr">
        <is>
          <t>Polycab</t>
        </is>
      </c>
      <c r="F1925" s="3" t="inlineStr">
        <is>
          <t>Cieling Fan | Wizzy Prime</t>
        </is>
      </c>
      <c r="H1925" s="3" t="inlineStr">
        <is>
          <t>Motor Type</t>
        </is>
      </c>
      <c r="I1925" s="3" t="inlineStr">
        <is>
          <t>BLDC</t>
        </is>
      </c>
      <c r="J1925" s="3" t="inlineStr">
        <is>
          <t>Color</t>
        </is>
      </c>
      <c r="K1925" s="3" t="inlineStr">
        <is>
          <t>White</t>
        </is>
      </c>
      <c r="Q1925" s="3" t="inlineStr">
        <is>
          <t>Manufacturer's Warranty</t>
        </is>
      </c>
      <c r="Y1925" s="3" t="inlineStr">
        <is>
          <t>ELCT_CF_PLCB_WZYPR_1</t>
        </is>
      </c>
      <c r="AE1925" s="3" t="n">
        <v>6499</v>
      </c>
      <c r="AF1925" s="4" t="n"/>
      <c r="AG1925" s="3">
        <f>ROUND(AE1925-(AE1925*AF1925),2)</f>
        <v/>
      </c>
      <c r="AH1925" s="4" t="n"/>
      <c r="AI1925" s="3">
        <f>ROUND(AG1925+(AG1925*AH1925),2)</f>
        <v/>
      </c>
      <c r="AJ1925" s="4" t="n"/>
      <c r="AK1925" s="3">
        <f>ROUND(AI1925*AJ1925,2)</f>
        <v/>
      </c>
      <c r="AL1925" s="3">
        <f>AI1925+AK1925</f>
        <v/>
      </c>
      <c r="AM1925" s="3">
        <f>AE1925-AL1925</f>
        <v/>
      </c>
      <c r="AN1925" s="4">
        <f>AM1925/AE1925</f>
        <v/>
      </c>
      <c r="AT1925" s="3" t="inlineStr">
        <is>
          <t>Active</t>
        </is>
      </c>
    </row>
    <row r="1926" ht="15.75" customHeight="1">
      <c r="A1926" s="10" t="inlineStr">
        <is>
          <t>PROD_0360</t>
        </is>
      </c>
      <c r="B1926" s="10" t="inlineStr">
        <is>
          <t>VAR_1</t>
        </is>
      </c>
      <c r="C1926" s="10" t="inlineStr">
        <is>
          <t>Electrical Material</t>
        </is>
      </c>
      <c r="D1926" s="10" t="inlineStr">
        <is>
          <t>Fan</t>
        </is>
      </c>
      <c r="E1926" s="10" t="inlineStr">
        <is>
          <t>Havells</t>
        </is>
      </c>
      <c r="F1926" s="10" t="inlineStr">
        <is>
          <t>Cieling Fan | Reo Tejas</t>
        </is>
      </c>
      <c r="G1926" s="10" t="n"/>
      <c r="H1926" s="10" t="inlineStr">
        <is>
          <t>Motor Type</t>
        </is>
      </c>
      <c r="I1926" s="10" t="inlineStr">
        <is>
          <t>Brushless</t>
        </is>
      </c>
      <c r="J1926" s="10" t="inlineStr">
        <is>
          <t>Color</t>
        </is>
      </c>
      <c r="K1926" s="10" t="inlineStr">
        <is>
          <t>Matte Blue</t>
        </is>
      </c>
      <c r="L1926" s="10" t="n"/>
      <c r="M1926" s="10" t="n"/>
      <c r="N1926" s="10" t="n"/>
      <c r="O1926" s="10" t="n"/>
      <c r="P1926" s="10" t="n"/>
      <c r="Q1926" s="10" t="inlineStr">
        <is>
          <t>Manufacturer's Warranty</t>
        </is>
      </c>
      <c r="R1926" s="10" t="inlineStr">
        <is>
          <t>FRCTJ1SMBI48</t>
        </is>
      </c>
      <c r="S1926" s="10" t="n"/>
      <c r="T1926" s="10" t="n"/>
      <c r="U1926" s="10" t="n"/>
      <c r="V1926" s="10" t="n"/>
      <c r="W1926" s="10" t="n"/>
      <c r="X1926" s="10" t="n"/>
      <c r="Y1926" s="10" t="inlineStr">
        <is>
          <t>ELCT_CF_HVL_ROTJ_1</t>
        </is>
      </c>
      <c r="Z1926" s="10" t="n"/>
      <c r="AA1926" s="10" t="n"/>
      <c r="AB1926" s="10" t="n"/>
      <c r="AC1926" s="10" t="n"/>
      <c r="AD1926" s="10" t="n"/>
      <c r="AE1926" s="10" t="n">
        <v>3200</v>
      </c>
      <c r="AF1926" s="11" t="n"/>
      <c r="AG1926" s="10">
        <f>ROUND(AE1926-(AE1926*AF1926),2)</f>
        <v/>
      </c>
      <c r="AH1926" s="11" t="n"/>
      <c r="AI1926" s="10">
        <f>ROUND(AG1926+(AG1926*AH1926),2)</f>
        <v/>
      </c>
      <c r="AJ1926" s="11" t="n"/>
      <c r="AK1926" s="10">
        <f>ROUND(AI1926*AJ1926,2)</f>
        <v/>
      </c>
      <c r="AL1926" s="10">
        <f>AI1926+AK1926</f>
        <v/>
      </c>
      <c r="AM1926" s="10">
        <f>AE1926-AL1926</f>
        <v/>
      </c>
      <c r="AN1926" s="11">
        <f>AM1926/AE1926</f>
        <v/>
      </c>
      <c r="AO1926" s="10" t="n"/>
      <c r="AP1926" s="10" t="n"/>
      <c r="AQ1926" s="10" t="n"/>
      <c r="AR1926" s="10" t="n"/>
      <c r="AS1926" s="10" t="n"/>
      <c r="AT1926" s="3" t="inlineStr">
        <is>
          <t>Inactive</t>
        </is>
      </c>
    </row>
    <row r="1927" ht="15.75" customHeight="1">
      <c r="A1927" s="10" t="inlineStr">
        <is>
          <t>PROD_0360</t>
        </is>
      </c>
      <c r="B1927" s="10" t="inlineStr">
        <is>
          <t>VAR_2</t>
        </is>
      </c>
      <c r="C1927" s="10" t="inlineStr">
        <is>
          <t>Electrical Material</t>
        </is>
      </c>
      <c r="D1927" s="10" t="inlineStr">
        <is>
          <t>Fan</t>
        </is>
      </c>
      <c r="E1927" s="10" t="inlineStr">
        <is>
          <t>Havells</t>
        </is>
      </c>
      <c r="F1927" s="10" t="inlineStr">
        <is>
          <t>Cieling Fan | Reo Tejas</t>
        </is>
      </c>
      <c r="G1927" s="10" t="n"/>
      <c r="H1927" s="10" t="inlineStr">
        <is>
          <t>Motor Type</t>
        </is>
      </c>
      <c r="I1927" s="10" t="inlineStr">
        <is>
          <t>Brushless</t>
        </is>
      </c>
      <c r="J1927" s="10" t="inlineStr">
        <is>
          <t>Color</t>
        </is>
      </c>
      <c r="K1927" s="10" t="inlineStr">
        <is>
          <t>Bianco</t>
        </is>
      </c>
      <c r="L1927" s="10" t="n"/>
      <c r="M1927" s="10" t="n"/>
      <c r="N1927" s="10" t="n"/>
      <c r="O1927" s="10" t="n"/>
      <c r="P1927" s="10" t="n"/>
      <c r="Q1927" s="10" t="inlineStr">
        <is>
          <t>Manufacturer's Warranty</t>
        </is>
      </c>
      <c r="R1927" s="10" t="inlineStr">
        <is>
          <t>FRCTJ1SBNC48</t>
        </is>
      </c>
      <c r="S1927" s="10" t="n"/>
      <c r="T1927" s="10" t="n"/>
      <c r="U1927" s="10" t="n"/>
      <c r="V1927" s="10" t="n"/>
      <c r="W1927" s="10" t="n"/>
      <c r="X1927" s="10" t="n"/>
      <c r="Y1927" s="10" t="inlineStr">
        <is>
          <t>ELCT_CF_HVL_ROTJ_2</t>
        </is>
      </c>
      <c r="Z1927" s="10" t="n"/>
      <c r="AA1927" s="10" t="n"/>
      <c r="AB1927" s="10" t="n"/>
      <c r="AC1927" s="10" t="n"/>
      <c r="AD1927" s="10" t="n"/>
      <c r="AE1927" s="10" t="n">
        <v>2699</v>
      </c>
      <c r="AF1927" s="11" t="n"/>
      <c r="AG1927" s="10">
        <f>ROUND(AE1927-(AE1927*AF1927),2)</f>
        <v/>
      </c>
      <c r="AH1927" s="11" t="n"/>
      <c r="AI1927" s="10">
        <f>ROUND(AG1927+(AG1927*AH1927),2)</f>
        <v/>
      </c>
      <c r="AJ1927" s="11" t="n"/>
      <c r="AK1927" s="10">
        <f>ROUND(AI1927*AJ1927,2)</f>
        <v/>
      </c>
      <c r="AL1927" s="10">
        <f>AI1927+AK1927</f>
        <v/>
      </c>
      <c r="AM1927" s="10">
        <f>AE1927-AL1927</f>
        <v/>
      </c>
      <c r="AN1927" s="11">
        <f>AM1927/AE1927</f>
        <v/>
      </c>
      <c r="AO1927" s="10" t="n"/>
      <c r="AP1927" s="10" t="n"/>
      <c r="AQ1927" s="10" t="n"/>
      <c r="AR1927" s="10" t="n"/>
      <c r="AS1927" s="10" t="n"/>
      <c r="AT1927" s="3" t="inlineStr">
        <is>
          <t>Inactive</t>
        </is>
      </c>
    </row>
    <row r="1928" ht="15.75" customHeight="1">
      <c r="A1928" s="10" t="inlineStr">
        <is>
          <t>PROD_0360</t>
        </is>
      </c>
      <c r="B1928" s="10" t="inlineStr">
        <is>
          <t>VAR_3</t>
        </is>
      </c>
      <c r="C1928" s="10" t="inlineStr">
        <is>
          <t>Electrical Material</t>
        </is>
      </c>
      <c r="D1928" s="10" t="inlineStr">
        <is>
          <t>Fan</t>
        </is>
      </c>
      <c r="E1928" s="10" t="inlineStr">
        <is>
          <t>Havells</t>
        </is>
      </c>
      <c r="F1928" s="10" t="inlineStr">
        <is>
          <t>Cieling Fan | Reo Tejas</t>
        </is>
      </c>
      <c r="G1928" s="10" t="n"/>
      <c r="H1928" s="10" t="inlineStr">
        <is>
          <t>Motor Type</t>
        </is>
      </c>
      <c r="I1928" s="10" t="inlineStr">
        <is>
          <t>Brushless</t>
        </is>
      </c>
      <c r="J1928" s="10" t="inlineStr">
        <is>
          <t>Color</t>
        </is>
      </c>
      <c r="K1928" s="10" t="inlineStr">
        <is>
          <t>Brown</t>
        </is>
      </c>
      <c r="L1928" s="10" t="n"/>
      <c r="M1928" s="10" t="n"/>
      <c r="N1928" s="10" t="n"/>
      <c r="O1928" s="10" t="n"/>
      <c r="P1928" s="10" t="n"/>
      <c r="Q1928" s="10" t="inlineStr">
        <is>
          <t>Manufacturer's Warranty</t>
        </is>
      </c>
      <c r="R1928" s="10" t="inlineStr">
        <is>
          <t>FRCTJSTBRN48</t>
        </is>
      </c>
      <c r="S1928" s="10" t="n"/>
      <c r="T1928" s="10" t="n"/>
      <c r="U1928" s="10" t="n"/>
      <c r="V1928" s="10" t="n"/>
      <c r="W1928" s="10" t="n"/>
      <c r="X1928" s="10" t="n"/>
      <c r="Y1928" s="10" t="inlineStr">
        <is>
          <t>ELCT_CF_HVL_ROTJ_3</t>
        </is>
      </c>
      <c r="Z1928" s="10" t="n"/>
      <c r="AA1928" s="10" t="n"/>
      <c r="AB1928" s="10" t="n"/>
      <c r="AC1928" s="10" t="n"/>
      <c r="AD1928" s="10" t="n"/>
      <c r="AE1928" s="10" t="n">
        <v>2699</v>
      </c>
      <c r="AF1928" s="11" t="n"/>
      <c r="AG1928" s="10">
        <f>ROUND(AE1928-(AE1928*AF1928),2)</f>
        <v/>
      </c>
      <c r="AH1928" s="11" t="n"/>
      <c r="AI1928" s="10">
        <f>ROUND(AG1928+(AG1928*AH1928),2)</f>
        <v/>
      </c>
      <c r="AJ1928" s="11" t="n"/>
      <c r="AK1928" s="10">
        <f>ROUND(AI1928*AJ1928,2)</f>
        <v/>
      </c>
      <c r="AL1928" s="10">
        <f>AI1928+AK1928</f>
        <v/>
      </c>
      <c r="AM1928" s="10">
        <f>AE1928-AL1928</f>
        <v/>
      </c>
      <c r="AN1928" s="11">
        <f>AM1928/AE1928</f>
        <v/>
      </c>
      <c r="AO1928" s="10" t="n"/>
      <c r="AP1928" s="10" t="n"/>
      <c r="AQ1928" s="10" t="n"/>
      <c r="AR1928" s="10" t="n"/>
      <c r="AS1928" s="10" t="n"/>
      <c r="AT1928" s="3" t="inlineStr">
        <is>
          <t>Inactive</t>
        </is>
      </c>
    </row>
    <row r="1929" ht="15.75" customHeight="1">
      <c r="A1929" s="10" t="inlineStr">
        <is>
          <t>PROD_0360</t>
        </is>
      </c>
      <c r="B1929" s="10" t="inlineStr">
        <is>
          <t>VAR_4</t>
        </is>
      </c>
      <c r="C1929" s="10" t="inlineStr">
        <is>
          <t>Electrical Material</t>
        </is>
      </c>
      <c r="D1929" s="10" t="inlineStr">
        <is>
          <t>Fan</t>
        </is>
      </c>
      <c r="E1929" s="10" t="inlineStr">
        <is>
          <t>Havells</t>
        </is>
      </c>
      <c r="F1929" s="10" t="inlineStr">
        <is>
          <t>Cieling Fan | Reo Tejas</t>
        </is>
      </c>
      <c r="G1929" s="10" t="n"/>
      <c r="H1929" s="10" t="inlineStr">
        <is>
          <t>Motor Type</t>
        </is>
      </c>
      <c r="I1929" s="10" t="inlineStr">
        <is>
          <t>Brushless</t>
        </is>
      </c>
      <c r="J1929" s="10" t="inlineStr">
        <is>
          <t>Color</t>
        </is>
      </c>
      <c r="K1929" s="10" t="inlineStr">
        <is>
          <t>Smoke Brown</t>
        </is>
      </c>
      <c r="L1929" s="10" t="n"/>
      <c r="M1929" s="10" t="n"/>
      <c r="N1929" s="10" t="n"/>
      <c r="O1929" s="10" t="n"/>
      <c r="P1929" s="10" t="n"/>
      <c r="Q1929" s="10" t="inlineStr">
        <is>
          <t>Manufacturer's Warranty</t>
        </is>
      </c>
      <c r="R1929" s="10" t="inlineStr">
        <is>
          <t>FRCUTSTSBW48</t>
        </is>
      </c>
      <c r="S1929" s="10" t="n"/>
      <c r="T1929" s="10" t="n"/>
      <c r="U1929" s="10" t="n"/>
      <c r="V1929" s="10" t="n"/>
      <c r="W1929" s="10" t="n"/>
      <c r="X1929" s="10" t="n"/>
      <c r="Y1929" s="10" t="inlineStr">
        <is>
          <t>ELCT_CF_HVL_ROTJ_4</t>
        </is>
      </c>
      <c r="Z1929" s="10" t="n"/>
      <c r="AA1929" s="10" t="n"/>
      <c r="AB1929" s="10" t="n"/>
      <c r="AC1929" s="10" t="n"/>
      <c r="AD1929" s="10" t="n"/>
      <c r="AE1929" s="10" t="n">
        <v>3270</v>
      </c>
      <c r="AF1929" s="11" t="n"/>
      <c r="AG1929" s="10">
        <f>ROUND(AE1929-(AE1929*AF1929),2)</f>
        <v/>
      </c>
      <c r="AH1929" s="11" t="n"/>
      <c r="AI1929" s="10">
        <f>ROUND(AG1929+(AG1929*AH1929),2)</f>
        <v/>
      </c>
      <c r="AJ1929" s="11" t="n"/>
      <c r="AK1929" s="10">
        <f>ROUND(AI1929*AJ1929,2)</f>
        <v/>
      </c>
      <c r="AL1929" s="10">
        <f>AI1929+AK1929</f>
        <v/>
      </c>
      <c r="AM1929" s="10">
        <f>AE1929-AL1929</f>
        <v/>
      </c>
      <c r="AN1929" s="11">
        <f>AM1929/AE1929</f>
        <v/>
      </c>
      <c r="AO1929" s="10" t="n"/>
      <c r="AP1929" s="10" t="n"/>
      <c r="AQ1929" s="10" t="n"/>
      <c r="AR1929" s="10" t="n"/>
      <c r="AS1929" s="10" t="n"/>
      <c r="AT1929" s="3" t="inlineStr">
        <is>
          <t>Inactive</t>
        </is>
      </c>
    </row>
    <row r="1930" ht="15.75" customHeight="1">
      <c r="A1930" s="10" t="inlineStr">
        <is>
          <t>PROD_0360</t>
        </is>
      </c>
      <c r="B1930" s="10" t="inlineStr">
        <is>
          <t>VAR_5</t>
        </is>
      </c>
      <c r="C1930" s="10" t="inlineStr">
        <is>
          <t>Electrical Material</t>
        </is>
      </c>
      <c r="D1930" s="10" t="inlineStr">
        <is>
          <t>Fan</t>
        </is>
      </c>
      <c r="E1930" s="10" t="inlineStr">
        <is>
          <t>Havells</t>
        </is>
      </c>
      <c r="F1930" s="10" t="inlineStr">
        <is>
          <t>Cieling Fan | Reo Tejas</t>
        </is>
      </c>
      <c r="G1930" s="10" t="n"/>
      <c r="H1930" s="10" t="inlineStr">
        <is>
          <t>Motor Type</t>
        </is>
      </c>
      <c r="I1930" s="10" t="inlineStr">
        <is>
          <t>Brushless</t>
        </is>
      </c>
      <c r="J1930" s="10" t="inlineStr">
        <is>
          <t>Color</t>
        </is>
      </c>
      <c r="K1930" s="10" t="inlineStr">
        <is>
          <t>White</t>
        </is>
      </c>
      <c r="L1930" s="10" t="n"/>
      <c r="M1930" s="10" t="n"/>
      <c r="N1930" s="10" t="n"/>
      <c r="O1930" s="10" t="n"/>
      <c r="P1930" s="10" t="n"/>
      <c r="Q1930" s="10" t="inlineStr">
        <is>
          <t>Manufacturer's Warranty</t>
        </is>
      </c>
      <c r="R1930" s="10" t="inlineStr">
        <is>
          <t>FRCTJ1SWHT48</t>
        </is>
      </c>
      <c r="S1930" s="10" t="n"/>
      <c r="T1930" s="10" t="n"/>
      <c r="U1930" s="10" t="n"/>
      <c r="V1930" s="10" t="n"/>
      <c r="W1930" s="10" t="n"/>
      <c r="X1930" s="10" t="n"/>
      <c r="Y1930" s="10" t="inlineStr">
        <is>
          <t>ELCT_CF_HVL_ROTJ_5</t>
        </is>
      </c>
      <c r="Z1930" s="10" t="n"/>
      <c r="AA1930" s="10" t="n"/>
      <c r="AB1930" s="10" t="n"/>
      <c r="AC1930" s="10" t="n"/>
      <c r="AD1930" s="10" t="n"/>
      <c r="AE1930" s="10" t="n">
        <v>1900</v>
      </c>
      <c r="AF1930" s="11" t="n"/>
      <c r="AG1930" s="10">
        <f>ROUND(AE1930-(AE1930*AF1930),2)</f>
        <v/>
      </c>
      <c r="AH1930" s="11" t="n"/>
      <c r="AI1930" s="10">
        <f>ROUND(AG1930+(AG1930*AH1930),2)</f>
        <v/>
      </c>
      <c r="AJ1930" s="11" t="n"/>
      <c r="AK1930" s="10">
        <f>ROUND(AI1930*AJ1930,2)</f>
        <v/>
      </c>
      <c r="AL1930" s="10">
        <f>AI1930+AK1930</f>
        <v/>
      </c>
      <c r="AM1930" s="10">
        <f>AE1930-AL1930</f>
        <v/>
      </c>
      <c r="AN1930" s="11">
        <f>AM1930/AE1930</f>
        <v/>
      </c>
      <c r="AO1930" s="10" t="n"/>
      <c r="AP1930" s="10" t="n"/>
      <c r="AQ1930" s="10" t="n"/>
      <c r="AR1930" s="10" t="n"/>
      <c r="AS1930" s="10" t="n"/>
      <c r="AT1930" s="3" t="inlineStr">
        <is>
          <t>Inactive</t>
        </is>
      </c>
    </row>
    <row r="1931" ht="15.75" customHeight="1">
      <c r="A1931" s="10" t="inlineStr">
        <is>
          <t>PROD_0361</t>
        </is>
      </c>
      <c r="B1931" s="10" t="inlineStr">
        <is>
          <t>VAR_1</t>
        </is>
      </c>
      <c r="C1931" s="10" t="inlineStr">
        <is>
          <t>Electrical Material</t>
        </is>
      </c>
      <c r="D1931" s="10" t="inlineStr">
        <is>
          <t>Fan</t>
        </is>
      </c>
      <c r="E1931" s="10" t="inlineStr">
        <is>
          <t>Havells</t>
        </is>
      </c>
      <c r="F1931" s="10" t="inlineStr">
        <is>
          <t>Cieling Fan | Ambrose</t>
        </is>
      </c>
      <c r="G1931" s="10" t="n"/>
      <c r="H1931" s="10" t="inlineStr">
        <is>
          <t>Motor Type</t>
        </is>
      </c>
      <c r="I1931" s="10" t="inlineStr">
        <is>
          <t>Brushed</t>
        </is>
      </c>
      <c r="J1931" s="10" t="inlineStr">
        <is>
          <t>Color</t>
        </is>
      </c>
      <c r="K1931" s="10" t="inlineStr">
        <is>
          <t>Cola Espresso Brown</t>
        </is>
      </c>
      <c r="L1931" s="10" t="n"/>
      <c r="M1931" s="10" t="n"/>
      <c r="N1931" s="10" t="n"/>
      <c r="O1931" s="10" t="n"/>
      <c r="P1931" s="10" t="n"/>
      <c r="Q1931" s="10" t="inlineStr">
        <is>
          <t>Manufacturer's Warranty</t>
        </is>
      </c>
      <c r="R1931" s="10" t="inlineStr">
        <is>
          <t>FHCAM1SECC48E</t>
        </is>
      </c>
      <c r="S1931" s="10" t="n"/>
      <c r="T1931" s="10" t="n"/>
      <c r="U1931" s="10" t="n"/>
      <c r="V1931" s="10" t="n"/>
      <c r="W1931" s="10" t="n"/>
      <c r="X1931" s="10" t="n"/>
      <c r="Y1931" s="10" t="inlineStr">
        <is>
          <t>ELCT_CF_HVL_AMB_1</t>
        </is>
      </c>
      <c r="Z1931" s="10" t="n"/>
      <c r="AA1931" s="10" t="n"/>
      <c r="AB1931" s="10" t="n"/>
      <c r="AC1931" s="10" t="n"/>
      <c r="AD1931" s="10" t="n"/>
      <c r="AE1931" s="10" t="n">
        <v>3675</v>
      </c>
      <c r="AF1931" s="11" t="n"/>
      <c r="AG1931" s="10">
        <f>ROUND(AE1931-(AE1931*AF1931),2)</f>
        <v/>
      </c>
      <c r="AH1931" s="11" t="n"/>
      <c r="AI1931" s="10">
        <f>ROUND(AG1931+(AG1931*AH1931),2)</f>
        <v/>
      </c>
      <c r="AJ1931" s="11" t="n"/>
      <c r="AK1931" s="10">
        <f>ROUND(AI1931*AJ1931,2)</f>
        <v/>
      </c>
      <c r="AL1931" s="10">
        <f>AI1931+AK1931</f>
        <v/>
      </c>
      <c r="AM1931" s="10">
        <f>AE1931-AL1931</f>
        <v/>
      </c>
      <c r="AN1931" s="11">
        <f>AM1931/AE1931</f>
        <v/>
      </c>
      <c r="AO1931" s="10" t="n"/>
      <c r="AP1931" s="10" t="n"/>
      <c r="AQ1931" s="10" t="n"/>
      <c r="AR1931" s="10" t="n"/>
      <c r="AS1931" s="10" t="n"/>
      <c r="AT1931" s="3" t="inlineStr">
        <is>
          <t>Inactive</t>
        </is>
      </c>
    </row>
    <row r="1932" ht="15.75" customHeight="1">
      <c r="A1932" s="10" t="inlineStr">
        <is>
          <t>PROD_0361</t>
        </is>
      </c>
      <c r="B1932" s="10" t="inlineStr">
        <is>
          <t>VAR_2</t>
        </is>
      </c>
      <c r="C1932" s="10" t="inlineStr">
        <is>
          <t>Electrical Material</t>
        </is>
      </c>
      <c r="D1932" s="10" t="inlineStr">
        <is>
          <t>Fan</t>
        </is>
      </c>
      <c r="E1932" s="10" t="inlineStr">
        <is>
          <t>Havells</t>
        </is>
      </c>
      <c r="F1932" s="10" t="inlineStr">
        <is>
          <t>Cieling Fan | Ambrose</t>
        </is>
      </c>
      <c r="G1932" s="10" t="n"/>
      <c r="H1932" s="10" t="inlineStr">
        <is>
          <t>Motor Type</t>
        </is>
      </c>
      <c r="I1932" s="10" t="inlineStr">
        <is>
          <t>Brushed</t>
        </is>
      </c>
      <c r="J1932" s="10" t="inlineStr">
        <is>
          <t>Color</t>
        </is>
      </c>
      <c r="K1932" s="10" t="inlineStr">
        <is>
          <t>Gold Mist Wood</t>
        </is>
      </c>
      <c r="L1932" s="10" t="n"/>
      <c r="M1932" s="10" t="n"/>
      <c r="N1932" s="10" t="n"/>
      <c r="O1932" s="10" t="n"/>
      <c r="P1932" s="10" t="n"/>
      <c r="Q1932" s="10" t="inlineStr">
        <is>
          <t>Manufacturer's Warranty</t>
        </is>
      </c>
      <c r="R1932" s="10" t="inlineStr">
        <is>
          <t>‎FHCAM1SGMW48E</t>
        </is>
      </c>
      <c r="S1932" s="10" t="n"/>
      <c r="T1932" s="10" t="n"/>
      <c r="U1932" s="10" t="n"/>
      <c r="V1932" s="10" t="n"/>
      <c r="W1932" s="10" t="n"/>
      <c r="X1932" s="10" t="n"/>
      <c r="Y1932" s="10" t="inlineStr">
        <is>
          <t>ELCT_CF_HVL_AMB_2</t>
        </is>
      </c>
      <c r="Z1932" s="10" t="n"/>
      <c r="AA1932" s="10" t="n"/>
      <c r="AB1932" s="10" t="n"/>
      <c r="AC1932" s="10" t="n"/>
      <c r="AD1932" s="10" t="n"/>
      <c r="AE1932" s="10" t="n">
        <v>3675</v>
      </c>
      <c r="AF1932" s="11" t="n"/>
      <c r="AG1932" s="10">
        <f>ROUND(AE1932-(AE1932*AF1932),2)</f>
        <v/>
      </c>
      <c r="AH1932" s="11" t="n"/>
      <c r="AI1932" s="10">
        <f>ROUND(AG1932+(AG1932*AH1932),2)</f>
        <v/>
      </c>
      <c r="AJ1932" s="11" t="n"/>
      <c r="AK1932" s="10">
        <f>ROUND(AI1932*AJ1932,2)</f>
        <v/>
      </c>
      <c r="AL1932" s="10">
        <f>AI1932+AK1932</f>
        <v/>
      </c>
      <c r="AM1932" s="10">
        <f>AE1932-AL1932</f>
        <v/>
      </c>
      <c r="AN1932" s="11">
        <f>AM1932/AE1932</f>
        <v/>
      </c>
      <c r="AO1932" s="10" t="n"/>
      <c r="AP1932" s="10" t="n"/>
      <c r="AQ1932" s="10" t="n"/>
      <c r="AR1932" s="10" t="n"/>
      <c r="AS1932" s="10" t="n"/>
      <c r="AT1932" s="3" t="inlineStr">
        <is>
          <t>Inactive</t>
        </is>
      </c>
    </row>
    <row r="1933" ht="15.75" customHeight="1">
      <c r="A1933" s="10" t="inlineStr">
        <is>
          <t>PROD_0362</t>
        </is>
      </c>
      <c r="B1933" s="10" t="inlineStr">
        <is>
          <t>VAR_1</t>
        </is>
      </c>
      <c r="C1933" s="10" t="inlineStr">
        <is>
          <t>Electrical Material</t>
        </is>
      </c>
      <c r="D1933" s="10" t="inlineStr">
        <is>
          <t>Fan</t>
        </is>
      </c>
      <c r="E1933" s="10" t="inlineStr">
        <is>
          <t>Havells</t>
        </is>
      </c>
      <c r="F1933" s="10" t="inlineStr">
        <is>
          <t>Cieling Fan | Ambrose BLDC</t>
        </is>
      </c>
      <c r="G1933" s="10" t="n"/>
      <c r="H1933" s="10" t="inlineStr">
        <is>
          <t>Motor Type</t>
        </is>
      </c>
      <c r="I1933" s="10" t="inlineStr">
        <is>
          <t>BLDC</t>
        </is>
      </c>
      <c r="J1933" s="10" t="inlineStr">
        <is>
          <t>Color</t>
        </is>
      </c>
      <c r="K1933" s="10" t="inlineStr">
        <is>
          <t>Midnight</t>
        </is>
      </c>
      <c r="L1933" s="10" t="n"/>
      <c r="M1933" s="10" t="n"/>
      <c r="N1933" s="10" t="n"/>
      <c r="O1933" s="10" t="n"/>
      <c r="P1933" s="10" t="n"/>
      <c r="Q1933" s="10" t="inlineStr">
        <is>
          <t>Manufacturer's Warranty</t>
        </is>
      </c>
      <c r="R1933" s="10" t="inlineStr">
        <is>
          <t>FHCAM5SMNT48E</t>
        </is>
      </c>
      <c r="S1933" s="10" t="n"/>
      <c r="T1933" s="10" t="n"/>
      <c r="U1933" s="10" t="n"/>
      <c r="V1933" s="10" t="n"/>
      <c r="W1933" s="10" t="n"/>
      <c r="X1933" s="10" t="n"/>
      <c r="Y1933" s="10" t="inlineStr">
        <is>
          <t>ELCT_CF_HVL_AMBLD_1</t>
        </is>
      </c>
      <c r="Z1933" s="10" t="n"/>
      <c r="AA1933" s="10" t="n"/>
      <c r="AB1933" s="10" t="n"/>
      <c r="AC1933" s="10" t="n"/>
      <c r="AD1933" s="10" t="n"/>
      <c r="AE1933" s="10" t="n">
        <v>6680</v>
      </c>
      <c r="AF1933" s="11" t="n"/>
      <c r="AG1933" s="10">
        <f>ROUND(AE1933-(AE1933*AF1933),2)</f>
        <v/>
      </c>
      <c r="AH1933" s="11" t="n"/>
      <c r="AI1933" s="10">
        <f>ROUND(AG1933+(AG1933*AH1933),2)</f>
        <v/>
      </c>
      <c r="AJ1933" s="11" t="n"/>
      <c r="AK1933" s="10">
        <f>ROUND(AI1933*AJ1933,2)</f>
        <v/>
      </c>
      <c r="AL1933" s="10">
        <f>AI1933+AK1933</f>
        <v/>
      </c>
      <c r="AM1933" s="10">
        <f>AE1933-AL1933</f>
        <v/>
      </c>
      <c r="AN1933" s="11">
        <f>AM1933/AE1933</f>
        <v/>
      </c>
      <c r="AO1933" s="10" t="n"/>
      <c r="AP1933" s="10" t="n"/>
      <c r="AQ1933" s="10" t="n"/>
      <c r="AR1933" s="10" t="n"/>
      <c r="AS1933" s="10" t="n"/>
      <c r="AT1933" s="3" t="inlineStr">
        <is>
          <t>Inactive</t>
        </is>
      </c>
    </row>
    <row r="1934" ht="15.75" customHeight="1">
      <c r="A1934" s="10" t="inlineStr">
        <is>
          <t>PROD_0362</t>
        </is>
      </c>
      <c r="B1934" s="10" t="inlineStr">
        <is>
          <t>VAR_2</t>
        </is>
      </c>
      <c r="C1934" s="10" t="inlineStr">
        <is>
          <t>Electrical Material</t>
        </is>
      </c>
      <c r="D1934" s="10" t="inlineStr">
        <is>
          <t>Fan</t>
        </is>
      </c>
      <c r="E1934" s="10" t="inlineStr">
        <is>
          <t>Havells</t>
        </is>
      </c>
      <c r="F1934" s="10" t="inlineStr">
        <is>
          <t>Cieling Fan | Ambrose BLDC</t>
        </is>
      </c>
      <c r="G1934" s="10" t="n"/>
      <c r="H1934" s="10" t="inlineStr">
        <is>
          <t>Motor Type</t>
        </is>
      </c>
      <c r="I1934" s="10" t="inlineStr">
        <is>
          <t>BLDC</t>
        </is>
      </c>
      <c r="J1934" s="10" t="inlineStr">
        <is>
          <t>Color</t>
        </is>
      </c>
      <c r="K1934" s="10" t="inlineStr">
        <is>
          <t>Chrome</t>
        </is>
      </c>
      <c r="L1934" s="10" t="n"/>
      <c r="M1934" s="10" t="n"/>
      <c r="N1934" s="10" t="n"/>
      <c r="O1934" s="10" t="n"/>
      <c r="P1934" s="10" t="n"/>
      <c r="Q1934" s="10" t="inlineStr">
        <is>
          <t>Manufacturer's Warranty</t>
        </is>
      </c>
      <c r="R1934" s="10" t="inlineStr">
        <is>
          <t>FHCAM5SCHM48E</t>
        </is>
      </c>
      <c r="S1934" s="10" t="n"/>
      <c r="T1934" s="10" t="n"/>
      <c r="U1934" s="10" t="n"/>
      <c r="V1934" s="10" t="n"/>
      <c r="W1934" s="10" t="n"/>
      <c r="X1934" s="10" t="n"/>
      <c r="Y1934" s="10" t="inlineStr">
        <is>
          <t>ELCT_CF_HVL_AMBLD_2</t>
        </is>
      </c>
      <c r="Z1934" s="10" t="n"/>
      <c r="AA1934" s="10" t="n"/>
      <c r="AB1934" s="10" t="n"/>
      <c r="AC1934" s="10" t="n"/>
      <c r="AD1934" s="10" t="n"/>
      <c r="AE1934" s="10" t="n">
        <v>5000</v>
      </c>
      <c r="AF1934" s="11" t="n"/>
      <c r="AG1934" s="10">
        <f>ROUND(AE1934-(AE1934*AF1934),2)</f>
        <v/>
      </c>
      <c r="AH1934" s="11" t="n"/>
      <c r="AI1934" s="10">
        <f>ROUND(AG1934+(AG1934*AH1934),2)</f>
        <v/>
      </c>
      <c r="AJ1934" s="11" t="n"/>
      <c r="AK1934" s="10">
        <f>ROUND(AI1934*AJ1934,2)</f>
        <v/>
      </c>
      <c r="AL1934" s="10">
        <f>AI1934+AK1934</f>
        <v/>
      </c>
      <c r="AM1934" s="10">
        <f>AE1934-AL1934</f>
        <v/>
      </c>
      <c r="AN1934" s="11">
        <f>AM1934/AE1934</f>
        <v/>
      </c>
      <c r="AO1934" s="10" t="n"/>
      <c r="AP1934" s="10" t="n"/>
      <c r="AQ1934" s="10" t="n"/>
      <c r="AR1934" s="10" t="n"/>
      <c r="AS1934" s="10" t="n"/>
      <c r="AT1934" s="3" t="inlineStr">
        <is>
          <t>Inactive</t>
        </is>
      </c>
    </row>
    <row r="1935" ht="15.75" customHeight="1">
      <c r="A1935" s="10" t="inlineStr">
        <is>
          <t>PROD_0362</t>
        </is>
      </c>
      <c r="B1935" s="10" t="inlineStr">
        <is>
          <t>VAR_3</t>
        </is>
      </c>
      <c r="C1935" s="10" t="inlineStr">
        <is>
          <t>Electrical Material</t>
        </is>
      </c>
      <c r="D1935" s="10" t="inlineStr">
        <is>
          <t>Fan</t>
        </is>
      </c>
      <c r="E1935" s="10" t="inlineStr">
        <is>
          <t>Havells</t>
        </is>
      </c>
      <c r="F1935" s="10" t="inlineStr">
        <is>
          <t>Cieling Fan | Ambrose BLDC</t>
        </is>
      </c>
      <c r="G1935" s="10" t="n"/>
      <c r="H1935" s="10" t="inlineStr">
        <is>
          <t>Motor Type</t>
        </is>
      </c>
      <c r="I1935" s="10" t="inlineStr">
        <is>
          <t>BLDC</t>
        </is>
      </c>
      <c r="J1935" s="10" t="inlineStr">
        <is>
          <t>Color</t>
        </is>
      </c>
      <c r="K1935" s="10" t="inlineStr">
        <is>
          <t>Copper</t>
        </is>
      </c>
      <c r="L1935" s="10" t="n"/>
      <c r="M1935" s="10" t="n"/>
      <c r="N1935" s="10" t="n"/>
      <c r="O1935" s="10" t="n"/>
      <c r="P1935" s="10" t="n"/>
      <c r="Q1935" s="10" t="inlineStr">
        <is>
          <t>Manufacturer's Warranty</t>
        </is>
      </c>
      <c r="R1935" s="10" t="inlineStr">
        <is>
          <t>FHCAM5SCUP48E</t>
        </is>
      </c>
      <c r="S1935" s="10" t="n"/>
      <c r="T1935" s="10" t="n"/>
      <c r="U1935" s="10" t="n"/>
      <c r="V1935" s="10" t="n"/>
      <c r="W1935" s="10" t="n"/>
      <c r="X1935" s="10" t="n"/>
      <c r="Y1935" s="10" t="inlineStr">
        <is>
          <t>ELCT_CF_HVL_AMBLD_3</t>
        </is>
      </c>
      <c r="Z1935" s="10" t="n"/>
      <c r="AA1935" s="10" t="n"/>
      <c r="AB1935" s="10" t="n"/>
      <c r="AC1935" s="10" t="n"/>
      <c r="AD1935" s="10" t="n"/>
      <c r="AE1935" s="10" t="n">
        <v>6680</v>
      </c>
      <c r="AF1935" s="11" t="n"/>
      <c r="AG1935" s="10">
        <f>ROUND(AE1935-(AE1935*AF1935),2)</f>
        <v/>
      </c>
      <c r="AH1935" s="11" t="n"/>
      <c r="AI1935" s="10">
        <f>ROUND(AG1935+(AG1935*AH1935),2)</f>
        <v/>
      </c>
      <c r="AJ1935" s="11" t="n"/>
      <c r="AK1935" s="10">
        <f>ROUND(AI1935*AJ1935,2)</f>
        <v/>
      </c>
      <c r="AL1935" s="10">
        <f>AI1935+AK1935</f>
        <v/>
      </c>
      <c r="AM1935" s="10">
        <f>AE1935-AL1935</f>
        <v/>
      </c>
      <c r="AN1935" s="11">
        <f>AM1935/AE1935</f>
        <v/>
      </c>
      <c r="AO1935" s="10" t="n"/>
      <c r="AP1935" s="10" t="n"/>
      <c r="AQ1935" s="10" t="n"/>
      <c r="AR1935" s="10" t="n"/>
      <c r="AS1935" s="10" t="n"/>
      <c r="AT1935" s="3" t="inlineStr">
        <is>
          <t>Inactive</t>
        </is>
      </c>
    </row>
    <row r="1936" ht="15.75" customHeight="1">
      <c r="A1936" s="10" t="inlineStr">
        <is>
          <t>PROD_0363</t>
        </is>
      </c>
      <c r="B1936" s="10" t="inlineStr">
        <is>
          <t>VAR_1</t>
        </is>
      </c>
      <c r="C1936" s="10" t="inlineStr">
        <is>
          <t>Electrical Material</t>
        </is>
      </c>
      <c r="D1936" s="10" t="inlineStr">
        <is>
          <t>Fan</t>
        </is>
      </c>
      <c r="E1936" s="10" t="inlineStr">
        <is>
          <t>Havells</t>
        </is>
      </c>
      <c r="F1936" s="10" t="inlineStr">
        <is>
          <t>Cieling Fan | FAB BLDC</t>
        </is>
      </c>
      <c r="G1936" s="10" t="n"/>
      <c r="H1936" s="10" t="inlineStr">
        <is>
          <t>Motor Type</t>
        </is>
      </c>
      <c r="I1936" s="10" t="inlineStr">
        <is>
          <t>BLDC</t>
        </is>
      </c>
      <c r="J1936" s="10" t="inlineStr">
        <is>
          <t>Color</t>
        </is>
      </c>
      <c r="K1936" s="10" t="inlineStr">
        <is>
          <t>Smoke Brown</t>
        </is>
      </c>
      <c r="L1936" s="10" t="n"/>
      <c r="M1936" s="10" t="n"/>
      <c r="N1936" s="10" t="n"/>
      <c r="O1936" s="10" t="n"/>
      <c r="P1936" s="10" t="n"/>
      <c r="Q1936" s="10" t="inlineStr">
        <is>
          <t>Manufacturer's Warranty</t>
        </is>
      </c>
      <c r="R1936" s="10" t="inlineStr">
        <is>
          <t>1200DC30W350</t>
        </is>
      </c>
      <c r="S1936" s="10" t="n"/>
      <c r="T1936" s="10" t="n"/>
      <c r="U1936" s="10" t="n"/>
      <c r="V1936" s="10" t="n"/>
      <c r="W1936" s="10" t="n"/>
      <c r="X1936" s="10" t="n"/>
      <c r="Y1936" s="10" t="inlineStr">
        <is>
          <t>ELCT_CF_HVL_FABLD_1</t>
        </is>
      </c>
      <c r="Z1936" s="10" t="n"/>
      <c r="AA1936" s="10" t="n"/>
      <c r="AB1936" s="10" t="n"/>
      <c r="AC1936" s="10" t="n"/>
      <c r="AD1936" s="10" t="n"/>
      <c r="AE1936" s="10" t="n">
        <v>4510</v>
      </c>
      <c r="AF1936" s="11" t="n"/>
      <c r="AG1936" s="10">
        <f>ROUND(AE1936-(AE1936*AF1936),2)</f>
        <v/>
      </c>
      <c r="AH1936" s="11" t="n"/>
      <c r="AI1936" s="10">
        <f>ROUND(AG1936+(AG1936*AH1936),2)</f>
        <v/>
      </c>
      <c r="AJ1936" s="11" t="n"/>
      <c r="AK1936" s="10">
        <f>ROUND(AI1936*AJ1936,2)</f>
        <v/>
      </c>
      <c r="AL1936" s="10">
        <f>AI1936+AK1936</f>
        <v/>
      </c>
      <c r="AM1936" s="10">
        <f>AE1936-AL1936</f>
        <v/>
      </c>
      <c r="AN1936" s="11">
        <f>AM1936/AE1936</f>
        <v/>
      </c>
      <c r="AO1936" s="10" t="n"/>
      <c r="AP1936" s="10" t="n"/>
      <c r="AQ1936" s="10" t="n"/>
      <c r="AR1936" s="10" t="n"/>
      <c r="AS1936" s="10" t="n"/>
      <c r="AT1936" s="3" t="inlineStr">
        <is>
          <t>Inactive</t>
        </is>
      </c>
    </row>
    <row r="1937" ht="15.75" customHeight="1">
      <c r="A1937" s="10" t="inlineStr">
        <is>
          <t>PROD_0363</t>
        </is>
      </c>
      <c r="B1937" s="10" t="inlineStr">
        <is>
          <t>VAR_2</t>
        </is>
      </c>
      <c r="C1937" s="10" t="inlineStr">
        <is>
          <t>Electrical Material</t>
        </is>
      </c>
      <c r="D1937" s="10" t="inlineStr">
        <is>
          <t>Fan</t>
        </is>
      </c>
      <c r="E1937" s="10" t="inlineStr">
        <is>
          <t>Havells</t>
        </is>
      </c>
      <c r="F1937" s="10" t="inlineStr">
        <is>
          <t>Cieling Fan | FAB BLDC</t>
        </is>
      </c>
      <c r="G1937" s="10" t="n"/>
      <c r="H1937" s="10" t="inlineStr">
        <is>
          <t>Motor Type</t>
        </is>
      </c>
      <c r="I1937" s="10" t="inlineStr">
        <is>
          <t>BLDC</t>
        </is>
      </c>
      <c r="J1937" s="10" t="inlineStr">
        <is>
          <t>Color</t>
        </is>
      </c>
      <c r="K1937" s="10" t="inlineStr">
        <is>
          <t>Blush Ivory</t>
        </is>
      </c>
      <c r="L1937" s="10" t="n"/>
      <c r="M1937" s="10" t="n"/>
      <c r="N1937" s="10" t="n"/>
      <c r="O1937" s="10" t="n"/>
      <c r="P1937" s="10" t="n"/>
      <c r="Q1937" s="10" t="inlineStr">
        <is>
          <t>Manufacturer's Warranty</t>
        </is>
      </c>
      <c r="R1937" s="10" t="inlineStr">
        <is>
          <t>FHCFW5SBIV48</t>
        </is>
      </c>
      <c r="S1937" s="10" t="n"/>
      <c r="T1937" s="10" t="n"/>
      <c r="U1937" s="10" t="n"/>
      <c r="V1937" s="10" t="n"/>
      <c r="W1937" s="10" t="n"/>
      <c r="X1937" s="10" t="n"/>
      <c r="Y1937" s="10" t="inlineStr">
        <is>
          <t>ELCT_CF_HVL_FABLD_2</t>
        </is>
      </c>
      <c r="Z1937" s="10" t="n"/>
      <c r="AA1937" s="10" t="n"/>
      <c r="AB1937" s="10" t="n"/>
      <c r="AC1937" s="10" t="n"/>
      <c r="AD1937" s="10" t="n"/>
      <c r="AE1937" s="10" t="n">
        <v>5320</v>
      </c>
      <c r="AF1937" s="11" t="n"/>
      <c r="AG1937" s="10">
        <f>ROUND(AE1937-(AE1937*AF1937),2)</f>
        <v/>
      </c>
      <c r="AH1937" s="11" t="n"/>
      <c r="AI1937" s="10">
        <f>ROUND(AG1937+(AG1937*AH1937),2)</f>
        <v/>
      </c>
      <c r="AJ1937" s="11" t="n"/>
      <c r="AK1937" s="10">
        <f>ROUND(AI1937*AJ1937,2)</f>
        <v/>
      </c>
      <c r="AL1937" s="10">
        <f>AI1937+AK1937</f>
        <v/>
      </c>
      <c r="AM1937" s="10">
        <f>AE1937-AL1937</f>
        <v/>
      </c>
      <c r="AN1937" s="11">
        <f>AM1937/AE1937</f>
        <v/>
      </c>
      <c r="AO1937" s="10" t="n"/>
      <c r="AP1937" s="10" t="n"/>
      <c r="AQ1937" s="10" t="n"/>
      <c r="AR1937" s="10" t="n"/>
      <c r="AS1937" s="10" t="n"/>
      <c r="AT1937" s="3" t="inlineStr">
        <is>
          <t>Inactive</t>
        </is>
      </c>
    </row>
    <row r="1938" ht="15.75" customHeight="1">
      <c r="A1938" s="10" t="inlineStr">
        <is>
          <t>PROD_0363</t>
        </is>
      </c>
      <c r="B1938" s="10" t="inlineStr">
        <is>
          <t>VAR_3</t>
        </is>
      </c>
      <c r="C1938" s="10" t="inlineStr">
        <is>
          <t>Electrical Material</t>
        </is>
      </c>
      <c r="D1938" s="10" t="inlineStr">
        <is>
          <t>Fan</t>
        </is>
      </c>
      <c r="E1938" s="10" t="inlineStr">
        <is>
          <t>Havells</t>
        </is>
      </c>
      <c r="F1938" s="10" t="inlineStr">
        <is>
          <t>Cieling Fan | FAB BLDC</t>
        </is>
      </c>
      <c r="G1938" s="10" t="n"/>
      <c r="H1938" s="10" t="inlineStr">
        <is>
          <t>Motor Type</t>
        </is>
      </c>
      <c r="I1938" s="10" t="inlineStr">
        <is>
          <t>BLDC</t>
        </is>
      </c>
      <c r="J1938" s="10" t="inlineStr">
        <is>
          <t>Color</t>
        </is>
      </c>
      <c r="K1938" s="10" t="inlineStr">
        <is>
          <t>Brown</t>
        </is>
      </c>
      <c r="L1938" s="10" t="n"/>
      <c r="M1938" s="10" t="n"/>
      <c r="N1938" s="10" t="n"/>
      <c r="O1938" s="10" t="n"/>
      <c r="P1938" s="10" t="n"/>
      <c r="Q1938" s="10" t="inlineStr">
        <is>
          <t>Manufacturer's Warranty</t>
        </is>
      </c>
      <c r="R1938" s="10" t="inlineStr">
        <is>
          <t>FHCFW5SBRN48E</t>
        </is>
      </c>
      <c r="S1938" s="10" t="n"/>
      <c r="T1938" s="10" t="n"/>
      <c r="U1938" s="10" t="n"/>
      <c r="V1938" s="10" t="n"/>
      <c r="W1938" s="10" t="n"/>
      <c r="X1938" s="10" t="n"/>
      <c r="Y1938" s="10" t="inlineStr">
        <is>
          <t>ELCT_CF_HVL_FABLD_3</t>
        </is>
      </c>
      <c r="Z1938" s="10" t="n"/>
      <c r="AA1938" s="10" t="n"/>
      <c r="AB1938" s="10" t="n"/>
      <c r="AC1938" s="10" t="n"/>
      <c r="AD1938" s="10" t="n"/>
      <c r="AE1938" s="10" t="n">
        <v>5320</v>
      </c>
      <c r="AF1938" s="11" t="n"/>
      <c r="AG1938" s="10">
        <f>ROUND(AE1938-(AE1938*AF1938),2)</f>
        <v/>
      </c>
      <c r="AH1938" s="11" t="n"/>
      <c r="AI1938" s="10">
        <f>ROUND(AG1938+(AG1938*AH1938),2)</f>
        <v/>
      </c>
      <c r="AJ1938" s="11" t="n"/>
      <c r="AK1938" s="10">
        <f>ROUND(AI1938*AJ1938,2)</f>
        <v/>
      </c>
      <c r="AL1938" s="10">
        <f>AI1938+AK1938</f>
        <v/>
      </c>
      <c r="AM1938" s="10">
        <f>AE1938-AL1938</f>
        <v/>
      </c>
      <c r="AN1938" s="11">
        <f>AM1938/AE1938</f>
        <v/>
      </c>
      <c r="AO1938" s="10" t="n"/>
      <c r="AP1938" s="10" t="n"/>
      <c r="AQ1938" s="10" t="n"/>
      <c r="AR1938" s="10" t="n"/>
      <c r="AS1938" s="10" t="n"/>
      <c r="AT1938" s="3" t="inlineStr">
        <is>
          <t>Inactive</t>
        </is>
      </c>
    </row>
    <row r="1939" ht="15.75" customHeight="1">
      <c r="A1939" s="10" t="inlineStr">
        <is>
          <t>PROD_0363</t>
        </is>
      </c>
      <c r="B1939" s="10" t="inlineStr">
        <is>
          <t>VAR_4</t>
        </is>
      </c>
      <c r="C1939" s="10" t="inlineStr">
        <is>
          <t>Electrical Material</t>
        </is>
      </c>
      <c r="D1939" s="10" t="inlineStr">
        <is>
          <t>Fan</t>
        </is>
      </c>
      <c r="E1939" s="10" t="inlineStr">
        <is>
          <t>Havells</t>
        </is>
      </c>
      <c r="F1939" s="10" t="inlineStr">
        <is>
          <t>Cieling Fan | FAB BLDC</t>
        </is>
      </c>
      <c r="G1939" s="10" t="n"/>
      <c r="H1939" s="10" t="inlineStr">
        <is>
          <t>Motor Type</t>
        </is>
      </c>
      <c r="I1939" s="10" t="inlineStr">
        <is>
          <t>BLDC</t>
        </is>
      </c>
      <c r="J1939" s="10" t="inlineStr">
        <is>
          <t>Color</t>
        </is>
      </c>
      <c r="K1939" s="10" t="inlineStr">
        <is>
          <t>Cocoa Brown</t>
        </is>
      </c>
      <c r="L1939" s="10" t="n"/>
      <c r="M1939" s="10" t="n"/>
      <c r="N1939" s="10" t="n"/>
      <c r="O1939" s="10" t="n"/>
      <c r="P1939" s="10" t="n"/>
      <c r="Q1939" s="10" t="inlineStr">
        <is>
          <t>Manufacturer's Warranty</t>
        </is>
      </c>
      <c r="R1939" s="10" t="inlineStr">
        <is>
          <t>FHCFW5STBR48</t>
        </is>
      </c>
      <c r="S1939" s="10" t="n"/>
      <c r="T1939" s="10" t="n"/>
      <c r="U1939" s="10" t="n"/>
      <c r="V1939" s="10" t="n"/>
      <c r="W1939" s="10" t="n"/>
      <c r="X1939" s="10" t="n"/>
      <c r="Y1939" s="10" t="inlineStr">
        <is>
          <t>ELCT_CF_HVL_FABLD_4</t>
        </is>
      </c>
      <c r="Z1939" s="10" t="n"/>
      <c r="AA1939" s="10" t="n"/>
      <c r="AB1939" s="10" t="n"/>
      <c r="AC1939" s="10" t="n"/>
      <c r="AD1939" s="10" t="n"/>
      <c r="AE1939" s="10" t="n">
        <v>5320</v>
      </c>
      <c r="AF1939" s="11" t="n"/>
      <c r="AG1939" s="10">
        <f>ROUND(AE1939-(AE1939*AF1939),2)</f>
        <v/>
      </c>
      <c r="AH1939" s="11" t="n"/>
      <c r="AI1939" s="10">
        <f>ROUND(AG1939+(AG1939*AH1939),2)</f>
        <v/>
      </c>
      <c r="AJ1939" s="11" t="n"/>
      <c r="AK1939" s="10">
        <f>ROUND(AI1939*AJ1939,2)</f>
        <v/>
      </c>
      <c r="AL1939" s="10">
        <f>AI1939+AK1939</f>
        <v/>
      </c>
      <c r="AM1939" s="10">
        <f>AE1939-AL1939</f>
        <v/>
      </c>
      <c r="AN1939" s="11">
        <f>AM1939/AE1939</f>
        <v/>
      </c>
      <c r="AO1939" s="10" t="n"/>
      <c r="AP1939" s="10" t="n"/>
      <c r="AQ1939" s="10" t="n"/>
      <c r="AR1939" s="10" t="n"/>
      <c r="AS1939" s="10" t="n"/>
      <c r="AT1939" s="3" t="inlineStr">
        <is>
          <t>Inactive</t>
        </is>
      </c>
    </row>
    <row r="1940" ht="15.75" customHeight="1">
      <c r="A1940" s="10" t="inlineStr">
        <is>
          <t>PROD_0363</t>
        </is>
      </c>
      <c r="B1940" s="10" t="inlineStr">
        <is>
          <t>VAR_5</t>
        </is>
      </c>
      <c r="C1940" s="10" t="inlineStr">
        <is>
          <t>Electrical Material</t>
        </is>
      </c>
      <c r="D1940" s="10" t="inlineStr">
        <is>
          <t>Fan</t>
        </is>
      </c>
      <c r="E1940" s="10" t="inlineStr">
        <is>
          <t>Havells</t>
        </is>
      </c>
      <c r="F1940" s="10" t="inlineStr">
        <is>
          <t>Cieling Fan | FAB BLDC</t>
        </is>
      </c>
      <c r="G1940" s="10" t="n"/>
      <c r="H1940" s="10" t="inlineStr">
        <is>
          <t>Motor Type</t>
        </is>
      </c>
      <c r="I1940" s="10" t="inlineStr">
        <is>
          <t>BLDC</t>
        </is>
      </c>
      <c r="J1940" s="10" t="inlineStr">
        <is>
          <t>Color</t>
        </is>
      </c>
      <c r="K1940" s="10" t="inlineStr">
        <is>
          <t>Denim Blue</t>
        </is>
      </c>
      <c r="L1940" s="10" t="n"/>
      <c r="M1940" s="10" t="n"/>
      <c r="N1940" s="10" t="n"/>
      <c r="O1940" s="10" t="n"/>
      <c r="P1940" s="10" t="n"/>
      <c r="Q1940" s="10" t="inlineStr">
        <is>
          <t>Manufacturer's Warranty</t>
        </is>
      </c>
      <c r="R1940" s="10" t="inlineStr">
        <is>
          <t>1200DC30W350</t>
        </is>
      </c>
      <c r="S1940" s="10" t="n"/>
      <c r="T1940" s="10" t="n"/>
      <c r="U1940" s="10" t="n"/>
      <c r="V1940" s="10" t="n"/>
      <c r="W1940" s="10" t="n"/>
      <c r="X1940" s="10" t="n"/>
      <c r="Y1940" s="10" t="inlineStr">
        <is>
          <t>ELCT_CF_HVL_FABLD_5</t>
        </is>
      </c>
      <c r="Z1940" s="10" t="n"/>
      <c r="AA1940" s="10" t="n"/>
      <c r="AB1940" s="10" t="n"/>
      <c r="AC1940" s="10" t="n"/>
      <c r="AD1940" s="10" t="n"/>
      <c r="AE1940" s="10" t="n">
        <v>5320</v>
      </c>
      <c r="AF1940" s="11" t="n"/>
      <c r="AG1940" s="10">
        <f>ROUND(AE1940-(AE1940*AF1940),2)</f>
        <v/>
      </c>
      <c r="AH1940" s="11" t="n"/>
      <c r="AI1940" s="10">
        <f>ROUND(AG1940+(AG1940*AH1940),2)</f>
        <v/>
      </c>
      <c r="AJ1940" s="11" t="n"/>
      <c r="AK1940" s="10">
        <f>ROUND(AI1940*AJ1940,2)</f>
        <v/>
      </c>
      <c r="AL1940" s="10">
        <f>AI1940+AK1940</f>
        <v/>
      </c>
      <c r="AM1940" s="10">
        <f>AE1940-AL1940</f>
        <v/>
      </c>
      <c r="AN1940" s="11">
        <f>AM1940/AE1940</f>
        <v/>
      </c>
      <c r="AO1940" s="10" t="n"/>
      <c r="AP1940" s="10" t="n"/>
      <c r="AQ1940" s="10" t="n"/>
      <c r="AR1940" s="10" t="n"/>
      <c r="AS1940" s="10" t="n"/>
      <c r="AT1940" s="3" t="inlineStr">
        <is>
          <t>Inactive</t>
        </is>
      </c>
    </row>
    <row r="1941" ht="15.75" customHeight="1">
      <c r="A1941" s="10" t="inlineStr">
        <is>
          <t>PROD_0363</t>
        </is>
      </c>
      <c r="B1941" s="10" t="inlineStr">
        <is>
          <t>VAR_6</t>
        </is>
      </c>
      <c r="C1941" s="10" t="inlineStr">
        <is>
          <t>Electrical Material</t>
        </is>
      </c>
      <c r="D1941" s="10" t="inlineStr">
        <is>
          <t>Fan</t>
        </is>
      </c>
      <c r="E1941" s="10" t="inlineStr">
        <is>
          <t>Havells</t>
        </is>
      </c>
      <c r="F1941" s="10" t="inlineStr">
        <is>
          <t>Cieling Fan | FAB BLDC</t>
        </is>
      </c>
      <c r="G1941" s="10" t="n"/>
      <c r="H1941" s="10" t="inlineStr">
        <is>
          <t>Motor Type</t>
        </is>
      </c>
      <c r="I1941" s="10" t="inlineStr">
        <is>
          <t>BLDC</t>
        </is>
      </c>
      <c r="J1941" s="10" t="inlineStr">
        <is>
          <t>Color</t>
        </is>
      </c>
      <c r="K1941" s="10" t="inlineStr">
        <is>
          <t>Elegant White</t>
        </is>
      </c>
      <c r="L1941" s="10" t="n"/>
      <c r="M1941" s="10" t="n"/>
      <c r="N1941" s="10" t="n"/>
      <c r="O1941" s="10" t="n"/>
      <c r="P1941" s="10" t="n"/>
      <c r="Q1941" s="10" t="inlineStr">
        <is>
          <t>Manufacturer's Warranty</t>
        </is>
      </c>
      <c r="R1941" s="10" t="inlineStr">
        <is>
          <t>1200DC30W350</t>
        </is>
      </c>
      <c r="S1941" s="10" t="n"/>
      <c r="T1941" s="10" t="n"/>
      <c r="U1941" s="10" t="n"/>
      <c r="V1941" s="10" t="n"/>
      <c r="W1941" s="10" t="n"/>
      <c r="X1941" s="10" t="n"/>
      <c r="Y1941" s="10" t="inlineStr">
        <is>
          <t>ELCT_CF_HVL_FABLD_6</t>
        </is>
      </c>
      <c r="Z1941" s="10" t="n"/>
      <c r="AA1941" s="10" t="n"/>
      <c r="AB1941" s="10" t="n"/>
      <c r="AC1941" s="10" t="n"/>
      <c r="AD1941" s="10" t="n"/>
      <c r="AE1941" s="10" t="n">
        <v>5320</v>
      </c>
      <c r="AF1941" s="11" t="n"/>
      <c r="AG1941" s="10">
        <f>ROUND(AE1941-(AE1941*AF1941),2)</f>
        <v/>
      </c>
      <c r="AH1941" s="11" t="n"/>
      <c r="AI1941" s="10">
        <f>ROUND(AG1941+(AG1941*AH1941),2)</f>
        <v/>
      </c>
      <c r="AJ1941" s="11" t="n"/>
      <c r="AK1941" s="10">
        <f>ROUND(AI1941*AJ1941,2)</f>
        <v/>
      </c>
      <c r="AL1941" s="10">
        <f>AI1941+AK1941</f>
        <v/>
      </c>
      <c r="AM1941" s="10">
        <f>AE1941-AL1941</f>
        <v/>
      </c>
      <c r="AN1941" s="11">
        <f>AM1941/AE1941</f>
        <v/>
      </c>
      <c r="AO1941" s="10" t="n"/>
      <c r="AP1941" s="10" t="n"/>
      <c r="AQ1941" s="10" t="n"/>
      <c r="AR1941" s="10" t="n"/>
      <c r="AS1941" s="10" t="n"/>
      <c r="AT1941" s="3" t="inlineStr">
        <is>
          <t>Inactive</t>
        </is>
      </c>
    </row>
    <row r="1942" ht="15.75" customHeight="1">
      <c r="A1942" s="10" t="inlineStr">
        <is>
          <t>PROD_0363</t>
        </is>
      </c>
      <c r="B1942" s="10" t="inlineStr">
        <is>
          <t>VAR_7</t>
        </is>
      </c>
      <c r="C1942" s="10" t="inlineStr">
        <is>
          <t>Electrical Material</t>
        </is>
      </c>
      <c r="D1942" s="10" t="inlineStr">
        <is>
          <t>Fan</t>
        </is>
      </c>
      <c r="E1942" s="10" t="inlineStr">
        <is>
          <t>Havells</t>
        </is>
      </c>
      <c r="F1942" s="10" t="inlineStr">
        <is>
          <t>Cieling Fan | FAB BLDC</t>
        </is>
      </c>
      <c r="G1942" s="10" t="n"/>
      <c r="H1942" s="10" t="inlineStr">
        <is>
          <t>Motor Type</t>
        </is>
      </c>
      <c r="I1942" s="10" t="inlineStr">
        <is>
          <t>BLDC</t>
        </is>
      </c>
      <c r="J1942" s="10" t="inlineStr">
        <is>
          <t>Color</t>
        </is>
      </c>
      <c r="K1942" s="10" t="inlineStr">
        <is>
          <t>Stone Grey</t>
        </is>
      </c>
      <c r="L1942" s="10" t="n"/>
      <c r="M1942" s="10" t="n"/>
      <c r="N1942" s="10" t="n"/>
      <c r="O1942" s="10" t="n"/>
      <c r="P1942" s="10" t="n"/>
      <c r="Q1942" s="10" t="inlineStr">
        <is>
          <t>Manufacturer's Warranty</t>
        </is>
      </c>
      <c r="R1942" s="10" t="inlineStr">
        <is>
          <t>FHCFW5SSTG48</t>
        </is>
      </c>
      <c r="S1942" s="10" t="n"/>
      <c r="T1942" s="10" t="n"/>
      <c r="U1942" s="10" t="n"/>
      <c r="V1942" s="10" t="n"/>
      <c r="W1942" s="10" t="n"/>
      <c r="X1942" s="10" t="n"/>
      <c r="Y1942" s="10" t="inlineStr">
        <is>
          <t>ELCT_CF_HVL_FABLD_7</t>
        </is>
      </c>
      <c r="Z1942" s="10" t="n"/>
      <c r="AA1942" s="10" t="n"/>
      <c r="AB1942" s="10" t="n"/>
      <c r="AC1942" s="10" t="n"/>
      <c r="AD1942" s="10" t="n"/>
      <c r="AE1942" s="10" t="n">
        <v>5320</v>
      </c>
      <c r="AF1942" s="11" t="n"/>
      <c r="AG1942" s="10">
        <f>ROUND(AE1942-(AE1942*AF1942),2)</f>
        <v/>
      </c>
      <c r="AH1942" s="11" t="n"/>
      <c r="AI1942" s="10">
        <f>ROUND(AG1942+(AG1942*AH1942),2)</f>
        <v/>
      </c>
      <c r="AJ1942" s="11" t="n"/>
      <c r="AK1942" s="10">
        <f>ROUND(AI1942*AJ1942,2)</f>
        <v/>
      </c>
      <c r="AL1942" s="10">
        <f>AI1942+AK1942</f>
        <v/>
      </c>
      <c r="AM1942" s="10">
        <f>AE1942-AL1942</f>
        <v/>
      </c>
      <c r="AN1942" s="11">
        <f>AM1942/AE1942</f>
        <v/>
      </c>
      <c r="AO1942" s="10" t="n"/>
      <c r="AP1942" s="10" t="n"/>
      <c r="AQ1942" s="10" t="n"/>
      <c r="AR1942" s="10" t="n"/>
      <c r="AS1942" s="10" t="n"/>
      <c r="AT1942" s="3" t="inlineStr">
        <is>
          <t>Inactive</t>
        </is>
      </c>
    </row>
    <row r="1943" ht="15.75" customHeight="1">
      <c r="A1943" s="10" t="inlineStr">
        <is>
          <t>PROD_0363</t>
        </is>
      </c>
      <c r="B1943" s="10" t="inlineStr">
        <is>
          <t>VAR_8</t>
        </is>
      </c>
      <c r="C1943" s="10" t="inlineStr">
        <is>
          <t>Electrical Material</t>
        </is>
      </c>
      <c r="D1943" s="10" t="inlineStr">
        <is>
          <t>Fan</t>
        </is>
      </c>
      <c r="E1943" s="10" t="inlineStr">
        <is>
          <t>Havells</t>
        </is>
      </c>
      <c r="F1943" s="10" t="inlineStr">
        <is>
          <t>Cieling Fan | FAB BLDC</t>
        </is>
      </c>
      <c r="G1943" s="10" t="n"/>
      <c r="H1943" s="10" t="inlineStr">
        <is>
          <t>Motor Type</t>
        </is>
      </c>
      <c r="I1943" s="10" t="inlineStr">
        <is>
          <t>BLDC</t>
        </is>
      </c>
      <c r="J1943" s="10" t="inlineStr">
        <is>
          <t>Color</t>
        </is>
      </c>
      <c r="K1943" s="10" t="inlineStr">
        <is>
          <t>Bianco</t>
        </is>
      </c>
      <c r="L1943" s="10" t="n"/>
      <c r="M1943" s="10" t="n"/>
      <c r="N1943" s="10" t="n"/>
      <c r="O1943" s="10" t="n"/>
      <c r="P1943" s="10" t="n"/>
      <c r="Q1943" s="10" t="inlineStr">
        <is>
          <t>Manufacturer's Warranty</t>
        </is>
      </c>
      <c r="R1943" s="10" t="inlineStr">
        <is>
          <t>FHCFW5SBNC48E</t>
        </is>
      </c>
      <c r="S1943" s="10" t="n"/>
      <c r="T1943" s="10" t="n"/>
      <c r="U1943" s="10" t="n"/>
      <c r="V1943" s="10" t="n"/>
      <c r="W1943" s="10" t="n"/>
      <c r="X1943" s="10" t="n"/>
      <c r="Y1943" s="10" t="inlineStr">
        <is>
          <t>ELCT_CF_HVL_FABLD_8</t>
        </is>
      </c>
      <c r="Z1943" s="10" t="n"/>
      <c r="AA1943" s="10" t="n"/>
      <c r="AB1943" s="10" t="n"/>
      <c r="AC1943" s="10" t="n"/>
      <c r="AD1943" s="10" t="n"/>
      <c r="AE1943" s="10" t="n">
        <v>5320</v>
      </c>
      <c r="AF1943" s="11" t="n"/>
      <c r="AG1943" s="10">
        <f>ROUND(AE1943-(AE1943*AF1943),2)</f>
        <v/>
      </c>
      <c r="AH1943" s="11" t="n"/>
      <c r="AI1943" s="10">
        <f>ROUND(AG1943+(AG1943*AH1943),2)</f>
        <v/>
      </c>
      <c r="AJ1943" s="11" t="n"/>
      <c r="AK1943" s="10">
        <f>ROUND(AI1943*AJ1943,2)</f>
        <v/>
      </c>
      <c r="AL1943" s="10">
        <f>AI1943+AK1943</f>
        <v/>
      </c>
      <c r="AM1943" s="10">
        <f>AE1943-AL1943</f>
        <v/>
      </c>
      <c r="AN1943" s="11">
        <f>AM1943/AE1943</f>
        <v/>
      </c>
      <c r="AO1943" s="10" t="n"/>
      <c r="AP1943" s="10" t="n"/>
      <c r="AQ1943" s="10" t="n"/>
      <c r="AR1943" s="10" t="n"/>
      <c r="AS1943" s="10" t="n"/>
      <c r="AT1943" s="3" t="inlineStr">
        <is>
          <t>Inactive</t>
        </is>
      </c>
    </row>
    <row r="1944" ht="15.75" customHeight="1">
      <c r="A1944" s="10" t="inlineStr">
        <is>
          <t>PROD_0363</t>
        </is>
      </c>
      <c r="B1944" s="10" t="inlineStr">
        <is>
          <t>VAR_9</t>
        </is>
      </c>
      <c r="C1944" s="10" t="inlineStr">
        <is>
          <t>Electrical Material</t>
        </is>
      </c>
      <c r="D1944" s="10" t="inlineStr">
        <is>
          <t>Fan</t>
        </is>
      </c>
      <c r="E1944" s="10" t="inlineStr">
        <is>
          <t>Havells</t>
        </is>
      </c>
      <c r="F1944" s="10" t="inlineStr">
        <is>
          <t>Cieling Fan | FAB BLDC</t>
        </is>
      </c>
      <c r="G1944" s="10" t="n"/>
      <c r="H1944" s="10" t="inlineStr">
        <is>
          <t>Motor Type</t>
        </is>
      </c>
      <c r="I1944" s="10" t="inlineStr">
        <is>
          <t>BLDC</t>
        </is>
      </c>
      <c r="J1944" s="10" t="inlineStr">
        <is>
          <t>Color</t>
        </is>
      </c>
      <c r="K1944" s="10" t="inlineStr">
        <is>
          <t>Smoke Brown</t>
        </is>
      </c>
      <c r="L1944" s="10" t="n"/>
      <c r="M1944" s="10" t="n"/>
      <c r="N1944" s="10" t="n"/>
      <c r="O1944" s="10" t="n"/>
      <c r="P1944" s="10" t="n"/>
      <c r="Q1944" s="10" t="inlineStr">
        <is>
          <t>Manufacturer's Warranty</t>
        </is>
      </c>
      <c r="R1944" s="10" t="inlineStr">
        <is>
          <t>1200DC30W350</t>
        </is>
      </c>
      <c r="S1944" s="10" t="n"/>
      <c r="T1944" s="10" t="n"/>
      <c r="U1944" s="10" t="n"/>
      <c r="V1944" s="10" t="n"/>
      <c r="W1944" s="10" t="n"/>
      <c r="X1944" s="10" t="n"/>
      <c r="Y1944" s="10" t="inlineStr">
        <is>
          <t>ELCT_CF_HVL_FABLD_9</t>
        </is>
      </c>
      <c r="Z1944" s="10" t="n"/>
      <c r="AA1944" s="10" t="n"/>
      <c r="AB1944" s="10" t="n"/>
      <c r="AC1944" s="10" t="n"/>
      <c r="AD1944" s="10" t="n"/>
      <c r="AE1944" s="10" t="n">
        <v>5320</v>
      </c>
      <c r="AF1944" s="11" t="n"/>
      <c r="AG1944" s="10">
        <f>ROUND(AE1944-(AE1944*AF1944),2)</f>
        <v/>
      </c>
      <c r="AH1944" s="11" t="n"/>
      <c r="AI1944" s="10">
        <f>ROUND(AG1944+(AG1944*AH1944),2)</f>
        <v/>
      </c>
      <c r="AJ1944" s="11" t="n"/>
      <c r="AK1944" s="10">
        <f>ROUND(AI1944*AJ1944,2)</f>
        <v/>
      </c>
      <c r="AL1944" s="10">
        <f>AI1944+AK1944</f>
        <v/>
      </c>
      <c r="AM1944" s="10">
        <f>AE1944-AL1944</f>
        <v/>
      </c>
      <c r="AN1944" s="11">
        <f>AM1944/AE1944</f>
        <v/>
      </c>
      <c r="AO1944" s="10" t="n"/>
      <c r="AP1944" s="10" t="n"/>
      <c r="AQ1944" s="10" t="n"/>
      <c r="AR1944" s="10" t="n"/>
      <c r="AS1944" s="10" t="n"/>
      <c r="AT1944" s="3" t="inlineStr">
        <is>
          <t>Inactive</t>
        </is>
      </c>
    </row>
    <row r="1945" ht="15.75" customHeight="1">
      <c r="A1945" s="15" t="inlineStr">
        <is>
          <t>PROD_0364</t>
        </is>
      </c>
      <c r="B1945" s="15" t="inlineStr">
        <is>
          <t>VAR_1</t>
        </is>
      </c>
      <c r="C1945" s="15" t="inlineStr">
        <is>
          <t>Electrical Material</t>
        </is>
      </c>
      <c r="D1945" s="15" t="inlineStr">
        <is>
          <t>Fan</t>
        </is>
      </c>
      <c r="E1945" s="15" t="inlineStr">
        <is>
          <t>Atomberg</t>
        </is>
      </c>
      <c r="F1945" s="15" t="inlineStr">
        <is>
          <t>Cieling Fan | Renesa Enzel BLDC</t>
        </is>
      </c>
      <c r="G1945" s="15" t="n"/>
      <c r="H1945" s="15" t="inlineStr">
        <is>
          <t>Motor Type</t>
        </is>
      </c>
      <c r="I1945" s="15" t="inlineStr">
        <is>
          <t>BLDC</t>
        </is>
      </c>
      <c r="J1945" s="15" t="inlineStr">
        <is>
          <t>Color</t>
        </is>
      </c>
      <c r="K1945" s="15" t="inlineStr">
        <is>
          <t>Dark Walnut</t>
        </is>
      </c>
      <c r="L1945" s="15" t="n"/>
      <c r="M1945" s="15" t="n"/>
      <c r="N1945" s="15" t="n"/>
      <c r="O1945" s="15" t="n"/>
      <c r="P1945" s="15" t="n"/>
      <c r="Q1945" s="15" t="inlineStr">
        <is>
          <t>Manufacturer's Warranty</t>
        </is>
      </c>
      <c r="R1945" s="15" t="inlineStr">
        <is>
          <t>‎Renesa Enzel</t>
        </is>
      </c>
      <c r="S1945" s="15" t="n"/>
      <c r="T1945" s="15" t="n"/>
      <c r="U1945" s="15" t="n"/>
      <c r="V1945" s="15" t="n"/>
      <c r="W1945" s="15" t="n"/>
      <c r="X1945" s="15" t="n"/>
      <c r="Y1945" s="15" t="inlineStr">
        <is>
          <t>ELEC_FAN_ATOM_14</t>
        </is>
      </c>
      <c r="Z1945" s="15" t="n"/>
      <c r="AA1945" s="15" t="n"/>
      <c r="AB1945" s="15" t="n"/>
      <c r="AC1945" s="15" t="n"/>
      <c r="AD1945" s="15" t="n"/>
      <c r="AE1945" s="15" t="n">
        <v>5660</v>
      </c>
      <c r="AF1945" s="16" t="n"/>
      <c r="AG1945" s="15">
        <f>ROUND(AE1945-(AE1945*AF1945),2)</f>
        <v/>
      </c>
      <c r="AH1945" s="16" t="n"/>
      <c r="AI1945" s="15">
        <f>ROUND(AG1945+(AG1945*AH1945),2)</f>
        <v/>
      </c>
      <c r="AJ1945" s="16" t="n"/>
      <c r="AK1945" s="15">
        <f>ROUND(AI1945*AJ1945,2)</f>
        <v/>
      </c>
      <c r="AL1945" s="15">
        <f>AI1945+AK1945</f>
        <v/>
      </c>
      <c r="AM1945" s="15">
        <f>AE1945-AL1945</f>
        <v/>
      </c>
      <c r="AN1945" s="16">
        <f>AM1945/AE1945</f>
        <v/>
      </c>
      <c r="AO1945" s="15" t="n"/>
      <c r="AP1945" s="15" t="n"/>
      <c r="AQ1945" s="15" t="n"/>
      <c r="AR1945" s="15" t="n"/>
      <c r="AS1945" s="15" t="n"/>
      <c r="AT1945" s="3" t="inlineStr">
        <is>
          <t>On Demand</t>
        </is>
      </c>
    </row>
    <row r="1946" ht="15.75" customHeight="1">
      <c r="A1946" s="15" t="inlineStr">
        <is>
          <t>PROD_0364</t>
        </is>
      </c>
      <c r="B1946" s="15" t="inlineStr">
        <is>
          <t>VAR_2</t>
        </is>
      </c>
      <c r="C1946" s="15" t="inlineStr">
        <is>
          <t>Electrical Material</t>
        </is>
      </c>
      <c r="D1946" s="15" t="inlineStr">
        <is>
          <t>Fan</t>
        </is>
      </c>
      <c r="E1946" s="15" t="inlineStr">
        <is>
          <t>Atomberg</t>
        </is>
      </c>
      <c r="F1946" s="15" t="inlineStr">
        <is>
          <t>Cieling Fan | Renesa Enzel BLDC</t>
        </is>
      </c>
      <c r="G1946" s="15" t="n"/>
      <c r="H1946" s="15" t="inlineStr">
        <is>
          <t>Motor Type</t>
        </is>
      </c>
      <c r="I1946" s="15" t="inlineStr">
        <is>
          <t>BLDC</t>
        </is>
      </c>
      <c r="J1946" s="15" t="inlineStr">
        <is>
          <t>Color</t>
        </is>
      </c>
      <c r="K1946" s="15" t="inlineStr">
        <is>
          <t>Misty Teal</t>
        </is>
      </c>
      <c r="L1946" s="15" t="n"/>
      <c r="M1946" s="15" t="n"/>
      <c r="N1946" s="15" t="n"/>
      <c r="O1946" s="15" t="n"/>
      <c r="P1946" s="15" t="n"/>
      <c r="Q1946" s="15" t="inlineStr">
        <is>
          <t>Manufacturer's Warranty</t>
        </is>
      </c>
      <c r="R1946" s="15" t="inlineStr">
        <is>
          <t>‎Renesa Enzel</t>
        </is>
      </c>
      <c r="S1946" s="15" t="n"/>
      <c r="T1946" s="15" t="n"/>
      <c r="U1946" s="15" t="n"/>
      <c r="V1946" s="15" t="n"/>
      <c r="W1946" s="15" t="n"/>
      <c r="X1946" s="15" t="n"/>
      <c r="Y1946" s="15" t="inlineStr">
        <is>
          <t>ELEC_FAN_ATOM_15</t>
        </is>
      </c>
      <c r="Z1946" s="15" t="n"/>
      <c r="AA1946" s="15" t="n"/>
      <c r="AB1946" s="15" t="n"/>
      <c r="AC1946" s="15" t="n"/>
      <c r="AD1946" s="15" t="n"/>
      <c r="AE1946" s="15" t="n">
        <v>5660</v>
      </c>
      <c r="AF1946" s="16" t="n"/>
      <c r="AG1946" s="15">
        <f>ROUND(AE1946-(AE1946*AF1946),2)</f>
        <v/>
      </c>
      <c r="AH1946" s="16" t="n"/>
      <c r="AI1946" s="15">
        <f>ROUND(AG1946+(AG1946*AH1946),2)</f>
        <v/>
      </c>
      <c r="AJ1946" s="16" t="n"/>
      <c r="AK1946" s="15">
        <f>ROUND(AI1946*AJ1946,2)</f>
        <v/>
      </c>
      <c r="AL1946" s="15">
        <f>AI1946+AK1946</f>
        <v/>
      </c>
      <c r="AM1946" s="15">
        <f>AE1946-AL1946</f>
        <v/>
      </c>
      <c r="AN1946" s="16">
        <f>AM1946/AE1946</f>
        <v/>
      </c>
      <c r="AO1946" s="15" t="n"/>
      <c r="AP1946" s="15" t="n"/>
      <c r="AQ1946" s="15" t="n"/>
      <c r="AR1946" s="15" t="n"/>
      <c r="AS1946" s="15" t="n"/>
      <c r="AT1946" s="3" t="inlineStr">
        <is>
          <t>On Demand</t>
        </is>
      </c>
    </row>
    <row r="1947" ht="15.75" customHeight="1">
      <c r="A1947" s="15" t="inlineStr">
        <is>
          <t>PROD_0364</t>
        </is>
      </c>
      <c r="B1947" s="15" t="inlineStr">
        <is>
          <t>VAR_3</t>
        </is>
      </c>
      <c r="C1947" s="15" t="inlineStr">
        <is>
          <t>Electrical Material</t>
        </is>
      </c>
      <c r="D1947" s="15" t="inlineStr">
        <is>
          <t>Fan</t>
        </is>
      </c>
      <c r="E1947" s="15" t="inlineStr">
        <is>
          <t>Atomberg</t>
        </is>
      </c>
      <c r="F1947" s="15" t="inlineStr">
        <is>
          <t>Cieling Fan | Renesa Enzel BLDC</t>
        </is>
      </c>
      <c r="G1947" s="15" t="n"/>
      <c r="H1947" s="15" t="inlineStr">
        <is>
          <t>Motor Type</t>
        </is>
      </c>
      <c r="I1947" s="15" t="inlineStr">
        <is>
          <t>BLDC</t>
        </is>
      </c>
      <c r="J1947" s="15" t="inlineStr">
        <is>
          <t>Color</t>
        </is>
      </c>
      <c r="K1947" s="15" t="inlineStr">
        <is>
          <t>Gloss Black</t>
        </is>
      </c>
      <c r="L1947" s="15" t="n"/>
      <c r="M1947" s="15" t="n"/>
      <c r="N1947" s="15" t="n"/>
      <c r="O1947" s="15" t="n"/>
      <c r="P1947" s="15" t="n"/>
      <c r="Q1947" s="15" t="inlineStr">
        <is>
          <t>Manufacturer's Warranty</t>
        </is>
      </c>
      <c r="R1947" s="15" t="inlineStr">
        <is>
          <t>‎Renesa Enzel</t>
        </is>
      </c>
      <c r="S1947" s="15" t="n"/>
      <c r="T1947" s="15" t="n"/>
      <c r="U1947" s="15" t="n"/>
      <c r="V1947" s="15" t="n"/>
      <c r="W1947" s="15" t="n"/>
      <c r="X1947" s="15" t="n"/>
      <c r="Y1947" s="15" t="inlineStr">
        <is>
          <t>ELEC_FAN_ATOM_16</t>
        </is>
      </c>
      <c r="Z1947" s="15" t="n"/>
      <c r="AA1947" s="15" t="n"/>
      <c r="AB1947" s="15" t="n"/>
      <c r="AC1947" s="15" t="n"/>
      <c r="AD1947" s="15" t="n"/>
      <c r="AE1947" s="15" t="n">
        <v>5660</v>
      </c>
      <c r="AF1947" s="16" t="n"/>
      <c r="AG1947" s="15">
        <f>ROUND(AE1947-(AE1947*AF1947),2)</f>
        <v/>
      </c>
      <c r="AH1947" s="16" t="n"/>
      <c r="AI1947" s="15">
        <f>ROUND(AG1947+(AG1947*AH1947),2)</f>
        <v/>
      </c>
      <c r="AJ1947" s="16" t="n"/>
      <c r="AK1947" s="15">
        <f>ROUND(AI1947*AJ1947,2)</f>
        <v/>
      </c>
      <c r="AL1947" s="15">
        <f>AI1947+AK1947</f>
        <v/>
      </c>
      <c r="AM1947" s="15">
        <f>AE1947-AL1947</f>
        <v/>
      </c>
      <c r="AN1947" s="16">
        <f>AM1947/AE1947</f>
        <v/>
      </c>
      <c r="AO1947" s="15" t="n"/>
      <c r="AP1947" s="15" t="n"/>
      <c r="AQ1947" s="15" t="n"/>
      <c r="AR1947" s="15" t="n"/>
      <c r="AS1947" s="15" t="n"/>
      <c r="AT1947" s="3" t="inlineStr">
        <is>
          <t>On Demand</t>
        </is>
      </c>
    </row>
    <row r="1948" ht="15.75" customHeight="1">
      <c r="A1948" s="15" t="inlineStr">
        <is>
          <t>PROD_0364</t>
        </is>
      </c>
      <c r="B1948" s="15" t="inlineStr">
        <is>
          <t>VAR_4</t>
        </is>
      </c>
      <c r="C1948" s="15" t="inlineStr">
        <is>
          <t>Electrical Material</t>
        </is>
      </c>
      <c r="D1948" s="15" t="inlineStr">
        <is>
          <t>Fan</t>
        </is>
      </c>
      <c r="E1948" s="15" t="inlineStr">
        <is>
          <t>Atomberg</t>
        </is>
      </c>
      <c r="F1948" s="15" t="inlineStr">
        <is>
          <t>Cieling Fan | Renesa Enzel BLDC</t>
        </is>
      </c>
      <c r="G1948" s="15" t="n"/>
      <c r="H1948" s="15" t="inlineStr">
        <is>
          <t>Motor Type</t>
        </is>
      </c>
      <c r="I1948" s="15" t="inlineStr">
        <is>
          <t>BLDC</t>
        </is>
      </c>
      <c r="J1948" s="15" t="inlineStr">
        <is>
          <t>Color</t>
        </is>
      </c>
      <c r="K1948" s="15" t="inlineStr">
        <is>
          <t>Gloss Brown</t>
        </is>
      </c>
      <c r="L1948" s="15" t="n"/>
      <c r="M1948" s="15" t="n"/>
      <c r="N1948" s="15" t="n"/>
      <c r="O1948" s="15" t="n"/>
      <c r="P1948" s="15" t="n"/>
      <c r="Q1948" s="15" t="inlineStr">
        <is>
          <t>Manufacturer's Warranty</t>
        </is>
      </c>
      <c r="R1948" s="15" t="inlineStr">
        <is>
          <t>‎Renesa Enzel</t>
        </is>
      </c>
      <c r="S1948" s="15" t="n"/>
      <c r="T1948" s="15" t="n"/>
      <c r="U1948" s="15" t="n"/>
      <c r="V1948" s="15" t="n"/>
      <c r="W1948" s="15" t="n"/>
      <c r="X1948" s="15" t="n"/>
      <c r="Y1948" s="15" t="inlineStr">
        <is>
          <t>ELEC_FAN_ATOM_17</t>
        </is>
      </c>
      <c r="Z1948" s="15" t="n"/>
      <c r="AA1948" s="15" t="n"/>
      <c r="AB1948" s="15" t="n"/>
      <c r="AC1948" s="15" t="n"/>
      <c r="AD1948" s="15" t="n"/>
      <c r="AE1948" s="15" t="n">
        <v>5660</v>
      </c>
      <c r="AF1948" s="16" t="n"/>
      <c r="AG1948" s="15">
        <f>ROUND(AE1948-(AE1948*AF1948),2)</f>
        <v/>
      </c>
      <c r="AH1948" s="16" t="n"/>
      <c r="AI1948" s="15">
        <f>ROUND(AG1948+(AG1948*AH1948),2)</f>
        <v/>
      </c>
      <c r="AJ1948" s="16" t="n"/>
      <c r="AK1948" s="15">
        <f>ROUND(AI1948*AJ1948,2)</f>
        <v/>
      </c>
      <c r="AL1948" s="15">
        <f>AI1948+AK1948</f>
        <v/>
      </c>
      <c r="AM1948" s="15">
        <f>AE1948-AL1948</f>
        <v/>
      </c>
      <c r="AN1948" s="16">
        <f>AM1948/AE1948</f>
        <v/>
      </c>
      <c r="AO1948" s="15" t="n"/>
      <c r="AP1948" s="15" t="n"/>
      <c r="AQ1948" s="15" t="n"/>
      <c r="AR1948" s="15" t="n"/>
      <c r="AS1948" s="15" t="n"/>
      <c r="AT1948" s="3" t="inlineStr">
        <is>
          <t>On Demand</t>
        </is>
      </c>
    </row>
    <row r="1949" ht="15.75" customHeight="1">
      <c r="A1949" s="15" t="inlineStr">
        <is>
          <t>PROD_0364</t>
        </is>
      </c>
      <c r="B1949" s="15" t="inlineStr">
        <is>
          <t>VAR_5</t>
        </is>
      </c>
      <c r="C1949" s="15" t="inlineStr">
        <is>
          <t>Electrical Material</t>
        </is>
      </c>
      <c r="D1949" s="15" t="inlineStr">
        <is>
          <t>Fan</t>
        </is>
      </c>
      <c r="E1949" s="15" t="inlineStr">
        <is>
          <t>Atomberg</t>
        </is>
      </c>
      <c r="F1949" s="15" t="inlineStr">
        <is>
          <t>Cieling Fan | Renesa Enzel BLDC</t>
        </is>
      </c>
      <c r="G1949" s="15" t="n"/>
      <c r="H1949" s="15" t="inlineStr">
        <is>
          <t>Motor Type</t>
        </is>
      </c>
      <c r="I1949" s="15" t="inlineStr">
        <is>
          <t>BLDC</t>
        </is>
      </c>
      <c r="J1949" s="15" t="inlineStr">
        <is>
          <t>Color</t>
        </is>
      </c>
      <c r="K1949" s="15" t="inlineStr">
        <is>
          <t>Gloss Seasand Ivory</t>
        </is>
      </c>
      <c r="L1949" s="15" t="n"/>
      <c r="M1949" s="15" t="n"/>
      <c r="N1949" s="15" t="n"/>
      <c r="O1949" s="15" t="n"/>
      <c r="P1949" s="15" t="n"/>
      <c r="Q1949" s="15" t="inlineStr">
        <is>
          <t>Manufacturer's Warranty</t>
        </is>
      </c>
      <c r="R1949" s="15" t="inlineStr">
        <is>
          <t>‎Renesa Enzel</t>
        </is>
      </c>
      <c r="S1949" s="15" t="n"/>
      <c r="T1949" s="15" t="n"/>
      <c r="U1949" s="15" t="n"/>
      <c r="V1949" s="15" t="n"/>
      <c r="W1949" s="15" t="n"/>
      <c r="X1949" s="15" t="n"/>
      <c r="Y1949" s="15" t="inlineStr">
        <is>
          <t>ELEC_FAN_ATOM_18</t>
        </is>
      </c>
      <c r="Z1949" s="15" t="n"/>
      <c r="AA1949" s="15" t="n"/>
      <c r="AB1949" s="15" t="n"/>
      <c r="AC1949" s="15" t="n"/>
      <c r="AD1949" s="15" t="n"/>
      <c r="AE1949" s="15" t="n">
        <v>5660</v>
      </c>
      <c r="AF1949" s="16" t="n"/>
      <c r="AG1949" s="15">
        <f>ROUND(AE1949-(AE1949*AF1949),2)</f>
        <v/>
      </c>
      <c r="AH1949" s="16" t="n"/>
      <c r="AI1949" s="15">
        <f>ROUND(AG1949+(AG1949*AH1949),2)</f>
        <v/>
      </c>
      <c r="AJ1949" s="16" t="n"/>
      <c r="AK1949" s="15">
        <f>ROUND(AI1949*AJ1949,2)</f>
        <v/>
      </c>
      <c r="AL1949" s="15">
        <f>AI1949+AK1949</f>
        <v/>
      </c>
      <c r="AM1949" s="15">
        <f>AE1949-AL1949</f>
        <v/>
      </c>
      <c r="AN1949" s="16">
        <f>AM1949/AE1949</f>
        <v/>
      </c>
      <c r="AO1949" s="15" t="n"/>
      <c r="AP1949" s="15" t="n"/>
      <c r="AQ1949" s="15" t="n"/>
      <c r="AR1949" s="15" t="n"/>
      <c r="AS1949" s="15" t="n"/>
      <c r="AT1949" s="3" t="inlineStr">
        <is>
          <t>On Demand</t>
        </is>
      </c>
    </row>
    <row r="1950" ht="15.75" customHeight="1">
      <c r="A1950" s="15" t="inlineStr">
        <is>
          <t>PROD_0364</t>
        </is>
      </c>
      <c r="B1950" s="15" t="inlineStr">
        <is>
          <t>VAR_6</t>
        </is>
      </c>
      <c r="C1950" s="15" t="inlineStr">
        <is>
          <t>Electrical Material</t>
        </is>
      </c>
      <c r="D1950" s="15" t="inlineStr">
        <is>
          <t>Fan</t>
        </is>
      </c>
      <c r="E1950" s="15" t="inlineStr">
        <is>
          <t>Atomberg</t>
        </is>
      </c>
      <c r="F1950" s="15" t="inlineStr">
        <is>
          <t>Cieling Fan | Renesa Enzel BLDC</t>
        </is>
      </c>
      <c r="G1950" s="15" t="n"/>
      <c r="H1950" s="15" t="inlineStr">
        <is>
          <t>Motor Type</t>
        </is>
      </c>
      <c r="I1950" s="15" t="inlineStr">
        <is>
          <t>BLDC</t>
        </is>
      </c>
      <c r="J1950" s="15" t="inlineStr">
        <is>
          <t>Color</t>
        </is>
      </c>
      <c r="K1950" s="15" t="inlineStr">
        <is>
          <t>Gloss White</t>
        </is>
      </c>
      <c r="L1950" s="15" t="n"/>
      <c r="M1950" s="15" t="n"/>
      <c r="N1950" s="15" t="n"/>
      <c r="O1950" s="15" t="n"/>
      <c r="P1950" s="15" t="n"/>
      <c r="Q1950" s="15" t="inlineStr">
        <is>
          <t>Manufacturer's Warranty</t>
        </is>
      </c>
      <c r="R1950" s="15" t="inlineStr">
        <is>
          <t>‎Renesa Enzel</t>
        </is>
      </c>
      <c r="S1950" s="15" t="n"/>
      <c r="T1950" s="15" t="n"/>
      <c r="U1950" s="15" t="n"/>
      <c r="V1950" s="15" t="n"/>
      <c r="W1950" s="15" t="n"/>
      <c r="X1950" s="15" t="n"/>
      <c r="Y1950" s="15" t="inlineStr">
        <is>
          <t>ELEC_FAN_ATOM_19</t>
        </is>
      </c>
      <c r="Z1950" s="15" t="n"/>
      <c r="AA1950" s="15" t="n"/>
      <c r="AB1950" s="15" t="n"/>
      <c r="AC1950" s="15" t="n"/>
      <c r="AD1950" s="15" t="n"/>
      <c r="AE1950" s="15" t="n">
        <v>5660</v>
      </c>
      <c r="AF1950" s="16" t="n"/>
      <c r="AG1950" s="15">
        <f>ROUND(AE1950-(AE1950*AF1950),2)</f>
        <v/>
      </c>
      <c r="AH1950" s="16" t="n"/>
      <c r="AI1950" s="15">
        <f>ROUND(AG1950+(AG1950*AH1950),2)</f>
        <v/>
      </c>
      <c r="AJ1950" s="16" t="n"/>
      <c r="AK1950" s="15">
        <f>ROUND(AI1950*AJ1950,2)</f>
        <v/>
      </c>
      <c r="AL1950" s="15">
        <f>AI1950+AK1950</f>
        <v/>
      </c>
      <c r="AM1950" s="15">
        <f>AE1950-AL1950</f>
        <v/>
      </c>
      <c r="AN1950" s="16">
        <f>AM1950/AE1950</f>
        <v/>
      </c>
      <c r="AO1950" s="15" t="n"/>
      <c r="AP1950" s="15" t="n"/>
      <c r="AQ1950" s="15" t="n"/>
      <c r="AR1950" s="15" t="n"/>
      <c r="AS1950" s="15" t="n"/>
      <c r="AT1950" s="3" t="inlineStr">
        <is>
          <t>On Demand</t>
        </is>
      </c>
    </row>
    <row r="1951" ht="15.75" customHeight="1">
      <c r="A1951" s="15" t="inlineStr">
        <is>
          <t>PROD_0364</t>
        </is>
      </c>
      <c r="B1951" s="15" t="inlineStr">
        <is>
          <t>VAR_7</t>
        </is>
      </c>
      <c r="C1951" s="15" t="inlineStr">
        <is>
          <t>Electrical Material</t>
        </is>
      </c>
      <c r="D1951" s="15" t="inlineStr">
        <is>
          <t>Fan</t>
        </is>
      </c>
      <c r="E1951" s="15" t="inlineStr">
        <is>
          <t>Atomberg</t>
        </is>
      </c>
      <c r="F1951" s="15" t="inlineStr">
        <is>
          <t>Cieling Fan | Renesa Enzel BLDC</t>
        </is>
      </c>
      <c r="G1951" s="15" t="n"/>
      <c r="H1951" s="15" t="inlineStr">
        <is>
          <t>Motor Type</t>
        </is>
      </c>
      <c r="I1951" s="15" t="inlineStr">
        <is>
          <t>BLDC</t>
        </is>
      </c>
      <c r="J1951" s="15" t="inlineStr">
        <is>
          <t>Color</t>
        </is>
      </c>
      <c r="K1951" s="15" t="inlineStr">
        <is>
          <t>Pebble Grey</t>
        </is>
      </c>
      <c r="L1951" s="15" t="n"/>
      <c r="M1951" s="15" t="n"/>
      <c r="N1951" s="15" t="n"/>
      <c r="O1951" s="15" t="n"/>
      <c r="P1951" s="15" t="n"/>
      <c r="Q1951" s="15" t="inlineStr">
        <is>
          <t>Manufacturer's Warranty</t>
        </is>
      </c>
      <c r="R1951" s="15" t="inlineStr">
        <is>
          <t>‎Renesa Enzel</t>
        </is>
      </c>
      <c r="S1951" s="15" t="n"/>
      <c r="T1951" s="15" t="n"/>
      <c r="U1951" s="15" t="n"/>
      <c r="V1951" s="15" t="n"/>
      <c r="W1951" s="15" t="n"/>
      <c r="X1951" s="15" t="n"/>
      <c r="Y1951" s="15" t="inlineStr">
        <is>
          <t>ELEC_FAN_ATOM_20</t>
        </is>
      </c>
      <c r="Z1951" s="15" t="n"/>
      <c r="AA1951" s="15" t="n"/>
      <c r="AB1951" s="15" t="n"/>
      <c r="AC1951" s="15" t="n"/>
      <c r="AD1951" s="15" t="n"/>
      <c r="AE1951" s="15" t="n">
        <v>5660</v>
      </c>
      <c r="AF1951" s="16" t="n"/>
      <c r="AG1951" s="15">
        <f>ROUND(AE1951-(AE1951*AF1951),2)</f>
        <v/>
      </c>
      <c r="AH1951" s="16" t="n"/>
      <c r="AI1951" s="15">
        <f>ROUND(AG1951+(AG1951*AH1951),2)</f>
        <v/>
      </c>
      <c r="AJ1951" s="16" t="n"/>
      <c r="AK1951" s="15">
        <f>ROUND(AI1951*AJ1951,2)</f>
        <v/>
      </c>
      <c r="AL1951" s="15">
        <f>AI1951+AK1951</f>
        <v/>
      </c>
      <c r="AM1951" s="15">
        <f>AE1951-AL1951</f>
        <v/>
      </c>
      <c r="AN1951" s="16">
        <f>AM1951/AE1951</f>
        <v/>
      </c>
      <c r="AO1951" s="15" t="n"/>
      <c r="AP1951" s="15" t="n"/>
      <c r="AQ1951" s="15" t="n"/>
      <c r="AR1951" s="15" t="n"/>
      <c r="AS1951" s="15" t="n"/>
      <c r="AT1951" s="3" t="inlineStr">
        <is>
          <t>On Demand</t>
        </is>
      </c>
    </row>
    <row r="1952" ht="15.75" customHeight="1">
      <c r="A1952" s="15" t="inlineStr">
        <is>
          <t>PROD_0364</t>
        </is>
      </c>
      <c r="B1952" s="15" t="inlineStr">
        <is>
          <t>VAR_8</t>
        </is>
      </c>
      <c r="C1952" s="15" t="inlineStr">
        <is>
          <t>Electrical Material</t>
        </is>
      </c>
      <c r="D1952" s="15" t="inlineStr">
        <is>
          <t>Fan</t>
        </is>
      </c>
      <c r="E1952" s="15" t="inlineStr">
        <is>
          <t>Atomberg</t>
        </is>
      </c>
      <c r="F1952" s="15" t="inlineStr">
        <is>
          <t>Cieling Fan | Renesa Enzel BLDC</t>
        </is>
      </c>
      <c r="G1952" s="15" t="n"/>
      <c r="H1952" s="15" t="inlineStr">
        <is>
          <t>Motor Type</t>
        </is>
      </c>
      <c r="I1952" s="15" t="inlineStr">
        <is>
          <t>BLDC</t>
        </is>
      </c>
      <c r="J1952" s="15" t="inlineStr">
        <is>
          <t>Color</t>
        </is>
      </c>
      <c r="K1952" s="15" t="inlineStr">
        <is>
          <t>Honey Maplewood</t>
        </is>
      </c>
      <c r="L1952" s="15" t="n"/>
      <c r="M1952" s="15" t="n"/>
      <c r="N1952" s="15" t="n"/>
      <c r="O1952" s="15" t="n"/>
      <c r="P1952" s="15" t="n"/>
      <c r="Q1952" s="15" t="inlineStr">
        <is>
          <t>Manufacturer's Warranty</t>
        </is>
      </c>
      <c r="R1952" s="15" t="inlineStr">
        <is>
          <t>‎Renesa Enzel</t>
        </is>
      </c>
      <c r="S1952" s="15" t="n"/>
      <c r="T1952" s="15" t="n"/>
      <c r="U1952" s="15" t="n"/>
      <c r="V1952" s="15" t="n"/>
      <c r="W1952" s="15" t="n"/>
      <c r="X1952" s="15" t="n"/>
      <c r="Y1952" s="15" t="inlineStr">
        <is>
          <t>ELEC_FAN_ATOM_21</t>
        </is>
      </c>
      <c r="Z1952" s="15" t="n"/>
      <c r="AA1952" s="15" t="n"/>
      <c r="AB1952" s="15" t="n"/>
      <c r="AC1952" s="15" t="n"/>
      <c r="AD1952" s="15" t="n"/>
      <c r="AE1952" s="15" t="n">
        <v>5660</v>
      </c>
      <c r="AF1952" s="16" t="n"/>
      <c r="AG1952" s="15">
        <f>ROUND(AE1952-(AE1952*AF1952),2)</f>
        <v/>
      </c>
      <c r="AH1952" s="16" t="n"/>
      <c r="AI1952" s="15">
        <f>ROUND(AG1952+(AG1952*AH1952),2)</f>
        <v/>
      </c>
      <c r="AJ1952" s="16" t="n"/>
      <c r="AK1952" s="15">
        <f>ROUND(AI1952*AJ1952,2)</f>
        <v/>
      </c>
      <c r="AL1952" s="15">
        <f>AI1952+AK1952</f>
        <v/>
      </c>
      <c r="AM1952" s="15">
        <f>AE1952-AL1952</f>
        <v/>
      </c>
      <c r="AN1952" s="16">
        <f>AM1952/AE1952</f>
        <v/>
      </c>
      <c r="AO1952" s="15" t="n"/>
      <c r="AP1952" s="15" t="n"/>
      <c r="AQ1952" s="15" t="n"/>
      <c r="AR1952" s="15" t="n"/>
      <c r="AS1952" s="15" t="n"/>
      <c r="AT1952" s="3" t="inlineStr">
        <is>
          <t>On Demand</t>
        </is>
      </c>
    </row>
    <row r="1953" ht="15.75" customHeight="1">
      <c r="A1953" s="15" t="inlineStr">
        <is>
          <t>PROD_0365</t>
        </is>
      </c>
      <c r="B1953" s="15" t="inlineStr">
        <is>
          <t>VAR_1</t>
        </is>
      </c>
      <c r="C1953" s="15" t="inlineStr">
        <is>
          <t>Electrical Material</t>
        </is>
      </c>
      <c r="D1953" s="15" t="inlineStr">
        <is>
          <t>Fan</t>
        </is>
      </c>
      <c r="E1953" s="15" t="inlineStr">
        <is>
          <t>Atomberg</t>
        </is>
      </c>
      <c r="F1953" s="15" t="inlineStr">
        <is>
          <t>Cieling Fan | Ameza BLDC</t>
        </is>
      </c>
      <c r="G1953" s="15" t="n"/>
      <c r="H1953" s="15" t="inlineStr">
        <is>
          <t>Motor Type</t>
        </is>
      </c>
      <c r="I1953" s="15" t="inlineStr">
        <is>
          <t>BLDC</t>
        </is>
      </c>
      <c r="J1953" s="15" t="inlineStr">
        <is>
          <t>Color</t>
        </is>
      </c>
      <c r="K1953" s="15" t="inlineStr">
        <is>
          <t>Gloss Black</t>
        </is>
      </c>
      <c r="L1953" s="15" t="n"/>
      <c r="M1953" s="15" t="n"/>
      <c r="N1953" s="15" t="n"/>
      <c r="O1953" s="15" t="n"/>
      <c r="P1953" s="15" t="n"/>
      <c r="Q1953" s="15" t="inlineStr">
        <is>
          <t>Manufacturer's Warranty</t>
        </is>
      </c>
      <c r="R1953" s="15" t="inlineStr">
        <is>
          <t>Ameza</t>
        </is>
      </c>
      <c r="S1953" s="15" t="n"/>
      <c r="T1953" s="15" t="n"/>
      <c r="U1953" s="15" t="n"/>
      <c r="V1953" s="15" t="n"/>
      <c r="W1953" s="15" t="n"/>
      <c r="X1953" s="15" t="n"/>
      <c r="Y1953" s="15" t="inlineStr">
        <is>
          <t>ELEC_FAN_ATOM_22</t>
        </is>
      </c>
      <c r="Z1953" s="15" t="n"/>
      <c r="AA1953" s="15" t="n"/>
      <c r="AB1953" s="15" t="n"/>
      <c r="AC1953" s="15" t="n"/>
      <c r="AD1953" s="15" t="n"/>
      <c r="AE1953" s="15" t="n">
        <v>4349</v>
      </c>
      <c r="AF1953" s="16" t="n"/>
      <c r="AG1953" s="15">
        <f>ROUND(AE1953-(AE1953*AF1953),2)</f>
        <v/>
      </c>
      <c r="AH1953" s="16" t="n"/>
      <c r="AI1953" s="15">
        <f>ROUND(AG1953+(AG1953*AH1953),2)</f>
        <v/>
      </c>
      <c r="AJ1953" s="16" t="n"/>
      <c r="AK1953" s="15">
        <f>ROUND(AI1953*AJ1953,2)</f>
        <v/>
      </c>
      <c r="AL1953" s="15">
        <f>AI1953+AK1953</f>
        <v/>
      </c>
      <c r="AM1953" s="15">
        <f>AE1953-AL1953</f>
        <v/>
      </c>
      <c r="AN1953" s="16">
        <f>AM1953/AE1953</f>
        <v/>
      </c>
      <c r="AO1953" s="15" t="n"/>
      <c r="AP1953" s="15" t="n"/>
      <c r="AQ1953" s="15" t="n"/>
      <c r="AR1953" s="15" t="n"/>
      <c r="AS1953" s="15" t="n"/>
      <c r="AT1953" s="3" t="inlineStr">
        <is>
          <t>On Demand</t>
        </is>
      </c>
    </row>
    <row r="1954" ht="15.75" customHeight="1">
      <c r="A1954" s="15" t="inlineStr">
        <is>
          <t>PROD_0365</t>
        </is>
      </c>
      <c r="B1954" s="15" t="inlineStr">
        <is>
          <t>VAR_2</t>
        </is>
      </c>
      <c r="C1954" s="15" t="inlineStr">
        <is>
          <t>Electrical Material</t>
        </is>
      </c>
      <c r="D1954" s="15" t="inlineStr">
        <is>
          <t>Fan</t>
        </is>
      </c>
      <c r="E1954" s="15" t="inlineStr">
        <is>
          <t>Atomberg</t>
        </is>
      </c>
      <c r="F1954" s="15" t="inlineStr">
        <is>
          <t>Cieling Fan | Ameza BLDC</t>
        </is>
      </c>
      <c r="G1954" s="15" t="n"/>
      <c r="H1954" s="15" t="inlineStr">
        <is>
          <t>Motor Type</t>
        </is>
      </c>
      <c r="I1954" s="15" t="inlineStr">
        <is>
          <t>BLDC</t>
        </is>
      </c>
      <c r="J1954" s="15" t="inlineStr">
        <is>
          <t>Color</t>
        </is>
      </c>
      <c r="K1954" s="15" t="inlineStr">
        <is>
          <t>Gloss Brown</t>
        </is>
      </c>
      <c r="L1954" s="15" t="n"/>
      <c r="M1954" s="15" t="n"/>
      <c r="N1954" s="15" t="n"/>
      <c r="O1954" s="15" t="n"/>
      <c r="P1954" s="15" t="n"/>
      <c r="Q1954" s="15" t="inlineStr">
        <is>
          <t>Manufacturer's Warranty</t>
        </is>
      </c>
      <c r="R1954" s="15" t="inlineStr">
        <is>
          <t>Ameza</t>
        </is>
      </c>
      <c r="S1954" s="15" t="n"/>
      <c r="T1954" s="15" t="n"/>
      <c r="U1954" s="15" t="n"/>
      <c r="V1954" s="15" t="n"/>
      <c r="W1954" s="15" t="n"/>
      <c r="X1954" s="15" t="n"/>
      <c r="Y1954" s="15" t="inlineStr">
        <is>
          <t>ELEC_FAN_ATOM_23</t>
        </is>
      </c>
      <c r="Z1954" s="15" t="n"/>
      <c r="AA1954" s="15" t="n"/>
      <c r="AB1954" s="15" t="n"/>
      <c r="AC1954" s="15" t="n"/>
      <c r="AD1954" s="15" t="n"/>
      <c r="AE1954" s="15" t="n">
        <v>4349</v>
      </c>
      <c r="AF1954" s="16" t="n"/>
      <c r="AG1954" s="15">
        <f>ROUND(AE1954-(AE1954*AF1954),2)</f>
        <v/>
      </c>
      <c r="AH1954" s="16" t="n"/>
      <c r="AI1954" s="15">
        <f>ROUND(AG1954+(AG1954*AH1954),2)</f>
        <v/>
      </c>
      <c r="AJ1954" s="16" t="n"/>
      <c r="AK1954" s="15">
        <f>ROUND(AI1954*AJ1954,2)</f>
        <v/>
      </c>
      <c r="AL1954" s="15">
        <f>AI1954+AK1954</f>
        <v/>
      </c>
      <c r="AM1954" s="15">
        <f>AE1954-AL1954</f>
        <v/>
      </c>
      <c r="AN1954" s="16">
        <f>AM1954/AE1954</f>
        <v/>
      </c>
      <c r="AO1954" s="15" t="n"/>
      <c r="AP1954" s="15" t="n"/>
      <c r="AQ1954" s="15" t="n"/>
      <c r="AR1954" s="15" t="n"/>
      <c r="AS1954" s="15" t="n"/>
      <c r="AT1954" s="3" t="inlineStr">
        <is>
          <t>On Demand</t>
        </is>
      </c>
    </row>
    <row r="1955" ht="15.75" customHeight="1">
      <c r="A1955" s="15" t="inlineStr">
        <is>
          <t>PROD_0365</t>
        </is>
      </c>
      <c r="B1955" s="15" t="inlineStr">
        <is>
          <t>VAR_3</t>
        </is>
      </c>
      <c r="C1955" s="15" t="inlineStr">
        <is>
          <t>Electrical Material</t>
        </is>
      </c>
      <c r="D1955" s="15" t="inlineStr">
        <is>
          <t>Fan</t>
        </is>
      </c>
      <c r="E1955" s="15" t="inlineStr">
        <is>
          <t>Atomberg</t>
        </is>
      </c>
      <c r="F1955" s="15" t="inlineStr">
        <is>
          <t>Cieling Fan | Ameza BLDC</t>
        </is>
      </c>
      <c r="G1955" s="15" t="n"/>
      <c r="H1955" s="15" t="inlineStr">
        <is>
          <t>Motor Type</t>
        </is>
      </c>
      <c r="I1955" s="15" t="inlineStr">
        <is>
          <t>BLDC</t>
        </is>
      </c>
      <c r="J1955" s="15" t="inlineStr">
        <is>
          <t>Color</t>
        </is>
      </c>
      <c r="K1955" s="15" t="inlineStr">
        <is>
          <t>Gloss White</t>
        </is>
      </c>
      <c r="L1955" s="15" t="n"/>
      <c r="M1955" s="15" t="n"/>
      <c r="N1955" s="15" t="n"/>
      <c r="O1955" s="15" t="n"/>
      <c r="P1955" s="15" t="n"/>
      <c r="Q1955" s="15" t="inlineStr">
        <is>
          <t>Manufacturer's Warranty</t>
        </is>
      </c>
      <c r="R1955" s="15" t="inlineStr">
        <is>
          <t>Ameza</t>
        </is>
      </c>
      <c r="S1955" s="15" t="n"/>
      <c r="T1955" s="15" t="n"/>
      <c r="U1955" s="15" t="n"/>
      <c r="V1955" s="15" t="n"/>
      <c r="W1955" s="15" t="n"/>
      <c r="X1955" s="15" t="n"/>
      <c r="Y1955" s="15" t="inlineStr">
        <is>
          <t>ELEC_FAN_ATOM_24</t>
        </is>
      </c>
      <c r="Z1955" s="15" t="n"/>
      <c r="AA1955" s="15" t="n"/>
      <c r="AB1955" s="15" t="n"/>
      <c r="AC1955" s="15" t="n"/>
      <c r="AD1955" s="15" t="n"/>
      <c r="AE1955" s="15" t="n">
        <v>4349</v>
      </c>
      <c r="AF1955" s="16" t="n"/>
      <c r="AG1955" s="15">
        <f>ROUND(AE1955-(AE1955*AF1955),2)</f>
        <v/>
      </c>
      <c r="AH1955" s="16" t="n"/>
      <c r="AI1955" s="15">
        <f>ROUND(AG1955+(AG1955*AH1955),2)</f>
        <v/>
      </c>
      <c r="AJ1955" s="16" t="n"/>
      <c r="AK1955" s="15">
        <f>ROUND(AI1955*AJ1955,2)</f>
        <v/>
      </c>
      <c r="AL1955" s="15">
        <f>AI1955+AK1955</f>
        <v/>
      </c>
      <c r="AM1955" s="15">
        <f>AE1955-AL1955</f>
        <v/>
      </c>
      <c r="AN1955" s="16">
        <f>AM1955/AE1955</f>
        <v/>
      </c>
      <c r="AO1955" s="15" t="n"/>
      <c r="AP1955" s="15" t="n"/>
      <c r="AQ1955" s="15" t="n"/>
      <c r="AR1955" s="15" t="n"/>
      <c r="AS1955" s="15" t="n"/>
      <c r="AT1955" s="3" t="inlineStr">
        <is>
          <t>On Demand</t>
        </is>
      </c>
    </row>
    <row r="1956" ht="15.75" customHeight="1">
      <c r="A1956" s="15" t="inlineStr">
        <is>
          <t>PROD_0365</t>
        </is>
      </c>
      <c r="B1956" s="15" t="inlineStr">
        <is>
          <t>VAR_4</t>
        </is>
      </c>
      <c r="C1956" s="15" t="inlineStr">
        <is>
          <t>Electrical Material</t>
        </is>
      </c>
      <c r="D1956" s="15" t="inlineStr">
        <is>
          <t>Fan</t>
        </is>
      </c>
      <c r="E1956" s="15" t="inlineStr">
        <is>
          <t>Atomberg</t>
        </is>
      </c>
      <c r="F1956" s="15" t="inlineStr">
        <is>
          <t>Cieling Fan | Ameza BLDC</t>
        </is>
      </c>
      <c r="G1956" s="15" t="n"/>
      <c r="H1956" s="15" t="inlineStr">
        <is>
          <t>Motor Type</t>
        </is>
      </c>
      <c r="I1956" s="15" t="inlineStr">
        <is>
          <t>BLDC</t>
        </is>
      </c>
      <c r="J1956" s="15" t="inlineStr">
        <is>
          <t>Color</t>
        </is>
      </c>
      <c r="K1956" s="15" t="inlineStr">
        <is>
          <t>Seasoned Ivory</t>
        </is>
      </c>
      <c r="L1956" s="15" t="n"/>
      <c r="M1956" s="15" t="n"/>
      <c r="N1956" s="15" t="n"/>
      <c r="O1956" s="15" t="n"/>
      <c r="P1956" s="15" t="n"/>
      <c r="Q1956" s="15" t="inlineStr">
        <is>
          <t>Manufacturer's Warranty</t>
        </is>
      </c>
      <c r="R1956" s="15" t="inlineStr">
        <is>
          <t>Ameza</t>
        </is>
      </c>
      <c r="S1956" s="15" t="n"/>
      <c r="T1956" s="15" t="n"/>
      <c r="U1956" s="15" t="n"/>
      <c r="V1956" s="15" t="n"/>
      <c r="W1956" s="15" t="n"/>
      <c r="X1956" s="15" t="n"/>
      <c r="Y1956" s="15" t="inlineStr">
        <is>
          <t>ELEC_FAN_ATOM_25</t>
        </is>
      </c>
      <c r="Z1956" s="15" t="n"/>
      <c r="AA1956" s="15" t="n"/>
      <c r="AB1956" s="15" t="n"/>
      <c r="AC1956" s="15" t="n"/>
      <c r="AD1956" s="15" t="n"/>
      <c r="AE1956" s="15" t="n">
        <v>4349</v>
      </c>
      <c r="AF1956" s="16" t="n"/>
      <c r="AG1956" s="15">
        <f>ROUND(AE1956-(AE1956*AF1956),2)</f>
        <v/>
      </c>
      <c r="AH1956" s="16" t="n"/>
      <c r="AI1956" s="15">
        <f>ROUND(AG1956+(AG1956*AH1956),2)</f>
        <v/>
      </c>
      <c r="AJ1956" s="16" t="n"/>
      <c r="AK1956" s="15">
        <f>ROUND(AI1956*AJ1956,2)</f>
        <v/>
      </c>
      <c r="AL1956" s="15">
        <f>AI1956+AK1956</f>
        <v/>
      </c>
      <c r="AM1956" s="15">
        <f>AE1956-AL1956</f>
        <v/>
      </c>
      <c r="AN1956" s="16">
        <f>AM1956/AE1956</f>
        <v/>
      </c>
      <c r="AO1956" s="15" t="n"/>
      <c r="AP1956" s="15" t="n"/>
      <c r="AQ1956" s="15" t="n"/>
      <c r="AR1956" s="15" t="n"/>
      <c r="AS1956" s="15" t="n"/>
      <c r="AT1956" s="3" t="inlineStr">
        <is>
          <t>On Demand</t>
        </is>
      </c>
    </row>
    <row r="1957" ht="15.75" customHeight="1">
      <c r="A1957" s="15" t="inlineStr">
        <is>
          <t>PROD_0366</t>
        </is>
      </c>
      <c r="B1957" s="15" t="inlineStr">
        <is>
          <t>VAR_1</t>
        </is>
      </c>
      <c r="C1957" s="15" t="inlineStr">
        <is>
          <t>Electrical Material</t>
        </is>
      </c>
      <c r="D1957" s="15" t="inlineStr">
        <is>
          <t>Fan</t>
        </is>
      </c>
      <c r="E1957" s="15" t="inlineStr">
        <is>
          <t>Atomberg</t>
        </is>
      </c>
      <c r="F1957" s="15" t="inlineStr">
        <is>
          <t>Cieling Fan | Efficio Alpha BLDC</t>
        </is>
      </c>
      <c r="G1957" s="15" t="n"/>
      <c r="H1957" s="15" t="inlineStr">
        <is>
          <t>Motor Type</t>
        </is>
      </c>
      <c r="I1957" s="15" t="inlineStr">
        <is>
          <t>BLDC</t>
        </is>
      </c>
      <c r="J1957" s="15" t="inlineStr">
        <is>
          <t>Color</t>
        </is>
      </c>
      <c r="K1957" s="15" t="inlineStr">
        <is>
          <t>Gloss Black</t>
        </is>
      </c>
      <c r="L1957" s="15" t="n"/>
      <c r="M1957" s="15" t="n"/>
      <c r="N1957" s="15" t="n"/>
      <c r="O1957" s="15" t="n"/>
      <c r="P1957" s="15" t="n"/>
      <c r="Q1957" s="15" t="inlineStr">
        <is>
          <t>Manufacturer's Warranty</t>
        </is>
      </c>
      <c r="R1957" s="15" t="inlineStr">
        <is>
          <t>‎Efficio Alpha</t>
        </is>
      </c>
      <c r="S1957" s="15" t="n"/>
      <c r="T1957" s="15" t="n"/>
      <c r="U1957" s="15" t="n"/>
      <c r="V1957" s="15" t="n"/>
      <c r="W1957" s="15" t="n"/>
      <c r="X1957" s="15" t="n"/>
      <c r="Y1957" s="15" t="inlineStr">
        <is>
          <t>ELEC_FAN_ATOM_26</t>
        </is>
      </c>
      <c r="Z1957" s="15" t="n"/>
      <c r="AA1957" s="15" t="n"/>
      <c r="AB1957" s="15" t="n"/>
      <c r="AC1957" s="15" t="n"/>
      <c r="AD1957" s="15" t="n"/>
      <c r="AE1957" s="15" t="n">
        <v>4590</v>
      </c>
      <c r="AF1957" s="16" t="n"/>
      <c r="AG1957" s="15">
        <f>ROUND(AE1957-(AE1957*AF1957),2)</f>
        <v/>
      </c>
      <c r="AH1957" s="16" t="n"/>
      <c r="AI1957" s="15">
        <f>ROUND(AG1957+(AG1957*AH1957),2)</f>
        <v/>
      </c>
      <c r="AJ1957" s="16" t="n"/>
      <c r="AK1957" s="15">
        <f>ROUND(AI1957*AJ1957,2)</f>
        <v/>
      </c>
      <c r="AL1957" s="15">
        <f>AI1957+AK1957</f>
        <v/>
      </c>
      <c r="AM1957" s="15">
        <f>AE1957-AL1957</f>
        <v/>
      </c>
      <c r="AN1957" s="16">
        <f>AM1957/AE1957</f>
        <v/>
      </c>
      <c r="AO1957" s="15" t="n"/>
      <c r="AP1957" s="15" t="n"/>
      <c r="AQ1957" s="15" t="n"/>
      <c r="AR1957" s="15" t="n"/>
      <c r="AS1957" s="15" t="n"/>
      <c r="AT1957" s="3" t="inlineStr">
        <is>
          <t>On Demand</t>
        </is>
      </c>
    </row>
    <row r="1958" ht="15.75" customHeight="1">
      <c r="A1958" s="15" t="inlineStr">
        <is>
          <t>PROD_0366</t>
        </is>
      </c>
      <c r="B1958" s="15" t="inlineStr">
        <is>
          <t>VAR_2</t>
        </is>
      </c>
      <c r="C1958" s="15" t="inlineStr">
        <is>
          <t>Electrical Material</t>
        </is>
      </c>
      <c r="D1958" s="15" t="inlineStr">
        <is>
          <t>Fan</t>
        </is>
      </c>
      <c r="E1958" s="15" t="inlineStr">
        <is>
          <t>Atomberg</t>
        </is>
      </c>
      <c r="F1958" s="15" t="inlineStr">
        <is>
          <t>Cieling Fan | Efficio Alpha BLDC</t>
        </is>
      </c>
      <c r="G1958" s="15" t="n"/>
      <c r="H1958" s="15" t="inlineStr">
        <is>
          <t>Motor Type</t>
        </is>
      </c>
      <c r="I1958" s="15" t="inlineStr">
        <is>
          <t>BLDC</t>
        </is>
      </c>
      <c r="J1958" s="15" t="inlineStr">
        <is>
          <t>Color</t>
        </is>
      </c>
      <c r="K1958" s="15" t="inlineStr">
        <is>
          <t>Gloss Brown</t>
        </is>
      </c>
      <c r="L1958" s="15" t="n"/>
      <c r="M1958" s="15" t="n"/>
      <c r="N1958" s="15" t="n"/>
      <c r="O1958" s="15" t="n"/>
      <c r="P1958" s="15" t="n"/>
      <c r="Q1958" s="15" t="inlineStr">
        <is>
          <t>Manufacturer's Warranty</t>
        </is>
      </c>
      <c r="R1958" s="15" t="inlineStr">
        <is>
          <t>‎Efficio Alpha</t>
        </is>
      </c>
      <c r="S1958" s="15" t="n"/>
      <c r="T1958" s="15" t="n"/>
      <c r="U1958" s="15" t="n"/>
      <c r="V1958" s="15" t="n"/>
      <c r="W1958" s="15" t="n"/>
      <c r="X1958" s="15" t="n"/>
      <c r="Y1958" s="15" t="inlineStr">
        <is>
          <t>ELEC_FAN_ATOM_27</t>
        </is>
      </c>
      <c r="Z1958" s="15" t="n"/>
      <c r="AA1958" s="15" t="n"/>
      <c r="AB1958" s="15" t="n"/>
      <c r="AC1958" s="15" t="n"/>
      <c r="AD1958" s="15" t="n"/>
      <c r="AE1958" s="15" t="n">
        <v>4590</v>
      </c>
      <c r="AF1958" s="16" t="n"/>
      <c r="AG1958" s="15">
        <f>ROUND(AE1958-(AE1958*AF1958),2)</f>
        <v/>
      </c>
      <c r="AH1958" s="16" t="n"/>
      <c r="AI1958" s="15">
        <f>ROUND(AG1958+(AG1958*AH1958),2)</f>
        <v/>
      </c>
      <c r="AJ1958" s="16" t="n"/>
      <c r="AK1958" s="15">
        <f>ROUND(AI1958*AJ1958,2)</f>
        <v/>
      </c>
      <c r="AL1958" s="15">
        <f>AI1958+AK1958</f>
        <v/>
      </c>
      <c r="AM1958" s="15">
        <f>AE1958-AL1958</f>
        <v/>
      </c>
      <c r="AN1958" s="16">
        <f>AM1958/AE1958</f>
        <v/>
      </c>
      <c r="AO1958" s="15" t="n"/>
      <c r="AP1958" s="15" t="n"/>
      <c r="AQ1958" s="15" t="n"/>
      <c r="AR1958" s="15" t="n"/>
      <c r="AS1958" s="15" t="n"/>
      <c r="AT1958" s="3" t="inlineStr">
        <is>
          <t>On Demand</t>
        </is>
      </c>
    </row>
    <row r="1959" ht="15.75" customHeight="1">
      <c r="A1959" s="15" t="inlineStr">
        <is>
          <t>PROD_0366</t>
        </is>
      </c>
      <c r="B1959" s="15" t="inlineStr">
        <is>
          <t>VAR_3</t>
        </is>
      </c>
      <c r="C1959" s="15" t="inlineStr">
        <is>
          <t>Electrical Material</t>
        </is>
      </c>
      <c r="D1959" s="15" t="inlineStr">
        <is>
          <t>Fan</t>
        </is>
      </c>
      <c r="E1959" s="15" t="inlineStr">
        <is>
          <t>Atomberg</t>
        </is>
      </c>
      <c r="F1959" s="15" t="inlineStr">
        <is>
          <t>Cieling Fan | Efficio Alpha BLDC</t>
        </is>
      </c>
      <c r="G1959" s="15" t="n"/>
      <c r="H1959" s="15" t="inlineStr">
        <is>
          <t>Motor Type</t>
        </is>
      </c>
      <c r="I1959" s="15" t="inlineStr">
        <is>
          <t>BLDC</t>
        </is>
      </c>
      <c r="J1959" s="15" t="inlineStr">
        <is>
          <t>Color</t>
        </is>
      </c>
      <c r="K1959" s="15" t="inlineStr">
        <is>
          <t>Gloss White</t>
        </is>
      </c>
      <c r="L1959" s="15" t="n"/>
      <c r="M1959" s="15" t="n"/>
      <c r="N1959" s="15" t="n"/>
      <c r="O1959" s="15" t="n"/>
      <c r="P1959" s="15" t="n"/>
      <c r="Q1959" s="15" t="inlineStr">
        <is>
          <t>Manufacturer's Warranty</t>
        </is>
      </c>
      <c r="R1959" s="15" t="inlineStr">
        <is>
          <t>‎Efficio Alpha</t>
        </is>
      </c>
      <c r="S1959" s="15" t="n"/>
      <c r="T1959" s="15" t="n"/>
      <c r="U1959" s="15" t="n"/>
      <c r="V1959" s="15" t="n"/>
      <c r="W1959" s="15" t="n"/>
      <c r="X1959" s="15" t="n"/>
      <c r="Y1959" s="15" t="inlineStr">
        <is>
          <t>ELEC_FAN_ATOM_28</t>
        </is>
      </c>
      <c r="Z1959" s="15" t="n"/>
      <c r="AA1959" s="15" t="n"/>
      <c r="AB1959" s="15" t="n"/>
      <c r="AC1959" s="15" t="n"/>
      <c r="AD1959" s="15" t="n"/>
      <c r="AE1959" s="15" t="n">
        <v>4590</v>
      </c>
      <c r="AF1959" s="16" t="n"/>
      <c r="AG1959" s="15">
        <f>ROUND(AE1959-(AE1959*AF1959),2)</f>
        <v/>
      </c>
      <c r="AH1959" s="16" t="n"/>
      <c r="AI1959" s="15">
        <f>ROUND(AG1959+(AG1959*AH1959),2)</f>
        <v/>
      </c>
      <c r="AJ1959" s="16" t="n"/>
      <c r="AK1959" s="15">
        <f>ROUND(AI1959*AJ1959,2)</f>
        <v/>
      </c>
      <c r="AL1959" s="15">
        <f>AI1959+AK1959</f>
        <v/>
      </c>
      <c r="AM1959" s="15">
        <f>AE1959-AL1959</f>
        <v/>
      </c>
      <c r="AN1959" s="16">
        <f>AM1959/AE1959</f>
        <v/>
      </c>
      <c r="AO1959" s="15" t="n"/>
      <c r="AP1959" s="15" t="n"/>
      <c r="AQ1959" s="15" t="n"/>
      <c r="AR1959" s="15" t="n"/>
      <c r="AS1959" s="15" t="n"/>
      <c r="AT1959" s="3" t="inlineStr">
        <is>
          <t>On Demand</t>
        </is>
      </c>
    </row>
    <row r="1960" ht="15.75" customHeight="1">
      <c r="A1960" s="15" t="inlineStr">
        <is>
          <t>PROD_0366</t>
        </is>
      </c>
      <c r="B1960" s="15" t="inlineStr">
        <is>
          <t>VAR_4</t>
        </is>
      </c>
      <c r="C1960" s="15" t="inlineStr">
        <is>
          <t>Electrical Material</t>
        </is>
      </c>
      <c r="D1960" s="15" t="inlineStr">
        <is>
          <t>Fan</t>
        </is>
      </c>
      <c r="E1960" s="15" t="inlineStr">
        <is>
          <t>Atomberg</t>
        </is>
      </c>
      <c r="F1960" s="15" t="inlineStr">
        <is>
          <t>Cieling Fan | Efficio Alpha BLDC</t>
        </is>
      </c>
      <c r="G1960" s="15" t="n"/>
      <c r="H1960" s="15" t="inlineStr">
        <is>
          <t>Motor Type</t>
        </is>
      </c>
      <c r="I1960" s="15" t="inlineStr">
        <is>
          <t>BLDC</t>
        </is>
      </c>
      <c r="J1960" s="15" t="inlineStr">
        <is>
          <t>Color</t>
        </is>
      </c>
      <c r="K1960" s="15" t="inlineStr">
        <is>
          <t>Seasoned Ivory</t>
        </is>
      </c>
      <c r="L1960" s="15" t="n"/>
      <c r="M1960" s="15" t="n"/>
      <c r="N1960" s="15" t="n"/>
      <c r="O1960" s="15" t="n"/>
      <c r="P1960" s="15" t="n"/>
      <c r="Q1960" s="15" t="inlineStr">
        <is>
          <t>Manufacturer's Warranty</t>
        </is>
      </c>
      <c r="R1960" s="15" t="inlineStr">
        <is>
          <t>‎Efficio Alpha</t>
        </is>
      </c>
      <c r="S1960" s="15" t="n"/>
      <c r="T1960" s="15" t="n"/>
      <c r="U1960" s="15" t="n"/>
      <c r="V1960" s="15" t="n"/>
      <c r="W1960" s="15" t="n"/>
      <c r="X1960" s="15" t="n"/>
      <c r="Y1960" s="15" t="inlineStr">
        <is>
          <t>ELEC_FAN_ATOM_29</t>
        </is>
      </c>
      <c r="Z1960" s="15" t="n"/>
      <c r="AA1960" s="15" t="n"/>
      <c r="AB1960" s="15" t="n"/>
      <c r="AC1960" s="15" t="n"/>
      <c r="AD1960" s="15" t="n"/>
      <c r="AE1960" s="15" t="n">
        <v>4590</v>
      </c>
      <c r="AF1960" s="16" t="n"/>
      <c r="AG1960" s="15">
        <f>ROUND(AE1960-(AE1960*AF1960),2)</f>
        <v/>
      </c>
      <c r="AH1960" s="16" t="n"/>
      <c r="AI1960" s="15">
        <f>ROUND(AG1960+(AG1960*AH1960),2)</f>
        <v/>
      </c>
      <c r="AJ1960" s="16" t="n"/>
      <c r="AK1960" s="15">
        <f>ROUND(AI1960*AJ1960,2)</f>
        <v/>
      </c>
      <c r="AL1960" s="15">
        <f>AI1960+AK1960</f>
        <v/>
      </c>
      <c r="AM1960" s="15">
        <f>AE1960-AL1960</f>
        <v/>
      </c>
      <c r="AN1960" s="16">
        <f>AM1960/AE1960</f>
        <v/>
      </c>
      <c r="AO1960" s="15" t="n"/>
      <c r="AP1960" s="15" t="n"/>
      <c r="AQ1960" s="15" t="n"/>
      <c r="AR1960" s="15" t="n"/>
      <c r="AS1960" s="15" t="n"/>
      <c r="AT1960" s="3" t="inlineStr">
        <is>
          <t>On Demand</t>
        </is>
      </c>
    </row>
    <row r="1961" ht="15.75" customHeight="1">
      <c r="A1961" s="15" t="inlineStr">
        <is>
          <t>PROD_0366</t>
        </is>
      </c>
      <c r="B1961" s="15" t="inlineStr">
        <is>
          <t>VAR_5</t>
        </is>
      </c>
      <c r="C1961" s="15" t="inlineStr">
        <is>
          <t>Electrical Material</t>
        </is>
      </c>
      <c r="D1961" s="15" t="inlineStr">
        <is>
          <t>Fan</t>
        </is>
      </c>
      <c r="E1961" s="15" t="inlineStr">
        <is>
          <t>Atomberg</t>
        </is>
      </c>
      <c r="F1961" s="15" t="inlineStr">
        <is>
          <t>Cieling Fan | Efficio Alpha BLDC</t>
        </is>
      </c>
      <c r="G1961" s="15" t="n"/>
      <c r="H1961" s="15" t="inlineStr">
        <is>
          <t>Motor Type</t>
        </is>
      </c>
      <c r="I1961" s="15" t="inlineStr">
        <is>
          <t>BLDC</t>
        </is>
      </c>
      <c r="J1961" s="15" t="inlineStr">
        <is>
          <t>Color</t>
        </is>
      </c>
      <c r="K1961" s="15" t="inlineStr">
        <is>
          <t>Pebble Grey</t>
        </is>
      </c>
      <c r="L1961" s="15" t="n"/>
      <c r="M1961" s="15" t="n"/>
      <c r="N1961" s="15" t="n"/>
      <c r="O1961" s="15" t="n"/>
      <c r="P1961" s="15" t="n"/>
      <c r="Q1961" s="15" t="inlineStr">
        <is>
          <t>Manufacturer's Warranty</t>
        </is>
      </c>
      <c r="R1961" s="15" t="inlineStr">
        <is>
          <t>‎Efficio Alpha</t>
        </is>
      </c>
      <c r="S1961" s="15" t="n"/>
      <c r="T1961" s="15" t="n"/>
      <c r="U1961" s="15" t="n"/>
      <c r="V1961" s="15" t="n"/>
      <c r="W1961" s="15" t="n"/>
      <c r="X1961" s="15" t="n"/>
      <c r="Y1961" s="15" t="inlineStr">
        <is>
          <t>ELEC_FAN_ATOM_30</t>
        </is>
      </c>
      <c r="Z1961" s="15" t="n"/>
      <c r="AA1961" s="15" t="n"/>
      <c r="AB1961" s="15" t="n"/>
      <c r="AC1961" s="15" t="n"/>
      <c r="AD1961" s="15" t="n"/>
      <c r="AE1961" s="15" t="n">
        <v>4590</v>
      </c>
      <c r="AF1961" s="16" t="n"/>
      <c r="AG1961" s="15">
        <f>ROUND(AE1961-(AE1961*AF1961),2)</f>
        <v/>
      </c>
      <c r="AH1961" s="16" t="n"/>
      <c r="AI1961" s="15">
        <f>ROUND(AG1961+(AG1961*AH1961),2)</f>
        <v/>
      </c>
      <c r="AJ1961" s="16" t="n"/>
      <c r="AK1961" s="15">
        <f>ROUND(AI1961*AJ1961,2)</f>
        <v/>
      </c>
      <c r="AL1961" s="15">
        <f>AI1961+AK1961</f>
        <v/>
      </c>
      <c r="AM1961" s="15">
        <f>AE1961-AL1961</f>
        <v/>
      </c>
      <c r="AN1961" s="16">
        <f>AM1961/AE1961</f>
        <v/>
      </c>
      <c r="AO1961" s="15" t="n"/>
      <c r="AP1961" s="15" t="n"/>
      <c r="AQ1961" s="15" t="n"/>
      <c r="AR1961" s="15" t="n"/>
      <c r="AS1961" s="15" t="n"/>
      <c r="AT1961" s="3" t="inlineStr">
        <is>
          <t>On Demand</t>
        </is>
      </c>
    </row>
    <row r="1962" ht="15.75" customHeight="1">
      <c r="A1962" s="15" t="inlineStr">
        <is>
          <t>PROD_0367</t>
        </is>
      </c>
      <c r="B1962" s="15" t="inlineStr">
        <is>
          <t>VAR_1</t>
        </is>
      </c>
      <c r="C1962" s="15" t="inlineStr">
        <is>
          <t>Electrical Material</t>
        </is>
      </c>
      <c r="D1962" s="15" t="inlineStr">
        <is>
          <t>Fan</t>
        </is>
      </c>
      <c r="E1962" s="15" t="inlineStr">
        <is>
          <t>Atomberg</t>
        </is>
      </c>
      <c r="F1962" s="15" t="inlineStr">
        <is>
          <t>Cieling Fan | Studio+ BLDC</t>
        </is>
      </c>
      <c r="G1962" s="15" t="n"/>
      <c r="H1962" s="15" t="inlineStr">
        <is>
          <t>Motor Type</t>
        </is>
      </c>
      <c r="I1962" s="15" t="inlineStr">
        <is>
          <t>BLDC</t>
        </is>
      </c>
      <c r="J1962" s="15" t="inlineStr">
        <is>
          <t>Color</t>
        </is>
      </c>
      <c r="K1962" s="15" t="inlineStr">
        <is>
          <t>Aegean Blue</t>
        </is>
      </c>
      <c r="L1962" s="15" t="n"/>
      <c r="M1962" s="15" t="n"/>
      <c r="N1962" s="15" t="n"/>
      <c r="O1962" s="15" t="n"/>
      <c r="P1962" s="15" t="n"/>
      <c r="Q1962" s="15" t="inlineStr">
        <is>
          <t>Manufacturer's Warranty</t>
        </is>
      </c>
      <c r="R1962" s="15" t="inlineStr">
        <is>
          <t>‎Studio+</t>
        </is>
      </c>
      <c r="S1962" s="15" t="n"/>
      <c r="T1962" s="15" t="n"/>
      <c r="U1962" s="15" t="n"/>
      <c r="V1962" s="15" t="n"/>
      <c r="W1962" s="15" t="n"/>
      <c r="X1962" s="15" t="n"/>
      <c r="Y1962" s="15" t="inlineStr">
        <is>
          <t>ELEC_FAN_ATOM_31</t>
        </is>
      </c>
      <c r="Z1962" s="15" t="n"/>
      <c r="AA1962" s="15" t="n"/>
      <c r="AB1962" s="15" t="n"/>
      <c r="AC1962" s="15" t="n"/>
      <c r="AD1962" s="15" t="n"/>
      <c r="AE1962" s="15" t="n">
        <v>7790</v>
      </c>
      <c r="AF1962" s="16" t="n"/>
      <c r="AG1962" s="15">
        <f>ROUND(AE1962-(AE1962*AF1962),2)</f>
        <v/>
      </c>
      <c r="AH1962" s="16" t="n"/>
      <c r="AI1962" s="15">
        <f>ROUND(AG1962+(AG1962*AH1962),2)</f>
        <v/>
      </c>
      <c r="AJ1962" s="16" t="n"/>
      <c r="AK1962" s="15">
        <f>ROUND(AI1962*AJ1962,2)</f>
        <v/>
      </c>
      <c r="AL1962" s="15">
        <f>AI1962+AK1962</f>
        <v/>
      </c>
      <c r="AM1962" s="15">
        <f>AE1962-AL1962</f>
        <v/>
      </c>
      <c r="AN1962" s="16">
        <f>AM1962/AE1962</f>
        <v/>
      </c>
      <c r="AO1962" s="15" t="n"/>
      <c r="AP1962" s="15" t="n"/>
      <c r="AQ1962" s="15" t="n"/>
      <c r="AR1962" s="15" t="n"/>
      <c r="AS1962" s="15" t="n"/>
      <c r="AT1962" s="3" t="inlineStr">
        <is>
          <t>On Demand</t>
        </is>
      </c>
    </row>
    <row r="1963" ht="15.75" customHeight="1">
      <c r="A1963" s="15" t="inlineStr">
        <is>
          <t>PROD_0367</t>
        </is>
      </c>
      <c r="B1963" s="15" t="inlineStr">
        <is>
          <t>VAR_2</t>
        </is>
      </c>
      <c r="C1963" s="15" t="inlineStr">
        <is>
          <t>Electrical Material</t>
        </is>
      </c>
      <c r="D1963" s="15" t="inlineStr">
        <is>
          <t>Fan</t>
        </is>
      </c>
      <c r="E1963" s="15" t="inlineStr">
        <is>
          <t>Atomberg</t>
        </is>
      </c>
      <c r="F1963" s="15" t="inlineStr">
        <is>
          <t>Cieling Fan | Studio+ BLDC</t>
        </is>
      </c>
      <c r="G1963" s="15" t="n"/>
      <c r="H1963" s="15" t="inlineStr">
        <is>
          <t>Motor Type</t>
        </is>
      </c>
      <c r="I1963" s="15" t="inlineStr">
        <is>
          <t>BLDC</t>
        </is>
      </c>
      <c r="J1963" s="15" t="inlineStr">
        <is>
          <t>Color</t>
        </is>
      </c>
      <c r="K1963" s="15" t="inlineStr">
        <is>
          <t>Sand Grey</t>
        </is>
      </c>
      <c r="L1963" s="15" t="n"/>
      <c r="M1963" s="15" t="n"/>
      <c r="N1963" s="15" t="n"/>
      <c r="O1963" s="15" t="n"/>
      <c r="P1963" s="15" t="n"/>
      <c r="Q1963" s="15" t="inlineStr">
        <is>
          <t>Manufacturer's Warranty</t>
        </is>
      </c>
      <c r="R1963" s="15" t="inlineStr">
        <is>
          <t>‎Studio+</t>
        </is>
      </c>
      <c r="S1963" s="15" t="n"/>
      <c r="T1963" s="15" t="n"/>
      <c r="U1963" s="15" t="n"/>
      <c r="V1963" s="15" t="n"/>
      <c r="W1963" s="15" t="n"/>
      <c r="X1963" s="15" t="n"/>
      <c r="Y1963" s="15" t="inlineStr">
        <is>
          <t>ELEC_FAN_ATOM_32</t>
        </is>
      </c>
      <c r="Z1963" s="15" t="n"/>
      <c r="AA1963" s="15" t="n"/>
      <c r="AB1963" s="15" t="n"/>
      <c r="AC1963" s="15" t="n"/>
      <c r="AD1963" s="15" t="n"/>
      <c r="AE1963" s="15" t="n">
        <v>7790</v>
      </c>
      <c r="AF1963" s="16" t="n"/>
      <c r="AG1963" s="15">
        <f>ROUND(AE1963-(AE1963*AF1963),2)</f>
        <v/>
      </c>
      <c r="AH1963" s="16" t="n"/>
      <c r="AI1963" s="15">
        <f>ROUND(AG1963+(AG1963*AH1963),2)</f>
        <v/>
      </c>
      <c r="AJ1963" s="16" t="n"/>
      <c r="AK1963" s="15">
        <f>ROUND(AI1963*AJ1963,2)</f>
        <v/>
      </c>
      <c r="AL1963" s="15">
        <f>AI1963+AK1963</f>
        <v/>
      </c>
      <c r="AM1963" s="15">
        <f>AE1963-AL1963</f>
        <v/>
      </c>
      <c r="AN1963" s="16">
        <f>AM1963/AE1963</f>
        <v/>
      </c>
      <c r="AO1963" s="15" t="n"/>
      <c r="AP1963" s="15" t="n"/>
      <c r="AQ1963" s="15" t="n"/>
      <c r="AR1963" s="15" t="n"/>
      <c r="AS1963" s="15" t="n"/>
      <c r="AT1963" s="3" t="inlineStr">
        <is>
          <t>On Demand</t>
        </is>
      </c>
    </row>
    <row r="1964" ht="15.75" customHeight="1">
      <c r="A1964" s="15" t="inlineStr">
        <is>
          <t>PROD_0367</t>
        </is>
      </c>
      <c r="B1964" s="15" t="inlineStr">
        <is>
          <t>VAR_3</t>
        </is>
      </c>
      <c r="C1964" s="15" t="inlineStr">
        <is>
          <t>Electrical Material</t>
        </is>
      </c>
      <c r="D1964" s="15" t="inlineStr">
        <is>
          <t>Fan</t>
        </is>
      </c>
      <c r="E1964" s="15" t="inlineStr">
        <is>
          <t>Atomberg</t>
        </is>
      </c>
      <c r="F1964" s="15" t="inlineStr">
        <is>
          <t>Cieling Fan | Studio+ BLDC</t>
        </is>
      </c>
      <c r="G1964" s="15" t="n"/>
      <c r="H1964" s="15" t="inlineStr">
        <is>
          <t>Motor Type</t>
        </is>
      </c>
      <c r="I1964" s="15" t="inlineStr">
        <is>
          <t>BLDC</t>
        </is>
      </c>
      <c r="J1964" s="15" t="inlineStr">
        <is>
          <t>Color</t>
        </is>
      </c>
      <c r="K1964" s="15" t="inlineStr">
        <is>
          <t>Earth Brown</t>
        </is>
      </c>
      <c r="L1964" s="15" t="n"/>
      <c r="M1964" s="15" t="n"/>
      <c r="N1964" s="15" t="n"/>
      <c r="O1964" s="15" t="n"/>
      <c r="P1964" s="15" t="n"/>
      <c r="Q1964" s="15" t="inlineStr">
        <is>
          <t>Manufacturer's Warranty</t>
        </is>
      </c>
      <c r="R1964" s="15" t="inlineStr">
        <is>
          <t>‎Studio+</t>
        </is>
      </c>
      <c r="S1964" s="15" t="n"/>
      <c r="T1964" s="15" t="n"/>
      <c r="U1964" s="15" t="n"/>
      <c r="V1964" s="15" t="n"/>
      <c r="W1964" s="15" t="n"/>
      <c r="X1964" s="15" t="n"/>
      <c r="Y1964" s="15" t="inlineStr">
        <is>
          <t>ELEC_FAN_ATOM_33</t>
        </is>
      </c>
      <c r="Z1964" s="15" t="n"/>
      <c r="AA1964" s="15" t="n"/>
      <c r="AB1964" s="15" t="n"/>
      <c r="AC1964" s="15" t="n"/>
      <c r="AD1964" s="15" t="n"/>
      <c r="AE1964" s="15" t="n">
        <v>7790</v>
      </c>
      <c r="AF1964" s="16" t="n"/>
      <c r="AG1964" s="15">
        <f>ROUND(AE1964-(AE1964*AF1964),2)</f>
        <v/>
      </c>
      <c r="AH1964" s="16" t="n"/>
      <c r="AI1964" s="15">
        <f>ROUND(AG1964+(AG1964*AH1964),2)</f>
        <v/>
      </c>
      <c r="AJ1964" s="16" t="n"/>
      <c r="AK1964" s="15">
        <f>ROUND(AI1964*AJ1964,2)</f>
        <v/>
      </c>
      <c r="AL1964" s="15">
        <f>AI1964+AK1964</f>
        <v/>
      </c>
      <c r="AM1964" s="15">
        <f>AE1964-AL1964</f>
        <v/>
      </c>
      <c r="AN1964" s="16">
        <f>AM1964/AE1964</f>
        <v/>
      </c>
      <c r="AO1964" s="15" t="n"/>
      <c r="AP1964" s="15" t="n"/>
      <c r="AQ1964" s="15" t="n"/>
      <c r="AR1964" s="15" t="n"/>
      <c r="AS1964" s="15" t="n"/>
      <c r="AT1964" s="3" t="inlineStr">
        <is>
          <t>On Demand</t>
        </is>
      </c>
    </row>
    <row r="1965" ht="15.75" customHeight="1">
      <c r="A1965" s="15" t="inlineStr">
        <is>
          <t>PROD_0367</t>
        </is>
      </c>
      <c r="B1965" s="15" t="inlineStr">
        <is>
          <t>VAR_4</t>
        </is>
      </c>
      <c r="C1965" s="15" t="inlineStr">
        <is>
          <t>Electrical Material</t>
        </is>
      </c>
      <c r="D1965" s="15" t="inlineStr">
        <is>
          <t>Fan</t>
        </is>
      </c>
      <c r="E1965" s="15" t="inlineStr">
        <is>
          <t>Atomberg</t>
        </is>
      </c>
      <c r="F1965" s="15" t="inlineStr">
        <is>
          <t>Cieling Fan | Studio+ BLDC</t>
        </is>
      </c>
      <c r="G1965" s="15" t="n"/>
      <c r="H1965" s="15" t="inlineStr">
        <is>
          <t>Motor Type</t>
        </is>
      </c>
      <c r="I1965" s="15" t="inlineStr">
        <is>
          <t>BLDC</t>
        </is>
      </c>
      <c r="J1965" s="15" t="inlineStr">
        <is>
          <t>Color</t>
        </is>
      </c>
      <c r="K1965" s="15" t="inlineStr">
        <is>
          <t>Onyx Black</t>
        </is>
      </c>
      <c r="L1965" s="15" t="n"/>
      <c r="M1965" s="15" t="n"/>
      <c r="N1965" s="15" t="n"/>
      <c r="O1965" s="15" t="n"/>
      <c r="P1965" s="15" t="n"/>
      <c r="Q1965" s="15" t="inlineStr">
        <is>
          <t>Manufacturer's Warranty</t>
        </is>
      </c>
      <c r="R1965" s="15" t="inlineStr">
        <is>
          <t>‎Studio+</t>
        </is>
      </c>
      <c r="S1965" s="15" t="n"/>
      <c r="T1965" s="15" t="n"/>
      <c r="U1965" s="15" t="n"/>
      <c r="V1965" s="15" t="n"/>
      <c r="W1965" s="15" t="n"/>
      <c r="X1965" s="15" t="n"/>
      <c r="Y1965" s="15" t="inlineStr">
        <is>
          <t>ELEC_FAN_ATOM_34</t>
        </is>
      </c>
      <c r="Z1965" s="15" t="n"/>
      <c r="AA1965" s="15" t="n"/>
      <c r="AB1965" s="15" t="n"/>
      <c r="AC1965" s="15" t="n"/>
      <c r="AD1965" s="15" t="n"/>
      <c r="AE1965" s="15" t="n">
        <v>7790</v>
      </c>
      <c r="AF1965" s="16" t="n"/>
      <c r="AG1965" s="15">
        <f>ROUND(AE1965-(AE1965*AF1965),2)</f>
        <v/>
      </c>
      <c r="AH1965" s="16" t="n"/>
      <c r="AI1965" s="15">
        <f>ROUND(AG1965+(AG1965*AH1965),2)</f>
        <v/>
      </c>
      <c r="AJ1965" s="16" t="n"/>
      <c r="AK1965" s="15">
        <f>ROUND(AI1965*AJ1965,2)</f>
        <v/>
      </c>
      <c r="AL1965" s="15">
        <f>AI1965+AK1965</f>
        <v/>
      </c>
      <c r="AM1965" s="15">
        <f>AE1965-AL1965</f>
        <v/>
      </c>
      <c r="AN1965" s="16">
        <f>AM1965/AE1965</f>
        <v/>
      </c>
      <c r="AO1965" s="15" t="n"/>
      <c r="AP1965" s="15" t="n"/>
      <c r="AQ1965" s="15" t="n"/>
      <c r="AR1965" s="15" t="n"/>
      <c r="AS1965" s="15" t="n"/>
      <c r="AT1965" s="3" t="inlineStr">
        <is>
          <t>On Demand</t>
        </is>
      </c>
    </row>
    <row r="1966" ht="15.75" customHeight="1">
      <c r="A1966" s="15" t="inlineStr">
        <is>
          <t>PROD_0367</t>
        </is>
      </c>
      <c r="B1966" s="15" t="inlineStr">
        <is>
          <t>VAR_5</t>
        </is>
      </c>
      <c r="C1966" s="15" t="inlineStr">
        <is>
          <t>Electrical Material</t>
        </is>
      </c>
      <c r="D1966" s="15" t="inlineStr">
        <is>
          <t>Fan</t>
        </is>
      </c>
      <c r="E1966" s="15" t="inlineStr">
        <is>
          <t>Atomberg</t>
        </is>
      </c>
      <c r="F1966" s="15" t="inlineStr">
        <is>
          <t>Cieling Fan | Studio+ BLDC</t>
        </is>
      </c>
      <c r="G1966" s="15" t="n"/>
      <c r="H1966" s="15" t="inlineStr">
        <is>
          <t>Motor Type</t>
        </is>
      </c>
      <c r="I1966" s="15" t="inlineStr">
        <is>
          <t>BLDC</t>
        </is>
      </c>
      <c r="J1966" s="15" t="inlineStr">
        <is>
          <t>Color</t>
        </is>
      </c>
      <c r="K1966" s="15" t="inlineStr">
        <is>
          <t>Dark Teawood</t>
        </is>
      </c>
      <c r="L1966" s="15" t="n"/>
      <c r="M1966" s="15" t="n"/>
      <c r="N1966" s="15" t="n"/>
      <c r="O1966" s="15" t="n"/>
      <c r="P1966" s="15" t="n"/>
      <c r="Q1966" s="15" t="inlineStr">
        <is>
          <t>Manufacturer's Warranty</t>
        </is>
      </c>
      <c r="R1966" s="15" t="inlineStr">
        <is>
          <t>‎Studio+</t>
        </is>
      </c>
      <c r="S1966" s="15" t="n"/>
      <c r="T1966" s="15" t="n"/>
      <c r="U1966" s="15" t="n"/>
      <c r="V1966" s="15" t="n"/>
      <c r="W1966" s="15" t="n"/>
      <c r="X1966" s="15" t="n"/>
      <c r="Y1966" s="15" t="inlineStr">
        <is>
          <t>ELEC_FAN_ATOM_35</t>
        </is>
      </c>
      <c r="Z1966" s="15" t="n"/>
      <c r="AA1966" s="15" t="n"/>
      <c r="AB1966" s="15" t="n"/>
      <c r="AC1966" s="15" t="n"/>
      <c r="AD1966" s="15" t="n"/>
      <c r="AE1966" s="15" t="n">
        <v>7790</v>
      </c>
      <c r="AF1966" s="16" t="n"/>
      <c r="AG1966" s="15">
        <f>ROUND(AE1966-(AE1966*AF1966),2)</f>
        <v/>
      </c>
      <c r="AH1966" s="16" t="n"/>
      <c r="AI1966" s="15">
        <f>ROUND(AG1966+(AG1966*AH1966),2)</f>
        <v/>
      </c>
      <c r="AJ1966" s="16" t="n"/>
      <c r="AK1966" s="15">
        <f>ROUND(AI1966*AJ1966,2)</f>
        <v/>
      </c>
      <c r="AL1966" s="15">
        <f>AI1966+AK1966</f>
        <v/>
      </c>
      <c r="AM1966" s="15">
        <f>AE1966-AL1966</f>
        <v/>
      </c>
      <c r="AN1966" s="16">
        <f>AM1966/AE1966</f>
        <v/>
      </c>
      <c r="AO1966" s="15" t="n"/>
      <c r="AP1966" s="15" t="n"/>
      <c r="AQ1966" s="15" t="n"/>
      <c r="AR1966" s="15" t="n"/>
      <c r="AS1966" s="15" t="n"/>
      <c r="AT1966" s="3" t="inlineStr">
        <is>
          <t>On Demand</t>
        </is>
      </c>
    </row>
    <row r="1967" ht="15.75" customHeight="1">
      <c r="A1967" s="15" t="inlineStr">
        <is>
          <t>PROD_0367</t>
        </is>
      </c>
      <c r="B1967" s="15" t="inlineStr">
        <is>
          <t>VAR_6</t>
        </is>
      </c>
      <c r="C1967" s="15" t="inlineStr">
        <is>
          <t>Electrical Material</t>
        </is>
      </c>
      <c r="D1967" s="15" t="inlineStr">
        <is>
          <t>Fan</t>
        </is>
      </c>
      <c r="E1967" s="15" t="inlineStr">
        <is>
          <t>Atomberg</t>
        </is>
      </c>
      <c r="F1967" s="15" t="inlineStr">
        <is>
          <t>Cieling Fan | Studio+ BLDC</t>
        </is>
      </c>
      <c r="G1967" s="15" t="n"/>
      <c r="H1967" s="15" t="inlineStr">
        <is>
          <t>Motor Type</t>
        </is>
      </c>
      <c r="I1967" s="15" t="inlineStr">
        <is>
          <t>BLDC</t>
        </is>
      </c>
      <c r="J1967" s="15" t="inlineStr">
        <is>
          <t>Color</t>
        </is>
      </c>
      <c r="K1967" s="15" t="inlineStr">
        <is>
          <t>Marble White</t>
        </is>
      </c>
      <c r="L1967" s="15" t="n"/>
      <c r="M1967" s="15" t="n"/>
      <c r="N1967" s="15" t="n"/>
      <c r="O1967" s="15" t="n"/>
      <c r="P1967" s="15" t="n"/>
      <c r="Q1967" s="15" t="inlineStr">
        <is>
          <t>Manufacturer's Warranty</t>
        </is>
      </c>
      <c r="R1967" s="15" t="inlineStr">
        <is>
          <t>‎Studio+</t>
        </is>
      </c>
      <c r="S1967" s="15" t="n"/>
      <c r="T1967" s="15" t="n"/>
      <c r="U1967" s="15" t="n"/>
      <c r="V1967" s="15" t="n"/>
      <c r="W1967" s="15" t="n"/>
      <c r="X1967" s="15" t="n"/>
      <c r="Y1967" s="15" t="inlineStr">
        <is>
          <t>ELEC_FAN_ATOM_36</t>
        </is>
      </c>
      <c r="Z1967" s="15" t="n"/>
      <c r="AA1967" s="15" t="n"/>
      <c r="AB1967" s="15" t="n"/>
      <c r="AC1967" s="15" t="n"/>
      <c r="AD1967" s="15" t="n"/>
      <c r="AE1967" s="15" t="n">
        <v>7790</v>
      </c>
      <c r="AF1967" s="16" t="n"/>
      <c r="AG1967" s="15">
        <f>ROUND(AE1967-(AE1967*AF1967),2)</f>
        <v/>
      </c>
      <c r="AH1967" s="16" t="n"/>
      <c r="AI1967" s="15">
        <f>ROUND(AG1967+(AG1967*AH1967),2)</f>
        <v/>
      </c>
      <c r="AJ1967" s="16" t="n"/>
      <c r="AK1967" s="15">
        <f>ROUND(AI1967*AJ1967,2)</f>
        <v/>
      </c>
      <c r="AL1967" s="15">
        <f>AI1967+AK1967</f>
        <v/>
      </c>
      <c r="AM1967" s="15">
        <f>AE1967-AL1967</f>
        <v/>
      </c>
      <c r="AN1967" s="16">
        <f>AM1967/AE1967</f>
        <v/>
      </c>
      <c r="AO1967" s="15" t="n"/>
      <c r="AP1967" s="15" t="n"/>
      <c r="AQ1967" s="15" t="n"/>
      <c r="AR1967" s="15" t="n"/>
      <c r="AS1967" s="15" t="n"/>
      <c r="AT1967" s="3" t="inlineStr">
        <is>
          <t>On Demand</t>
        </is>
      </c>
    </row>
    <row r="1968" ht="15.75" customHeight="1">
      <c r="A1968" s="3" t="inlineStr">
        <is>
          <t>PROD_0368</t>
        </is>
      </c>
      <c r="B1968" s="3" t="inlineStr">
        <is>
          <t>VAR_1</t>
        </is>
      </c>
      <c r="C1968" s="3" t="inlineStr">
        <is>
          <t>Electrical Material</t>
        </is>
      </c>
      <c r="D1968" s="3" t="inlineStr">
        <is>
          <t>Flexible Pipe</t>
        </is>
      </c>
      <c r="E1968" s="3" t="inlineStr">
        <is>
          <t>Generic</t>
        </is>
      </c>
      <c r="F1968" s="3" t="inlineStr">
        <is>
          <t>Flexible Pipe</t>
        </is>
      </c>
      <c r="H1968" s="3" t="inlineStr">
        <is>
          <t>Size</t>
        </is>
      </c>
      <c r="I1968" s="3" t="inlineStr">
        <is>
          <t>16 mm</t>
        </is>
      </c>
      <c r="J1968" s="3" t="inlineStr">
        <is>
          <t>Finish</t>
        </is>
      </c>
      <c r="K1968" s="3" t="inlineStr">
        <is>
          <t>PVC</t>
        </is>
      </c>
      <c r="Q1968" s="3" t="inlineStr">
        <is>
          <t>Manufacturer's Warranty</t>
        </is>
      </c>
      <c r="Y1968" s="3" t="inlineStr">
        <is>
          <t>ELECT_FLEXIBLEPIPE</t>
        </is>
      </c>
      <c r="AF1968" s="4" t="n"/>
      <c r="AG1968" s="3" t="n">
        <v>100</v>
      </c>
      <c r="AH1968" s="4" t="n">
        <v>0.18</v>
      </c>
      <c r="AI1968" s="3">
        <f>ROUND(AG1968+(AG1968*AH1968),2)</f>
        <v/>
      </c>
      <c r="AJ1968" s="4" t="n">
        <v>0.2</v>
      </c>
      <c r="AK1968" s="3">
        <f>ROUND(AI1968*AJ1968,2)</f>
        <v/>
      </c>
      <c r="AL1968" s="3">
        <f>AI1968+AK1968</f>
        <v/>
      </c>
      <c r="AM1968" s="3">
        <f>AE1968-AL1968</f>
        <v/>
      </c>
      <c r="AN1968" s="16">
        <f>AM1968/AE1968</f>
        <v/>
      </c>
    </row>
    <row r="1969" ht="15.75" customHeight="1">
      <c r="A1969" s="3" t="inlineStr">
        <is>
          <t>PROD_0368</t>
        </is>
      </c>
      <c r="B1969" s="3" t="inlineStr">
        <is>
          <t>VAR_2</t>
        </is>
      </c>
      <c r="C1969" s="3" t="inlineStr">
        <is>
          <t>Electrical Material</t>
        </is>
      </c>
      <c r="D1969" s="3" t="inlineStr">
        <is>
          <t>Flexible Pipe</t>
        </is>
      </c>
      <c r="E1969" s="3" t="inlineStr">
        <is>
          <t>Generic</t>
        </is>
      </c>
      <c r="F1969" s="3" t="inlineStr">
        <is>
          <t>Flexible Pipe</t>
        </is>
      </c>
      <c r="H1969" s="3" t="inlineStr">
        <is>
          <t>Size</t>
        </is>
      </c>
      <c r="I1969" s="3" t="inlineStr">
        <is>
          <t>20 mm</t>
        </is>
      </c>
      <c r="J1969" s="3" t="inlineStr">
        <is>
          <t>Finish</t>
        </is>
      </c>
      <c r="K1969" s="3" t="inlineStr">
        <is>
          <t>PVC</t>
        </is>
      </c>
      <c r="Q1969" s="3" t="inlineStr">
        <is>
          <t>Manufacturer's Warranty</t>
        </is>
      </c>
      <c r="Y1969" s="3" t="inlineStr">
        <is>
          <t>ELECT_FLEXIBLEPIPE</t>
        </is>
      </c>
      <c r="AF1969" s="4" t="n"/>
      <c r="AG1969" s="3" t="n">
        <v>110</v>
      </c>
      <c r="AH1969" s="4" t="n">
        <v>0.18</v>
      </c>
      <c r="AI1969" s="3">
        <f>ROUND(AG1969+(AG1969*AH1969),2)</f>
        <v/>
      </c>
      <c r="AJ1969" s="4" t="n">
        <v>0.2</v>
      </c>
      <c r="AK1969" s="3">
        <f>ROUND(AI1969*AJ1969,2)</f>
        <v/>
      </c>
      <c r="AL1969" s="3">
        <f>AI1969+AK1969</f>
        <v/>
      </c>
      <c r="AM1969" s="3">
        <f>AE1969-AL1969</f>
        <v/>
      </c>
      <c r="AN1969" s="16">
        <f>AM1969/AE1969</f>
        <v/>
      </c>
    </row>
    <row r="1970" ht="15.75" customHeight="1">
      <c r="A1970" s="3" t="inlineStr">
        <is>
          <t>PROD_0369</t>
        </is>
      </c>
      <c r="B1970" s="3" t="inlineStr">
        <is>
          <t>VAR_1</t>
        </is>
      </c>
      <c r="C1970" s="3" t="inlineStr">
        <is>
          <t>Modular Hardware</t>
        </is>
      </c>
      <c r="D1970" s="3" t="inlineStr">
        <is>
          <t>Locks</t>
        </is>
      </c>
      <c r="E1970" s="3" t="inlineStr">
        <is>
          <t>Qubo</t>
        </is>
      </c>
      <c r="F1970" s="3" t="inlineStr">
        <is>
          <t>Smart Door Lock | Essential</t>
        </is>
      </c>
      <c r="H1970" s="3" t="inlineStr">
        <is>
          <t>Color</t>
        </is>
      </c>
      <c r="I1970" s="3" t="inlineStr">
        <is>
          <t>Ultra Copper</t>
        </is>
      </c>
      <c r="Q1970" s="3" t="inlineStr">
        <is>
          <t>Manufacturer's Warranty</t>
        </is>
      </c>
      <c r="R1970" s="3" t="inlineStr">
        <is>
          <t>Ultra Copper</t>
        </is>
      </c>
      <c r="Y1970" s="3" t="inlineStr">
        <is>
          <t>MH_LOCKS_QUBA_1</t>
        </is>
      </c>
      <c r="AE1970" s="3" t="n">
        <v>35990</v>
      </c>
      <c r="AF1970" s="4" t="n"/>
      <c r="AG1970" s="3">
        <f>ROUND(AE1970-(AE1970*AF1970),2)</f>
        <v/>
      </c>
      <c r="AH1970" s="4" t="n"/>
      <c r="AI1970" s="3">
        <f>ROUND(AG1970+(AG1970*AH1970),2)</f>
        <v/>
      </c>
      <c r="AJ1970" s="4" t="n"/>
      <c r="AK1970" s="3">
        <f>ROUND(AI1970*AJ1970,2)</f>
        <v/>
      </c>
      <c r="AL1970" s="3">
        <f>AI1970+AK1970</f>
        <v/>
      </c>
      <c r="AM1970" s="3">
        <f>AE1970-AL1970</f>
        <v/>
      </c>
      <c r="AN1970" s="4">
        <f>AM1970/AE1970</f>
        <v/>
      </c>
      <c r="AO1970" s="3" t="inlineStr">
        <is>
          <t>60 mins</t>
        </is>
      </c>
      <c r="AT1970" s="3" t="inlineStr">
        <is>
          <t>6 hrs</t>
        </is>
      </c>
    </row>
    <row r="1971" ht="15.75" customHeight="1">
      <c r="A1971" s="3" t="inlineStr">
        <is>
          <t>PROD_0369</t>
        </is>
      </c>
      <c r="B1971" s="3" t="inlineStr">
        <is>
          <t>VAR_2</t>
        </is>
      </c>
      <c r="C1971" s="3" t="inlineStr">
        <is>
          <t>Modular Hardware</t>
        </is>
      </c>
      <c r="D1971" s="3" t="inlineStr">
        <is>
          <t>Locks</t>
        </is>
      </c>
      <c r="E1971" s="3" t="inlineStr">
        <is>
          <t>Qubo</t>
        </is>
      </c>
      <c r="F1971" s="3" t="inlineStr">
        <is>
          <t>Smart Door Lock | Essential</t>
        </is>
      </c>
      <c r="H1971" s="3" t="inlineStr">
        <is>
          <t>Color</t>
        </is>
      </c>
      <c r="I1971" s="3" t="inlineStr">
        <is>
          <t>Essential Copper</t>
        </is>
      </c>
      <c r="Q1971" s="3" t="inlineStr">
        <is>
          <t>Manufacturer's Warranty</t>
        </is>
      </c>
      <c r="R1971" s="3" t="inlineStr">
        <is>
          <t>Essential Copper</t>
        </is>
      </c>
      <c r="Y1971" s="3" t="inlineStr">
        <is>
          <t>MH_LOCKS_QUBA_2</t>
        </is>
      </c>
      <c r="AE1971" s="3" t="n">
        <v>20990</v>
      </c>
      <c r="AF1971" s="4" t="n"/>
      <c r="AG1971" s="3">
        <f>ROUND(AE1971-(AE1971*AF1971),2)</f>
        <v/>
      </c>
      <c r="AH1971" s="4" t="n"/>
      <c r="AI1971" s="3">
        <f>ROUND(AG1971+(AG1971*AH1971),2)</f>
        <v/>
      </c>
      <c r="AJ1971" s="4" t="n"/>
      <c r="AK1971" s="3">
        <f>ROUND(AI1971*AJ1971,2)</f>
        <v/>
      </c>
      <c r="AL1971" s="3">
        <f>AI1971+AK1971</f>
        <v/>
      </c>
      <c r="AM1971" s="3">
        <f>AE1971-AL1971</f>
        <v/>
      </c>
      <c r="AN1971" s="4">
        <f>AM1971/AE1971</f>
        <v/>
      </c>
      <c r="AO1971" s="3" t="inlineStr">
        <is>
          <t>60 mins</t>
        </is>
      </c>
      <c r="AT1971" s="3" t="inlineStr">
        <is>
          <t>6 hrs</t>
        </is>
      </c>
    </row>
    <row r="1972" ht="15.75" customHeight="1">
      <c r="A1972" s="3" t="inlineStr">
        <is>
          <t>PROD_0369</t>
        </is>
      </c>
      <c r="B1972" s="3" t="inlineStr">
        <is>
          <t>VAR_3</t>
        </is>
      </c>
      <c r="C1972" s="3" t="inlineStr">
        <is>
          <t>Modular Hardware</t>
        </is>
      </c>
      <c r="D1972" s="3" t="inlineStr">
        <is>
          <t>Locks</t>
        </is>
      </c>
      <c r="E1972" s="3" t="inlineStr">
        <is>
          <t>Qubo</t>
        </is>
      </c>
      <c r="F1972" s="3" t="inlineStr">
        <is>
          <t>Smart Door Lock | Essential</t>
        </is>
      </c>
      <c r="H1972" s="3" t="inlineStr">
        <is>
          <t>Color</t>
        </is>
      </c>
      <c r="I1972" s="3" t="inlineStr">
        <is>
          <t>Select Copper</t>
        </is>
      </c>
      <c r="Q1972" s="3" t="inlineStr">
        <is>
          <t>Manufacturer's Warranty</t>
        </is>
      </c>
      <c r="R1972" s="3" t="inlineStr">
        <is>
          <t>Select Copper</t>
        </is>
      </c>
      <c r="Y1972" s="3" t="inlineStr">
        <is>
          <t>MH_LOCKS_QUBA_3</t>
        </is>
      </c>
      <c r="AE1972" s="3" t="n">
        <v>24990</v>
      </c>
      <c r="AF1972" s="4" t="n"/>
      <c r="AG1972" s="3">
        <f>ROUND(AE1972-(AE1972*AF1972),2)</f>
        <v/>
      </c>
      <c r="AH1972" s="4" t="n"/>
      <c r="AI1972" s="3">
        <f>ROUND(AG1972+(AG1972*AH1972),2)</f>
        <v/>
      </c>
      <c r="AJ1972" s="4" t="n"/>
      <c r="AK1972" s="3">
        <f>ROUND(AI1972*AJ1972,2)</f>
        <v/>
      </c>
      <c r="AL1972" s="3">
        <f>AI1972+AK1972</f>
        <v/>
      </c>
      <c r="AM1972" s="3">
        <f>AE1972-AL1972</f>
        <v/>
      </c>
      <c r="AN1972" s="4">
        <f>AM1972/AE1972</f>
        <v/>
      </c>
      <c r="AO1972" s="3" t="inlineStr">
        <is>
          <t>60 mins</t>
        </is>
      </c>
      <c r="AT1972" s="3" t="inlineStr">
        <is>
          <t>6 hrs</t>
        </is>
      </c>
    </row>
    <row r="1973" ht="15.75" customHeight="1">
      <c r="A1973" s="3" t="inlineStr">
        <is>
          <t>PROD_0370</t>
        </is>
      </c>
      <c r="B1973" s="3" t="inlineStr">
        <is>
          <t>VAR_1</t>
        </is>
      </c>
      <c r="C1973" s="3" t="inlineStr">
        <is>
          <t>Modular Hardware</t>
        </is>
      </c>
      <c r="D1973" s="3" t="inlineStr">
        <is>
          <t>Locks</t>
        </is>
      </c>
      <c r="E1973" s="3" t="inlineStr">
        <is>
          <t>Qubo</t>
        </is>
      </c>
      <c r="F1973" s="3" t="inlineStr">
        <is>
          <t>Smart Door Lock | Essential Black</t>
        </is>
      </c>
      <c r="H1973" s="3" t="inlineStr">
        <is>
          <t>Color</t>
        </is>
      </c>
      <c r="I1973" s="3" t="inlineStr">
        <is>
          <t>Essential Copper VDB Pro</t>
        </is>
      </c>
      <c r="Q1973" s="3" t="inlineStr">
        <is>
          <t>Manufacturer's Warranty</t>
        </is>
      </c>
      <c r="R1973" s="3" t="inlineStr">
        <is>
          <t>Essential Copper VDB Pro</t>
        </is>
      </c>
      <c r="Y1973" s="3" t="inlineStr">
        <is>
          <t>MH_LOCKS_QUBA_4</t>
        </is>
      </c>
      <c r="AE1973" s="3" t="n">
        <v>35980</v>
      </c>
      <c r="AF1973" s="4" t="n"/>
      <c r="AG1973" s="3">
        <f>ROUND(AE1973-(AE1973*AF1973),2)</f>
        <v/>
      </c>
      <c r="AH1973" s="4" t="n"/>
      <c r="AI1973" s="3">
        <f>ROUND(AG1973+(AG1973*AH1973),2)</f>
        <v/>
      </c>
      <c r="AJ1973" s="4" t="n"/>
      <c r="AK1973" s="3">
        <f>ROUND(AI1973*AJ1973,2)</f>
        <v/>
      </c>
      <c r="AL1973" s="3">
        <f>AI1973+AK1973</f>
        <v/>
      </c>
      <c r="AM1973" s="3">
        <f>AE1973-AL1973</f>
        <v/>
      </c>
      <c r="AN1973" s="4">
        <f>AM1973/AE1973</f>
        <v/>
      </c>
      <c r="AO1973" s="3" t="inlineStr">
        <is>
          <t>60 mins</t>
        </is>
      </c>
      <c r="AT1973" s="3" t="inlineStr">
        <is>
          <t>6 hrs</t>
        </is>
      </c>
    </row>
    <row r="1974" ht="15.75" customHeight="1">
      <c r="A1974" s="3" t="inlineStr">
        <is>
          <t>PROD_0370</t>
        </is>
      </c>
      <c r="B1974" s="3" t="inlineStr">
        <is>
          <t>VAR_2</t>
        </is>
      </c>
      <c r="C1974" s="3" t="inlineStr">
        <is>
          <t>Modular Hardware</t>
        </is>
      </c>
      <c r="D1974" s="3" t="inlineStr">
        <is>
          <t>Locks</t>
        </is>
      </c>
      <c r="E1974" s="3" t="inlineStr">
        <is>
          <t>Qubo</t>
        </is>
      </c>
      <c r="F1974" s="3" t="inlineStr">
        <is>
          <t>Smart Door Lock | Essential Black</t>
        </is>
      </c>
      <c r="H1974" s="3" t="inlineStr">
        <is>
          <t>Color</t>
        </is>
      </c>
      <c r="I1974" s="3" t="inlineStr">
        <is>
          <t>Essential Black</t>
        </is>
      </c>
      <c r="Q1974" s="3" t="inlineStr">
        <is>
          <t>Manufacturer's Warranty</t>
        </is>
      </c>
      <c r="R1974" s="3" t="inlineStr">
        <is>
          <t>Essential Black</t>
        </is>
      </c>
      <c r="Y1974" s="3" t="inlineStr">
        <is>
          <t>MH_LOCKS_QUBA_5</t>
        </is>
      </c>
      <c r="AE1974" s="3" t="n">
        <v>19990</v>
      </c>
      <c r="AF1974" s="4" t="n"/>
      <c r="AG1974" s="3">
        <f>ROUND(AE1974-(AE1974*AF1974),2)</f>
        <v/>
      </c>
      <c r="AH1974" s="4" t="n"/>
      <c r="AI1974" s="3">
        <f>ROUND(AG1974+(AG1974*AH1974),2)</f>
        <v/>
      </c>
      <c r="AJ1974" s="4" t="n"/>
      <c r="AK1974" s="3">
        <f>ROUND(AI1974*AJ1974,2)</f>
        <v/>
      </c>
      <c r="AL1974" s="3">
        <f>AI1974+AK1974</f>
        <v/>
      </c>
      <c r="AM1974" s="3">
        <f>AE1974-AL1974</f>
        <v/>
      </c>
      <c r="AN1974" s="4">
        <f>AM1974/AE1974</f>
        <v/>
      </c>
      <c r="AO1974" s="3" t="inlineStr">
        <is>
          <t>60 mins</t>
        </is>
      </c>
      <c r="AT1974" s="3" t="inlineStr">
        <is>
          <t>6 hrs</t>
        </is>
      </c>
    </row>
    <row r="1975" ht="15.75" customHeight="1">
      <c r="A1975" s="3" t="inlineStr">
        <is>
          <t>PROD_0370</t>
        </is>
      </c>
      <c r="B1975" s="3" t="inlineStr">
        <is>
          <t>VAR_3</t>
        </is>
      </c>
      <c r="C1975" s="3" t="inlineStr">
        <is>
          <t>Modular Hardware</t>
        </is>
      </c>
      <c r="D1975" s="3" t="inlineStr">
        <is>
          <t>Locks</t>
        </is>
      </c>
      <c r="E1975" s="3" t="inlineStr">
        <is>
          <t>Qubo</t>
        </is>
      </c>
      <c r="F1975" s="3" t="inlineStr">
        <is>
          <t>Smart Door Lock | Essential Black</t>
        </is>
      </c>
      <c r="H1975" s="3" t="inlineStr">
        <is>
          <t>Color</t>
        </is>
      </c>
      <c r="I1975" s="3" t="inlineStr">
        <is>
          <t>Select Black</t>
        </is>
      </c>
      <c r="Q1975" s="3" t="inlineStr">
        <is>
          <t>Manufacturer's Warranty</t>
        </is>
      </c>
      <c r="R1975" s="3" t="inlineStr">
        <is>
          <t>Select Black</t>
        </is>
      </c>
      <c r="Y1975" s="3" t="inlineStr">
        <is>
          <t>MH_LOCKS_QUBA_6</t>
        </is>
      </c>
      <c r="AE1975" s="3" t="n">
        <v>22990</v>
      </c>
      <c r="AF1975" s="4" t="n"/>
      <c r="AG1975" s="3">
        <f>ROUND(AE1975-(AE1975*AF1975),2)</f>
        <v/>
      </c>
      <c r="AH1975" s="4" t="n"/>
      <c r="AI1975" s="3">
        <f>ROUND(AG1975+(AG1975*AH1975),2)</f>
        <v/>
      </c>
      <c r="AJ1975" s="4" t="n"/>
      <c r="AK1975" s="3">
        <f>ROUND(AI1975*AJ1975,2)</f>
        <v/>
      </c>
      <c r="AL1975" s="3">
        <f>AI1975+AK1975</f>
        <v/>
      </c>
      <c r="AM1975" s="3">
        <f>AE1975-AL1975</f>
        <v/>
      </c>
      <c r="AN1975" s="4">
        <f>AM1975/AE1975</f>
        <v/>
      </c>
      <c r="AO1975" s="3" t="inlineStr">
        <is>
          <t>60 mins</t>
        </is>
      </c>
      <c r="AT1975" s="3" t="inlineStr">
        <is>
          <t>6 hrs</t>
        </is>
      </c>
    </row>
    <row r="1976" ht="15.75" customHeight="1">
      <c r="A1976" s="3" t="inlineStr">
        <is>
          <t>PROD_0370</t>
        </is>
      </c>
      <c r="B1976" s="3" t="inlineStr">
        <is>
          <t>VAR_4</t>
        </is>
      </c>
      <c r="C1976" s="3" t="inlineStr">
        <is>
          <t>Modular Hardware</t>
        </is>
      </c>
      <c r="D1976" s="3" t="inlineStr">
        <is>
          <t>Locks</t>
        </is>
      </c>
      <c r="E1976" s="3" t="inlineStr">
        <is>
          <t>Qubo</t>
        </is>
      </c>
      <c r="F1976" s="3" t="inlineStr">
        <is>
          <t>Smart Door Lock | Essential Black</t>
        </is>
      </c>
      <c r="H1976" s="3" t="inlineStr">
        <is>
          <t>Color</t>
        </is>
      </c>
      <c r="I1976" s="3" t="inlineStr">
        <is>
          <t>Optima</t>
        </is>
      </c>
      <c r="Q1976" s="3" t="inlineStr">
        <is>
          <t>Manufacturer's Warranty</t>
        </is>
      </c>
      <c r="R1976" s="3" t="inlineStr">
        <is>
          <t>Optima</t>
        </is>
      </c>
      <c r="Y1976" s="3" t="inlineStr">
        <is>
          <t>MH_LOCKS_QUBA_7</t>
        </is>
      </c>
      <c r="AE1976" s="3" t="n">
        <v>17990</v>
      </c>
      <c r="AF1976" s="4" t="n"/>
      <c r="AG1976" s="3">
        <f>ROUND(AE1976-(AE1976*AF1976),2)</f>
        <v/>
      </c>
      <c r="AH1976" s="4" t="n"/>
      <c r="AI1976" s="3">
        <f>ROUND(AG1976+(AG1976*AH1976),2)</f>
        <v/>
      </c>
      <c r="AJ1976" s="4" t="n"/>
      <c r="AK1976" s="3">
        <f>ROUND(AI1976*AJ1976,2)</f>
        <v/>
      </c>
      <c r="AL1976" s="3">
        <f>AI1976+AK1976</f>
        <v/>
      </c>
      <c r="AM1976" s="3">
        <f>AE1976-AL1976</f>
        <v/>
      </c>
      <c r="AN1976" s="4">
        <f>AM1976/AE1976</f>
        <v/>
      </c>
      <c r="AO1976" s="3" t="inlineStr">
        <is>
          <t>60 mins</t>
        </is>
      </c>
      <c r="AT1976" s="3" t="inlineStr">
        <is>
          <t>6 hrs</t>
        </is>
      </c>
    </row>
    <row r="1977" ht="15.75" customHeight="1">
      <c r="A1977" s="3" t="inlineStr">
        <is>
          <t>PROD_0371</t>
        </is>
      </c>
      <c r="B1977" s="3" t="inlineStr">
        <is>
          <t>VAR_1</t>
        </is>
      </c>
      <c r="C1977" s="3" t="inlineStr">
        <is>
          <t>Modular Hardware</t>
        </is>
      </c>
      <c r="D1977" s="3" t="inlineStr">
        <is>
          <t>Locks</t>
        </is>
      </c>
      <c r="E1977" s="3" t="inlineStr">
        <is>
          <t>Qubo</t>
        </is>
      </c>
      <c r="F1977" s="3" t="inlineStr">
        <is>
          <t>Smart Door Lock | Essential + Video Doorbell Pro Combo</t>
        </is>
      </c>
      <c r="H1977" s="3" t="inlineStr">
        <is>
          <t>Color</t>
        </is>
      </c>
      <c r="I1977" s="3" t="inlineStr">
        <is>
          <t>Select Black VDB Pro</t>
        </is>
      </c>
      <c r="Q1977" s="3" t="inlineStr">
        <is>
          <t>Manufacturer's Warranty</t>
        </is>
      </c>
      <c r="R1977" s="3" t="inlineStr">
        <is>
          <t>Select Black VDB Pro</t>
        </is>
      </c>
      <c r="Y1977" s="3" t="inlineStr">
        <is>
          <t>MH_LOCK_QUBO_1</t>
        </is>
      </c>
      <c r="AE1977" s="3" t="n">
        <v>37980</v>
      </c>
      <c r="AF1977" s="4" t="n"/>
      <c r="AG1977" s="3">
        <f>ROUND(AE1977-(AE1977*AF1977),2)</f>
        <v/>
      </c>
      <c r="AH1977" s="4" t="n"/>
      <c r="AI1977" s="3">
        <f>ROUND(AG1977+(AG1977*AH1977),2)</f>
        <v/>
      </c>
      <c r="AJ1977" s="4" t="n"/>
      <c r="AK1977" s="3">
        <f>ROUND(AI1977*AJ1977,2)</f>
        <v/>
      </c>
      <c r="AL1977" s="3">
        <f>AI1977+AK1977</f>
        <v/>
      </c>
      <c r="AM1977" s="3">
        <f>AE1977-AL1977</f>
        <v/>
      </c>
      <c r="AN1977" s="4">
        <f>AM1977/AE1977</f>
        <v/>
      </c>
      <c r="AO1977" s="3" t="inlineStr">
        <is>
          <t>60 mins</t>
        </is>
      </c>
      <c r="AT1977" s="3" t="inlineStr">
        <is>
          <t>6 hrs</t>
        </is>
      </c>
    </row>
    <row r="1978" ht="15.75" customHeight="1">
      <c r="A1978" s="3" t="inlineStr">
        <is>
          <t>PROD_0372</t>
        </is>
      </c>
      <c r="B1978" s="3" t="inlineStr">
        <is>
          <t>VAR_1</t>
        </is>
      </c>
      <c r="C1978" s="3" t="inlineStr">
        <is>
          <t>Modular Hardware</t>
        </is>
      </c>
      <c r="D1978" s="3" t="inlineStr">
        <is>
          <t>Locks</t>
        </is>
      </c>
      <c r="E1978" s="3" t="inlineStr">
        <is>
          <t>Qubo</t>
        </is>
      </c>
      <c r="F1978" s="3" t="inlineStr">
        <is>
          <t>Qubo Smart Wi-Fi Video Doorbell Pro 2K from Hero Group | Instant Phone Visitor Video Call | Intruder Alarm | 3MP 1296P Resolution | 2-Way Talk | NightPulse Vision</t>
        </is>
      </c>
      <c r="H1978" s="3" t="inlineStr">
        <is>
          <t>Color</t>
        </is>
      </c>
      <c r="I1978" s="3" t="inlineStr">
        <is>
          <t>Black</t>
        </is>
      </c>
      <c r="Q1978" s="3" t="inlineStr">
        <is>
          <t>Manufacturer's Warranty</t>
        </is>
      </c>
      <c r="R1978" s="3" t="inlineStr">
        <is>
          <t>Black</t>
        </is>
      </c>
      <c r="Y1978" s="3" t="inlineStr">
        <is>
          <t>MH_LOCK_QUBO_2</t>
        </is>
      </c>
      <c r="AE1978" s="3" t="n">
        <v>14990</v>
      </c>
      <c r="AF1978" s="4" t="n"/>
      <c r="AG1978" s="3">
        <f>ROUND(AE1978-(AE1978*AF1978),2)</f>
        <v/>
      </c>
      <c r="AH1978" s="4" t="n"/>
      <c r="AI1978" s="3">
        <f>ROUND(AG1978+(AG1978*AH1978),2)</f>
        <v/>
      </c>
      <c r="AJ1978" s="4" t="n"/>
      <c r="AK1978" s="3">
        <f>ROUND(AI1978*AJ1978,2)</f>
        <v/>
      </c>
      <c r="AL1978" s="3">
        <f>AI1978+AK1978</f>
        <v/>
      </c>
      <c r="AM1978" s="3">
        <f>AE1978-AL1978</f>
        <v/>
      </c>
      <c r="AN1978" s="4">
        <f>AM1978/AE1978</f>
        <v/>
      </c>
      <c r="AO1978" s="3" t="inlineStr">
        <is>
          <t>60 mins</t>
        </is>
      </c>
      <c r="AT1978" s="3" t="inlineStr">
        <is>
          <t>6 hrs</t>
        </is>
      </c>
    </row>
    <row r="1979" ht="15.75" customHeight="1">
      <c r="A1979" s="3" t="inlineStr">
        <is>
          <t>PROD_0373</t>
        </is>
      </c>
      <c r="B1979" s="3" t="inlineStr">
        <is>
          <t>VAR_1</t>
        </is>
      </c>
      <c r="C1979" s="3" t="inlineStr">
        <is>
          <t>Modular Hardware</t>
        </is>
      </c>
      <c r="D1979" s="3" t="inlineStr">
        <is>
          <t>Locks</t>
        </is>
      </c>
      <c r="E1979" s="3" t="inlineStr">
        <is>
          <t>Godrej</t>
        </is>
      </c>
      <c r="F1979" s="3" t="inlineStr">
        <is>
          <t>Handle Lock</t>
        </is>
      </c>
      <c r="H1979" s="3" t="inlineStr">
        <is>
          <t>Color</t>
        </is>
      </c>
      <c r="I1979" s="3" t="inlineStr">
        <is>
          <t>Satin Steel</t>
        </is>
      </c>
      <c r="J1979" s="3" t="inlineStr">
        <is>
          <t>Style</t>
        </is>
      </c>
      <c r="Q1979" s="3" t="inlineStr">
        <is>
          <t>Manufacturer's Warranty</t>
        </is>
      </c>
      <c r="R1979" s="3" t="n">
        <v>6649</v>
      </c>
      <c r="Y1979" s="3" t="inlineStr">
        <is>
          <t>MH_LOOK_GOD_1</t>
        </is>
      </c>
      <c r="AE1979" s="3" t="n">
        <v>1830</v>
      </c>
      <c r="AF1979" s="4" t="n"/>
      <c r="AG1979" s="3">
        <f>ROUND(AE1979-(AE1979*AF1979),2)</f>
        <v/>
      </c>
      <c r="AH1979" s="4" t="n"/>
      <c r="AI1979" s="3">
        <f>ROUND(AG1979+(AG1979*AH1979),2)</f>
        <v/>
      </c>
      <c r="AJ1979" s="4" t="n"/>
      <c r="AK1979" s="3">
        <f>ROUND(AI1979*AJ1979,2)</f>
        <v/>
      </c>
      <c r="AL1979" s="3">
        <f>AI1979+AK1979</f>
        <v/>
      </c>
      <c r="AM1979" s="3">
        <f>AE1979-AL1979</f>
        <v/>
      </c>
      <c r="AN1979" s="4">
        <f>AM1979/AE1979</f>
        <v/>
      </c>
      <c r="AO1979" s="3" t="inlineStr">
        <is>
          <t>60 mins</t>
        </is>
      </c>
      <c r="AT1979" s="3" t="inlineStr">
        <is>
          <t>3 hrs</t>
        </is>
      </c>
    </row>
    <row r="1980" ht="15.75" customHeight="1">
      <c r="A1980" s="3" t="inlineStr">
        <is>
          <t>PROD_0373</t>
        </is>
      </c>
      <c r="B1980" s="3" t="inlineStr">
        <is>
          <t>VAR_2</t>
        </is>
      </c>
      <c r="C1980" s="3" t="inlineStr">
        <is>
          <t>Modular Hardware</t>
        </is>
      </c>
      <c r="D1980" s="3" t="inlineStr">
        <is>
          <t>Locks</t>
        </is>
      </c>
      <c r="E1980" s="3" t="inlineStr">
        <is>
          <t>Godrej</t>
        </is>
      </c>
      <c r="F1980" s="3" t="inlineStr">
        <is>
          <t>Handle Lock</t>
        </is>
      </c>
      <c r="H1980" s="3" t="inlineStr">
        <is>
          <t>Color</t>
        </is>
      </c>
      <c r="I1980" s="3" t="inlineStr">
        <is>
          <t>Antique Brass</t>
        </is>
      </c>
      <c r="J1980" s="3" t="inlineStr">
        <is>
          <t>Style</t>
        </is>
      </c>
      <c r="K1980" s="3" t="inlineStr">
        <is>
          <t>EM 01 200 mm Door Handle Set 1CK</t>
        </is>
      </c>
      <c r="Q1980" s="3" t="inlineStr">
        <is>
          <t>Manufacturer's Warranty</t>
        </is>
      </c>
      <c r="R1980" s="3" t="n">
        <v>7752</v>
      </c>
      <c r="Y1980" s="3" t="inlineStr">
        <is>
          <t>MH_LOOK_GOD_2</t>
        </is>
      </c>
      <c r="AE1980" s="3" t="n">
        <v>1860</v>
      </c>
      <c r="AF1980" s="4" t="n"/>
      <c r="AG1980" s="3">
        <f>ROUND(AE1980-(AE1980*AF1980),2)</f>
        <v/>
      </c>
      <c r="AH1980" s="4" t="n"/>
      <c r="AI1980" s="3">
        <f>ROUND(AG1980+(AG1980*AH1980),2)</f>
        <v/>
      </c>
      <c r="AJ1980" s="4" t="n"/>
      <c r="AK1980" s="3">
        <f>ROUND(AI1980*AJ1980,2)</f>
        <v/>
      </c>
      <c r="AL1980" s="3">
        <f>AI1980+AK1980</f>
        <v/>
      </c>
      <c r="AM1980" s="3">
        <f>AE1980-AL1980</f>
        <v/>
      </c>
      <c r="AN1980" s="4">
        <f>AM1980/AE1980</f>
        <v/>
      </c>
      <c r="AO1980" s="3" t="inlineStr">
        <is>
          <t>60 mins</t>
        </is>
      </c>
      <c r="AT1980" s="3" t="inlineStr">
        <is>
          <t>3 hrs</t>
        </is>
      </c>
    </row>
    <row r="1981" ht="15.75" customHeight="1">
      <c r="A1981" s="3" t="inlineStr">
        <is>
          <t>PROD_0373</t>
        </is>
      </c>
      <c r="B1981" s="3" t="inlineStr">
        <is>
          <t>VAR_3</t>
        </is>
      </c>
      <c r="C1981" s="3" t="inlineStr">
        <is>
          <t>Modular Hardware</t>
        </is>
      </c>
      <c r="D1981" s="3" t="inlineStr">
        <is>
          <t>Locks</t>
        </is>
      </c>
      <c r="E1981" s="3" t="inlineStr">
        <is>
          <t>Godrej</t>
        </is>
      </c>
      <c r="F1981" s="3" t="inlineStr">
        <is>
          <t>Handle Lock</t>
        </is>
      </c>
      <c r="H1981" s="3" t="inlineStr">
        <is>
          <t>Color</t>
        </is>
      </c>
      <c r="I1981" s="3" t="inlineStr">
        <is>
          <t>Matt Black Nickle</t>
        </is>
      </c>
      <c r="J1981" s="3" t="inlineStr">
        <is>
          <t>Style</t>
        </is>
      </c>
      <c r="K1981" s="3" t="inlineStr">
        <is>
          <t>NEH 19 200 mm Door Handle Set 1CK</t>
        </is>
      </c>
      <c r="Q1981" s="3" t="inlineStr">
        <is>
          <t>Manufacturer's Warranty</t>
        </is>
      </c>
      <c r="R1981" s="3" t="n">
        <v>3253</v>
      </c>
      <c r="Y1981" s="3" t="inlineStr">
        <is>
          <t>MH_LOOK_GOD_3</t>
        </is>
      </c>
      <c r="AE1981" s="3" t="n">
        <v>3370</v>
      </c>
      <c r="AF1981" s="4" t="n"/>
      <c r="AG1981" s="3">
        <f>ROUND(AE1981-(AE1981*AF1981),2)</f>
        <v/>
      </c>
      <c r="AH1981" s="4" t="n"/>
      <c r="AI1981" s="3">
        <f>ROUND(AG1981+(AG1981*AH1981),2)</f>
        <v/>
      </c>
      <c r="AJ1981" s="4" t="n"/>
      <c r="AK1981" s="3">
        <f>ROUND(AI1981*AJ1981,2)</f>
        <v/>
      </c>
      <c r="AL1981" s="3">
        <f>AI1981+AK1981</f>
        <v/>
      </c>
      <c r="AM1981" s="3">
        <f>AE1981-AL1981</f>
        <v/>
      </c>
      <c r="AN1981" s="4">
        <f>AM1981/AE1981</f>
        <v/>
      </c>
      <c r="AO1981" s="3" t="inlineStr">
        <is>
          <t>60 mins</t>
        </is>
      </c>
      <c r="AT1981" s="3" t="inlineStr">
        <is>
          <t>3 hrs</t>
        </is>
      </c>
    </row>
    <row r="1982" ht="15.75" customHeight="1">
      <c r="A1982" s="3" t="inlineStr">
        <is>
          <t>PROD_0374</t>
        </is>
      </c>
      <c r="B1982" s="3" t="inlineStr">
        <is>
          <t>VAR_1</t>
        </is>
      </c>
      <c r="C1982" s="3" t="inlineStr">
        <is>
          <t>Modular Hardware</t>
        </is>
      </c>
      <c r="D1982" s="3" t="inlineStr">
        <is>
          <t>Locks</t>
        </is>
      </c>
      <c r="E1982" s="3" t="inlineStr">
        <is>
          <t>Dorset</t>
        </is>
      </c>
      <c r="F1982" s="3" t="inlineStr">
        <is>
          <t>Handle Lock</t>
        </is>
      </c>
      <c r="H1982" s="3" t="inlineStr">
        <is>
          <t>Color</t>
        </is>
      </c>
      <c r="I1982" s="3" t="inlineStr">
        <is>
          <t>Silver Chrome</t>
        </is>
      </c>
      <c r="J1982" s="3" t="inlineStr">
        <is>
          <t>Style</t>
        </is>
      </c>
      <c r="K1982" s="3" t="inlineStr">
        <is>
          <t>Key Lock</t>
        </is>
      </c>
      <c r="Q1982" s="3" t="inlineStr">
        <is>
          <t>Manufacturer's Warranty</t>
        </is>
      </c>
      <c r="R1982" s="3" t="inlineStr">
        <is>
          <t>MLKAIASC</t>
        </is>
      </c>
      <c r="Y1982" s="3" t="inlineStr">
        <is>
          <t>MH_LOCKS_DORSET_6</t>
        </is>
      </c>
      <c r="AE1982" s="3" t="n">
        <v>3265</v>
      </c>
      <c r="AF1982" s="4" t="n"/>
      <c r="AG1982" s="3">
        <f>ROUND(AE1982-(AE1982*AF1982),2)</f>
        <v/>
      </c>
      <c r="AH1982" s="4" t="n"/>
      <c r="AI1982" s="3">
        <f>ROUND(AG1982+(AG1982*AH1982),2)</f>
        <v/>
      </c>
      <c r="AJ1982" s="4" t="n"/>
      <c r="AK1982" s="3">
        <f>ROUND(AI1982*AJ1982,2)</f>
        <v/>
      </c>
      <c r="AL1982" s="3">
        <f>AI1982+AK1982</f>
        <v/>
      </c>
      <c r="AM1982" s="3">
        <f>AE1982-AL1982</f>
        <v/>
      </c>
      <c r="AN1982" s="4">
        <f>AM1982/AE1982</f>
        <v/>
      </c>
      <c r="AO1982" s="3" t="inlineStr">
        <is>
          <t>60 mins</t>
        </is>
      </c>
      <c r="AT1982" s="3" t="inlineStr">
        <is>
          <t>3 hrs</t>
        </is>
      </c>
    </row>
    <row r="1983" ht="15.75" customHeight="1">
      <c r="A1983" s="3" t="inlineStr">
        <is>
          <t>PROD_0374</t>
        </is>
      </c>
      <c r="B1983" s="3" t="inlineStr">
        <is>
          <t>VAR_2</t>
        </is>
      </c>
      <c r="C1983" s="3" t="inlineStr">
        <is>
          <t>Modular Hardware</t>
        </is>
      </c>
      <c r="D1983" s="3" t="inlineStr">
        <is>
          <t>Locks</t>
        </is>
      </c>
      <c r="E1983" s="3" t="inlineStr">
        <is>
          <t>Dorset</t>
        </is>
      </c>
      <c r="F1983" s="3" t="inlineStr">
        <is>
          <t>Handle Lock</t>
        </is>
      </c>
      <c r="H1983" s="3" t="inlineStr">
        <is>
          <t>Color</t>
        </is>
      </c>
      <c r="I1983" s="3" t="inlineStr">
        <is>
          <t>Chrome</t>
        </is>
      </c>
      <c r="J1983" s="3" t="inlineStr">
        <is>
          <t>Style</t>
        </is>
      </c>
      <c r="K1983" s="3" t="inlineStr">
        <is>
          <t>Both Side Key</t>
        </is>
      </c>
      <c r="Q1983" s="3" t="inlineStr">
        <is>
          <t>Manufacturer's Warranty</t>
        </is>
      </c>
      <c r="R1983" s="3" t="inlineStr">
        <is>
          <t>‎Dorset Kaira Lever Handle</t>
        </is>
      </c>
      <c r="Y1983" s="3" t="inlineStr">
        <is>
          <t>MH_LOOK_GOD_SS</t>
        </is>
      </c>
      <c r="AE1983" s="3" t="n">
        <v>3065</v>
      </c>
      <c r="AF1983" s="4" t="n"/>
      <c r="AG1983" s="3">
        <f>ROUND(AE1983-(AE1983*AF1983),2)</f>
        <v/>
      </c>
      <c r="AH1983" s="4" t="n"/>
      <c r="AI1983" s="3">
        <f>ROUND(AG1983+(AG1983*AH1983),2)</f>
        <v/>
      </c>
      <c r="AJ1983" s="4" t="n"/>
      <c r="AK1983" s="3">
        <f>ROUND(AI1983*AJ1983,2)</f>
        <v/>
      </c>
      <c r="AL1983" s="3">
        <f>AI1983+AK1983</f>
        <v/>
      </c>
      <c r="AM1983" s="3">
        <f>AE1983-AL1983</f>
        <v/>
      </c>
      <c r="AN1983" s="4">
        <f>AM1983/AE1983</f>
        <v/>
      </c>
      <c r="AO1983" s="3" t="inlineStr">
        <is>
          <t>60 mins</t>
        </is>
      </c>
      <c r="AT1983" s="3" t="inlineStr">
        <is>
          <t>3 hrs</t>
        </is>
      </c>
    </row>
    <row r="1984" ht="15.75" customHeight="1">
      <c r="A1984" s="3" t="inlineStr">
        <is>
          <t>PROD_0374</t>
        </is>
      </c>
      <c r="B1984" s="3" t="inlineStr">
        <is>
          <t>VAR_3</t>
        </is>
      </c>
      <c r="C1984" s="3" t="inlineStr">
        <is>
          <t>Modular Hardware</t>
        </is>
      </c>
      <c r="D1984" s="3" t="inlineStr">
        <is>
          <t>Locks</t>
        </is>
      </c>
      <c r="E1984" s="3" t="inlineStr">
        <is>
          <t>Dorset</t>
        </is>
      </c>
      <c r="F1984" s="3" t="inlineStr">
        <is>
          <t>Handle Lock</t>
        </is>
      </c>
      <c r="H1984" s="3" t="inlineStr">
        <is>
          <t>Color</t>
        </is>
      </c>
      <c r="I1984" s="3" t="inlineStr">
        <is>
          <t>Chrome</t>
        </is>
      </c>
      <c r="J1984" s="3" t="inlineStr">
        <is>
          <t>Style</t>
        </is>
      </c>
      <c r="K1984" s="3" t="inlineStr">
        <is>
          <t>Key and Knob</t>
        </is>
      </c>
      <c r="Q1984" s="3" t="inlineStr">
        <is>
          <t>Manufacturer's Warranty</t>
        </is>
      </c>
      <c r="R1984" s="3" t="inlineStr">
        <is>
          <t>HLKAIASC</t>
        </is>
      </c>
      <c r="Y1984" s="3" t="inlineStr">
        <is>
          <t>MH_LOOK_GOD_C</t>
        </is>
      </c>
      <c r="AE1984" s="3" t="n">
        <v>3145</v>
      </c>
      <c r="AF1984" s="4" t="n"/>
      <c r="AG1984" s="3">
        <f>ROUND(AE1984-(AE1984*AF1984),2)</f>
        <v/>
      </c>
      <c r="AH1984" s="4" t="n"/>
      <c r="AI1984" s="3">
        <f>ROUND(AG1984+(AG1984*AH1984),2)</f>
        <v/>
      </c>
      <c r="AJ1984" s="4" t="n"/>
      <c r="AK1984" s="3">
        <f>ROUND(AI1984*AJ1984,2)</f>
        <v/>
      </c>
      <c r="AL1984" s="3">
        <f>AI1984+AK1984</f>
        <v/>
      </c>
      <c r="AM1984" s="3">
        <f>AE1984-AL1984</f>
        <v/>
      </c>
      <c r="AN1984" s="4">
        <f>AM1984/AE1984</f>
        <v/>
      </c>
      <c r="AO1984" s="3" t="inlineStr">
        <is>
          <t>60 mins</t>
        </is>
      </c>
      <c r="AT1984" s="3" t="inlineStr">
        <is>
          <t>3 hrs</t>
        </is>
      </c>
    </row>
    <row r="1985" ht="15.75" customHeight="1">
      <c r="A1985" s="3" t="inlineStr">
        <is>
          <t>PROD_0374</t>
        </is>
      </c>
      <c r="B1985" s="3" t="inlineStr">
        <is>
          <t>VAR_4</t>
        </is>
      </c>
      <c r="C1985" s="3" t="inlineStr">
        <is>
          <t>Modular Hardware</t>
        </is>
      </c>
      <c r="D1985" s="3" t="inlineStr">
        <is>
          <t>Locks</t>
        </is>
      </c>
      <c r="E1985" s="3" t="inlineStr">
        <is>
          <t>Dorset</t>
        </is>
      </c>
      <c r="F1985" s="3" t="inlineStr">
        <is>
          <t>Handle Lock</t>
        </is>
      </c>
      <c r="H1985" s="3" t="inlineStr">
        <is>
          <t>Color</t>
        </is>
      </c>
      <c r="I1985" s="3" t="inlineStr">
        <is>
          <t>Antique Brown</t>
        </is>
      </c>
      <c r="J1985" s="3" t="inlineStr">
        <is>
          <t>Style</t>
        </is>
      </c>
      <c r="K1985" s="3" t="inlineStr">
        <is>
          <t>Key Lock</t>
        </is>
      </c>
      <c r="Q1985" s="3" t="inlineStr">
        <is>
          <t>Manufacturer's Warranty</t>
        </is>
      </c>
      <c r="R1985" s="3" t="inlineStr">
        <is>
          <t>‎Key and Knob</t>
        </is>
      </c>
      <c r="Y1985" s="3" t="inlineStr">
        <is>
          <t>MH_LOOK_GOD_A</t>
        </is>
      </c>
      <c r="AE1985" s="3" t="n">
        <v>3750</v>
      </c>
      <c r="AF1985" s="4" t="n"/>
      <c r="AG1985" s="3">
        <f>ROUND(AE1985-(AE1985*AF1985),2)</f>
        <v/>
      </c>
      <c r="AH1985" s="4" t="n"/>
      <c r="AI1985" s="3">
        <f>ROUND(AG1985+(AG1985*AH1985),2)</f>
        <v/>
      </c>
      <c r="AJ1985" s="4" t="n"/>
      <c r="AK1985" s="3">
        <f>ROUND(AI1985*AJ1985,2)</f>
        <v/>
      </c>
      <c r="AL1985" s="3">
        <f>AI1985+AK1985</f>
        <v/>
      </c>
      <c r="AM1985" s="3">
        <f>AE1985-AL1985</f>
        <v/>
      </c>
      <c r="AN1985" s="4">
        <f>AM1985/AE1985</f>
        <v/>
      </c>
      <c r="AO1985" s="3" t="inlineStr">
        <is>
          <t>60 mins</t>
        </is>
      </c>
      <c r="AT1985" s="3" t="inlineStr">
        <is>
          <t>3 hrs</t>
        </is>
      </c>
    </row>
    <row r="1986" ht="15.75" customHeight="1">
      <c r="A1986" s="3" t="inlineStr">
        <is>
          <t>PROD_0374</t>
        </is>
      </c>
      <c r="B1986" s="3" t="inlineStr">
        <is>
          <t>VAR_5</t>
        </is>
      </c>
      <c r="C1986" s="3" t="inlineStr">
        <is>
          <t>Modular Hardware</t>
        </is>
      </c>
      <c r="D1986" s="3" t="inlineStr">
        <is>
          <t>Locks</t>
        </is>
      </c>
      <c r="E1986" s="3" t="inlineStr">
        <is>
          <t>Dorset</t>
        </is>
      </c>
      <c r="F1986" s="3" t="inlineStr">
        <is>
          <t>Handle Lock</t>
        </is>
      </c>
      <c r="H1986" s="3" t="inlineStr">
        <is>
          <t>Color</t>
        </is>
      </c>
      <c r="I1986" s="3" t="inlineStr">
        <is>
          <t>Brown</t>
        </is>
      </c>
      <c r="J1986" s="3" t="inlineStr">
        <is>
          <t>Style</t>
        </is>
      </c>
      <c r="K1986" s="3" t="inlineStr">
        <is>
          <t>Both Side Key</t>
        </is>
      </c>
      <c r="Q1986" s="3" t="inlineStr">
        <is>
          <t>Manufacturer's Warranty</t>
        </is>
      </c>
      <c r="R1986" s="3" t="inlineStr">
        <is>
          <t>Both Side Key</t>
        </is>
      </c>
      <c r="AE1986" s="3" t="n">
        <v>3680</v>
      </c>
      <c r="AF1986" s="4" t="n"/>
      <c r="AG1986" s="3">
        <f>ROUND(AE1986-(AE1986*AF1986),2)</f>
        <v/>
      </c>
      <c r="AH1986" s="4" t="n"/>
      <c r="AI1986" s="3">
        <f>ROUND(AG1986+(AG1986*AH1986),2)</f>
        <v/>
      </c>
      <c r="AJ1986" s="4" t="n"/>
      <c r="AK1986" s="3">
        <f>ROUND(AI1986*AJ1986,2)</f>
        <v/>
      </c>
      <c r="AL1986" s="3">
        <f>AI1986+AK1986</f>
        <v/>
      </c>
      <c r="AM1986" s="3">
        <f>AE1986-AL1986</f>
        <v/>
      </c>
      <c r="AN1986" s="4">
        <f>AM1986/AE1986</f>
        <v/>
      </c>
      <c r="AO1986" s="3" t="inlineStr">
        <is>
          <t>60 mins</t>
        </is>
      </c>
      <c r="AT1986" s="3" t="inlineStr">
        <is>
          <t>3 hrs</t>
        </is>
      </c>
    </row>
    <row r="1987" ht="15.75" customHeight="1">
      <c r="A1987" s="3" t="inlineStr">
        <is>
          <t>PROD_0374</t>
        </is>
      </c>
      <c r="B1987" s="3" t="inlineStr">
        <is>
          <t>VAR_6</t>
        </is>
      </c>
      <c r="C1987" s="3" t="inlineStr">
        <is>
          <t>Modular Hardware</t>
        </is>
      </c>
      <c r="D1987" s="3" t="inlineStr">
        <is>
          <t>Locks</t>
        </is>
      </c>
      <c r="E1987" s="3" t="inlineStr">
        <is>
          <t>Dorset</t>
        </is>
      </c>
      <c r="F1987" s="3" t="inlineStr">
        <is>
          <t>Handle Lock</t>
        </is>
      </c>
      <c r="H1987" s="3" t="inlineStr">
        <is>
          <t>Color</t>
        </is>
      </c>
      <c r="I1987" s="3" t="inlineStr">
        <is>
          <t>Brown</t>
        </is>
      </c>
      <c r="J1987" s="3" t="inlineStr">
        <is>
          <t>Style</t>
        </is>
      </c>
      <c r="K1987" s="3" t="inlineStr">
        <is>
          <t>Coin and Knob</t>
        </is>
      </c>
      <c r="Q1987" s="3" t="inlineStr">
        <is>
          <t>Manufacturer's Warranty</t>
        </is>
      </c>
      <c r="R1987" s="3" t="inlineStr">
        <is>
          <t>Coin and Knob</t>
        </is>
      </c>
      <c r="AE1987" s="3" t="n">
        <v>3680</v>
      </c>
      <c r="AF1987" s="4" t="n"/>
      <c r="AG1987" s="3">
        <f>ROUND(AE1987-(AE1987*AF1987),2)</f>
        <v/>
      </c>
      <c r="AH1987" s="4" t="n"/>
      <c r="AI1987" s="3">
        <f>ROUND(AG1987+(AG1987*AH1987),2)</f>
        <v/>
      </c>
      <c r="AJ1987" s="4" t="n"/>
      <c r="AK1987" s="3">
        <f>ROUND(AI1987*AJ1987,2)</f>
        <v/>
      </c>
      <c r="AL1987" s="3">
        <f>AI1987+AK1987</f>
        <v/>
      </c>
      <c r="AM1987" s="3">
        <f>AE1987-AL1987</f>
        <v/>
      </c>
      <c r="AN1987" s="4">
        <f>AM1987/AE1987</f>
        <v/>
      </c>
      <c r="AO1987" s="3" t="inlineStr">
        <is>
          <t>60 mins</t>
        </is>
      </c>
      <c r="AT1987" s="3" t="inlineStr">
        <is>
          <t>3 hrs</t>
        </is>
      </c>
    </row>
    <row r="1988" ht="15.75" customHeight="1">
      <c r="A1988" s="3" t="inlineStr">
        <is>
          <t>PROD_0374</t>
        </is>
      </c>
      <c r="B1988" s="3" t="inlineStr">
        <is>
          <t>VAR_7</t>
        </is>
      </c>
      <c r="C1988" s="3" t="inlineStr">
        <is>
          <t>Modular Hardware</t>
        </is>
      </c>
      <c r="D1988" s="3" t="inlineStr">
        <is>
          <t>Locks</t>
        </is>
      </c>
      <c r="E1988" s="3" t="inlineStr">
        <is>
          <t>Dorset</t>
        </is>
      </c>
      <c r="F1988" s="3" t="inlineStr">
        <is>
          <t>Handle Lock</t>
        </is>
      </c>
      <c r="H1988" s="3" t="inlineStr">
        <is>
          <t>Color</t>
        </is>
      </c>
      <c r="I1988" s="3" t="inlineStr">
        <is>
          <t>Brown</t>
        </is>
      </c>
      <c r="J1988" s="3" t="inlineStr">
        <is>
          <t>Style</t>
        </is>
      </c>
      <c r="K1988" s="3" t="inlineStr">
        <is>
          <t>Key and Knob</t>
        </is>
      </c>
      <c r="Q1988" s="3" t="inlineStr">
        <is>
          <t>Manufacturer's Warranty</t>
        </is>
      </c>
      <c r="R1988" s="3" t="inlineStr">
        <is>
          <t>MLZOVAPT</t>
        </is>
      </c>
      <c r="Y1988" s="3" t="inlineStr">
        <is>
          <t>MH_LOCKS_DORSET_5</t>
        </is>
      </c>
      <c r="AE1988" s="3" t="n">
        <v>3540</v>
      </c>
      <c r="AF1988" s="4" t="n"/>
      <c r="AG1988" s="3">
        <f>ROUND(AE1988-(AE1988*AF1988),2)</f>
        <v/>
      </c>
      <c r="AH1988" s="4" t="n"/>
      <c r="AI1988" s="3">
        <f>ROUND(AG1988+(AG1988*AH1988),2)</f>
        <v/>
      </c>
      <c r="AJ1988" s="4" t="n"/>
      <c r="AK1988" s="3">
        <f>ROUND(AI1988*AJ1988,2)</f>
        <v/>
      </c>
      <c r="AL1988" s="3">
        <f>AI1988+AK1988</f>
        <v/>
      </c>
      <c r="AM1988" s="3">
        <f>AE1988-AL1988</f>
        <v/>
      </c>
      <c r="AN1988" s="4">
        <f>AM1988/AE1988</f>
        <v/>
      </c>
      <c r="AO1988" s="3" t="inlineStr">
        <is>
          <t>60 mins</t>
        </is>
      </c>
      <c r="AT1988" s="3" t="inlineStr">
        <is>
          <t>3 hrs</t>
        </is>
      </c>
    </row>
    <row r="1989" ht="15.75" customHeight="1">
      <c r="A1989" s="3" t="inlineStr">
        <is>
          <t>PROD_0374</t>
        </is>
      </c>
      <c r="B1989" s="3" t="inlineStr">
        <is>
          <t>VAR_8</t>
        </is>
      </c>
      <c r="C1989" s="3" t="inlineStr">
        <is>
          <t>Modular Hardware</t>
        </is>
      </c>
      <c r="D1989" s="3" t="inlineStr">
        <is>
          <t>Locks</t>
        </is>
      </c>
      <c r="E1989" s="3" t="inlineStr">
        <is>
          <t>Dorset</t>
        </is>
      </c>
      <c r="F1989" s="3" t="inlineStr">
        <is>
          <t>Handle Lock</t>
        </is>
      </c>
      <c r="H1989" s="3" t="inlineStr">
        <is>
          <t>Color</t>
        </is>
      </c>
      <c r="I1989" s="3" t="inlineStr">
        <is>
          <t>Satin Chrome</t>
        </is>
      </c>
      <c r="J1989" s="3" t="inlineStr">
        <is>
          <t>Style</t>
        </is>
      </c>
      <c r="K1989" s="3" t="inlineStr">
        <is>
          <t>Key Lock</t>
        </is>
      </c>
      <c r="Q1989" s="3" t="inlineStr">
        <is>
          <t>Manufacturer's Warranty</t>
        </is>
      </c>
      <c r="R1989" s="3" t="inlineStr">
        <is>
          <t>HLOBLKSC</t>
        </is>
      </c>
      <c r="Y1989" s="3" t="inlineStr">
        <is>
          <t>MH_LOCKS_DORSET_4</t>
        </is>
      </c>
      <c r="AE1989" s="3" t="n">
        <v>1605</v>
      </c>
      <c r="AF1989" s="4" t="n"/>
      <c r="AG1989" s="3">
        <f>ROUND(AE1989-(AE1989*AF1989),2)</f>
        <v/>
      </c>
      <c r="AH1989" s="4" t="n"/>
      <c r="AI1989" s="3">
        <f>ROUND(AG1989+(AG1989*AH1989),2)</f>
        <v/>
      </c>
      <c r="AJ1989" s="4" t="n"/>
      <c r="AK1989" s="3">
        <f>ROUND(AI1989*AJ1989,2)</f>
        <v/>
      </c>
      <c r="AL1989" s="3">
        <f>AI1989+AK1989</f>
        <v/>
      </c>
      <c r="AM1989" s="3">
        <f>AE1989-AL1989</f>
        <v/>
      </c>
      <c r="AN1989" s="4">
        <f>AM1989/AE1989</f>
        <v/>
      </c>
      <c r="AO1989" s="3" t="inlineStr">
        <is>
          <t>60 mins</t>
        </is>
      </c>
      <c r="AT1989" s="3" t="inlineStr">
        <is>
          <t>3 hrs</t>
        </is>
      </c>
    </row>
    <row r="1990" ht="15.75" customHeight="1">
      <c r="A1990" s="3" t="inlineStr">
        <is>
          <t>PROD_0375</t>
        </is>
      </c>
      <c r="B1990" s="3" t="inlineStr">
        <is>
          <t>VAR_1</t>
        </is>
      </c>
      <c r="C1990" s="3" t="inlineStr">
        <is>
          <t>Modular Hardware</t>
        </is>
      </c>
      <c r="D1990" s="3" t="inlineStr">
        <is>
          <t>Locks</t>
        </is>
      </c>
      <c r="E1990" s="3" t="inlineStr">
        <is>
          <t>Dorset</t>
        </is>
      </c>
      <c r="F1990" s="3" t="inlineStr">
        <is>
          <t>Latch Lock</t>
        </is>
      </c>
      <c r="H1990" s="3" t="inlineStr">
        <is>
          <t>Color</t>
        </is>
      </c>
      <c r="I1990" s="3" t="inlineStr">
        <is>
          <t>Silver</t>
        </is>
      </c>
      <c r="J1990" s="3" t="inlineStr">
        <is>
          <t>Style</t>
        </is>
      </c>
      <c r="K1990" s="3" t="inlineStr">
        <is>
          <t>Key Lock</t>
        </is>
      </c>
      <c r="Q1990" s="3" t="inlineStr">
        <is>
          <t>Manufacturer's Warranty</t>
        </is>
      </c>
      <c r="R1990" s="3" t="inlineStr">
        <is>
          <t>SM101NS</t>
        </is>
      </c>
      <c r="Y1990" s="3" t="inlineStr">
        <is>
          <t>MH_LOCKS_DORSET_3</t>
        </is>
      </c>
      <c r="AE1990" s="3" t="n">
        <v>1720</v>
      </c>
      <c r="AF1990" s="4" t="n"/>
      <c r="AG1990" s="3">
        <f>ROUND(AE1990-(AE1990*AF1990),2)</f>
        <v/>
      </c>
      <c r="AH1990" s="4" t="n"/>
      <c r="AI1990" s="3">
        <f>ROUND(AG1990+(AG1990*AH1990),2)</f>
        <v/>
      </c>
      <c r="AJ1990" s="4" t="n"/>
      <c r="AK1990" s="3">
        <f>ROUND(AI1990*AJ1990,2)</f>
        <v/>
      </c>
      <c r="AL1990" s="3">
        <f>AI1990+AK1990</f>
        <v/>
      </c>
      <c r="AM1990" s="3">
        <f>AE1990-AL1990</f>
        <v/>
      </c>
      <c r="AN1990" s="4">
        <f>AM1990/AE1990</f>
        <v/>
      </c>
      <c r="AO1990" s="3" t="inlineStr">
        <is>
          <t>60 mins</t>
        </is>
      </c>
      <c r="AT1990" s="3" t="inlineStr">
        <is>
          <t>3 hrs</t>
        </is>
      </c>
    </row>
    <row r="1991" ht="15.75" customHeight="1">
      <c r="A1991" s="3" t="inlineStr">
        <is>
          <t>PROD_0376</t>
        </is>
      </c>
      <c r="B1991" s="3" t="inlineStr">
        <is>
          <t>VAR_1</t>
        </is>
      </c>
      <c r="C1991" s="3" t="inlineStr">
        <is>
          <t>Modular Hardware</t>
        </is>
      </c>
      <c r="D1991" s="3" t="inlineStr">
        <is>
          <t>Locks</t>
        </is>
      </c>
      <c r="E1991" s="3" t="inlineStr">
        <is>
          <t>Dorset</t>
        </is>
      </c>
      <c r="F1991" s="3" t="inlineStr">
        <is>
          <t>Rim Lock</t>
        </is>
      </c>
      <c r="H1991" s="3" t="inlineStr">
        <is>
          <t>Color</t>
        </is>
      </c>
      <c r="I1991" s="3" t="inlineStr">
        <is>
          <t>Nickel Silver</t>
        </is>
      </c>
      <c r="J1991" s="3" t="inlineStr">
        <is>
          <t>Style</t>
        </is>
      </c>
      <c r="K1991" s="3" t="inlineStr">
        <is>
          <t>Deadbolt</t>
        </is>
      </c>
      <c r="Q1991" s="3" t="inlineStr">
        <is>
          <t>Manufacturer's Warranty</t>
        </is>
      </c>
      <c r="R1991" s="3" t="inlineStr">
        <is>
          <t>PHA303NS</t>
        </is>
      </c>
      <c r="Y1991" s="3" t="inlineStr">
        <is>
          <t>MH_LOCKS_DORSET_2</t>
        </is>
      </c>
      <c r="AE1991" s="3" t="n">
        <v>3470</v>
      </c>
      <c r="AF1991" s="4" t="n"/>
      <c r="AG1991" s="3">
        <f>ROUND(AE1991-(AE1991*AF1991),2)</f>
        <v/>
      </c>
      <c r="AH1991" s="4" t="n"/>
      <c r="AI1991" s="3">
        <f>ROUND(AG1991+(AG1991*AH1991),2)</f>
        <v/>
      </c>
      <c r="AJ1991" s="4" t="n"/>
      <c r="AK1991" s="3">
        <f>ROUND(AI1991*AJ1991,2)</f>
        <v/>
      </c>
      <c r="AL1991" s="3">
        <f>AI1991+AK1991</f>
        <v/>
      </c>
      <c r="AM1991" s="3">
        <f>AE1991-AL1991</f>
        <v/>
      </c>
      <c r="AN1991" s="4">
        <f>AM1991/AE1991</f>
        <v/>
      </c>
      <c r="AO1991" s="3" t="inlineStr">
        <is>
          <t>60 mins</t>
        </is>
      </c>
      <c r="AT1991" s="3" t="inlineStr">
        <is>
          <t>3 hrs</t>
        </is>
      </c>
    </row>
    <row r="1992" ht="15.75" customHeight="1">
      <c r="A1992" s="3" t="inlineStr">
        <is>
          <t>PROD_0376</t>
        </is>
      </c>
      <c r="B1992" s="3" t="inlineStr">
        <is>
          <t>VAR_2</t>
        </is>
      </c>
      <c r="C1992" s="3" t="inlineStr">
        <is>
          <t>Modular Hardware</t>
        </is>
      </c>
      <c r="D1992" s="3" t="inlineStr">
        <is>
          <t>Locks</t>
        </is>
      </c>
      <c r="E1992" s="3" t="inlineStr">
        <is>
          <t>Dorset</t>
        </is>
      </c>
      <c r="F1992" s="3" t="inlineStr">
        <is>
          <t>Rim Lock</t>
        </is>
      </c>
      <c r="H1992" s="3" t="inlineStr">
        <is>
          <t>Color</t>
        </is>
      </c>
      <c r="I1992" s="3" t="inlineStr">
        <is>
          <t>Antique</t>
        </is>
      </c>
      <c r="J1992" s="3" t="inlineStr">
        <is>
          <t>Style</t>
        </is>
      </c>
      <c r="K1992" s="3" t="inlineStr">
        <is>
          <t>Deadbolt</t>
        </is>
      </c>
      <c r="Q1992" s="3" t="inlineStr">
        <is>
          <t>Manufacturer's Warranty</t>
        </is>
      </c>
      <c r="R1992" s="3" t="inlineStr">
        <is>
          <t>PHA 303MPT</t>
        </is>
      </c>
      <c r="Y1992" s="3" t="inlineStr">
        <is>
          <t>MH_LOCKS_DORSET_1</t>
        </is>
      </c>
      <c r="AE1992" s="3" t="n">
        <v>3580</v>
      </c>
      <c r="AF1992" s="4" t="n"/>
      <c r="AG1992" s="3">
        <f>ROUND(AE1992-(AE1992*AF1992),2)</f>
        <v/>
      </c>
      <c r="AH1992" s="4" t="n"/>
      <c r="AI1992" s="3">
        <f>ROUND(AG1992+(AG1992*AH1992),2)</f>
        <v/>
      </c>
      <c r="AJ1992" s="4" t="n"/>
      <c r="AK1992" s="3">
        <f>ROUND(AI1992*AJ1992,2)</f>
        <v/>
      </c>
      <c r="AL1992" s="3">
        <f>AI1992+AK1992</f>
        <v/>
      </c>
      <c r="AM1992" s="3">
        <f>AE1992-AL1992</f>
        <v/>
      </c>
      <c r="AN1992" s="4">
        <f>AM1992/AE1992</f>
        <v/>
      </c>
      <c r="AO1992" s="3" t="inlineStr">
        <is>
          <t>60 mins</t>
        </is>
      </c>
      <c r="AT1992" s="3" t="inlineStr">
        <is>
          <t>3 hrs</t>
        </is>
      </c>
    </row>
    <row r="1993" ht="15.75" customHeight="1">
      <c r="A1993" s="3" t="inlineStr">
        <is>
          <t>PROD_0377</t>
        </is>
      </c>
      <c r="B1993" s="3" t="inlineStr">
        <is>
          <t>VAR_1</t>
        </is>
      </c>
      <c r="C1993" s="3" t="inlineStr">
        <is>
          <t>Paint</t>
        </is>
      </c>
      <c r="D1993" s="3" t="inlineStr">
        <is>
          <t>Grout</t>
        </is>
      </c>
      <c r="E1993" s="3" t="inlineStr">
        <is>
          <t>Makphalt</t>
        </is>
      </c>
      <c r="F1993" s="3" t="inlineStr">
        <is>
          <t>Tile Grout 1 Kg</t>
        </is>
      </c>
      <c r="H1993" s="3" t="inlineStr">
        <is>
          <t>Color</t>
        </is>
      </c>
      <c r="I1993" s="3" t="inlineStr">
        <is>
          <t>White</t>
        </is>
      </c>
      <c r="Q1993" s="3" t="inlineStr">
        <is>
          <t>Manufacturer's Warranty</t>
        </is>
      </c>
      <c r="Y1993" s="3" t="inlineStr">
        <is>
          <t>PAINT_GROUT_1</t>
        </is>
      </c>
      <c r="AE1993" s="3" t="n">
        <v>589</v>
      </c>
      <c r="AF1993" s="4" t="n"/>
      <c r="AG1993" s="3">
        <f>ROUND(AE1993-(AE1993*AF1993),2)</f>
        <v/>
      </c>
      <c r="AH1993" s="4" t="n"/>
      <c r="AI1993" s="3">
        <f>ROUND(AG1993+(AG1993*AH1993),2)</f>
        <v/>
      </c>
      <c r="AJ1993" s="4" t="n"/>
      <c r="AK1993" s="3">
        <f>ROUND(AI1993*AJ1993,2)</f>
        <v/>
      </c>
      <c r="AL1993" s="3">
        <f>AI1993+AK1993</f>
        <v/>
      </c>
      <c r="AM1993" s="3">
        <f>AE1993-AL1993</f>
        <v/>
      </c>
      <c r="AN1993" s="4">
        <f>AM1993/AE1993</f>
        <v/>
      </c>
    </row>
    <row r="1994" ht="15.75" customHeight="1">
      <c r="A1994" s="3" t="inlineStr">
        <is>
          <t>PROD_0377</t>
        </is>
      </c>
      <c r="B1994" s="3" t="inlineStr">
        <is>
          <t>VAR_2</t>
        </is>
      </c>
      <c r="C1994" s="3" t="inlineStr">
        <is>
          <t>Paint</t>
        </is>
      </c>
      <c r="D1994" s="3" t="inlineStr">
        <is>
          <t>Grout</t>
        </is>
      </c>
      <c r="E1994" s="3" t="inlineStr">
        <is>
          <t>Makphalt</t>
        </is>
      </c>
      <c r="F1994" s="3" t="inlineStr">
        <is>
          <t>Tile Grout 1 Kg</t>
        </is>
      </c>
      <c r="H1994" s="3" t="inlineStr">
        <is>
          <t>Color</t>
        </is>
      </c>
      <c r="I1994" s="3" t="inlineStr">
        <is>
          <t>Alpine Blue</t>
        </is>
      </c>
      <c r="Q1994" s="3" t="inlineStr">
        <is>
          <t>Manufacturer's Warranty</t>
        </is>
      </c>
      <c r="Y1994" s="3" t="inlineStr">
        <is>
          <t>PAINT_GROUT_2</t>
        </is>
      </c>
      <c r="AE1994" s="3" t="n">
        <v>589</v>
      </c>
      <c r="AF1994" s="4" t="n"/>
      <c r="AG1994" s="3">
        <f>ROUND(AE1994-(AE1994*AF1994),2)</f>
        <v/>
      </c>
      <c r="AH1994" s="4" t="n"/>
      <c r="AI1994" s="3">
        <f>ROUND(AG1994+(AG1994*AH1994),2)</f>
        <v/>
      </c>
      <c r="AJ1994" s="4" t="n"/>
      <c r="AK1994" s="3">
        <f>ROUND(AI1994*AJ1994,2)</f>
        <v/>
      </c>
      <c r="AL1994" s="3">
        <f>AI1994+AK1994</f>
        <v/>
      </c>
      <c r="AM1994" s="3">
        <f>AE1994-AL1994</f>
        <v/>
      </c>
      <c r="AN1994" s="4">
        <f>AM1994/AE1994</f>
        <v/>
      </c>
    </row>
    <row r="1995" ht="15.75" customHeight="1">
      <c r="A1995" s="3" t="inlineStr">
        <is>
          <t>PROD_0377</t>
        </is>
      </c>
      <c r="B1995" s="3" t="inlineStr">
        <is>
          <t>VAR_3</t>
        </is>
      </c>
      <c r="C1995" s="3" t="inlineStr">
        <is>
          <t>Paint</t>
        </is>
      </c>
      <c r="D1995" s="3" t="inlineStr">
        <is>
          <t>Grout</t>
        </is>
      </c>
      <c r="E1995" s="3" t="inlineStr">
        <is>
          <t>Makphalt</t>
        </is>
      </c>
      <c r="F1995" s="3" t="inlineStr">
        <is>
          <t>Tile Grout 1 Kg</t>
        </is>
      </c>
      <c r="H1995" s="3" t="inlineStr">
        <is>
          <t>Color</t>
        </is>
      </c>
      <c r="I1995" s="3" t="inlineStr">
        <is>
          <t>Dark Brown</t>
        </is>
      </c>
      <c r="Q1995" s="3" t="inlineStr">
        <is>
          <t>Manufacturer's Warranty</t>
        </is>
      </c>
      <c r="Y1995" s="3" t="inlineStr">
        <is>
          <t>PAINT_GROUT_2</t>
        </is>
      </c>
      <c r="AE1995" s="3" t="n">
        <v>589</v>
      </c>
      <c r="AF1995" s="4" t="n"/>
      <c r="AG1995" s="3">
        <f>ROUND(AE1995-(AE1995*AF1995),2)</f>
        <v/>
      </c>
      <c r="AH1995" s="4" t="n"/>
      <c r="AI1995" s="3">
        <f>ROUND(AG1995+(AG1995*AH1995),2)</f>
        <v/>
      </c>
      <c r="AJ1995" s="4" t="n"/>
      <c r="AK1995" s="3">
        <f>ROUND(AI1995*AJ1995,2)</f>
        <v/>
      </c>
      <c r="AL1995" s="3">
        <f>AI1995+AK1995</f>
        <v/>
      </c>
      <c r="AM1995" s="3">
        <f>AE1995-AL1995</f>
        <v/>
      </c>
      <c r="AN1995" s="4">
        <f>AM1995/AE1995</f>
        <v/>
      </c>
    </row>
    <row r="1996" ht="15.75" customHeight="1">
      <c r="A1996" s="3" t="inlineStr">
        <is>
          <t>PROD_0377</t>
        </is>
      </c>
      <c r="B1996" s="3" t="inlineStr">
        <is>
          <t>VAR_4</t>
        </is>
      </c>
      <c r="C1996" s="3" t="inlineStr">
        <is>
          <t>Paint</t>
        </is>
      </c>
      <c r="D1996" s="3" t="inlineStr">
        <is>
          <t>Grout</t>
        </is>
      </c>
      <c r="E1996" s="3" t="inlineStr">
        <is>
          <t>Makphalt</t>
        </is>
      </c>
      <c r="F1996" s="3" t="inlineStr">
        <is>
          <t>Tile Grout 1 Kg</t>
        </is>
      </c>
      <c r="H1996" s="3" t="inlineStr">
        <is>
          <t>Color</t>
        </is>
      </c>
      <c r="I1996" s="3" t="inlineStr">
        <is>
          <t>Ivory</t>
        </is>
      </c>
      <c r="Q1996" s="3" t="inlineStr">
        <is>
          <t>Manufacturer's Warranty</t>
        </is>
      </c>
      <c r="Y1996" s="3" t="inlineStr">
        <is>
          <t>PAINT_GROUT_2</t>
        </is>
      </c>
      <c r="AE1996" s="3" t="n">
        <v>589</v>
      </c>
      <c r="AF1996" s="4" t="n"/>
      <c r="AG1996" s="3">
        <f>ROUND(AE1996-(AE1996*AF1996),2)</f>
        <v/>
      </c>
      <c r="AH1996" s="4" t="n"/>
      <c r="AI1996" s="3">
        <f>ROUND(AG1996+(AG1996*AH1996),2)</f>
        <v/>
      </c>
      <c r="AJ1996" s="4" t="n"/>
      <c r="AK1996" s="3">
        <f>ROUND(AI1996*AJ1996,2)</f>
        <v/>
      </c>
      <c r="AL1996" s="3">
        <f>AI1996+AK1996</f>
        <v/>
      </c>
      <c r="AM1996" s="3">
        <f>AE1996-AL1996</f>
        <v/>
      </c>
      <c r="AN1996" s="4">
        <f>AM1996/AE1996</f>
        <v/>
      </c>
    </row>
    <row r="1997" ht="15.75" customHeight="1">
      <c r="A1997" s="3" t="inlineStr">
        <is>
          <t>PROD_0378</t>
        </is>
      </c>
      <c r="B1997" s="3" t="inlineStr">
        <is>
          <t>VAR_1</t>
        </is>
      </c>
      <c r="C1997" s="3" t="inlineStr">
        <is>
          <t>Paint</t>
        </is>
      </c>
      <c r="D1997" s="3" t="inlineStr">
        <is>
          <t>Grout</t>
        </is>
      </c>
      <c r="E1997" s="3" t="inlineStr">
        <is>
          <t>Generic</t>
        </is>
      </c>
      <c r="F1997" s="3" t="inlineStr">
        <is>
          <t>Tile Grout 1 Kg</t>
        </is>
      </c>
      <c r="H1997" s="3" t="inlineStr">
        <is>
          <t>Color</t>
        </is>
      </c>
      <c r="I1997" s="3" t="inlineStr">
        <is>
          <t>Black</t>
        </is>
      </c>
      <c r="Q1997" s="3" t="inlineStr">
        <is>
          <t>Manufacturer's Warranty</t>
        </is>
      </c>
      <c r="Y1997" s="3" t="inlineStr">
        <is>
          <t>PAINT_GROUT_3</t>
        </is>
      </c>
      <c r="AE1997" s="3" t="n">
        <v>519</v>
      </c>
      <c r="AF1997" s="4" t="n"/>
      <c r="AG1997" s="3">
        <f>ROUND(AE1997-(AE1997*AF1997),2)</f>
        <v/>
      </c>
      <c r="AH1997" s="4" t="n"/>
      <c r="AI1997" s="3">
        <f>ROUND(AG1997+(AG1997*AH1997),2)</f>
        <v/>
      </c>
      <c r="AJ1997" s="4" t="n"/>
      <c r="AK1997" s="3">
        <f>ROUND(AI1997*AJ1997,2)</f>
        <v/>
      </c>
      <c r="AL1997" s="3">
        <f>AI1997+AK1997</f>
        <v/>
      </c>
      <c r="AM1997" s="3">
        <f>AE1997-AL1997</f>
        <v/>
      </c>
      <c r="AN1997" s="4">
        <f>AM1997/AE1997</f>
        <v/>
      </c>
    </row>
    <row r="1998" ht="15.75" customHeight="1">
      <c r="A1998" s="3" t="inlineStr">
        <is>
          <t>PROD_0378</t>
        </is>
      </c>
      <c r="B1998" s="3" t="inlineStr">
        <is>
          <t>VAR_2</t>
        </is>
      </c>
      <c r="C1998" s="3" t="inlineStr">
        <is>
          <t>Paint</t>
        </is>
      </c>
      <c r="D1998" s="3" t="inlineStr">
        <is>
          <t>Grout</t>
        </is>
      </c>
      <c r="E1998" s="3" t="inlineStr">
        <is>
          <t>Generic</t>
        </is>
      </c>
      <c r="F1998" s="3" t="inlineStr">
        <is>
          <t>Tile Grout 1 Kg</t>
        </is>
      </c>
      <c r="H1998" s="3" t="inlineStr">
        <is>
          <t>Color</t>
        </is>
      </c>
      <c r="I1998" s="3" t="inlineStr">
        <is>
          <t>Ivory</t>
        </is>
      </c>
      <c r="Q1998" s="3" t="inlineStr">
        <is>
          <t>Manufacturer's Warranty</t>
        </is>
      </c>
      <c r="Y1998" s="3" t="inlineStr">
        <is>
          <t>paint_grout_4</t>
        </is>
      </c>
      <c r="AE1998" s="3" t="n">
        <v>519</v>
      </c>
      <c r="AF1998" s="4" t="n"/>
      <c r="AG1998" s="3">
        <f>ROUND(AE1998-(AE1998*AF1998),2)</f>
        <v/>
      </c>
      <c r="AH1998" s="4" t="n"/>
      <c r="AI1998" s="3">
        <f>ROUND(AG1998+(AG1998*AH1998),2)</f>
        <v/>
      </c>
      <c r="AJ1998" s="4" t="n"/>
      <c r="AK1998" s="3">
        <f>ROUND(AI1998*AJ1998,2)</f>
        <v/>
      </c>
      <c r="AL1998" s="3">
        <f>AI1998+AK1998</f>
        <v/>
      </c>
      <c r="AM1998" s="3">
        <f>AE1998-AL1998</f>
        <v/>
      </c>
      <c r="AN1998" s="4">
        <f>AM1998/AE1998</f>
        <v/>
      </c>
    </row>
    <row r="1999" ht="15.75" customHeight="1">
      <c r="A1999" s="3" t="inlineStr">
        <is>
          <t>PROD_0379</t>
        </is>
      </c>
      <c r="B1999" s="3" t="inlineStr">
        <is>
          <t>VAR_1</t>
        </is>
      </c>
      <c r="C1999" s="3" t="inlineStr">
        <is>
          <t>Paint</t>
        </is>
      </c>
      <c r="D1999" s="3" t="inlineStr">
        <is>
          <t>Grout</t>
        </is>
      </c>
      <c r="E1999" s="3" t="inlineStr">
        <is>
          <t>Trimurti</t>
        </is>
      </c>
      <c r="F1999" s="3" t="inlineStr">
        <is>
          <t>Tile Grout 1 Kg</t>
        </is>
      </c>
      <c r="H1999" s="3" t="inlineStr">
        <is>
          <t>Color</t>
        </is>
      </c>
      <c r="I1999" s="3" t="inlineStr">
        <is>
          <t>Antique White</t>
        </is>
      </c>
      <c r="Q1999" s="3" t="inlineStr">
        <is>
          <t>Manufacturer's Warranty</t>
        </is>
      </c>
      <c r="Y1999" s="3" t="inlineStr">
        <is>
          <t>PAINT_GROUT_TRI_1</t>
        </is>
      </c>
      <c r="AE1999" s="3" t="n">
        <v>180</v>
      </c>
      <c r="AF1999" s="4" t="n"/>
      <c r="AG1999" s="3">
        <f>ROUND(AE1999-(AE1999*AF1999),2)</f>
        <v/>
      </c>
      <c r="AH1999" s="4" t="n"/>
      <c r="AI1999" s="3">
        <f>ROUND(AG1999+(AG1999*AH1999),2)</f>
        <v/>
      </c>
      <c r="AJ1999" s="4" t="n"/>
      <c r="AK1999" s="3">
        <f>ROUND(AI1999*AJ1999,2)</f>
        <v/>
      </c>
      <c r="AL1999" s="3">
        <f>AI1999+AK1999</f>
        <v/>
      </c>
      <c r="AM1999" s="3">
        <f>AE1999-AL1999</f>
        <v/>
      </c>
      <c r="AN1999" s="4">
        <f>AM1999/AE1999</f>
        <v/>
      </c>
    </row>
    <row r="2000" ht="15.75" customHeight="1">
      <c r="A2000" s="3" t="inlineStr">
        <is>
          <t>PROD_0379</t>
        </is>
      </c>
      <c r="B2000" s="3" t="inlineStr">
        <is>
          <t>VAR_2</t>
        </is>
      </c>
      <c r="C2000" s="3" t="inlineStr">
        <is>
          <t>Paint</t>
        </is>
      </c>
      <c r="D2000" s="3" t="inlineStr">
        <is>
          <t>Grout</t>
        </is>
      </c>
      <c r="E2000" s="3" t="inlineStr">
        <is>
          <t>Trimurti</t>
        </is>
      </c>
      <c r="F2000" s="3" t="inlineStr">
        <is>
          <t>Tile Grout 1 Kg</t>
        </is>
      </c>
      <c r="H2000" s="3" t="inlineStr">
        <is>
          <t>Color</t>
        </is>
      </c>
      <c r="I2000" s="3" t="inlineStr">
        <is>
          <t>Tusk Ivory</t>
        </is>
      </c>
      <c r="Q2000" s="3" t="inlineStr">
        <is>
          <t>Manufacturer's Warranty</t>
        </is>
      </c>
      <c r="Y2000" s="3" t="inlineStr">
        <is>
          <t>PAINT_GROUT_TRI_1</t>
        </is>
      </c>
      <c r="AE2000" s="3" t="n">
        <v>180</v>
      </c>
      <c r="AF2000" s="4" t="n"/>
      <c r="AG2000" s="3">
        <f>ROUND(AE2000-(AE2000*AF2000),2)</f>
        <v/>
      </c>
      <c r="AH2000" s="4" t="n"/>
      <c r="AI2000" s="3">
        <f>ROUND(AG2000+(AG2000*AH2000),2)</f>
        <v/>
      </c>
      <c r="AJ2000" s="4" t="n"/>
      <c r="AK2000" s="3">
        <f>ROUND(AI2000*AJ2000,2)</f>
        <v/>
      </c>
      <c r="AL2000" s="3">
        <f>AI2000+AK2000</f>
        <v/>
      </c>
      <c r="AM2000" s="3">
        <f>AE2000-AL2000</f>
        <v/>
      </c>
      <c r="AN2000" s="4">
        <f>AM2000/AE2000</f>
        <v/>
      </c>
    </row>
    <row r="2001" ht="15.75" customHeight="1">
      <c r="A2001" s="3" t="inlineStr">
        <is>
          <t>PROD_0379</t>
        </is>
      </c>
      <c r="B2001" s="3" t="inlineStr">
        <is>
          <t>VAR_3</t>
        </is>
      </c>
      <c r="C2001" s="3" t="inlineStr">
        <is>
          <t>Paint</t>
        </is>
      </c>
      <c r="D2001" s="3" t="inlineStr">
        <is>
          <t>Grout</t>
        </is>
      </c>
      <c r="E2001" s="3" t="inlineStr">
        <is>
          <t>Trimurti</t>
        </is>
      </c>
      <c r="F2001" s="3" t="inlineStr">
        <is>
          <t>Tile Grout 1 Kg</t>
        </is>
      </c>
      <c r="H2001" s="3" t="inlineStr">
        <is>
          <t>Color</t>
        </is>
      </c>
      <c r="I2001" s="3" t="inlineStr">
        <is>
          <t>Alpine Blue</t>
        </is>
      </c>
      <c r="Q2001" s="3" t="inlineStr">
        <is>
          <t>Manufacturer's Warranty</t>
        </is>
      </c>
      <c r="Y2001" s="3" t="inlineStr">
        <is>
          <t>PAINT_GROUT_TRI_1</t>
        </is>
      </c>
      <c r="AE2001" s="3" t="n">
        <v>180</v>
      </c>
      <c r="AF2001" s="4" t="n"/>
      <c r="AG2001" s="3">
        <f>ROUND(AE2001-(AE2001*AF2001),2)</f>
        <v/>
      </c>
      <c r="AH2001" s="4" t="n"/>
      <c r="AI2001" s="3">
        <f>ROUND(AG2001+(AG2001*AH2001),2)</f>
        <v/>
      </c>
      <c r="AJ2001" s="4" t="n"/>
      <c r="AK2001" s="3">
        <f>ROUND(AI2001*AJ2001,2)</f>
        <v/>
      </c>
      <c r="AL2001" s="3">
        <f>AI2001+AK2001</f>
        <v/>
      </c>
      <c r="AM2001" s="3">
        <f>AE2001-AL2001</f>
        <v/>
      </c>
      <c r="AN2001" s="4">
        <f>AM2001/AE2001</f>
        <v/>
      </c>
    </row>
    <row r="2002" ht="15.75" customHeight="1">
      <c r="A2002" s="3" t="inlineStr">
        <is>
          <t>PROD_0380</t>
        </is>
      </c>
      <c r="B2002" s="3" t="inlineStr">
        <is>
          <t>VAR_1</t>
        </is>
      </c>
      <c r="C2002" s="3" t="inlineStr">
        <is>
          <t>Paint</t>
        </is>
      </c>
      <c r="D2002" s="3" t="inlineStr">
        <is>
          <t>Grout</t>
        </is>
      </c>
      <c r="E2002" s="3" t="inlineStr">
        <is>
          <t>Roff</t>
        </is>
      </c>
      <c r="F2002" s="3" t="inlineStr">
        <is>
          <t>Epoxy Grout 1 Kg</t>
        </is>
      </c>
      <c r="H2002" s="3" t="inlineStr">
        <is>
          <t>Color</t>
        </is>
      </c>
      <c r="I2002" s="3" t="inlineStr">
        <is>
          <t>Neutral</t>
        </is>
      </c>
      <c r="Q2002" s="3" t="inlineStr">
        <is>
          <t>Manufacturer's Warranty</t>
        </is>
      </c>
      <c r="Y2002" s="3" t="inlineStr">
        <is>
          <t>paint_grout_Roff_EPO_1</t>
        </is>
      </c>
      <c r="AE2002" s="3" t="n">
        <v>1375</v>
      </c>
      <c r="AF2002" s="4" t="n"/>
      <c r="AG2002" s="3">
        <f>ROUND(AE2002-(AE2002*AF2002),2)</f>
        <v/>
      </c>
      <c r="AH2002" s="4" t="n"/>
      <c r="AI2002" s="3">
        <f>ROUND(AG2002+(AG2002*AH2002),2)</f>
        <v/>
      </c>
      <c r="AJ2002" s="4" t="n"/>
      <c r="AK2002" s="3">
        <f>ROUND(AI2002*AJ2002,2)</f>
        <v/>
      </c>
      <c r="AL2002" s="3">
        <f>AI2002+AK2002</f>
        <v/>
      </c>
      <c r="AM2002" s="3">
        <f>AE2002-AL2002</f>
        <v/>
      </c>
      <c r="AN2002" s="4">
        <f>AM2002/AE2002</f>
        <v/>
      </c>
    </row>
    <row r="2003" ht="15.75" customHeight="1">
      <c r="A2003" s="3" t="inlineStr">
        <is>
          <t>PROD_0381</t>
        </is>
      </c>
      <c r="B2003" s="3" t="inlineStr">
        <is>
          <t>VAR_1</t>
        </is>
      </c>
      <c r="C2003" s="3" t="inlineStr">
        <is>
          <t>Paint</t>
        </is>
      </c>
      <c r="D2003" s="3" t="inlineStr">
        <is>
          <t>Grout</t>
        </is>
      </c>
      <c r="E2003" s="3" t="inlineStr">
        <is>
          <t>Roff</t>
        </is>
      </c>
      <c r="F2003" s="3" t="inlineStr">
        <is>
          <t>Roff Pidilite RainbowEpoxy Grout 1 Kg</t>
        </is>
      </c>
      <c r="H2003" s="3" t="inlineStr">
        <is>
          <t>Color</t>
        </is>
      </c>
      <c r="I2003" s="3" t="inlineStr">
        <is>
          <t>Ivory</t>
        </is>
      </c>
      <c r="Q2003" s="3" t="inlineStr">
        <is>
          <t>Manufacturer's Warranty</t>
        </is>
      </c>
      <c r="Y2003" s="3" t="inlineStr">
        <is>
          <t>paint_grout_Roff_EPO_ivory_1</t>
        </is>
      </c>
      <c r="AE2003" s="3" t="n">
        <v>1375</v>
      </c>
      <c r="AF2003" s="4" t="n"/>
      <c r="AG2003" s="3">
        <f>ROUND(AE2003-(AE2003*AF2003),2)</f>
        <v/>
      </c>
      <c r="AH2003" s="4" t="n"/>
      <c r="AI2003" s="3">
        <f>ROUND(AG2003+(AG2003*AH2003),2)</f>
        <v/>
      </c>
      <c r="AJ2003" s="4" t="n"/>
      <c r="AK2003" s="3">
        <f>ROUND(AI2003*AJ2003,2)</f>
        <v/>
      </c>
      <c r="AL2003" s="3">
        <f>AI2003+AK2003</f>
        <v/>
      </c>
      <c r="AM2003" s="3">
        <f>AE2003-AL2003</f>
        <v/>
      </c>
      <c r="AN2003" s="4">
        <f>AM2003/AE2003</f>
        <v/>
      </c>
    </row>
    <row r="2004" ht="15.75" customHeight="1">
      <c r="A2004" s="3" t="inlineStr">
        <is>
          <t>PROD_0380</t>
        </is>
      </c>
      <c r="B2004" s="3" t="inlineStr">
        <is>
          <t>VAR_2</t>
        </is>
      </c>
      <c r="C2004" s="3" t="inlineStr">
        <is>
          <t>Paint</t>
        </is>
      </c>
      <c r="D2004" s="3" t="inlineStr">
        <is>
          <t>Grout</t>
        </is>
      </c>
      <c r="E2004" s="3" t="inlineStr">
        <is>
          <t>Roff</t>
        </is>
      </c>
      <c r="F2004" s="3" t="inlineStr">
        <is>
          <t>Epoxy Grout 1 Kg</t>
        </is>
      </c>
      <c r="H2004" s="3" t="inlineStr">
        <is>
          <t>Color</t>
        </is>
      </c>
      <c r="I2004" s="3" t="inlineStr">
        <is>
          <t>Snow White</t>
        </is>
      </c>
      <c r="Q2004" s="3" t="inlineStr">
        <is>
          <t>Manufacturer's Warranty</t>
        </is>
      </c>
      <c r="Y2004" s="3" t="inlineStr">
        <is>
          <t>paint_grout_Roff_EPO_SW_1</t>
        </is>
      </c>
      <c r="AE2004" s="3" t="n">
        <v>1375</v>
      </c>
      <c r="AF2004" s="4" t="n"/>
      <c r="AG2004" s="3">
        <f>ROUND(AE2004-(AE2004*AF2004),2)</f>
        <v/>
      </c>
      <c r="AH2004" s="4" t="n"/>
      <c r="AI2004" s="3">
        <f>ROUND(AG2004+(AG2004*AH2004),2)</f>
        <v/>
      </c>
      <c r="AJ2004" s="4" t="n"/>
      <c r="AK2004" s="3">
        <f>ROUND(AI2004*AJ2004,2)</f>
        <v/>
      </c>
      <c r="AL2004" s="3">
        <f>AI2004+AK2004</f>
        <v/>
      </c>
      <c r="AM2004" s="3">
        <f>AE2004-AL2004</f>
        <v/>
      </c>
      <c r="AN2004" s="4">
        <f>AM2004/AE2004</f>
        <v/>
      </c>
    </row>
    <row r="2005" ht="15.75" customHeight="1">
      <c r="A2005" s="3" t="inlineStr">
        <is>
          <t>PROD_0382</t>
        </is>
      </c>
      <c r="B2005" s="3" t="inlineStr">
        <is>
          <t>VAR_1</t>
        </is>
      </c>
      <c r="C2005" s="3" t="inlineStr">
        <is>
          <t>Paint</t>
        </is>
      </c>
      <c r="D2005" s="3" t="inlineStr">
        <is>
          <t>Grout</t>
        </is>
      </c>
      <c r="E2005" s="3" t="inlineStr">
        <is>
          <t>Roff</t>
        </is>
      </c>
      <c r="F2005" s="3" t="inlineStr">
        <is>
          <t>Tile Grout 1 Kg</t>
        </is>
      </c>
      <c r="H2005" s="3" t="inlineStr">
        <is>
          <t>Color</t>
        </is>
      </c>
      <c r="I2005" s="3" t="inlineStr">
        <is>
          <t>Steel Grey</t>
        </is>
      </c>
      <c r="Q2005" s="3" t="inlineStr">
        <is>
          <t>Manufacturer's Warranty</t>
        </is>
      </c>
      <c r="Y2005" s="3" t="inlineStr">
        <is>
          <t>paint_grout_Roff_SG_1</t>
        </is>
      </c>
      <c r="AE2005" s="3" t="n">
        <v>250</v>
      </c>
      <c r="AF2005" s="4" t="n"/>
      <c r="AG2005" s="3">
        <f>ROUND(AE2005-(AE2005*AF2005),2)</f>
        <v/>
      </c>
      <c r="AH2005" s="4" t="n"/>
      <c r="AI2005" s="3">
        <f>ROUND(AG2005+(AG2005*AH2005),2)</f>
        <v/>
      </c>
      <c r="AJ2005" s="4" t="n"/>
      <c r="AK2005" s="3">
        <f>ROUND(AI2005*AJ2005,2)</f>
        <v/>
      </c>
      <c r="AL2005" s="3">
        <f>AI2005+AK2005</f>
        <v/>
      </c>
      <c r="AM2005" s="3">
        <f>AE2005-AL2005</f>
        <v/>
      </c>
      <c r="AN2005" s="4">
        <f>AM2005/AE2005</f>
        <v/>
      </c>
    </row>
    <row r="2006" ht="15.75" customHeight="1">
      <c r="A2006" s="3" t="inlineStr">
        <is>
          <t>PROD_0382</t>
        </is>
      </c>
      <c r="B2006" s="3" t="inlineStr">
        <is>
          <t>VAR_2</t>
        </is>
      </c>
      <c r="C2006" s="3" t="inlineStr">
        <is>
          <t>Paint</t>
        </is>
      </c>
      <c r="D2006" s="3" t="inlineStr">
        <is>
          <t>Grout</t>
        </is>
      </c>
      <c r="E2006" s="3" t="inlineStr">
        <is>
          <t>Roff</t>
        </is>
      </c>
      <c r="F2006" s="3" t="inlineStr">
        <is>
          <t>Tile Grout 1 Kg</t>
        </is>
      </c>
      <c r="H2006" s="3" t="inlineStr">
        <is>
          <t>Color</t>
        </is>
      </c>
      <c r="I2006" s="3" t="inlineStr">
        <is>
          <t>Snow White</t>
        </is>
      </c>
      <c r="Q2006" s="3" t="inlineStr">
        <is>
          <t>Manufacturer's Warranty</t>
        </is>
      </c>
      <c r="Y2006" s="3" t="inlineStr">
        <is>
          <t>paint_grout_Roff_SW_1.jpg</t>
        </is>
      </c>
      <c r="AE2006" s="3" t="n">
        <v>250</v>
      </c>
      <c r="AF2006" s="4" t="n"/>
      <c r="AG2006" s="3">
        <f>ROUND(AE2006-(AE2006*AF2006),2)</f>
        <v/>
      </c>
      <c r="AH2006" s="4" t="n"/>
      <c r="AI2006" s="3">
        <f>ROUND(AG2006+(AG2006*AH2006),2)</f>
        <v/>
      </c>
      <c r="AJ2006" s="4" t="n"/>
      <c r="AK2006" s="3">
        <f>ROUND(AI2006*AJ2006,2)</f>
        <v/>
      </c>
      <c r="AL2006" s="3">
        <f>AI2006+AK2006</f>
        <v/>
      </c>
      <c r="AM2006" s="3">
        <f>AE2006-AL2006</f>
        <v/>
      </c>
      <c r="AN2006" s="4">
        <f>AM2006/AE2006</f>
        <v/>
      </c>
    </row>
    <row r="2007" ht="15.75" customHeight="1">
      <c r="A2007" s="3" t="inlineStr">
        <is>
          <t>PROD_0383</t>
        </is>
      </c>
      <c r="B2007" s="3" t="inlineStr">
        <is>
          <t>VAR_1</t>
        </is>
      </c>
      <c r="C2007" s="3" t="inlineStr">
        <is>
          <t>Paint</t>
        </is>
      </c>
      <c r="D2007" s="3" t="inlineStr">
        <is>
          <t>Tools</t>
        </is>
      </c>
      <c r="E2007" s="3" t="inlineStr">
        <is>
          <t>Generic</t>
        </is>
      </c>
      <c r="F2007" s="3" t="inlineStr">
        <is>
          <t>Patti</t>
        </is>
      </c>
      <c r="H2007" s="3" t="inlineStr">
        <is>
          <t>Width</t>
        </is>
      </c>
      <c r="I2007" s="3" t="inlineStr">
        <is>
          <t>2 inch</t>
        </is>
      </c>
      <c r="Q2007" s="3" t="inlineStr">
        <is>
          <t>Manufacturer's Warranty</t>
        </is>
      </c>
      <c r="Y2007" s="3" t="inlineStr">
        <is>
          <t>PAINT_PATTI_1</t>
        </is>
      </c>
      <c r="AF2007" s="4" t="n"/>
      <c r="AG2007" s="3">
        <f>ROUND(AE2007-(AE2007*AF2007),2)</f>
        <v/>
      </c>
      <c r="AH2007" s="4" t="n"/>
      <c r="AI2007" s="3">
        <f>ROUND(AG2007+(AG2007*AH2007),2)</f>
        <v/>
      </c>
      <c r="AJ2007" s="4" t="n"/>
      <c r="AK2007" s="3">
        <f>ROUND(AI2007*AJ2007,2)</f>
        <v/>
      </c>
      <c r="AL2007" s="3">
        <f>AI2007+AK2007</f>
        <v/>
      </c>
      <c r="AM2007" s="3">
        <f>AE2007-AL2007</f>
        <v/>
      </c>
      <c r="AN2007" s="4">
        <f>AM2007/AE2007</f>
        <v/>
      </c>
    </row>
    <row r="2008" ht="15.75" customHeight="1">
      <c r="A2008" s="3" t="inlineStr">
        <is>
          <t>PROD_0383</t>
        </is>
      </c>
      <c r="B2008" s="3" t="inlineStr">
        <is>
          <t>VAR_2</t>
        </is>
      </c>
      <c r="C2008" s="3" t="inlineStr">
        <is>
          <t>Paint</t>
        </is>
      </c>
      <c r="D2008" s="3" t="inlineStr">
        <is>
          <t>Tools</t>
        </is>
      </c>
      <c r="E2008" s="3" t="inlineStr">
        <is>
          <t>Generic</t>
        </is>
      </c>
      <c r="F2008" s="3" t="inlineStr">
        <is>
          <t>Patti</t>
        </is>
      </c>
      <c r="H2008" s="3" t="inlineStr">
        <is>
          <t>Width</t>
        </is>
      </c>
      <c r="I2008" s="3" t="inlineStr">
        <is>
          <t>3 inch</t>
        </is>
      </c>
      <c r="Q2008" s="3" t="inlineStr">
        <is>
          <t>Manufacturer's Warranty</t>
        </is>
      </c>
      <c r="Y2008" s="3" t="inlineStr">
        <is>
          <t>PAINT_PATTI_1</t>
        </is>
      </c>
      <c r="AF2008" s="4" t="n"/>
      <c r="AG2008" s="3">
        <f>ROUND(AE2008-(AE2008*AF2008),2)</f>
        <v/>
      </c>
      <c r="AH2008" s="4" t="n"/>
      <c r="AI2008" s="3">
        <f>ROUND(AG2008+(AG2008*AH2008),2)</f>
        <v/>
      </c>
      <c r="AJ2008" s="4" t="n"/>
      <c r="AK2008" s="3">
        <f>ROUND(AI2008*AJ2008,2)</f>
        <v/>
      </c>
      <c r="AL2008" s="3">
        <f>AI2008+AK2008</f>
        <v/>
      </c>
      <c r="AM2008" s="3">
        <f>AE2008-AL2008</f>
        <v/>
      </c>
      <c r="AN2008" s="4">
        <f>AM2008/AE2008</f>
        <v/>
      </c>
    </row>
    <row r="2009" ht="15.75" customHeight="1">
      <c r="A2009" s="3" t="inlineStr">
        <is>
          <t>PROD_0383</t>
        </is>
      </c>
      <c r="B2009" s="3" t="inlineStr">
        <is>
          <t>VAR_3</t>
        </is>
      </c>
      <c r="C2009" s="3" t="inlineStr">
        <is>
          <t>Paint</t>
        </is>
      </c>
      <c r="D2009" s="3" t="inlineStr">
        <is>
          <t>Tools</t>
        </is>
      </c>
      <c r="E2009" s="3" t="inlineStr">
        <is>
          <t>Generic</t>
        </is>
      </c>
      <c r="F2009" s="3" t="inlineStr">
        <is>
          <t>Patti</t>
        </is>
      </c>
      <c r="H2009" s="3" t="inlineStr">
        <is>
          <t>Width</t>
        </is>
      </c>
      <c r="I2009" s="3" t="inlineStr">
        <is>
          <t>4 inch</t>
        </is>
      </c>
      <c r="Q2009" s="3" t="inlineStr">
        <is>
          <t>Manufacturer's Warranty</t>
        </is>
      </c>
      <c r="Y2009" s="3" t="inlineStr">
        <is>
          <t>PAINT_PATTI_1</t>
        </is>
      </c>
      <c r="AF2009" s="4" t="n"/>
      <c r="AG2009" s="3">
        <f>ROUND(AE2009-(AE2009*AF2009),2)</f>
        <v/>
      </c>
      <c r="AH2009" s="4" t="n"/>
      <c r="AI2009" s="3">
        <f>ROUND(AG2009+(AG2009*AH2009),2)</f>
        <v/>
      </c>
      <c r="AJ2009" s="4" t="n"/>
      <c r="AK2009" s="3">
        <f>ROUND(AI2009*AJ2009,2)</f>
        <v/>
      </c>
      <c r="AL2009" s="3">
        <f>AI2009+AK2009</f>
        <v/>
      </c>
      <c r="AM2009" s="3">
        <f>AE2009-AL2009</f>
        <v/>
      </c>
      <c r="AN2009" s="4">
        <f>AM2009/AE2009</f>
        <v/>
      </c>
    </row>
    <row r="2010" ht="15.75" customHeight="1">
      <c r="A2010" s="3" t="inlineStr">
        <is>
          <t>PROD_0383</t>
        </is>
      </c>
      <c r="B2010" s="3" t="inlineStr">
        <is>
          <t>VAR_4</t>
        </is>
      </c>
      <c r="C2010" s="3" t="inlineStr">
        <is>
          <t>Paint</t>
        </is>
      </c>
      <c r="D2010" s="3" t="inlineStr">
        <is>
          <t>Tools</t>
        </is>
      </c>
      <c r="E2010" s="3" t="inlineStr">
        <is>
          <t>Generic</t>
        </is>
      </c>
      <c r="F2010" s="3" t="inlineStr">
        <is>
          <t>Patti</t>
        </is>
      </c>
      <c r="H2010" s="3" t="inlineStr">
        <is>
          <t>Width</t>
        </is>
      </c>
      <c r="I2010" s="3" t="inlineStr">
        <is>
          <t>5 inch</t>
        </is>
      </c>
      <c r="Q2010" s="3" t="inlineStr">
        <is>
          <t>Manufacturer's Warranty</t>
        </is>
      </c>
      <c r="Y2010" s="3" t="inlineStr">
        <is>
          <t>PAINT_PATTI_1</t>
        </is>
      </c>
      <c r="AF2010" s="4" t="n"/>
      <c r="AG2010" s="3">
        <f>ROUND(AE2010-(AE2010*AF2010),2)</f>
        <v/>
      </c>
      <c r="AH2010" s="4" t="n"/>
      <c r="AI2010" s="3">
        <f>ROUND(AG2010+(AG2010*AH2010),2)</f>
        <v/>
      </c>
      <c r="AJ2010" s="4" t="n"/>
      <c r="AK2010" s="3">
        <f>ROUND(AI2010*AJ2010,2)</f>
        <v/>
      </c>
      <c r="AL2010" s="3">
        <f>AI2010+AK2010</f>
        <v/>
      </c>
      <c r="AM2010" s="3">
        <f>AE2010-AL2010</f>
        <v/>
      </c>
      <c r="AN2010" s="4">
        <f>AM2010/AE2010</f>
        <v/>
      </c>
    </row>
    <row r="2011" ht="15.75" customHeight="1">
      <c r="A2011" s="3" t="inlineStr">
        <is>
          <t>PROD_0383</t>
        </is>
      </c>
      <c r="B2011" s="3" t="inlineStr">
        <is>
          <t>VAR_5</t>
        </is>
      </c>
      <c r="C2011" s="3" t="inlineStr">
        <is>
          <t>Paint</t>
        </is>
      </c>
      <c r="D2011" s="3" t="inlineStr">
        <is>
          <t>Tools</t>
        </is>
      </c>
      <c r="E2011" s="3" t="inlineStr">
        <is>
          <t>Generic</t>
        </is>
      </c>
      <c r="F2011" s="3" t="inlineStr">
        <is>
          <t>Patti</t>
        </is>
      </c>
      <c r="H2011" s="3" t="inlineStr">
        <is>
          <t>Width</t>
        </is>
      </c>
      <c r="I2011" s="3" t="inlineStr">
        <is>
          <t>6 inch</t>
        </is>
      </c>
      <c r="Q2011" s="3" t="inlineStr">
        <is>
          <t>Manufacturer's Warranty</t>
        </is>
      </c>
      <c r="Y2011" s="3" t="inlineStr">
        <is>
          <t>PAINT_PATTI_1</t>
        </is>
      </c>
      <c r="AF2011" s="4" t="n"/>
      <c r="AG2011" s="3">
        <f>ROUND(AE2011-(AE2011*AF2011),2)</f>
        <v/>
      </c>
      <c r="AH2011" s="4" t="n"/>
      <c r="AI2011" s="3">
        <f>ROUND(AG2011+(AG2011*AH2011),2)</f>
        <v/>
      </c>
      <c r="AJ2011" s="4" t="n"/>
      <c r="AK2011" s="3">
        <f>ROUND(AI2011*AJ2011,2)</f>
        <v/>
      </c>
      <c r="AL2011" s="3">
        <f>AI2011+AK2011</f>
        <v/>
      </c>
      <c r="AM2011" s="3">
        <f>AE2011-AL2011</f>
        <v/>
      </c>
      <c r="AN2011" s="4">
        <f>AM2011/AE2011</f>
        <v/>
      </c>
    </row>
    <row r="2012" ht="15.75" customHeight="1">
      <c r="A2012" s="3" t="inlineStr">
        <is>
          <t>PROD_0383</t>
        </is>
      </c>
      <c r="B2012" s="3" t="inlineStr">
        <is>
          <t>VAR_6</t>
        </is>
      </c>
      <c r="C2012" s="3" t="inlineStr">
        <is>
          <t>Paint</t>
        </is>
      </c>
      <c r="D2012" s="3" t="inlineStr">
        <is>
          <t>Tools</t>
        </is>
      </c>
      <c r="E2012" s="3" t="inlineStr">
        <is>
          <t>Generic</t>
        </is>
      </c>
      <c r="F2012" s="3" t="inlineStr">
        <is>
          <t>Patti</t>
        </is>
      </c>
      <c r="H2012" s="3" t="inlineStr">
        <is>
          <t>Width</t>
        </is>
      </c>
      <c r="I2012" s="3" t="inlineStr">
        <is>
          <t>8 inch</t>
        </is>
      </c>
      <c r="Q2012" s="3" t="inlineStr">
        <is>
          <t>Manufacturer's Warranty</t>
        </is>
      </c>
      <c r="Y2012" s="3" t="inlineStr">
        <is>
          <t>PAINT_PATTI_1</t>
        </is>
      </c>
      <c r="AF2012" s="4" t="n"/>
      <c r="AG2012" s="3">
        <f>ROUND(AE2012-(AE2012*AF2012),2)</f>
        <v/>
      </c>
      <c r="AH2012" s="4" t="n"/>
      <c r="AI2012" s="3">
        <f>ROUND(AG2012+(AG2012*AH2012),2)</f>
        <v/>
      </c>
      <c r="AJ2012" s="4" t="n"/>
      <c r="AK2012" s="3">
        <f>ROUND(AI2012*AJ2012,2)</f>
        <v/>
      </c>
      <c r="AL2012" s="3">
        <f>AI2012+AK2012</f>
        <v/>
      </c>
      <c r="AM2012" s="3">
        <f>AE2012-AL2012</f>
        <v/>
      </c>
      <c r="AN2012" s="4">
        <f>AM2012/AE2012</f>
        <v/>
      </c>
    </row>
    <row r="2013" ht="15.75" customHeight="1">
      <c r="A2013" s="3" t="inlineStr">
        <is>
          <t>PROD_0384</t>
        </is>
      </c>
      <c r="B2013" s="3" t="inlineStr">
        <is>
          <t>VAR_1</t>
        </is>
      </c>
      <c r="C2013" s="3" t="inlineStr">
        <is>
          <t>Paint</t>
        </is>
      </c>
      <c r="D2013" s="3" t="inlineStr">
        <is>
          <t>Tools</t>
        </is>
      </c>
      <c r="E2013" s="3" t="inlineStr">
        <is>
          <t>Generic</t>
        </is>
      </c>
      <c r="F2013" s="3" t="inlineStr">
        <is>
          <t>Masking Tape</t>
        </is>
      </c>
      <c r="H2013" s="3" t="inlineStr">
        <is>
          <t>Width</t>
        </is>
      </c>
      <c r="I2013" s="3" t="inlineStr">
        <is>
          <t>1 inch</t>
        </is>
      </c>
      <c r="Q2013" s="3" t="inlineStr">
        <is>
          <t>Manufacturer's Warranty</t>
        </is>
      </c>
      <c r="Y2013" s="3" t="inlineStr">
        <is>
          <t>PAINT_MASKINGTAPE_1</t>
        </is>
      </c>
      <c r="AF2013" s="4" t="n"/>
      <c r="AG2013" s="3">
        <f>ROUND(AE2013-(AE2013*AF2013),2)</f>
        <v/>
      </c>
      <c r="AH2013" s="4" t="n"/>
      <c r="AI2013" s="3">
        <f>ROUND(AG2013+(AG2013*AH2013),2)</f>
        <v/>
      </c>
      <c r="AJ2013" s="4" t="n"/>
      <c r="AK2013" s="3">
        <f>ROUND(AI2013*AJ2013,2)</f>
        <v/>
      </c>
      <c r="AL2013" s="3">
        <f>AI2013+AK2013</f>
        <v/>
      </c>
      <c r="AM2013" s="3">
        <f>AE2013-AL2013</f>
        <v/>
      </c>
      <c r="AN2013" s="4">
        <f>AM2013/AE2013</f>
        <v/>
      </c>
    </row>
    <row r="2014" ht="15.75" customHeight="1">
      <c r="A2014" s="3" t="inlineStr">
        <is>
          <t>PROD_0384</t>
        </is>
      </c>
      <c r="B2014" s="3" t="inlineStr">
        <is>
          <t>VAR_2</t>
        </is>
      </c>
      <c r="C2014" s="3" t="inlineStr">
        <is>
          <t>Paint</t>
        </is>
      </c>
      <c r="D2014" s="3" t="inlineStr">
        <is>
          <t>Tools</t>
        </is>
      </c>
      <c r="E2014" s="3" t="inlineStr">
        <is>
          <t>Generic</t>
        </is>
      </c>
      <c r="F2014" s="3" t="inlineStr">
        <is>
          <t>Masking Tape</t>
        </is>
      </c>
      <c r="H2014" s="3" t="inlineStr">
        <is>
          <t>Width</t>
        </is>
      </c>
      <c r="I2014" s="3" t="inlineStr">
        <is>
          <t>2 inch</t>
        </is>
      </c>
      <c r="Q2014" s="3" t="inlineStr">
        <is>
          <t>Manufacturer's Warranty</t>
        </is>
      </c>
      <c r="Y2014" s="3" t="inlineStr">
        <is>
          <t>PAINT_MASKINGTAPE_2</t>
        </is>
      </c>
      <c r="AF2014" s="4" t="n"/>
      <c r="AG2014" s="3">
        <f>ROUND(AE2014-(AE2014*AF2014),2)</f>
        <v/>
      </c>
      <c r="AH2014" s="4" t="n"/>
      <c r="AI2014" s="3">
        <f>ROUND(AG2014+(AG2014*AH2014),2)</f>
        <v/>
      </c>
      <c r="AJ2014" s="4" t="n"/>
      <c r="AK2014" s="3">
        <f>ROUND(AI2014*AJ2014,2)</f>
        <v/>
      </c>
      <c r="AL2014" s="3">
        <f>AI2014+AK2014</f>
        <v/>
      </c>
      <c r="AM2014" s="3">
        <f>AE2014-AL2014</f>
        <v/>
      </c>
      <c r="AN2014" s="4">
        <f>AM2014/AE2014</f>
        <v/>
      </c>
    </row>
    <row r="2015" ht="15.75" customHeight="1">
      <c r="A2015" s="3" t="inlineStr">
        <is>
          <t>PROD_0385</t>
        </is>
      </c>
      <c r="B2015" s="3" t="inlineStr">
        <is>
          <t>VAR_1</t>
        </is>
      </c>
      <c r="C2015" s="3" t="inlineStr">
        <is>
          <t>Paint</t>
        </is>
      </c>
      <c r="D2015" s="3" t="inlineStr">
        <is>
          <t>Tools</t>
        </is>
      </c>
      <c r="E2015" s="3" t="inlineStr">
        <is>
          <t>Wembley</t>
        </is>
      </c>
      <c r="F2015" s="3" t="inlineStr">
        <is>
          <t>Thinner</t>
        </is>
      </c>
      <c r="H2015" s="3" t="inlineStr">
        <is>
          <t>Volume</t>
        </is>
      </c>
      <c r="I2015" s="3" t="inlineStr">
        <is>
          <t>1 ltr</t>
        </is>
      </c>
      <c r="Q2015" s="3" t="inlineStr">
        <is>
          <t>Manufacturer's Warranty</t>
        </is>
      </c>
      <c r="Y2015" s="3" t="inlineStr">
        <is>
          <t>PAINT_THINNER_1</t>
        </is>
      </c>
      <c r="AF2015" s="4" t="n"/>
      <c r="AG2015" s="3">
        <f>ROUND(AE2015-(AE2015*AF2015),2)</f>
        <v/>
      </c>
      <c r="AH2015" s="4" t="n"/>
      <c r="AI2015" s="3">
        <f>ROUND(AG2015+(AG2015*AH2015),2)</f>
        <v/>
      </c>
      <c r="AJ2015" s="4" t="n"/>
      <c r="AK2015" s="3">
        <f>ROUND(AI2015*AJ2015,2)</f>
        <v/>
      </c>
      <c r="AL2015" s="3">
        <f>AI2015+AK2015</f>
        <v/>
      </c>
      <c r="AM2015" s="3">
        <f>AE2015-AL2015</f>
        <v/>
      </c>
      <c r="AN2015" s="4">
        <f>AM2015/AE2015</f>
        <v/>
      </c>
    </row>
    <row r="2016" ht="15.75" customHeight="1">
      <c r="A2016" s="3" t="inlineStr">
        <is>
          <t>PROD_0385</t>
        </is>
      </c>
      <c r="B2016" s="3" t="inlineStr">
        <is>
          <t>VAR_2</t>
        </is>
      </c>
      <c r="C2016" s="3" t="inlineStr">
        <is>
          <t>Paint</t>
        </is>
      </c>
      <c r="D2016" s="3" t="inlineStr">
        <is>
          <t>Tools</t>
        </is>
      </c>
      <c r="E2016" s="3" t="inlineStr">
        <is>
          <t>Wembley</t>
        </is>
      </c>
      <c r="F2016" s="3" t="inlineStr">
        <is>
          <t>Thinner</t>
        </is>
      </c>
      <c r="H2016" s="3" t="inlineStr">
        <is>
          <t>Volume</t>
        </is>
      </c>
      <c r="I2016" s="3" t="inlineStr">
        <is>
          <t>5 ltr</t>
        </is>
      </c>
      <c r="Q2016" s="3" t="inlineStr">
        <is>
          <t>Manufacturer's Warranty</t>
        </is>
      </c>
      <c r="Y2016" s="3" t="inlineStr">
        <is>
          <t>PAINT_THINNER_1</t>
        </is>
      </c>
      <c r="AF2016" s="4" t="n"/>
      <c r="AG2016" s="3">
        <f>ROUND(AE2016-(AE2016*AF2016),2)</f>
        <v/>
      </c>
      <c r="AH2016" s="4" t="n"/>
      <c r="AI2016" s="3">
        <f>ROUND(AG2016+(AG2016*AH2016),2)</f>
        <v/>
      </c>
      <c r="AJ2016" s="4" t="n"/>
      <c r="AK2016" s="3">
        <f>ROUND(AI2016*AJ2016,2)</f>
        <v/>
      </c>
      <c r="AL2016" s="3">
        <f>AI2016+AK2016</f>
        <v/>
      </c>
      <c r="AM2016" s="3">
        <f>AE2016-AL2016</f>
        <v/>
      </c>
      <c r="AN2016" s="4">
        <f>AM2016/AE2016</f>
        <v/>
      </c>
    </row>
    <row r="2017" ht="15.75" customHeight="1">
      <c r="A2017" s="3" t="inlineStr">
        <is>
          <t>PROD_0386</t>
        </is>
      </c>
      <c r="B2017" s="3" t="inlineStr">
        <is>
          <t>VAR_1</t>
        </is>
      </c>
      <c r="C2017" s="3" t="inlineStr">
        <is>
          <t>Paint</t>
        </is>
      </c>
      <c r="D2017" s="3" t="inlineStr">
        <is>
          <t>Tools</t>
        </is>
      </c>
      <c r="E2017" s="3" t="inlineStr">
        <is>
          <t>Generic</t>
        </is>
      </c>
      <c r="F2017" s="3" t="inlineStr">
        <is>
          <t>Thinner</t>
        </is>
      </c>
      <c r="H2017" s="3" t="inlineStr">
        <is>
          <t>Volume</t>
        </is>
      </c>
      <c r="I2017" s="3" t="inlineStr">
        <is>
          <t>1 ltr</t>
        </is>
      </c>
      <c r="Q2017" s="3" t="inlineStr">
        <is>
          <t>Manufacturer's Warranty</t>
        </is>
      </c>
      <c r="Y2017" s="3" t="inlineStr">
        <is>
          <t>PAINT_THINNER_2</t>
        </is>
      </c>
      <c r="AF2017" s="4" t="n"/>
      <c r="AG2017" s="3">
        <f>ROUND(AE2017-(AE2017*AF2017),2)</f>
        <v/>
      </c>
      <c r="AH2017" s="4" t="n"/>
      <c r="AI2017" s="3">
        <f>ROUND(AG2017+(AG2017*AH2017),2)</f>
        <v/>
      </c>
      <c r="AJ2017" s="4" t="n"/>
      <c r="AK2017" s="3">
        <f>ROUND(AI2017*AJ2017,2)</f>
        <v/>
      </c>
      <c r="AL2017" s="3">
        <f>AI2017+AK2017</f>
        <v/>
      </c>
      <c r="AM2017" s="3">
        <f>AE2017-AL2017</f>
        <v/>
      </c>
      <c r="AN2017" s="4">
        <f>AM2017/AE2017</f>
        <v/>
      </c>
    </row>
    <row r="2018" ht="15.75" customHeight="1">
      <c r="A2018" s="3" t="inlineStr">
        <is>
          <t>PROD_0386</t>
        </is>
      </c>
      <c r="B2018" s="3" t="inlineStr">
        <is>
          <t>VAR_2</t>
        </is>
      </c>
      <c r="C2018" s="3" t="inlineStr">
        <is>
          <t>Paint</t>
        </is>
      </c>
      <c r="D2018" s="3" t="inlineStr">
        <is>
          <t>Tools</t>
        </is>
      </c>
      <c r="E2018" s="3" t="inlineStr">
        <is>
          <t>Generic</t>
        </is>
      </c>
      <c r="F2018" s="3" t="inlineStr">
        <is>
          <t>Thinner</t>
        </is>
      </c>
      <c r="H2018" s="3" t="inlineStr">
        <is>
          <t>Volume</t>
        </is>
      </c>
      <c r="I2018" s="3" t="inlineStr">
        <is>
          <t>5 ltr</t>
        </is>
      </c>
      <c r="Q2018" s="3" t="inlineStr">
        <is>
          <t>Manufacturer's Warranty</t>
        </is>
      </c>
      <c r="Y2018" s="3" t="inlineStr">
        <is>
          <t>PAINT_THINNER_2</t>
        </is>
      </c>
      <c r="AF2018" s="4" t="n"/>
      <c r="AG2018" s="3">
        <f>ROUND(AE2018-(AE2018*AF2018),2)</f>
        <v/>
      </c>
      <c r="AH2018" s="4" t="n"/>
      <c r="AI2018" s="3">
        <f>ROUND(AG2018+(AG2018*AH2018),2)</f>
        <v/>
      </c>
      <c r="AJ2018" s="4" t="n"/>
      <c r="AK2018" s="3">
        <f>ROUND(AI2018*AJ2018,2)</f>
        <v/>
      </c>
      <c r="AL2018" s="3">
        <f>AI2018+AK2018</f>
        <v/>
      </c>
      <c r="AM2018" s="3">
        <f>AE2018-AL2018</f>
        <v/>
      </c>
      <c r="AN2018" s="4">
        <f>AM2018/AE2018</f>
        <v/>
      </c>
    </row>
    <row r="2019" ht="15.75" customHeight="1">
      <c r="A2019" s="3" t="inlineStr">
        <is>
          <t>PROD_0387</t>
        </is>
      </c>
      <c r="B2019" s="3" t="inlineStr">
        <is>
          <t>VAR_1</t>
        </is>
      </c>
      <c r="C2019" s="3" t="inlineStr">
        <is>
          <t>Paint</t>
        </is>
      </c>
      <c r="D2019" s="3" t="inlineStr">
        <is>
          <t>Floor Covering Sheet</t>
        </is>
      </c>
      <c r="E2019" s="3" t="inlineStr">
        <is>
          <t>Generic</t>
        </is>
      </c>
      <c r="F2019" s="3" t="inlineStr">
        <is>
          <t>Floor Covering Sheet</t>
        </is>
      </c>
      <c r="H2019" s="3" t="inlineStr">
        <is>
          <t>Size</t>
        </is>
      </c>
      <c r="I2019" s="3" t="inlineStr">
        <is>
          <t>4 ft X 8 ft</t>
        </is>
      </c>
      <c r="Q2019" s="3" t="inlineStr">
        <is>
          <t>Manufacturer's Warranty</t>
        </is>
      </c>
      <c r="Y2019" s="3" t="inlineStr">
        <is>
          <t>PAINT_FLOORINGSHEET</t>
        </is>
      </c>
      <c r="AF2019" s="4" t="n"/>
      <c r="AG2019" s="3">
        <f>ROUND(AE2019-(AE2019*AF2019),2)</f>
        <v/>
      </c>
      <c r="AH2019" s="4" t="n"/>
      <c r="AI2019" s="3">
        <f>ROUND(AG2019+(AG2019*AH2019),2)</f>
        <v/>
      </c>
      <c r="AJ2019" s="4" t="n"/>
      <c r="AK2019" s="3">
        <f>ROUND(AI2019*AJ2019,2)</f>
        <v/>
      </c>
      <c r="AL2019" s="3">
        <f>AI2019+AK2019</f>
        <v/>
      </c>
      <c r="AM2019" s="3">
        <f>AE2019-AL2019</f>
        <v/>
      </c>
      <c r="AN2019" s="4">
        <f>AM2019/AE2019</f>
        <v/>
      </c>
    </row>
    <row r="2020" ht="15.75" customHeight="1">
      <c r="A2020" s="3" t="inlineStr">
        <is>
          <t>PROD_0388</t>
        </is>
      </c>
      <c r="B2020" s="3" t="inlineStr">
        <is>
          <t>VAR_1</t>
        </is>
      </c>
      <c r="C2020" s="3" t="inlineStr">
        <is>
          <t>Plumbing</t>
        </is>
      </c>
      <c r="D2020" s="3" t="inlineStr">
        <is>
          <t>Waste Pipe</t>
        </is>
      </c>
      <c r="E2020" s="3" t="inlineStr">
        <is>
          <t>Alton</t>
        </is>
      </c>
      <c r="F2020" s="3" t="inlineStr">
        <is>
          <t>Waste Pipe</t>
        </is>
      </c>
      <c r="Q2020" s="3" t="inlineStr">
        <is>
          <t>Manufacturer's Warranty</t>
        </is>
      </c>
      <c r="Y2020" s="3" t="inlineStr">
        <is>
          <t>PLUM_WASTEPIPE</t>
        </is>
      </c>
      <c r="AE2020" s="3" t="n">
        <v>100</v>
      </c>
      <c r="AF2020" s="4" t="n">
        <v>0.65</v>
      </c>
      <c r="AG2020" s="3">
        <f>ROUND(AE2020-(AE2020*AF2020),2)</f>
        <v/>
      </c>
      <c r="AH2020" s="4" t="n">
        <v>0.18</v>
      </c>
      <c r="AI2020" s="3">
        <f>ROUND(AG2020+(AG2020*AH2020),2)</f>
        <v/>
      </c>
      <c r="AJ2020" s="4" t="n">
        <v>0.2</v>
      </c>
      <c r="AK2020" s="3">
        <f>ROUND(AI2020*AJ2020,2)</f>
        <v/>
      </c>
      <c r="AL2020" s="3">
        <f>AI2020+AK2020</f>
        <v/>
      </c>
      <c r="AM2020" s="3">
        <f>AE2020-AL2020</f>
        <v/>
      </c>
      <c r="AN2020" s="4">
        <f>AM2020/AE2020</f>
        <v/>
      </c>
      <c r="AO2020" s="3" t="inlineStr">
        <is>
          <t>60 mins</t>
        </is>
      </c>
      <c r="AQ2020" s="3" t="inlineStr">
        <is>
          <t>Weight</t>
        </is>
      </c>
      <c r="AT2020" s="3" t="inlineStr">
        <is>
          <t>Inactive</t>
        </is>
      </c>
    </row>
    <row r="2021" ht="15.75" customHeight="1">
      <c r="A2021" s="3" t="inlineStr">
        <is>
          <t>PROD_0389</t>
        </is>
      </c>
      <c r="B2021" s="3" t="inlineStr">
        <is>
          <t>VAR_1</t>
        </is>
      </c>
      <c r="C2021" s="3" t="inlineStr">
        <is>
          <t>Plumbing</t>
        </is>
      </c>
      <c r="D2021" s="3" t="inlineStr">
        <is>
          <t>Waste Pipe</t>
        </is>
      </c>
      <c r="E2021" s="3" t="inlineStr">
        <is>
          <t>Generic</t>
        </is>
      </c>
      <c r="F2021" s="3" t="inlineStr">
        <is>
          <t>Waste Pipe</t>
        </is>
      </c>
      <c r="Q2021" s="3" t="inlineStr">
        <is>
          <t>Manufacturer's Warranty</t>
        </is>
      </c>
      <c r="Y2021" s="3" t="inlineStr">
        <is>
          <t>PLUM_WASTEPIPE</t>
        </is>
      </c>
      <c r="AE2021" s="3" t="n">
        <v>150</v>
      </c>
      <c r="AF2021" s="4" t="n">
        <v>0.7</v>
      </c>
      <c r="AG2021" s="3">
        <f>ROUND(AE2021-(AE2021*AF2021),2)</f>
        <v/>
      </c>
      <c r="AH2021" s="4" t="n">
        <v>0.18</v>
      </c>
      <c r="AI2021" s="3">
        <f>ROUND(AG2021+(AG2021*AH2021),2)</f>
        <v/>
      </c>
      <c r="AJ2021" s="4" t="n">
        <v>0.2</v>
      </c>
      <c r="AK2021" s="3">
        <f>ROUND(AI2021*AJ2021,2)</f>
        <v/>
      </c>
      <c r="AL2021" s="3">
        <f>AI2021+AK2021</f>
        <v/>
      </c>
      <c r="AM2021" s="3">
        <f>AE2021-AL2021</f>
        <v/>
      </c>
      <c r="AN2021" s="4">
        <f>AM2021/AE2021</f>
        <v/>
      </c>
      <c r="AO2021" s="3" t="inlineStr">
        <is>
          <t>60 mins</t>
        </is>
      </c>
      <c r="AQ2021" s="3" t="inlineStr">
        <is>
          <t>Weight</t>
        </is>
      </c>
      <c r="AT2021" s="3" t="inlineStr">
        <is>
          <t>Active</t>
        </is>
      </c>
    </row>
    <row r="2022" ht="15.75" customHeight="1">
      <c r="A2022" s="3" t="inlineStr">
        <is>
          <t>PROD_0390</t>
        </is>
      </c>
      <c r="B2022" s="3" t="inlineStr">
        <is>
          <t>VAR_1</t>
        </is>
      </c>
      <c r="C2022" s="3" t="inlineStr">
        <is>
          <t>Plumbing</t>
        </is>
      </c>
      <c r="D2022" s="3" t="inlineStr">
        <is>
          <t>Connection Pipe</t>
        </is>
      </c>
      <c r="E2022" s="3" t="inlineStr">
        <is>
          <t>Generic</t>
        </is>
      </c>
      <c r="F2022" s="3" t="inlineStr">
        <is>
          <t>Geyser, Washbasin Connection Pipe | Pack of 2</t>
        </is>
      </c>
      <c r="H2022" s="3" t="inlineStr">
        <is>
          <t>Length</t>
        </is>
      </c>
      <c r="I2022" s="3" t="inlineStr">
        <is>
          <t>12 inch</t>
        </is>
      </c>
      <c r="Q2022" s="3" t="inlineStr">
        <is>
          <t>Manufacturer's Warranty</t>
        </is>
      </c>
      <c r="Y2022" s="3" t="inlineStr">
        <is>
          <t>PLUM_CP_GEN</t>
        </is>
      </c>
      <c r="AE2022" s="3" t="n">
        <v>300</v>
      </c>
      <c r="AF2022" s="4" t="n">
        <v>0.8</v>
      </c>
      <c r="AG2022" s="3">
        <f>ROUND(AE2022-(AE2022*AF2022),2)</f>
        <v/>
      </c>
      <c r="AH2022" s="4" t="n">
        <v>0.18</v>
      </c>
      <c r="AI2022" s="3">
        <f>ROUND(AG2022+(AG2022*AH2022),2)</f>
        <v/>
      </c>
      <c r="AJ2022" s="4" t="n">
        <v>0.2</v>
      </c>
      <c r="AK2022" s="3">
        <f>ROUND(AI2022*AJ2022,2)</f>
        <v/>
      </c>
      <c r="AL2022" s="3">
        <f>AI2022+AK2022</f>
        <v/>
      </c>
      <c r="AM2022" s="3">
        <f>AE2022-AL2022</f>
        <v/>
      </c>
      <c r="AN2022" s="4">
        <f>AM2022/AE2022</f>
        <v/>
      </c>
      <c r="AO2022" s="3" t="inlineStr">
        <is>
          <t>60 mins</t>
        </is>
      </c>
      <c r="AQ2022" s="3" t="inlineStr">
        <is>
          <t>Weight</t>
        </is>
      </c>
      <c r="AT2022" s="3" t="inlineStr">
        <is>
          <t>Active</t>
        </is>
      </c>
    </row>
    <row r="2023" ht="15.75" customHeight="1">
      <c r="A2023" s="3" t="inlineStr">
        <is>
          <t>PROD_0390</t>
        </is>
      </c>
      <c r="B2023" s="3" t="inlineStr">
        <is>
          <t>VAR_2</t>
        </is>
      </c>
      <c r="C2023" s="3" t="inlineStr">
        <is>
          <t>Plumbing</t>
        </is>
      </c>
      <c r="D2023" s="3" t="inlineStr">
        <is>
          <t>Connection Pipe</t>
        </is>
      </c>
      <c r="E2023" s="3" t="inlineStr">
        <is>
          <t>Generic</t>
        </is>
      </c>
      <c r="F2023" s="3" t="inlineStr">
        <is>
          <t>Geyser, Washbasin Connection Pipe | Pack of 2</t>
        </is>
      </c>
      <c r="H2023" s="3" t="inlineStr">
        <is>
          <t>Length</t>
        </is>
      </c>
      <c r="I2023" s="3" t="inlineStr">
        <is>
          <t>18 inch</t>
        </is>
      </c>
      <c r="Q2023" s="3" t="inlineStr">
        <is>
          <t>Manufacturer's Warranty</t>
        </is>
      </c>
      <c r="Y2023" s="3" t="inlineStr">
        <is>
          <t>PLUM_CP_GEN</t>
        </is>
      </c>
      <c r="AE2023" s="3" t="n">
        <v>350</v>
      </c>
      <c r="AF2023" s="4" t="n">
        <v>0.8</v>
      </c>
      <c r="AG2023" s="3">
        <f>ROUND(AE2023-(AE2023*AF2023),2)</f>
        <v/>
      </c>
      <c r="AH2023" s="4" t="n">
        <v>0.18</v>
      </c>
      <c r="AI2023" s="3">
        <f>ROUND(AG2023+(AG2023*AH2023),2)</f>
        <v/>
      </c>
      <c r="AJ2023" s="4" t="n">
        <v>0.2</v>
      </c>
      <c r="AK2023" s="3">
        <f>ROUND(AI2023*AJ2023,2)</f>
        <v/>
      </c>
      <c r="AL2023" s="3">
        <f>AI2023+AK2023</f>
        <v/>
      </c>
      <c r="AM2023" s="3">
        <f>AE2023-AL2023</f>
        <v/>
      </c>
      <c r="AN2023" s="4">
        <f>AM2023/AE2023</f>
        <v/>
      </c>
      <c r="AO2023" s="3" t="inlineStr">
        <is>
          <t>60 mins</t>
        </is>
      </c>
      <c r="AQ2023" s="3" t="inlineStr">
        <is>
          <t>Weight</t>
        </is>
      </c>
      <c r="AT2023" s="3" t="inlineStr">
        <is>
          <t>Active</t>
        </is>
      </c>
    </row>
    <row r="2024" ht="15.75" customHeight="1">
      <c r="A2024" s="3" t="inlineStr">
        <is>
          <t>PROD_0390</t>
        </is>
      </c>
      <c r="B2024" s="3" t="inlineStr">
        <is>
          <t>VAR_3</t>
        </is>
      </c>
      <c r="C2024" s="3" t="inlineStr">
        <is>
          <t>Plumbing</t>
        </is>
      </c>
      <c r="D2024" s="3" t="inlineStr">
        <is>
          <t>Connection Pipe</t>
        </is>
      </c>
      <c r="E2024" s="3" t="inlineStr">
        <is>
          <t>Generic</t>
        </is>
      </c>
      <c r="F2024" s="3" t="inlineStr">
        <is>
          <t>Geyser, Washbasin Connection Pipe | Pack of 2</t>
        </is>
      </c>
      <c r="H2024" s="3" t="inlineStr">
        <is>
          <t>Length</t>
        </is>
      </c>
      <c r="I2024" s="3" t="inlineStr">
        <is>
          <t>24 inch</t>
        </is>
      </c>
      <c r="Q2024" s="3" t="inlineStr">
        <is>
          <t>Manufacturer's Warranty</t>
        </is>
      </c>
      <c r="Y2024" s="3" t="inlineStr">
        <is>
          <t>PLUM_CP_GEN</t>
        </is>
      </c>
      <c r="AE2024" s="3" t="n">
        <v>400</v>
      </c>
      <c r="AF2024" s="4" t="n">
        <v>0.8</v>
      </c>
      <c r="AG2024" s="3">
        <f>ROUND(AE2024-(AE2024*AF2024),2)</f>
        <v/>
      </c>
      <c r="AH2024" s="4" t="n">
        <v>0.18</v>
      </c>
      <c r="AI2024" s="3">
        <f>ROUND(AG2024+(AG2024*AH2024),2)</f>
        <v/>
      </c>
      <c r="AJ2024" s="4" t="n">
        <v>0.2</v>
      </c>
      <c r="AK2024" s="3">
        <f>ROUND(AI2024*AJ2024,2)</f>
        <v/>
      </c>
      <c r="AL2024" s="3">
        <f>AI2024+AK2024</f>
        <v/>
      </c>
      <c r="AM2024" s="3">
        <f>AE2024-AL2024</f>
        <v/>
      </c>
      <c r="AN2024" s="4">
        <f>AM2024/AE2024</f>
        <v/>
      </c>
      <c r="AO2024" s="3" t="inlineStr">
        <is>
          <t>60 mins</t>
        </is>
      </c>
      <c r="AQ2024" s="3" t="inlineStr">
        <is>
          <t>Weight</t>
        </is>
      </c>
      <c r="AT2024" s="3" t="inlineStr">
        <is>
          <t>Active</t>
        </is>
      </c>
    </row>
    <row r="2025" ht="15.75" customHeight="1">
      <c r="A2025" s="3" t="inlineStr">
        <is>
          <t>PROD_0390</t>
        </is>
      </c>
      <c r="B2025" s="3" t="inlineStr">
        <is>
          <t>VAR_4</t>
        </is>
      </c>
      <c r="C2025" s="3" t="inlineStr">
        <is>
          <t>Plumbing</t>
        </is>
      </c>
      <c r="D2025" s="3" t="inlineStr">
        <is>
          <t>Connection Pipe</t>
        </is>
      </c>
      <c r="E2025" s="3" t="inlineStr">
        <is>
          <t>Generic</t>
        </is>
      </c>
      <c r="F2025" s="3" t="inlineStr">
        <is>
          <t>Geyser, Washbasin Connection Pipe | Pack of 2</t>
        </is>
      </c>
      <c r="H2025" s="3" t="inlineStr">
        <is>
          <t>Length</t>
        </is>
      </c>
      <c r="I2025" s="3" t="inlineStr">
        <is>
          <t>30 inch</t>
        </is>
      </c>
      <c r="Q2025" s="3" t="inlineStr">
        <is>
          <t>Manufacturer's Warranty</t>
        </is>
      </c>
      <c r="Y2025" s="3" t="inlineStr">
        <is>
          <t>PLUM_CP_GEN</t>
        </is>
      </c>
      <c r="AE2025" s="3" t="n">
        <v>450</v>
      </c>
      <c r="AF2025" s="4" t="n">
        <v>0.8</v>
      </c>
      <c r="AG2025" s="3">
        <f>ROUND(AE2025-(AE2025*AF2025),2)</f>
        <v/>
      </c>
      <c r="AH2025" s="4" t="n">
        <v>0.18</v>
      </c>
      <c r="AI2025" s="3">
        <f>ROUND(AG2025+(AG2025*AH2025),2)</f>
        <v/>
      </c>
      <c r="AJ2025" s="4" t="n">
        <v>0.2</v>
      </c>
      <c r="AK2025" s="3">
        <f>ROUND(AI2025*AJ2025,2)</f>
        <v/>
      </c>
      <c r="AL2025" s="3">
        <f>AI2025+AK2025</f>
        <v/>
      </c>
      <c r="AM2025" s="3">
        <f>AE2025-AL2025</f>
        <v/>
      </c>
      <c r="AN2025" s="4">
        <f>AM2025/AE2025</f>
        <v/>
      </c>
      <c r="AO2025" s="3" t="inlineStr">
        <is>
          <t>60 mins</t>
        </is>
      </c>
      <c r="AQ2025" s="3" t="inlineStr">
        <is>
          <t>Weight</t>
        </is>
      </c>
      <c r="AT2025" s="3" t="inlineStr">
        <is>
          <t>Active</t>
        </is>
      </c>
    </row>
    <row r="2026" ht="15.75" customHeight="1">
      <c r="A2026" s="3" t="inlineStr">
        <is>
          <t>PROD_0390</t>
        </is>
      </c>
      <c r="B2026" s="3" t="inlineStr">
        <is>
          <t>VAR_5</t>
        </is>
      </c>
      <c r="C2026" s="3" t="inlineStr">
        <is>
          <t>Plumbing</t>
        </is>
      </c>
      <c r="D2026" s="3" t="inlineStr">
        <is>
          <t>Connection Pipe</t>
        </is>
      </c>
      <c r="E2026" s="3" t="inlineStr">
        <is>
          <t>Generic</t>
        </is>
      </c>
      <c r="F2026" s="3" t="inlineStr">
        <is>
          <t>Geyser, Washbasin Connection Pipe | Pack of 2</t>
        </is>
      </c>
      <c r="H2026" s="3" t="inlineStr">
        <is>
          <t>Length</t>
        </is>
      </c>
      <c r="I2026" s="3" t="inlineStr">
        <is>
          <t>36 inch</t>
        </is>
      </c>
      <c r="Q2026" s="3" t="inlineStr">
        <is>
          <t>Manufacturer's Warranty</t>
        </is>
      </c>
      <c r="Y2026" s="3" t="inlineStr">
        <is>
          <t>PLUM_CP_GEN</t>
        </is>
      </c>
      <c r="AE2026" s="3" t="n">
        <v>500</v>
      </c>
      <c r="AF2026" s="4" t="n">
        <v>0.8</v>
      </c>
      <c r="AG2026" s="3">
        <f>ROUND(AE2026-(AE2026*AF2026),2)</f>
        <v/>
      </c>
      <c r="AH2026" s="4" t="n">
        <v>0.18</v>
      </c>
      <c r="AI2026" s="3">
        <f>ROUND(AG2026+(AG2026*AH2026),2)</f>
        <v/>
      </c>
      <c r="AJ2026" s="4" t="n">
        <v>0.2</v>
      </c>
      <c r="AK2026" s="3">
        <f>ROUND(AI2026*AJ2026,2)</f>
        <v/>
      </c>
      <c r="AL2026" s="3">
        <f>AI2026+AK2026</f>
        <v/>
      </c>
      <c r="AM2026" s="3">
        <f>AE2026-AL2026</f>
        <v/>
      </c>
      <c r="AN2026" s="4">
        <f>AM2026/AE2026</f>
        <v/>
      </c>
      <c r="AO2026" s="3" t="inlineStr">
        <is>
          <t>60 mins</t>
        </is>
      </c>
      <c r="AQ2026" s="3" t="inlineStr">
        <is>
          <t>Weight</t>
        </is>
      </c>
      <c r="AT2026" s="3" t="inlineStr">
        <is>
          <t>Active</t>
        </is>
      </c>
    </row>
    <row r="2027" ht="15.75" customHeight="1">
      <c r="A2027" s="3" t="inlineStr">
        <is>
          <t>PROD_0391</t>
        </is>
      </c>
      <c r="B2027" s="3" t="inlineStr">
        <is>
          <t>VAR_1</t>
        </is>
      </c>
      <c r="C2027" s="3" t="inlineStr">
        <is>
          <t>Plumbing</t>
        </is>
      </c>
      <c r="D2027" s="3" t="inlineStr">
        <is>
          <t>Silicon Sealant</t>
        </is>
      </c>
      <c r="E2027" s="3" t="inlineStr">
        <is>
          <t>Dr. Fixit</t>
        </is>
      </c>
      <c r="F2027" s="3" t="inlineStr">
        <is>
          <t>Silicon Sealant | Pack of 1</t>
        </is>
      </c>
      <c r="H2027" s="3" t="inlineStr">
        <is>
          <t>Weight</t>
        </is>
      </c>
      <c r="I2027" s="3" t="inlineStr">
        <is>
          <t>280 gm</t>
        </is>
      </c>
      <c r="J2027" s="3" t="inlineStr">
        <is>
          <t>Color</t>
        </is>
      </c>
      <c r="K2027" s="3" t="inlineStr">
        <is>
          <t>White</t>
        </is>
      </c>
      <c r="Q2027" s="3" t="inlineStr">
        <is>
          <t>Manufacturer's Warranty</t>
        </is>
      </c>
      <c r="Y2027" s="3" t="inlineStr">
        <is>
          <t>PL_SS_DF_1</t>
        </is>
      </c>
      <c r="AF2027" s="4" t="n"/>
      <c r="AG2027" s="3" t="n">
        <v>195</v>
      </c>
      <c r="AH2027" s="4" t="n">
        <v>0.18</v>
      </c>
      <c r="AI2027" s="3">
        <f>ROUND(AG2027+(AG2027*AH2027),2)</f>
        <v/>
      </c>
      <c r="AJ2027" s="4" t="n">
        <v>0.2</v>
      </c>
      <c r="AK2027" s="3">
        <f>ROUND(AI2027*AJ2027,2)</f>
        <v/>
      </c>
      <c r="AL2027" s="3">
        <f>AI2027+AK2027</f>
        <v/>
      </c>
      <c r="AM2027" s="3">
        <f>AE2027-AL2027</f>
        <v/>
      </c>
      <c r="AN2027" s="4" t="n">
        <v>0.5</v>
      </c>
      <c r="AO2027" s="3" t="inlineStr">
        <is>
          <t>60 mins</t>
        </is>
      </c>
      <c r="AQ2027" s="3" t="inlineStr">
        <is>
          <t>Weight</t>
        </is>
      </c>
      <c r="AT2027" s="3" t="inlineStr">
        <is>
          <t>Inactive</t>
        </is>
      </c>
    </row>
    <row r="2028" ht="15.75" customHeight="1">
      <c r="A2028" s="3" t="inlineStr">
        <is>
          <t>PROD_0392</t>
        </is>
      </c>
      <c r="B2028" s="3" t="inlineStr">
        <is>
          <t>VAR_1</t>
        </is>
      </c>
      <c r="C2028" s="3" t="inlineStr">
        <is>
          <t>Plumbing</t>
        </is>
      </c>
      <c r="D2028" s="3" t="inlineStr">
        <is>
          <t>Silicon Sealant</t>
        </is>
      </c>
      <c r="E2028" s="3" t="inlineStr">
        <is>
          <t>Loctite</t>
        </is>
      </c>
      <c r="F2028" s="3" t="inlineStr">
        <is>
          <t>Silicon Sealant | Pack of 1</t>
        </is>
      </c>
      <c r="H2028" s="3" t="inlineStr">
        <is>
          <t>Weight</t>
        </is>
      </c>
      <c r="I2028" s="3" t="inlineStr">
        <is>
          <t>280 gm</t>
        </is>
      </c>
      <c r="J2028" s="3" t="inlineStr">
        <is>
          <t>Color</t>
        </is>
      </c>
      <c r="K2028" s="3" t="inlineStr">
        <is>
          <t>White</t>
        </is>
      </c>
      <c r="Q2028" s="3" t="inlineStr">
        <is>
          <t>Manufacturer's Warranty</t>
        </is>
      </c>
      <c r="Y2028" s="3" t="inlineStr">
        <is>
          <t>PL_SS_LOC_1</t>
        </is>
      </c>
      <c r="AF2028" s="4" t="n"/>
      <c r="AG2028" s="3" t="n">
        <v>280</v>
      </c>
      <c r="AH2028" s="4" t="n">
        <v>0.18</v>
      </c>
      <c r="AI2028" s="3">
        <f>ROUND(AG2028+(AG2028*AH2028),2)</f>
        <v/>
      </c>
      <c r="AJ2028" s="4" t="n">
        <v>0.2</v>
      </c>
      <c r="AK2028" s="3">
        <f>ROUND(AI2028*AJ2028,2)</f>
        <v/>
      </c>
      <c r="AL2028" s="3">
        <f>AI2028+AK2028</f>
        <v/>
      </c>
      <c r="AM2028" s="3">
        <f>AE2028-AL2028</f>
        <v/>
      </c>
      <c r="AN2028" s="4" t="n">
        <v>0.5</v>
      </c>
      <c r="AO2028" s="3" t="inlineStr">
        <is>
          <t>60 mins</t>
        </is>
      </c>
      <c r="AQ2028" s="3" t="inlineStr">
        <is>
          <t>Weight</t>
        </is>
      </c>
      <c r="AT2028" s="3" t="inlineStr">
        <is>
          <t>Inactive</t>
        </is>
      </c>
    </row>
    <row r="2029" ht="15.75" customHeight="1">
      <c r="A2029" s="3" t="inlineStr">
        <is>
          <t>PROD_0392</t>
        </is>
      </c>
      <c r="B2029" s="3" t="inlineStr">
        <is>
          <t>VAR_2</t>
        </is>
      </c>
      <c r="C2029" s="3" t="inlineStr">
        <is>
          <t>Plumbing</t>
        </is>
      </c>
      <c r="D2029" s="3" t="inlineStr">
        <is>
          <t>Silicon Sealant</t>
        </is>
      </c>
      <c r="E2029" s="3" t="inlineStr">
        <is>
          <t>Loctite</t>
        </is>
      </c>
      <c r="F2029" s="3" t="inlineStr">
        <is>
          <t>Silicon Sealant | Pack of 1</t>
        </is>
      </c>
      <c r="H2029" s="3" t="inlineStr">
        <is>
          <t>Weight</t>
        </is>
      </c>
      <c r="I2029" s="3" t="inlineStr">
        <is>
          <t>280 gm</t>
        </is>
      </c>
      <c r="J2029" s="3" t="inlineStr">
        <is>
          <t>Color</t>
        </is>
      </c>
      <c r="K2029" s="3" t="inlineStr">
        <is>
          <t>Clear</t>
        </is>
      </c>
      <c r="Q2029" s="3" t="inlineStr">
        <is>
          <t>Manufacturer's Warranty</t>
        </is>
      </c>
      <c r="Y2029" s="3" t="inlineStr">
        <is>
          <t>PL_SS_LOC_CLEAR</t>
        </is>
      </c>
      <c r="AF2029" s="4" t="n"/>
      <c r="AG2029" s="3">
        <f>ROUND(AE2029-(AE2029*AF2029),2)</f>
        <v/>
      </c>
      <c r="AH2029" s="4" t="n">
        <v>0.18</v>
      </c>
      <c r="AI2029" s="3">
        <f>ROUND(AG2029+(AG2029*AH2029),2)</f>
        <v/>
      </c>
      <c r="AJ2029" s="4" t="n">
        <v>0.2</v>
      </c>
      <c r="AK2029" s="3">
        <f>ROUND(AI2029*AJ2029,2)</f>
        <v/>
      </c>
      <c r="AL2029" s="3">
        <f>AI2029+AK2029</f>
        <v/>
      </c>
      <c r="AM2029" s="3">
        <f>AE2029-AL2029</f>
        <v/>
      </c>
      <c r="AN2029" s="4" t="n">
        <v>0.5</v>
      </c>
      <c r="AO2029" s="3" t="inlineStr">
        <is>
          <t>60 mins</t>
        </is>
      </c>
      <c r="AQ2029" s="3" t="inlineStr">
        <is>
          <t>Weight</t>
        </is>
      </c>
      <c r="AT2029" s="3" t="inlineStr">
        <is>
          <t>Inactive</t>
        </is>
      </c>
    </row>
    <row r="2030" ht="15.75" customHeight="1">
      <c r="A2030" s="3" t="inlineStr">
        <is>
          <t>PROD_0392</t>
        </is>
      </c>
      <c r="B2030" s="3" t="inlineStr">
        <is>
          <t>VAR_3</t>
        </is>
      </c>
      <c r="C2030" s="3" t="inlineStr">
        <is>
          <t>Plumbing</t>
        </is>
      </c>
      <c r="D2030" s="3" t="inlineStr">
        <is>
          <t>Silicon Sealant</t>
        </is>
      </c>
      <c r="E2030" s="3" t="inlineStr">
        <is>
          <t>Loctite</t>
        </is>
      </c>
      <c r="F2030" s="3" t="inlineStr">
        <is>
          <t>Silicon Sealant | Pack of 1</t>
        </is>
      </c>
      <c r="H2030" s="3" t="inlineStr">
        <is>
          <t>Weight</t>
        </is>
      </c>
      <c r="I2030" s="3" t="inlineStr">
        <is>
          <t>260 gm</t>
        </is>
      </c>
      <c r="J2030" s="3" t="inlineStr">
        <is>
          <t>Color</t>
        </is>
      </c>
      <c r="K2030" s="3" t="inlineStr">
        <is>
          <t>Black</t>
        </is>
      </c>
      <c r="Q2030" s="3" t="inlineStr">
        <is>
          <t>Manufacturer's Warranty</t>
        </is>
      </c>
      <c r="Y2030" s="3" t="inlineStr">
        <is>
          <t>PL_SS_LOC_BLACK_1</t>
        </is>
      </c>
      <c r="AF2030" s="4" t="n"/>
      <c r="AG2030" s="3">
        <f>ROUND(AE2030-(AE2030*AF2030),2)</f>
        <v/>
      </c>
      <c r="AH2030" s="4" t="n">
        <v>0.18</v>
      </c>
      <c r="AI2030" s="3">
        <f>ROUND(AG2030+(AG2030*AH2030),2)</f>
        <v/>
      </c>
      <c r="AJ2030" s="4" t="n">
        <v>0.2</v>
      </c>
      <c r="AK2030" s="3">
        <f>ROUND(AI2030*AJ2030,2)</f>
        <v/>
      </c>
      <c r="AL2030" s="3">
        <f>AI2030+AK2030</f>
        <v/>
      </c>
      <c r="AM2030" s="3">
        <f>AE2030-AL2030</f>
        <v/>
      </c>
      <c r="AN2030" s="4" t="n">
        <v>0.5</v>
      </c>
      <c r="AO2030" s="3" t="inlineStr">
        <is>
          <t>60 mins</t>
        </is>
      </c>
      <c r="AQ2030" s="3" t="inlineStr">
        <is>
          <t>Weight</t>
        </is>
      </c>
      <c r="AT2030" s="3" t="inlineStr">
        <is>
          <t>Inactive</t>
        </is>
      </c>
    </row>
    <row r="2031" ht="15.75" customHeight="1">
      <c r="A2031" s="3" t="inlineStr">
        <is>
          <t>PROD_0393</t>
        </is>
      </c>
      <c r="B2031" s="3" t="inlineStr">
        <is>
          <t>VAR_1</t>
        </is>
      </c>
      <c r="C2031" s="3" t="inlineStr">
        <is>
          <t>Plumbing</t>
        </is>
      </c>
      <c r="D2031" s="3" t="inlineStr">
        <is>
          <t>Silicon Sealant</t>
        </is>
      </c>
      <c r="E2031" s="3" t="inlineStr">
        <is>
          <t>Abro</t>
        </is>
      </c>
      <c r="F2031" s="3" t="inlineStr">
        <is>
          <t>Silicon Sealant | Pack of 1</t>
        </is>
      </c>
      <c r="H2031" s="3" t="inlineStr">
        <is>
          <t>Weight</t>
        </is>
      </c>
      <c r="I2031" s="3" t="inlineStr">
        <is>
          <t>260 gm</t>
        </is>
      </c>
      <c r="J2031" s="3" t="inlineStr">
        <is>
          <t>Color</t>
        </is>
      </c>
      <c r="K2031" s="3" t="inlineStr">
        <is>
          <t>White</t>
        </is>
      </c>
      <c r="Q2031" s="3" t="inlineStr">
        <is>
          <t>Manufacturer's Warranty</t>
        </is>
      </c>
      <c r="Y2031" s="3" t="inlineStr">
        <is>
          <t>PLUM_SS_ABRO_WHITE</t>
        </is>
      </c>
      <c r="AF2031" s="4" t="n"/>
      <c r="AG2031" s="3">
        <f>ROUND(AE2031-(AE2031*AF2031),2)</f>
        <v/>
      </c>
      <c r="AH2031" s="4" t="n">
        <v>0.18</v>
      </c>
      <c r="AI2031" s="3">
        <f>ROUND(AG2031+(AG2031*AH2031),2)</f>
        <v/>
      </c>
      <c r="AJ2031" s="4" t="n">
        <v>0.2</v>
      </c>
      <c r="AK2031" s="3">
        <f>ROUND(AI2031*AJ2031,2)</f>
        <v/>
      </c>
      <c r="AL2031" s="3">
        <f>AI2031+AK2031</f>
        <v/>
      </c>
      <c r="AM2031" s="3">
        <f>AE2031-AL2031</f>
        <v/>
      </c>
      <c r="AN2031" s="4" t="n">
        <v>0.5</v>
      </c>
      <c r="AO2031" s="3" t="inlineStr">
        <is>
          <t>60 mins</t>
        </is>
      </c>
      <c r="AQ2031" s="3" t="inlineStr">
        <is>
          <t>Weight</t>
        </is>
      </c>
      <c r="AT2031" s="3" t="inlineStr">
        <is>
          <t>Inactive</t>
        </is>
      </c>
    </row>
    <row r="2032" ht="15.75" customHeight="1">
      <c r="A2032" s="3" t="inlineStr">
        <is>
          <t>PROD_0393</t>
        </is>
      </c>
      <c r="B2032" s="3" t="inlineStr">
        <is>
          <t>VAR_2</t>
        </is>
      </c>
      <c r="C2032" s="3" t="inlineStr">
        <is>
          <t>Plumbing</t>
        </is>
      </c>
      <c r="D2032" s="3" t="inlineStr">
        <is>
          <t>Silicon Sealant</t>
        </is>
      </c>
      <c r="E2032" s="3" t="inlineStr">
        <is>
          <t>Abro</t>
        </is>
      </c>
      <c r="F2032" s="3" t="inlineStr">
        <is>
          <t>Silicon Sealant | Pack of 1</t>
        </is>
      </c>
      <c r="H2032" s="3" t="inlineStr">
        <is>
          <t>Weight</t>
        </is>
      </c>
      <c r="I2032" s="3" t="inlineStr">
        <is>
          <t>260 gm</t>
        </is>
      </c>
      <c r="J2032" s="3" t="inlineStr">
        <is>
          <t>Color</t>
        </is>
      </c>
      <c r="K2032" s="3" t="inlineStr">
        <is>
          <t>Clear</t>
        </is>
      </c>
      <c r="Q2032" s="3" t="inlineStr">
        <is>
          <t>Manufacturer's Warranty</t>
        </is>
      </c>
      <c r="Y2032" s="3" t="inlineStr">
        <is>
          <t>PLUM_SS_ABRO_CLEAR</t>
        </is>
      </c>
      <c r="AF2032" s="4" t="n"/>
      <c r="AG2032" s="3">
        <f>ROUND(AE2032-(AE2032*AF2032),2)</f>
        <v/>
      </c>
      <c r="AH2032" s="4" t="n">
        <v>0.18</v>
      </c>
      <c r="AI2032" s="3">
        <f>ROUND(AG2032+(AG2032*AH2032),2)</f>
        <v/>
      </c>
      <c r="AJ2032" s="4" t="n">
        <v>0.2</v>
      </c>
      <c r="AK2032" s="3">
        <f>ROUND(AI2032*AJ2032,2)</f>
        <v/>
      </c>
      <c r="AL2032" s="3">
        <f>AI2032+AK2032</f>
        <v/>
      </c>
      <c r="AM2032" s="3">
        <f>AE2032-AL2032</f>
        <v/>
      </c>
      <c r="AN2032" s="4" t="n">
        <v>0.5</v>
      </c>
      <c r="AO2032" s="3" t="inlineStr">
        <is>
          <t>60 mins</t>
        </is>
      </c>
      <c r="AQ2032" s="3" t="inlineStr">
        <is>
          <t>Weight</t>
        </is>
      </c>
      <c r="AT2032" s="3" t="inlineStr">
        <is>
          <t>Inactive</t>
        </is>
      </c>
    </row>
    <row r="2033" ht="15.75" customHeight="1">
      <c r="A2033" s="3" t="inlineStr">
        <is>
          <t>PROD_0393</t>
        </is>
      </c>
      <c r="B2033" s="3" t="inlineStr">
        <is>
          <t>VAR_3</t>
        </is>
      </c>
      <c r="C2033" s="3" t="inlineStr">
        <is>
          <t>Plumbing</t>
        </is>
      </c>
      <c r="D2033" s="3" t="inlineStr">
        <is>
          <t>Silicon Sealant</t>
        </is>
      </c>
      <c r="E2033" s="3" t="inlineStr">
        <is>
          <t>Abro</t>
        </is>
      </c>
      <c r="F2033" s="3" t="inlineStr">
        <is>
          <t>Silicon Sealant | Pack of 1</t>
        </is>
      </c>
      <c r="H2033" s="3" t="inlineStr">
        <is>
          <t>Weight</t>
        </is>
      </c>
      <c r="I2033" s="3" t="inlineStr">
        <is>
          <t>260 gm</t>
        </is>
      </c>
      <c r="J2033" s="3" t="inlineStr">
        <is>
          <t>Color</t>
        </is>
      </c>
      <c r="K2033" s="3" t="inlineStr">
        <is>
          <t>Black</t>
        </is>
      </c>
      <c r="Q2033" s="3" t="inlineStr">
        <is>
          <t>Manufacturer's Warranty</t>
        </is>
      </c>
      <c r="Y2033" s="3" t="inlineStr">
        <is>
          <t>PLUM_SS_ABRO_BLACK</t>
        </is>
      </c>
      <c r="AF2033" s="4" t="n"/>
      <c r="AG2033" s="3">
        <f>ROUND(AE2033-(AE2033*AF2033),2)</f>
        <v/>
      </c>
      <c r="AH2033" s="4" t="n">
        <v>0.18</v>
      </c>
      <c r="AI2033" s="3">
        <f>ROUND(AG2033+(AG2033*AH2033),2)</f>
        <v/>
      </c>
      <c r="AJ2033" s="4" t="n">
        <v>0.2</v>
      </c>
      <c r="AK2033" s="3">
        <f>ROUND(AI2033*AJ2033,2)</f>
        <v/>
      </c>
      <c r="AL2033" s="3">
        <f>AI2033+AK2033</f>
        <v/>
      </c>
      <c r="AM2033" s="3">
        <f>AE2033-AL2033</f>
        <v/>
      </c>
      <c r="AN2033" s="4" t="n">
        <v>0.5</v>
      </c>
      <c r="AO2033" s="3" t="inlineStr">
        <is>
          <t>60 mins</t>
        </is>
      </c>
      <c r="AQ2033" s="3" t="inlineStr">
        <is>
          <t>Weight</t>
        </is>
      </c>
      <c r="AT2033" s="3" t="inlineStr">
        <is>
          <t>Inactive</t>
        </is>
      </c>
    </row>
    <row r="2034" ht="15.75" customHeight="1">
      <c r="A2034" s="3" t="inlineStr">
        <is>
          <t>PROD_0394</t>
        </is>
      </c>
      <c r="B2034" s="3" t="inlineStr">
        <is>
          <t>VAR_1</t>
        </is>
      </c>
      <c r="C2034" s="3" t="inlineStr">
        <is>
          <t>Plumbing</t>
        </is>
      </c>
      <c r="D2034" s="3" t="inlineStr">
        <is>
          <t>Silicon Sealant</t>
        </is>
      </c>
      <c r="E2034" s="3" t="inlineStr">
        <is>
          <t>Generic</t>
        </is>
      </c>
      <c r="F2034" s="3" t="inlineStr">
        <is>
          <t>Silicon Sealant | Pack of 1</t>
        </is>
      </c>
      <c r="H2034" s="3" t="inlineStr">
        <is>
          <t>Weight</t>
        </is>
      </c>
      <c r="I2034" s="3" t="inlineStr">
        <is>
          <t>260 gm</t>
        </is>
      </c>
      <c r="J2034" s="3" t="inlineStr">
        <is>
          <t>Color</t>
        </is>
      </c>
      <c r="K2034" s="3" t="inlineStr">
        <is>
          <t>Black</t>
        </is>
      </c>
      <c r="Q2034" s="3" t="inlineStr">
        <is>
          <t>Manufacturer's Warranty</t>
        </is>
      </c>
      <c r="AF2034" s="4" t="n"/>
      <c r="AG2034" s="3" t="n">
        <v>150</v>
      </c>
      <c r="AH2034" s="4" t="n">
        <v>0.18</v>
      </c>
      <c r="AI2034" s="3">
        <f>ROUND(AG2034+(AG2034*AH2034),2)</f>
        <v/>
      </c>
      <c r="AJ2034" s="4" t="n">
        <v>0.2</v>
      </c>
      <c r="AK2034" s="3">
        <f>ROUND(AI2034*AJ2034,2)</f>
        <v/>
      </c>
      <c r="AL2034" s="3">
        <f>AI2034+AK2034</f>
        <v/>
      </c>
      <c r="AM2034" s="3">
        <f>AE2034-AL2034</f>
        <v/>
      </c>
      <c r="AN2034" s="4" t="n">
        <v>0.5</v>
      </c>
      <c r="AO2034" s="3" t="inlineStr">
        <is>
          <t>60 mins</t>
        </is>
      </c>
      <c r="AQ2034" s="3" t="inlineStr">
        <is>
          <t>Weight</t>
        </is>
      </c>
      <c r="AT2034" s="3" t="inlineStr">
        <is>
          <t>Active</t>
        </is>
      </c>
    </row>
    <row r="2035" ht="15.75" customHeight="1">
      <c r="A2035" s="3" t="inlineStr">
        <is>
          <t>PROD_0394</t>
        </is>
      </c>
      <c r="B2035" s="3" t="inlineStr">
        <is>
          <t>VAR_2</t>
        </is>
      </c>
      <c r="C2035" s="3" t="inlineStr">
        <is>
          <t>Plumbing</t>
        </is>
      </c>
      <c r="D2035" s="3" t="inlineStr">
        <is>
          <t>Silicon Sealant</t>
        </is>
      </c>
      <c r="E2035" s="3" t="inlineStr">
        <is>
          <t>Generic</t>
        </is>
      </c>
      <c r="F2035" s="3" t="inlineStr">
        <is>
          <t>Silicon Sealant | Pack of 1</t>
        </is>
      </c>
      <c r="H2035" s="3" t="inlineStr">
        <is>
          <t>Weight</t>
        </is>
      </c>
      <c r="I2035" s="3" t="inlineStr">
        <is>
          <t>260 gm</t>
        </is>
      </c>
      <c r="J2035" s="3" t="inlineStr">
        <is>
          <t>Color</t>
        </is>
      </c>
      <c r="K2035" s="3" t="inlineStr">
        <is>
          <t>White</t>
        </is>
      </c>
      <c r="Q2035" s="3" t="inlineStr">
        <is>
          <t>Manufacturer's Warranty</t>
        </is>
      </c>
      <c r="AF2035" s="4" t="n"/>
      <c r="AG2035" s="3" t="n">
        <v>150</v>
      </c>
      <c r="AH2035" s="4" t="n">
        <v>0.18</v>
      </c>
      <c r="AI2035" s="3">
        <f>ROUND(AG2035+(AG2035*AH2035),2)</f>
        <v/>
      </c>
      <c r="AJ2035" s="4" t="n">
        <v>0.2</v>
      </c>
      <c r="AK2035" s="3">
        <f>ROUND(AI2035*AJ2035,2)</f>
        <v/>
      </c>
      <c r="AL2035" s="3">
        <f>AI2035+AK2035</f>
        <v/>
      </c>
      <c r="AM2035" s="3">
        <f>AE2035-AL2035</f>
        <v/>
      </c>
      <c r="AN2035" s="4" t="n">
        <v>0.5</v>
      </c>
      <c r="AO2035" s="3" t="inlineStr">
        <is>
          <t>60 mins</t>
        </is>
      </c>
      <c r="AQ2035" s="3" t="inlineStr">
        <is>
          <t>Weight</t>
        </is>
      </c>
      <c r="AT2035" s="3" t="inlineStr">
        <is>
          <t>Active</t>
        </is>
      </c>
    </row>
    <row r="2036" ht="15.75" customHeight="1">
      <c r="A2036" s="3" t="inlineStr">
        <is>
          <t>PROD_0395</t>
        </is>
      </c>
      <c r="B2036" s="3" t="inlineStr">
        <is>
          <t>VAR_1</t>
        </is>
      </c>
      <c r="C2036" s="3" t="inlineStr">
        <is>
          <t>Plumbing</t>
        </is>
      </c>
      <c r="D2036" s="3" t="inlineStr">
        <is>
          <t>Faucets</t>
        </is>
      </c>
      <c r="E2036" s="3" t="inlineStr">
        <is>
          <t>Jaquar</t>
        </is>
      </c>
      <c r="F2036" s="3" t="inlineStr">
        <is>
          <t>Deck Mounted | Florentine Series</t>
        </is>
      </c>
      <c r="H2036" s="3" t="inlineStr">
        <is>
          <t>Design</t>
        </is>
      </c>
      <c r="I2036" s="3" t="inlineStr">
        <is>
          <t>Normal</t>
        </is>
      </c>
      <c r="J2036" s="3" t="inlineStr">
        <is>
          <t>Flow</t>
        </is>
      </c>
      <c r="K2036" s="3" t="inlineStr">
        <is>
          <t>Hot &amp; Cold</t>
        </is>
      </c>
      <c r="Q2036" s="3" t="inlineStr">
        <is>
          <t>Manufacturer's Warranty</t>
        </is>
      </c>
      <c r="R2036" s="3" t="inlineStr">
        <is>
          <t>FLP-CHR-5001BPM</t>
        </is>
      </c>
      <c r="Y2036" s="3" t="inlineStr">
        <is>
          <t>PL_FAU_JAQ_1</t>
        </is>
      </c>
      <c r="AE2036" s="3" t="n">
        <v>4900</v>
      </c>
      <c r="AF2036" s="4" t="n">
        <v>0.25</v>
      </c>
      <c r="AG2036" s="3">
        <f>ROUND(AE2036-(AE2036*AF2036),2)</f>
        <v/>
      </c>
      <c r="AH2036" s="4" t="n">
        <v>0.18</v>
      </c>
      <c r="AI2036" s="3">
        <f>ROUND(AG2036+(AG2036*AH2036),2)</f>
        <v/>
      </c>
      <c r="AJ2036" s="4" t="n">
        <v>0.1</v>
      </c>
      <c r="AK2036" s="3">
        <f>ROUND(AI2036*AJ2036,2)</f>
        <v/>
      </c>
      <c r="AL2036" s="3">
        <f>AI2036+AK2036</f>
        <v/>
      </c>
      <c r="AM2036" s="3">
        <f>AE2036-AL2036</f>
        <v/>
      </c>
      <c r="AN2036" s="4">
        <f>AM2036/AE2036</f>
        <v/>
      </c>
      <c r="AO2036" s="3" t="inlineStr">
        <is>
          <t>60 mins</t>
        </is>
      </c>
      <c r="AQ2036" s="3" t="inlineStr">
        <is>
          <t>Weight</t>
        </is>
      </c>
    </row>
    <row r="2037" ht="15.75" customHeight="1">
      <c r="A2037" s="3" t="inlineStr">
        <is>
          <t>PROD_0395</t>
        </is>
      </c>
      <c r="B2037" s="3" t="inlineStr">
        <is>
          <t>VAR_2</t>
        </is>
      </c>
      <c r="C2037" s="3" t="inlineStr">
        <is>
          <t>Plumbing</t>
        </is>
      </c>
      <c r="D2037" s="3" t="inlineStr">
        <is>
          <t>Faucets</t>
        </is>
      </c>
      <c r="E2037" s="3" t="inlineStr">
        <is>
          <t>Jaquar</t>
        </is>
      </c>
      <c r="F2037" s="3" t="inlineStr">
        <is>
          <t>Deck Mounted | Florentine Series</t>
        </is>
      </c>
      <c r="H2037" s="3" t="inlineStr">
        <is>
          <t>Design</t>
        </is>
      </c>
      <c r="I2037" s="3" t="inlineStr">
        <is>
          <t>Tall</t>
        </is>
      </c>
      <c r="J2037" s="3" t="inlineStr">
        <is>
          <t>Flow</t>
        </is>
      </c>
      <c r="K2037" s="3" t="inlineStr">
        <is>
          <t>Hot &amp; Cold</t>
        </is>
      </c>
      <c r="Q2037" s="3" t="inlineStr">
        <is>
          <t>Manufacturer's Warranty</t>
        </is>
      </c>
      <c r="R2037" s="3" t="inlineStr">
        <is>
          <t>FLR-CHR-5005NB</t>
        </is>
      </c>
      <c r="Y2037" s="3" t="inlineStr">
        <is>
          <t>PL_FAU_JAQ_2</t>
        </is>
      </c>
      <c r="AE2037" s="3" t="n">
        <v>5950</v>
      </c>
      <c r="AF2037" s="4" t="n">
        <v>0.25</v>
      </c>
      <c r="AG2037" s="3">
        <f>ROUND(AE2037-(AE2037*AF2037),2)</f>
        <v/>
      </c>
      <c r="AH2037" s="4" t="n">
        <v>0.18</v>
      </c>
      <c r="AI2037" s="3">
        <f>ROUND(AG2037+(AG2037*AH2037),2)</f>
        <v/>
      </c>
      <c r="AJ2037" s="4" t="n">
        <v>0.1</v>
      </c>
      <c r="AK2037" s="3">
        <f>ROUND(AI2037*AJ2037,2)</f>
        <v/>
      </c>
      <c r="AL2037" s="3">
        <f>AI2037+AK2037</f>
        <v/>
      </c>
      <c r="AM2037" s="3">
        <f>AE2037-AL2037</f>
        <v/>
      </c>
      <c r="AN2037" s="4">
        <f>AM2037/AE2037</f>
        <v/>
      </c>
      <c r="AO2037" s="3" t="inlineStr">
        <is>
          <t>60 mins</t>
        </is>
      </c>
      <c r="AQ2037" s="3" t="inlineStr">
        <is>
          <t>Weight</t>
        </is>
      </c>
    </row>
    <row r="2038" ht="15.75" customHeight="1">
      <c r="A2038" s="3" t="inlineStr">
        <is>
          <t>PROD_0395</t>
        </is>
      </c>
      <c r="B2038" s="3" t="inlineStr">
        <is>
          <t>VAR_3</t>
        </is>
      </c>
      <c r="C2038" s="3" t="inlineStr">
        <is>
          <t>Plumbing</t>
        </is>
      </c>
      <c r="D2038" s="3" t="inlineStr">
        <is>
          <t>Faucets</t>
        </is>
      </c>
      <c r="E2038" s="3" t="inlineStr">
        <is>
          <t>Jaquar</t>
        </is>
      </c>
      <c r="F2038" s="3" t="inlineStr">
        <is>
          <t>Deck Mounted | Florentine Series</t>
        </is>
      </c>
      <c r="H2038" s="3" t="inlineStr">
        <is>
          <t>Design</t>
        </is>
      </c>
      <c r="I2038" s="3" t="inlineStr">
        <is>
          <t>Slant Type</t>
        </is>
      </c>
      <c r="J2038" s="3" t="inlineStr">
        <is>
          <t>Flow</t>
        </is>
      </c>
      <c r="K2038" s="3" t="inlineStr">
        <is>
          <t>Hot &amp; Cold</t>
        </is>
      </c>
      <c r="Q2038" s="3" t="inlineStr">
        <is>
          <t>Manufacturer's Warranty</t>
        </is>
      </c>
      <c r="R2038" s="3" t="inlineStr">
        <is>
          <t>FLP-CHR-5173BPM</t>
        </is>
      </c>
      <c r="Y2038" s="3" t="inlineStr">
        <is>
          <t>PLUM_FAU_JAQ_3</t>
        </is>
      </c>
      <c r="AE2038" s="3" t="n">
        <v>4500</v>
      </c>
      <c r="AF2038" s="4" t="n">
        <v>0.25</v>
      </c>
      <c r="AG2038" s="3">
        <f>ROUND(AE2038-(AE2038*AF2038),2)</f>
        <v/>
      </c>
      <c r="AH2038" s="4" t="n">
        <v>0.18</v>
      </c>
      <c r="AI2038" s="3">
        <f>ROUND(AG2038+(AG2038*AH2038),2)</f>
        <v/>
      </c>
      <c r="AJ2038" s="4" t="n">
        <v>0.1</v>
      </c>
      <c r="AK2038" s="3">
        <f>ROUND(AI2038*AJ2038,2)</f>
        <v/>
      </c>
      <c r="AL2038" s="3">
        <f>AI2038+AK2038</f>
        <v/>
      </c>
      <c r="AM2038" s="3">
        <f>AE2038-AL2038</f>
        <v/>
      </c>
      <c r="AN2038" s="4">
        <f>AM2038/AE2038</f>
        <v/>
      </c>
      <c r="AO2038" s="3" t="inlineStr">
        <is>
          <t>60 mins</t>
        </is>
      </c>
      <c r="AQ2038" s="3" t="inlineStr">
        <is>
          <t>Weight</t>
        </is>
      </c>
    </row>
    <row r="2039" ht="15.75" customHeight="1">
      <c r="A2039" s="3" t="inlineStr">
        <is>
          <t>PROD_0396</t>
        </is>
      </c>
      <c r="B2039" s="3" t="inlineStr">
        <is>
          <t>VAR_1</t>
        </is>
      </c>
      <c r="C2039" s="3" t="inlineStr">
        <is>
          <t>Plumbing</t>
        </is>
      </c>
      <c r="D2039" s="3" t="inlineStr">
        <is>
          <t>Faucets</t>
        </is>
      </c>
      <c r="E2039" s="3" t="inlineStr">
        <is>
          <t>Jaquar</t>
        </is>
      </c>
      <c r="F2039" s="3" t="inlineStr">
        <is>
          <t>Deck Mounted | Continental Series</t>
        </is>
      </c>
      <c r="H2039" s="3" t="inlineStr">
        <is>
          <t>Design</t>
        </is>
      </c>
      <c r="I2039" s="3" t="inlineStr">
        <is>
          <t>Normal</t>
        </is>
      </c>
      <c r="J2039" s="3" t="inlineStr">
        <is>
          <t>Flow</t>
        </is>
      </c>
      <c r="K2039" s="3" t="inlineStr">
        <is>
          <t>Hot &amp; Cold</t>
        </is>
      </c>
      <c r="Q2039" s="3" t="inlineStr">
        <is>
          <t>Manufacturer's Warranty</t>
        </is>
      </c>
      <c r="R2039" s="3" t="inlineStr">
        <is>
          <t>COP-CHR-167BPM</t>
        </is>
      </c>
      <c r="Y2039" s="3" t="inlineStr">
        <is>
          <t>PL_FAU_JAQ_4</t>
        </is>
      </c>
      <c r="AE2039" s="3" t="n">
        <v>4250</v>
      </c>
      <c r="AF2039" s="4" t="n">
        <v>0.25</v>
      </c>
      <c r="AG2039" s="3">
        <f>ROUND(AE2039-(AE2039*AF2039),2)</f>
        <v/>
      </c>
      <c r="AH2039" s="4" t="n">
        <v>0.18</v>
      </c>
      <c r="AI2039" s="3">
        <f>ROUND(AG2039+(AG2039*AH2039),2)</f>
        <v/>
      </c>
      <c r="AJ2039" s="4" t="n">
        <v>0.1</v>
      </c>
      <c r="AK2039" s="3">
        <f>ROUND(AI2039*AJ2039,2)</f>
        <v/>
      </c>
      <c r="AL2039" s="3">
        <f>AI2039+AK2039</f>
        <v/>
      </c>
      <c r="AM2039" s="3">
        <f>AE2039-AL2039</f>
        <v/>
      </c>
      <c r="AN2039" s="4">
        <f>AM2039/AE2039</f>
        <v/>
      </c>
      <c r="AO2039" s="3" t="inlineStr">
        <is>
          <t>60 mins</t>
        </is>
      </c>
      <c r="AQ2039" s="3" t="inlineStr">
        <is>
          <t>Weight</t>
        </is>
      </c>
    </row>
    <row r="2040" ht="15.75" customHeight="1">
      <c r="A2040" s="3" t="inlineStr">
        <is>
          <t>PROD_0396</t>
        </is>
      </c>
      <c r="B2040" s="3" t="inlineStr">
        <is>
          <t>VAR_2</t>
        </is>
      </c>
      <c r="C2040" s="3" t="inlineStr">
        <is>
          <t>Plumbing</t>
        </is>
      </c>
      <c r="D2040" s="3" t="inlineStr">
        <is>
          <t>Faucets</t>
        </is>
      </c>
      <c r="E2040" s="3" t="inlineStr">
        <is>
          <t>Jaquar</t>
        </is>
      </c>
      <c r="F2040" s="3" t="inlineStr">
        <is>
          <t>Deck Mounted | Continental Series</t>
        </is>
      </c>
      <c r="H2040" s="3" t="inlineStr">
        <is>
          <t>Design</t>
        </is>
      </c>
      <c r="I2040" s="3" t="inlineStr">
        <is>
          <t>Tall</t>
        </is>
      </c>
      <c r="J2040" s="3" t="inlineStr">
        <is>
          <t>Flow</t>
        </is>
      </c>
      <c r="K2040" s="3" t="inlineStr">
        <is>
          <t>Hot &amp; Cold</t>
        </is>
      </c>
      <c r="Q2040" s="3" t="inlineStr">
        <is>
          <t>Manufacturer's Warranty</t>
        </is>
      </c>
      <c r="R2040" s="3" t="inlineStr">
        <is>
          <t>COP-CHR-005BPM</t>
        </is>
      </c>
      <c r="Y2040" s="3" t="inlineStr">
        <is>
          <t>PL_FAU_JAQ_5</t>
        </is>
      </c>
      <c r="AE2040" s="3" t="n">
        <v>4650</v>
      </c>
      <c r="AF2040" s="4" t="n">
        <v>0.25</v>
      </c>
      <c r="AG2040" s="3">
        <f>ROUND(AE2040-(AE2040*AF2040),2)</f>
        <v/>
      </c>
      <c r="AH2040" s="4" t="n">
        <v>0.18</v>
      </c>
      <c r="AI2040" s="3">
        <f>ROUND(AG2040+(AG2040*AH2040),2)</f>
        <v/>
      </c>
      <c r="AJ2040" s="4" t="n">
        <v>0.1</v>
      </c>
      <c r="AK2040" s="3">
        <f>ROUND(AI2040*AJ2040,2)</f>
        <v/>
      </c>
      <c r="AL2040" s="3">
        <f>AI2040+AK2040</f>
        <v/>
      </c>
      <c r="AM2040" s="3">
        <f>AE2040-AL2040</f>
        <v/>
      </c>
      <c r="AN2040" s="4">
        <f>AM2040/AE2040</f>
        <v/>
      </c>
      <c r="AO2040" s="3" t="inlineStr">
        <is>
          <t>60 mins</t>
        </is>
      </c>
      <c r="AQ2040" s="3" t="inlineStr">
        <is>
          <t>Weight</t>
        </is>
      </c>
    </row>
    <row r="2041" ht="15.75" customHeight="1">
      <c r="A2041" s="3" t="inlineStr">
        <is>
          <t>PROD_0395</t>
        </is>
      </c>
      <c r="B2041" s="3" t="inlineStr">
        <is>
          <t>VAR_4</t>
        </is>
      </c>
      <c r="C2041" s="3" t="inlineStr">
        <is>
          <t>Plumbing</t>
        </is>
      </c>
      <c r="D2041" s="3" t="inlineStr">
        <is>
          <t>Faucets</t>
        </is>
      </c>
      <c r="E2041" s="3" t="inlineStr">
        <is>
          <t>Jaquar</t>
        </is>
      </c>
      <c r="F2041" s="3" t="inlineStr">
        <is>
          <t>Deck Mounted | Florentine Series</t>
        </is>
      </c>
      <c r="H2041" s="3" t="inlineStr">
        <is>
          <t>Design</t>
        </is>
      </c>
      <c r="I2041" s="3" t="inlineStr">
        <is>
          <t>Normal</t>
        </is>
      </c>
      <c r="J2041" s="3" t="inlineStr">
        <is>
          <t>Flow</t>
        </is>
      </c>
      <c r="K2041" s="3" t="inlineStr">
        <is>
          <t>Cold</t>
        </is>
      </c>
      <c r="Q2041" s="3" t="inlineStr">
        <is>
          <t>Manufacturer's Warranty</t>
        </is>
      </c>
      <c r="R2041" s="3" t="inlineStr">
        <is>
          <t>FLP-CHR-5015BPM</t>
        </is>
      </c>
      <c r="Y2041" s="3" t="inlineStr">
        <is>
          <t>PL_FAU_JAQ_6</t>
        </is>
      </c>
      <c r="AE2041" s="3" t="n">
        <v>2250</v>
      </c>
      <c r="AF2041" s="4" t="n">
        <v>0.25</v>
      </c>
      <c r="AG2041" s="3">
        <f>ROUND(AE2041-(AE2041*AF2041),2)</f>
        <v/>
      </c>
      <c r="AH2041" s="4" t="n">
        <v>0.18</v>
      </c>
      <c r="AI2041" s="3">
        <f>ROUND(AG2041+(AG2041*AH2041),2)</f>
        <v/>
      </c>
      <c r="AJ2041" s="4" t="n">
        <v>0.1</v>
      </c>
      <c r="AK2041" s="3">
        <f>ROUND(AI2041*AJ2041,2)</f>
        <v/>
      </c>
      <c r="AL2041" s="3">
        <f>AI2041+AK2041</f>
        <v/>
      </c>
      <c r="AM2041" s="3">
        <f>AE2041-AL2041</f>
        <v/>
      </c>
      <c r="AN2041" s="4">
        <f>AM2041/AE2041</f>
        <v/>
      </c>
      <c r="AO2041" s="3" t="inlineStr">
        <is>
          <t>60 mins</t>
        </is>
      </c>
      <c r="AQ2041" s="3" t="inlineStr">
        <is>
          <t>Weight</t>
        </is>
      </c>
    </row>
    <row r="2042" ht="15.75" customHeight="1">
      <c r="A2042" s="3" t="inlineStr">
        <is>
          <t>PROD_0395</t>
        </is>
      </c>
      <c r="B2042" s="3" t="inlineStr">
        <is>
          <t>VAR_5</t>
        </is>
      </c>
      <c r="C2042" s="3" t="inlineStr">
        <is>
          <t>Plumbing</t>
        </is>
      </c>
      <c r="D2042" s="3" t="inlineStr">
        <is>
          <t>Faucets</t>
        </is>
      </c>
      <c r="E2042" s="3" t="inlineStr">
        <is>
          <t>Jaquar</t>
        </is>
      </c>
      <c r="F2042" s="3" t="inlineStr">
        <is>
          <t>Deck Mounted | Florentine Series</t>
        </is>
      </c>
      <c r="H2042" s="3" t="inlineStr">
        <is>
          <t>Design</t>
        </is>
      </c>
      <c r="I2042" s="3" t="inlineStr">
        <is>
          <t>Normal</t>
        </is>
      </c>
      <c r="J2042" s="3" t="inlineStr">
        <is>
          <t>Flow</t>
        </is>
      </c>
      <c r="K2042" s="3" t="inlineStr">
        <is>
          <t>Cold</t>
        </is>
      </c>
      <c r="Q2042" s="3" t="inlineStr">
        <is>
          <t>Manufacturer's Warranty</t>
        </is>
      </c>
      <c r="R2042" s="3" t="inlineStr">
        <is>
          <t>FLP-CHR-5011PM</t>
        </is>
      </c>
      <c r="Y2042" s="3" t="inlineStr">
        <is>
          <t>PLUM_FAU_JAQ_7</t>
        </is>
      </c>
      <c r="AE2042" s="3" t="n">
        <v>2250</v>
      </c>
      <c r="AF2042" s="4" t="n">
        <v>0.25</v>
      </c>
      <c r="AG2042" s="3">
        <f>ROUND(AE2042-(AE2042*AF2042),2)</f>
        <v/>
      </c>
      <c r="AH2042" s="4" t="n">
        <v>0.18</v>
      </c>
      <c r="AI2042" s="3">
        <f>ROUND(AG2042+(AG2042*AH2042),2)</f>
        <v/>
      </c>
      <c r="AJ2042" s="4" t="n">
        <v>0.1</v>
      </c>
      <c r="AK2042" s="3">
        <f>ROUND(AI2042*AJ2042,2)</f>
        <v/>
      </c>
      <c r="AL2042" s="3">
        <f>AI2042+AK2042</f>
        <v/>
      </c>
      <c r="AM2042" s="3">
        <f>AE2042-AL2042</f>
        <v/>
      </c>
      <c r="AN2042" s="4">
        <f>AM2042/AE2042</f>
        <v/>
      </c>
      <c r="AO2042" s="3" t="inlineStr">
        <is>
          <t>60 mins</t>
        </is>
      </c>
      <c r="AQ2042" s="3" t="inlineStr">
        <is>
          <t>Weight</t>
        </is>
      </c>
    </row>
    <row r="2043" ht="15.75" customHeight="1">
      <c r="A2043" s="3" t="inlineStr">
        <is>
          <t>PROD_0395</t>
        </is>
      </c>
      <c r="B2043" s="3" t="inlineStr">
        <is>
          <t>VAR_6</t>
        </is>
      </c>
      <c r="C2043" s="3" t="inlineStr">
        <is>
          <t>Plumbing</t>
        </is>
      </c>
      <c r="D2043" s="3" t="inlineStr">
        <is>
          <t>Faucets</t>
        </is>
      </c>
      <c r="E2043" s="3" t="inlineStr">
        <is>
          <t>Jaquar</t>
        </is>
      </c>
      <c r="F2043" s="3" t="inlineStr">
        <is>
          <t>Deck Mounted | Florentine Series</t>
        </is>
      </c>
      <c r="H2043" s="3" t="inlineStr">
        <is>
          <t>Design</t>
        </is>
      </c>
      <c r="I2043" s="3" t="inlineStr">
        <is>
          <t>Tall</t>
        </is>
      </c>
      <c r="J2043" s="3" t="inlineStr">
        <is>
          <t>Flow</t>
        </is>
      </c>
      <c r="K2043" s="3" t="inlineStr">
        <is>
          <t>Cold</t>
        </is>
      </c>
      <c r="Q2043" s="3" t="inlineStr">
        <is>
          <t>Manufacturer's Warranty</t>
        </is>
      </c>
      <c r="R2043" s="3" t="inlineStr">
        <is>
          <t>OPP-CHR-15021PM</t>
        </is>
      </c>
      <c r="Y2043" s="3" t="inlineStr">
        <is>
          <t>PL_FAU_JAQ_8</t>
        </is>
      </c>
      <c r="AE2043" s="3" t="n">
        <v>3600</v>
      </c>
      <c r="AF2043" s="4" t="n">
        <v>0.25</v>
      </c>
      <c r="AG2043" s="3">
        <f>ROUND(AE2043-(AE2043*AF2043),2)</f>
        <v/>
      </c>
      <c r="AH2043" s="4" t="n">
        <v>0.18</v>
      </c>
      <c r="AI2043" s="3">
        <f>ROUND(AG2043+(AG2043*AH2043),2)</f>
        <v/>
      </c>
      <c r="AJ2043" s="4" t="n">
        <v>0.1</v>
      </c>
      <c r="AK2043" s="3">
        <f>ROUND(AI2043*AJ2043,2)</f>
        <v/>
      </c>
      <c r="AL2043" s="3">
        <f>AI2043+AK2043</f>
        <v/>
      </c>
      <c r="AM2043" s="3">
        <f>AE2043-AL2043</f>
        <v/>
      </c>
      <c r="AN2043" s="4">
        <f>AM2043/AE2043</f>
        <v/>
      </c>
      <c r="AO2043" s="3" t="inlineStr">
        <is>
          <t>60 mins</t>
        </is>
      </c>
      <c r="AQ2043" s="3" t="inlineStr">
        <is>
          <t>Weight</t>
        </is>
      </c>
    </row>
    <row r="2044" ht="15.75" customHeight="1">
      <c r="A2044" s="3" t="inlineStr">
        <is>
          <t>PROD_0397</t>
        </is>
      </c>
      <c r="B2044" s="3" t="inlineStr">
        <is>
          <t>VAR_1</t>
        </is>
      </c>
      <c r="C2044" s="3" t="inlineStr">
        <is>
          <t>Plumbing</t>
        </is>
      </c>
      <c r="D2044" s="3" t="inlineStr">
        <is>
          <t>Faucets</t>
        </is>
      </c>
      <c r="E2044" s="3" t="inlineStr">
        <is>
          <t>Jaquar</t>
        </is>
      </c>
      <c r="F2044" s="3" t="inlineStr">
        <is>
          <t>Deck Mounted | Alive Series</t>
        </is>
      </c>
      <c r="H2044" s="3" t="inlineStr">
        <is>
          <t>Design</t>
        </is>
      </c>
      <c r="I2044" s="3" t="inlineStr">
        <is>
          <t>Normal</t>
        </is>
      </c>
      <c r="J2044" s="3" t="inlineStr">
        <is>
          <t>Flow</t>
        </is>
      </c>
      <c r="K2044" s="3" t="inlineStr">
        <is>
          <t>Cold</t>
        </is>
      </c>
      <c r="Q2044" s="3" t="inlineStr">
        <is>
          <t>Manufacturer's Warranty</t>
        </is>
      </c>
      <c r="R2044" s="3" t="inlineStr">
        <is>
          <t>ALI-CHR-85001</t>
        </is>
      </c>
      <c r="Y2044" s="3" t="inlineStr">
        <is>
          <t>PLUM_FAU_JAQ_9</t>
        </is>
      </c>
      <c r="AE2044" s="3" t="n">
        <v>3100</v>
      </c>
      <c r="AF2044" s="4" t="n">
        <v>0.25</v>
      </c>
      <c r="AG2044" s="3">
        <f>ROUND(AE2044-(AE2044*AF2044),2)</f>
        <v/>
      </c>
      <c r="AH2044" s="4" t="n">
        <v>0.18</v>
      </c>
      <c r="AI2044" s="3">
        <f>ROUND(AG2044+(AG2044*AH2044),2)</f>
        <v/>
      </c>
      <c r="AJ2044" s="4" t="n">
        <v>0.1</v>
      </c>
      <c r="AK2044" s="3">
        <f>ROUND(AI2044*AJ2044,2)</f>
        <v/>
      </c>
      <c r="AL2044" s="3">
        <f>AI2044+AK2044</f>
        <v/>
      </c>
      <c r="AM2044" s="3">
        <f>AE2044-AL2044</f>
        <v/>
      </c>
      <c r="AN2044" s="4">
        <f>AM2044/AE2044</f>
        <v/>
      </c>
      <c r="AO2044" s="3" t="inlineStr">
        <is>
          <t>60 mins</t>
        </is>
      </c>
      <c r="AQ2044" s="3" t="inlineStr">
        <is>
          <t>Weight</t>
        </is>
      </c>
    </row>
    <row r="2045" ht="15.75" customHeight="1">
      <c r="A2045" s="3" t="inlineStr">
        <is>
          <t>PROD_0398</t>
        </is>
      </c>
      <c r="B2045" s="3" t="inlineStr">
        <is>
          <t>VAR_1</t>
        </is>
      </c>
      <c r="C2045" s="3" t="inlineStr">
        <is>
          <t>Plumbing</t>
        </is>
      </c>
      <c r="D2045" s="3" t="inlineStr">
        <is>
          <t>Faucets</t>
        </is>
      </c>
      <c r="E2045" s="3" t="inlineStr">
        <is>
          <t>Jaquar</t>
        </is>
      </c>
      <c r="F2045" s="3" t="inlineStr">
        <is>
          <t>Deck Mounted | Fusion Series</t>
        </is>
      </c>
      <c r="H2045" s="3" t="inlineStr">
        <is>
          <t>Design</t>
        </is>
      </c>
      <c r="I2045" s="3" t="inlineStr">
        <is>
          <t>Normal</t>
        </is>
      </c>
      <c r="J2045" s="3" t="inlineStr">
        <is>
          <t>Flow</t>
        </is>
      </c>
      <c r="K2045" s="3" t="inlineStr">
        <is>
          <t>Cold</t>
        </is>
      </c>
      <c r="Q2045" s="3" t="inlineStr">
        <is>
          <t>Manufacturer's Warranty</t>
        </is>
      </c>
      <c r="R2045" s="3" t="inlineStr">
        <is>
          <t>FUS-CHR-29001</t>
        </is>
      </c>
      <c r="Y2045" s="3" t="inlineStr">
        <is>
          <t>PL_FAU_JAQ_10</t>
        </is>
      </c>
      <c r="AE2045" s="3" t="n">
        <v>2575</v>
      </c>
      <c r="AF2045" s="4" t="n">
        <v>0.25</v>
      </c>
      <c r="AG2045" s="3">
        <f>ROUND(AE2045-(AE2045*AF2045),2)</f>
        <v/>
      </c>
      <c r="AH2045" s="4" t="n">
        <v>0.18</v>
      </c>
      <c r="AI2045" s="3">
        <f>ROUND(AG2045+(AG2045*AH2045),2)</f>
        <v/>
      </c>
      <c r="AJ2045" s="4" t="n">
        <v>0.1</v>
      </c>
      <c r="AK2045" s="3">
        <f>ROUND(AI2045*AJ2045,2)</f>
        <v/>
      </c>
      <c r="AL2045" s="3">
        <f>AI2045+AK2045</f>
        <v/>
      </c>
      <c r="AM2045" s="3">
        <f>AE2045-AL2045</f>
        <v/>
      </c>
      <c r="AN2045" s="4">
        <f>AM2045/AE2045</f>
        <v/>
      </c>
      <c r="AO2045" s="3" t="inlineStr">
        <is>
          <t>60 mins</t>
        </is>
      </c>
      <c r="AQ2045" s="3" t="inlineStr">
        <is>
          <t>Weight</t>
        </is>
      </c>
    </row>
    <row r="2046" ht="15.75" customHeight="1">
      <c r="A2046" s="3" t="inlineStr">
        <is>
          <t>PROD_0399</t>
        </is>
      </c>
      <c r="B2046" s="3" t="inlineStr">
        <is>
          <t>VAR_1</t>
        </is>
      </c>
      <c r="C2046" s="3" t="inlineStr">
        <is>
          <t>Plumbing</t>
        </is>
      </c>
      <c r="D2046" s="3" t="inlineStr">
        <is>
          <t>Faucets</t>
        </is>
      </c>
      <c r="E2046" s="3" t="inlineStr">
        <is>
          <t>Jaquar</t>
        </is>
      </c>
      <c r="F2046" s="3" t="inlineStr">
        <is>
          <t>Deck Mounted | Lyric Series</t>
        </is>
      </c>
      <c r="H2046" s="3" t="inlineStr">
        <is>
          <t>Design</t>
        </is>
      </c>
      <c r="I2046" s="3" t="inlineStr">
        <is>
          <t>Normal</t>
        </is>
      </c>
      <c r="J2046" s="3" t="inlineStr">
        <is>
          <t>Flow</t>
        </is>
      </c>
      <c r="K2046" s="3" t="inlineStr">
        <is>
          <t>Cold</t>
        </is>
      </c>
      <c r="Q2046" s="3" t="inlineStr">
        <is>
          <t>Manufacturer's Warranty</t>
        </is>
      </c>
      <c r="R2046" s="3" t="inlineStr">
        <is>
          <t>LYR-CHR-38011</t>
        </is>
      </c>
      <c r="Y2046" s="3" t="inlineStr">
        <is>
          <t>PLUM_FAU_JAQ_11</t>
        </is>
      </c>
      <c r="AE2046" s="3" t="n">
        <v>2650</v>
      </c>
      <c r="AF2046" s="4" t="n">
        <v>0.25</v>
      </c>
      <c r="AG2046" s="3">
        <f>ROUND(AE2046-(AE2046*AF2046),2)</f>
        <v/>
      </c>
      <c r="AH2046" s="4" t="n">
        <v>0.18</v>
      </c>
      <c r="AI2046" s="3">
        <f>ROUND(AG2046+(AG2046*AH2046),2)</f>
        <v/>
      </c>
      <c r="AJ2046" s="4" t="n">
        <v>0.1</v>
      </c>
      <c r="AK2046" s="3">
        <f>ROUND(AI2046*AJ2046,2)</f>
        <v/>
      </c>
      <c r="AL2046" s="3">
        <f>AI2046+AK2046</f>
        <v/>
      </c>
      <c r="AM2046" s="3">
        <f>AE2046-AL2046</f>
        <v/>
      </c>
      <c r="AN2046" s="4">
        <f>AM2046/AE2046</f>
        <v/>
      </c>
      <c r="AO2046" s="3" t="inlineStr">
        <is>
          <t>60 mins</t>
        </is>
      </c>
      <c r="AQ2046" s="3" t="inlineStr">
        <is>
          <t>Weight</t>
        </is>
      </c>
    </row>
    <row r="2047" ht="15.75" customHeight="1">
      <c r="A2047" s="3" t="inlineStr">
        <is>
          <t>PROD_0400</t>
        </is>
      </c>
      <c r="B2047" s="3" t="inlineStr">
        <is>
          <t>VAR_1</t>
        </is>
      </c>
      <c r="C2047" s="3" t="inlineStr">
        <is>
          <t>Plumbing</t>
        </is>
      </c>
      <c r="D2047" s="3" t="inlineStr">
        <is>
          <t>Faucets</t>
        </is>
      </c>
      <c r="E2047" s="3" t="inlineStr">
        <is>
          <t>Hindware</t>
        </is>
      </c>
      <c r="F2047" s="3" t="inlineStr">
        <is>
          <t>Deck Mounted | Cora Range</t>
        </is>
      </c>
      <c r="H2047" s="3" t="inlineStr">
        <is>
          <t>Design</t>
        </is>
      </c>
      <c r="I2047" s="3" t="inlineStr">
        <is>
          <t>Normal</t>
        </is>
      </c>
      <c r="J2047" s="3" t="inlineStr">
        <is>
          <t>Flow</t>
        </is>
      </c>
      <c r="K2047" s="3" t="inlineStr">
        <is>
          <t>Hot &amp; Cold</t>
        </is>
      </c>
      <c r="Q2047" s="3" t="inlineStr">
        <is>
          <t>Manufacturer's Warranty</t>
        </is>
      </c>
      <c r="R2047" s="3" t="inlineStr">
        <is>
          <t>F440009CP</t>
        </is>
      </c>
      <c r="Y2047" s="3" t="inlineStr">
        <is>
          <t>PLUM_FAU_HIND_1</t>
        </is>
      </c>
      <c r="AE2047" s="3" t="n">
        <v>5700</v>
      </c>
      <c r="AF2047" s="4" t="n">
        <v>0.25</v>
      </c>
      <c r="AG2047" s="3">
        <f>ROUND(AE2047-(AE2047*AF2047),2)</f>
        <v/>
      </c>
      <c r="AH2047" s="4" t="n">
        <v>0.18</v>
      </c>
      <c r="AI2047" s="3">
        <f>ROUND(AG2047+(AG2047*AH2047),2)</f>
        <v/>
      </c>
      <c r="AJ2047" s="4" t="n">
        <v>0.1</v>
      </c>
      <c r="AK2047" s="3">
        <f>ROUND(AI2047*AJ2047,2)</f>
        <v/>
      </c>
      <c r="AL2047" s="3">
        <f>AI2047+AK2047</f>
        <v/>
      </c>
      <c r="AM2047" s="3">
        <f>AE2047-AL2047</f>
        <v/>
      </c>
      <c r="AN2047" s="4">
        <f>AM2047/AE2047</f>
        <v/>
      </c>
      <c r="AO2047" s="3" t="inlineStr">
        <is>
          <t>60 mins</t>
        </is>
      </c>
      <c r="AQ2047" s="3" t="inlineStr">
        <is>
          <t>Weight</t>
        </is>
      </c>
    </row>
    <row r="2048" ht="15.75" customHeight="1">
      <c r="A2048" s="3" t="inlineStr">
        <is>
          <t>PROD_0401</t>
        </is>
      </c>
      <c r="B2048" s="3" t="inlineStr">
        <is>
          <t>VAR_1</t>
        </is>
      </c>
      <c r="C2048" s="3" t="inlineStr">
        <is>
          <t>Plumbing</t>
        </is>
      </c>
      <c r="D2048" s="3" t="inlineStr">
        <is>
          <t>Faucets</t>
        </is>
      </c>
      <c r="E2048" s="3" t="inlineStr">
        <is>
          <t>Hindware</t>
        </is>
      </c>
      <c r="F2048" s="3" t="inlineStr">
        <is>
          <t>Wall Mounted | Cora Range</t>
        </is>
      </c>
      <c r="H2048" s="3" t="inlineStr">
        <is>
          <t>Design</t>
        </is>
      </c>
      <c r="I2048" s="3" t="inlineStr">
        <is>
          <t>Normal</t>
        </is>
      </c>
      <c r="J2048" s="3" t="inlineStr">
        <is>
          <t>Flow</t>
        </is>
      </c>
      <c r="K2048" s="3" t="inlineStr">
        <is>
          <t>Hot &amp; Cold</t>
        </is>
      </c>
      <c r="Q2048" s="3" t="inlineStr">
        <is>
          <t>Manufacturer's Warranty</t>
        </is>
      </c>
      <c r="R2048" s="3" t="inlineStr">
        <is>
          <t>F440011CP</t>
        </is>
      </c>
      <c r="Y2048" s="3" t="inlineStr">
        <is>
          <t>PL_FAU_HIND_2</t>
        </is>
      </c>
      <c r="AE2048" s="3" t="n">
        <v>9990</v>
      </c>
      <c r="AF2048" s="4" t="n">
        <v>0.25</v>
      </c>
      <c r="AG2048" s="3">
        <f>ROUND(AE2048-(AE2048*AF2048),2)</f>
        <v/>
      </c>
      <c r="AH2048" s="4" t="n">
        <v>0.18</v>
      </c>
      <c r="AI2048" s="3">
        <f>ROUND(AG2048+(AG2048*AH2048),2)</f>
        <v/>
      </c>
      <c r="AJ2048" s="4" t="n">
        <v>0.1</v>
      </c>
      <c r="AK2048" s="3">
        <f>ROUND(AI2048*AJ2048,2)</f>
        <v/>
      </c>
      <c r="AL2048" s="3">
        <f>AI2048+AK2048</f>
        <v/>
      </c>
      <c r="AM2048" s="3">
        <f>AE2048-AL2048</f>
        <v/>
      </c>
      <c r="AN2048" s="4">
        <f>AM2048/AE2048</f>
        <v/>
      </c>
      <c r="AO2048" s="3" t="inlineStr">
        <is>
          <t>60 mins</t>
        </is>
      </c>
      <c r="AQ2048" s="3" t="inlineStr">
        <is>
          <t>Weight</t>
        </is>
      </c>
    </row>
    <row r="2049" ht="15.75" customHeight="1">
      <c r="A2049" s="3" t="inlineStr">
        <is>
          <t>PROD_0400</t>
        </is>
      </c>
      <c r="B2049" s="3" t="inlineStr">
        <is>
          <t>VAR_2</t>
        </is>
      </c>
      <c r="C2049" s="3" t="inlineStr">
        <is>
          <t>Plumbing</t>
        </is>
      </c>
      <c r="D2049" s="3" t="inlineStr">
        <is>
          <t>Faucets</t>
        </is>
      </c>
      <c r="E2049" s="3" t="inlineStr">
        <is>
          <t>Hindware</t>
        </is>
      </c>
      <c r="F2049" s="3" t="inlineStr">
        <is>
          <t>Deck Mounted | Cora Range</t>
        </is>
      </c>
      <c r="H2049" s="3" t="inlineStr">
        <is>
          <t>Design</t>
        </is>
      </c>
      <c r="I2049" s="3" t="inlineStr">
        <is>
          <t>Normal</t>
        </is>
      </c>
      <c r="J2049" s="3" t="inlineStr">
        <is>
          <t>Flow</t>
        </is>
      </c>
      <c r="K2049" s="3" t="inlineStr">
        <is>
          <t>Hot &amp; Cold</t>
        </is>
      </c>
      <c r="Q2049" s="3" t="inlineStr">
        <is>
          <t>Manufacturer's Warranty</t>
        </is>
      </c>
      <c r="R2049" s="3" t="inlineStr">
        <is>
          <t>F440009CP</t>
        </is>
      </c>
      <c r="Y2049" s="3" t="inlineStr">
        <is>
          <t>PL_FAU_HIND_3</t>
        </is>
      </c>
      <c r="AE2049" s="3" t="n">
        <v>5700</v>
      </c>
      <c r="AF2049" s="4" t="n">
        <v>0.25</v>
      </c>
      <c r="AG2049" s="3">
        <f>ROUND(AE2049-(AE2049*AF2049),2)</f>
        <v/>
      </c>
      <c r="AH2049" s="4" t="n">
        <v>0.18</v>
      </c>
      <c r="AI2049" s="3">
        <f>ROUND(AG2049+(AG2049*AH2049),2)</f>
        <v/>
      </c>
      <c r="AJ2049" s="4" t="n">
        <v>0.1</v>
      </c>
      <c r="AK2049" s="3">
        <f>ROUND(AI2049*AJ2049,2)</f>
        <v/>
      </c>
      <c r="AL2049" s="3">
        <f>AI2049+AK2049</f>
        <v/>
      </c>
      <c r="AM2049" s="3">
        <f>AE2049-AL2049</f>
        <v/>
      </c>
      <c r="AN2049" s="4">
        <f>AM2049/AE2049</f>
        <v/>
      </c>
      <c r="AO2049" s="3" t="inlineStr">
        <is>
          <t>60 mins</t>
        </is>
      </c>
      <c r="AQ2049" s="3" t="inlineStr">
        <is>
          <t>Weight</t>
        </is>
      </c>
    </row>
    <row r="2050" ht="15.75" customHeight="1">
      <c r="A2050" s="3" t="inlineStr">
        <is>
          <t>PROD_0401</t>
        </is>
      </c>
      <c r="B2050" s="3" t="inlineStr">
        <is>
          <t>VAR_2</t>
        </is>
      </c>
      <c r="C2050" s="3" t="inlineStr">
        <is>
          <t>Plumbing</t>
        </is>
      </c>
      <c r="D2050" s="3" t="inlineStr">
        <is>
          <t>Faucets</t>
        </is>
      </c>
      <c r="E2050" s="3" t="inlineStr">
        <is>
          <t>Hindware</t>
        </is>
      </c>
      <c r="F2050" s="3" t="inlineStr">
        <is>
          <t>Wall Mounted | Cora Range</t>
        </is>
      </c>
      <c r="H2050" s="3" t="inlineStr">
        <is>
          <t>Design</t>
        </is>
      </c>
      <c r="I2050" s="3" t="inlineStr">
        <is>
          <t>Normal</t>
        </is>
      </c>
      <c r="J2050" s="3" t="inlineStr">
        <is>
          <t>Flow</t>
        </is>
      </c>
      <c r="K2050" s="3" t="inlineStr">
        <is>
          <t>Hot &amp; Cold</t>
        </is>
      </c>
      <c r="Q2050" s="3" t="inlineStr">
        <is>
          <t>Manufacturer's Warranty</t>
        </is>
      </c>
      <c r="R2050" s="3" t="inlineStr">
        <is>
          <t>F440003CP</t>
        </is>
      </c>
      <c r="Y2050" s="3" t="inlineStr">
        <is>
          <t>PL_FAU_HIND_4</t>
        </is>
      </c>
      <c r="AE2050" s="3" t="n">
        <v>2500</v>
      </c>
      <c r="AF2050" s="4" t="n">
        <v>0.25</v>
      </c>
      <c r="AG2050" s="3">
        <f>ROUND(AE2050-(AE2050*AF2050),2)</f>
        <v/>
      </c>
      <c r="AH2050" s="4" t="n">
        <v>0.18</v>
      </c>
      <c r="AI2050" s="3">
        <f>ROUND(AG2050+(AG2050*AH2050),2)</f>
        <v/>
      </c>
      <c r="AJ2050" s="4" t="n">
        <v>0.1</v>
      </c>
      <c r="AK2050" s="3">
        <f>ROUND(AI2050*AJ2050,2)</f>
        <v/>
      </c>
      <c r="AL2050" s="3">
        <f>AI2050+AK2050</f>
        <v/>
      </c>
      <c r="AM2050" s="3">
        <f>AE2050-AL2050</f>
        <v/>
      </c>
      <c r="AN2050" s="4">
        <f>AM2050/AE2050</f>
        <v/>
      </c>
      <c r="AO2050" s="3" t="inlineStr">
        <is>
          <t>60 mins</t>
        </is>
      </c>
      <c r="AQ2050" s="3" t="inlineStr">
        <is>
          <t>Weight</t>
        </is>
      </c>
    </row>
    <row r="2051" ht="15.75" customHeight="1">
      <c r="A2051" s="3" t="inlineStr">
        <is>
          <t>PROD_0402</t>
        </is>
      </c>
      <c r="B2051" s="3" t="inlineStr">
        <is>
          <t>VAR_1</t>
        </is>
      </c>
      <c r="C2051" s="3" t="inlineStr">
        <is>
          <t>Wooden Material</t>
        </is>
      </c>
      <c r="D2051" s="3" t="inlineStr">
        <is>
          <t>Door Closure</t>
        </is>
      </c>
      <c r="E2051" s="3" t="inlineStr">
        <is>
          <t>Dorset</t>
        </is>
      </c>
      <c r="F2051" s="3" t="inlineStr">
        <is>
          <t>Hydraulic Door Close</t>
        </is>
      </c>
      <c r="H2051" s="3" t="inlineStr">
        <is>
          <t>Weight</t>
        </is>
      </c>
      <c r="I2051" s="3" t="inlineStr">
        <is>
          <t>40 kg</t>
        </is>
      </c>
      <c r="J2051" s="3" t="inlineStr">
        <is>
          <t>Door Thickness</t>
        </is>
      </c>
      <c r="K2051" s="3" t="inlineStr">
        <is>
          <t>850 mm</t>
        </is>
      </c>
      <c r="Q2051" s="3" t="inlineStr">
        <is>
          <t>Manufacturer's Warranty</t>
        </is>
      </c>
      <c r="Y2051" s="3" t="inlineStr">
        <is>
          <t>WM_DC_DORSET_1</t>
        </is>
      </c>
      <c r="AE2051" s="3" t="n">
        <v>1605</v>
      </c>
      <c r="AF2051" s="4" t="n"/>
      <c r="AG2051" s="3">
        <f>ROUND(AE2051-(AE2051*AF2051),2)</f>
        <v/>
      </c>
      <c r="AH2051" s="4" t="n"/>
      <c r="AI2051" s="3">
        <f>ROUND(AG2051+(AG2051*AH2051),2)</f>
        <v/>
      </c>
      <c r="AJ2051" s="4" t="n"/>
      <c r="AK2051" s="3">
        <f>ROUND(AI2051*AJ2051,2)</f>
        <v/>
      </c>
      <c r="AL2051" s="3">
        <f>AI2051+AK2051</f>
        <v/>
      </c>
      <c r="AM2051" s="3">
        <f>AE2051-AL2051</f>
        <v/>
      </c>
      <c r="AN2051" s="4">
        <f>AM2051/AE2051</f>
        <v/>
      </c>
      <c r="AO2051" s="3" t="inlineStr">
        <is>
          <t>1 hrs</t>
        </is>
      </c>
    </row>
    <row r="2052" ht="15.75" customHeight="1">
      <c r="A2052" s="3" t="inlineStr">
        <is>
          <t>PROD_0403</t>
        </is>
      </c>
      <c r="B2052" s="3" t="inlineStr">
        <is>
          <t>VAR_1</t>
        </is>
      </c>
      <c r="C2052" s="3" t="inlineStr">
        <is>
          <t>Wooden Material</t>
        </is>
      </c>
      <c r="D2052" s="3" t="inlineStr">
        <is>
          <t>Door Closure</t>
        </is>
      </c>
      <c r="E2052" s="3" t="inlineStr">
        <is>
          <t>Godrej</t>
        </is>
      </c>
      <c r="F2052" s="3" t="inlineStr">
        <is>
          <t>Hydraulic Door Close</t>
        </is>
      </c>
      <c r="H2052" s="3" t="inlineStr">
        <is>
          <t>Weight</t>
        </is>
      </c>
      <c r="I2052" s="3" t="inlineStr">
        <is>
          <t>85 kg</t>
        </is>
      </c>
      <c r="J2052" s="3" t="inlineStr">
        <is>
          <t>Door Thickness</t>
        </is>
      </c>
      <c r="K2052" s="3" t="inlineStr">
        <is>
          <t>1000 mm</t>
        </is>
      </c>
      <c r="Q2052" s="3" t="inlineStr">
        <is>
          <t>Manufacturer's Warranty</t>
        </is>
      </c>
      <c r="R2052" s="3" t="n">
        <v>5285</v>
      </c>
      <c r="Y2052" s="3" t="inlineStr">
        <is>
          <t>WM_DC_GODREJ_1</t>
        </is>
      </c>
      <c r="AE2052" s="3" t="n">
        <v>2120</v>
      </c>
      <c r="AF2052" s="4" t="n"/>
      <c r="AG2052" s="3">
        <f>ROUND(AE2052-(AE2052*AF2052),2)</f>
        <v/>
      </c>
      <c r="AH2052" s="4" t="n"/>
      <c r="AI2052" s="3">
        <f>ROUND(AG2052+(AG2052*AH2052),2)</f>
        <v/>
      </c>
      <c r="AJ2052" s="4" t="n"/>
      <c r="AK2052" s="3">
        <f>ROUND(AI2052*AJ2052,2)</f>
        <v/>
      </c>
      <c r="AL2052" s="3">
        <f>AI2052+AK2052</f>
        <v/>
      </c>
      <c r="AM2052" s="3">
        <f>AE2052-AL2052</f>
        <v/>
      </c>
      <c r="AN2052" s="4">
        <f>AM2052/AE2052</f>
        <v/>
      </c>
      <c r="AO2052" s="3" t="inlineStr">
        <is>
          <t>1 hrs</t>
        </is>
      </c>
    </row>
    <row r="2053" ht="15.75" customHeight="1">
      <c r="A2053" s="3" t="inlineStr">
        <is>
          <t>PROD_0404</t>
        </is>
      </c>
      <c r="B2053" s="3" t="inlineStr">
        <is>
          <t>VAR_1</t>
        </is>
      </c>
      <c r="C2053" s="3" t="inlineStr">
        <is>
          <t>Wooden Material</t>
        </is>
      </c>
      <c r="D2053" s="3" t="inlineStr">
        <is>
          <t>Door Latch</t>
        </is>
      </c>
      <c r="E2053" s="3" t="inlineStr">
        <is>
          <t>Godrej</t>
        </is>
      </c>
      <c r="F2053" s="3" t="inlineStr">
        <is>
          <t>Tower Bolt Designer</t>
        </is>
      </c>
      <c r="H2053" s="3" t="inlineStr">
        <is>
          <t>Size</t>
        </is>
      </c>
      <c r="I2053" s="3" t="inlineStr">
        <is>
          <t>4 inch</t>
        </is>
      </c>
      <c r="J2053" s="3" t="inlineStr">
        <is>
          <t>Finish</t>
        </is>
      </c>
      <c r="K2053" s="3" t="inlineStr">
        <is>
          <t>Aluminium</t>
        </is>
      </c>
      <c r="Q2053" s="3" t="inlineStr">
        <is>
          <t>Manufacturer's Warranty</t>
        </is>
      </c>
      <c r="R2053" s="3" t="n">
        <v>2730</v>
      </c>
      <c r="Y2053" s="3" t="inlineStr">
        <is>
          <t>WM_DL_GOD_1</t>
        </is>
      </c>
      <c r="AE2053" s="3" t="n">
        <v>168</v>
      </c>
      <c r="AF2053" s="4" t="n"/>
      <c r="AG2053" s="3">
        <f>ROUND(AE2053-(AE2053*AF2053),2)</f>
        <v/>
      </c>
      <c r="AH2053" s="4" t="n"/>
      <c r="AI2053" s="3">
        <f>ROUND(AG2053+(AG2053*AH2053),2)</f>
        <v/>
      </c>
      <c r="AJ2053" s="4" t="n"/>
      <c r="AK2053" s="3">
        <f>ROUND(AI2053*AJ2053,2)</f>
        <v/>
      </c>
      <c r="AL2053" s="3">
        <f>AI2053+AK2053</f>
        <v/>
      </c>
      <c r="AM2053" s="3">
        <f>AE2053-AL2053</f>
        <v/>
      </c>
      <c r="AN2053" s="4">
        <f>AM2053/AE2053</f>
        <v/>
      </c>
      <c r="AO2053" s="3" t="inlineStr">
        <is>
          <t>1 hrs</t>
        </is>
      </c>
    </row>
    <row r="2054" ht="15.75" customHeight="1">
      <c r="A2054" s="3" t="inlineStr">
        <is>
          <t>PROD_0404</t>
        </is>
      </c>
      <c r="B2054" s="3" t="inlineStr">
        <is>
          <t>VAR_2</t>
        </is>
      </c>
      <c r="C2054" s="3" t="inlineStr">
        <is>
          <t>Wooden Material</t>
        </is>
      </c>
      <c r="D2054" s="3" t="inlineStr">
        <is>
          <t>Door Latch</t>
        </is>
      </c>
      <c r="E2054" s="3" t="inlineStr">
        <is>
          <t>Godrej</t>
        </is>
      </c>
      <c r="F2054" s="3" t="inlineStr">
        <is>
          <t>Tower Bolt Designer</t>
        </is>
      </c>
      <c r="H2054" s="3" t="inlineStr">
        <is>
          <t>Size</t>
        </is>
      </c>
      <c r="I2054" s="3" t="inlineStr">
        <is>
          <t>6 inch</t>
        </is>
      </c>
      <c r="J2054" s="3" t="inlineStr">
        <is>
          <t>Finish</t>
        </is>
      </c>
      <c r="K2054" s="3" t="inlineStr">
        <is>
          <t>Aluminium</t>
        </is>
      </c>
      <c r="Q2054" s="3" t="inlineStr">
        <is>
          <t>Manufacturer's Warranty</t>
        </is>
      </c>
      <c r="R2054" s="3" t="n">
        <v>2731</v>
      </c>
      <c r="Y2054" s="3" t="inlineStr">
        <is>
          <t>WM_DL_GOD_1</t>
        </is>
      </c>
      <c r="AE2054" s="3" t="n">
        <v>231</v>
      </c>
      <c r="AF2054" s="4" t="n"/>
      <c r="AG2054" s="3">
        <f>ROUND(AE2054-(AE2054*AF2054),2)</f>
        <v/>
      </c>
      <c r="AH2054" s="4" t="n"/>
      <c r="AI2054" s="3">
        <f>ROUND(AG2054+(AG2054*AH2054),2)</f>
        <v/>
      </c>
      <c r="AJ2054" s="4" t="n"/>
      <c r="AK2054" s="3">
        <f>ROUND(AI2054*AJ2054,2)</f>
        <v/>
      </c>
      <c r="AL2054" s="3">
        <f>AI2054+AK2054</f>
        <v/>
      </c>
      <c r="AM2054" s="3">
        <f>AE2054-AL2054</f>
        <v/>
      </c>
      <c r="AN2054" s="4">
        <f>AM2054/AE2054</f>
        <v/>
      </c>
      <c r="AO2054" s="3" t="inlineStr">
        <is>
          <t>1 hrs</t>
        </is>
      </c>
    </row>
    <row r="2055" ht="15.75" customHeight="1">
      <c r="A2055" s="3" t="inlineStr">
        <is>
          <t>PROD_0404</t>
        </is>
      </c>
      <c r="B2055" s="3" t="inlineStr">
        <is>
          <t>VAR_3</t>
        </is>
      </c>
      <c r="C2055" s="3" t="inlineStr">
        <is>
          <t>Wooden Material</t>
        </is>
      </c>
      <c r="D2055" s="3" t="inlineStr">
        <is>
          <t>Door Latch</t>
        </is>
      </c>
      <c r="E2055" s="3" t="inlineStr">
        <is>
          <t>Godrej</t>
        </is>
      </c>
      <c r="F2055" s="3" t="inlineStr">
        <is>
          <t>Tower Bolt Designer</t>
        </is>
      </c>
      <c r="H2055" s="3" t="inlineStr">
        <is>
          <t>Size</t>
        </is>
      </c>
      <c r="I2055" s="3" t="inlineStr">
        <is>
          <t>8 inch</t>
        </is>
      </c>
      <c r="J2055" s="3" t="inlineStr">
        <is>
          <t>Finish</t>
        </is>
      </c>
      <c r="K2055" s="3" t="inlineStr">
        <is>
          <t>Aluminium</t>
        </is>
      </c>
      <c r="Q2055" s="3" t="inlineStr">
        <is>
          <t>Manufacturer's Warranty</t>
        </is>
      </c>
      <c r="R2055" s="3" t="n">
        <v>2732</v>
      </c>
      <c r="Y2055" s="3" t="inlineStr">
        <is>
          <t>WM_DL_GOD_1</t>
        </is>
      </c>
      <c r="AE2055" s="3" t="n">
        <v>299</v>
      </c>
      <c r="AF2055" s="4" t="n"/>
      <c r="AG2055" s="3">
        <f>ROUND(AE2055-(AE2055*AF2055),2)</f>
        <v/>
      </c>
      <c r="AH2055" s="4" t="n"/>
      <c r="AI2055" s="3">
        <f>ROUND(AG2055+(AG2055*AH2055),2)</f>
        <v/>
      </c>
      <c r="AJ2055" s="4" t="n"/>
      <c r="AK2055" s="3">
        <f>ROUND(AI2055*AJ2055,2)</f>
        <v/>
      </c>
      <c r="AL2055" s="3">
        <f>AI2055+AK2055</f>
        <v/>
      </c>
      <c r="AM2055" s="3">
        <f>AE2055-AL2055</f>
        <v/>
      </c>
      <c r="AN2055" s="4">
        <f>AM2055/AE2055</f>
        <v/>
      </c>
      <c r="AO2055" s="3" t="inlineStr">
        <is>
          <t>1 hrs</t>
        </is>
      </c>
    </row>
    <row r="2056" ht="15.75" customHeight="1">
      <c r="A2056" s="3" t="inlineStr">
        <is>
          <t>PROD_0404</t>
        </is>
      </c>
      <c r="B2056" s="3" t="inlineStr">
        <is>
          <t>VAR_4</t>
        </is>
      </c>
      <c r="C2056" s="3" t="inlineStr">
        <is>
          <t>Wooden Material</t>
        </is>
      </c>
      <c r="D2056" s="3" t="inlineStr">
        <is>
          <t>Door Latch</t>
        </is>
      </c>
      <c r="E2056" s="3" t="inlineStr">
        <is>
          <t>Godrej</t>
        </is>
      </c>
      <c r="F2056" s="3" t="inlineStr">
        <is>
          <t>Tower Bolt Designer</t>
        </is>
      </c>
      <c r="H2056" s="3" t="inlineStr">
        <is>
          <t>Size</t>
        </is>
      </c>
      <c r="I2056" s="3" t="inlineStr">
        <is>
          <t>10 inch</t>
        </is>
      </c>
      <c r="J2056" s="3" t="inlineStr">
        <is>
          <t>Finish</t>
        </is>
      </c>
      <c r="K2056" s="3" t="inlineStr">
        <is>
          <t>Aluminium</t>
        </is>
      </c>
      <c r="Q2056" s="3" t="inlineStr">
        <is>
          <t>Manufacturer's Warranty</t>
        </is>
      </c>
      <c r="R2056" s="3" t="n">
        <v>2733</v>
      </c>
      <c r="Y2056" s="3" t="inlineStr">
        <is>
          <t>WM_DL_GOD_1</t>
        </is>
      </c>
      <c r="AE2056" s="3" t="n">
        <v>368</v>
      </c>
      <c r="AF2056" s="4" t="n"/>
      <c r="AG2056" s="3">
        <f>ROUND(AE2056-(AE2056*AF2056),2)</f>
        <v/>
      </c>
      <c r="AH2056" s="4" t="n"/>
      <c r="AI2056" s="3">
        <f>ROUND(AG2056+(AG2056*AH2056),2)</f>
        <v/>
      </c>
      <c r="AJ2056" s="4" t="n"/>
      <c r="AK2056" s="3">
        <f>ROUND(AI2056*AJ2056,2)</f>
        <v/>
      </c>
      <c r="AL2056" s="3">
        <f>AI2056+AK2056</f>
        <v/>
      </c>
      <c r="AM2056" s="3">
        <f>AE2056-AL2056</f>
        <v/>
      </c>
      <c r="AN2056" s="4">
        <f>AM2056/AE2056</f>
        <v/>
      </c>
      <c r="AO2056" s="3" t="inlineStr">
        <is>
          <t>1 hrs</t>
        </is>
      </c>
    </row>
    <row r="2057" ht="15.75" customHeight="1">
      <c r="A2057" s="3" t="inlineStr">
        <is>
          <t>PROD_0404</t>
        </is>
      </c>
      <c r="B2057" s="3" t="inlineStr">
        <is>
          <t>VAR_5</t>
        </is>
      </c>
      <c r="C2057" s="3" t="inlineStr">
        <is>
          <t>Wooden Material</t>
        </is>
      </c>
      <c r="D2057" s="3" t="inlineStr">
        <is>
          <t>Door Latch</t>
        </is>
      </c>
      <c r="E2057" s="3" t="inlineStr">
        <is>
          <t>Godrej</t>
        </is>
      </c>
      <c r="F2057" s="3" t="inlineStr">
        <is>
          <t>Tower Bolt Designer</t>
        </is>
      </c>
      <c r="H2057" s="3" t="inlineStr">
        <is>
          <t>Size</t>
        </is>
      </c>
      <c r="I2057" s="3" t="inlineStr">
        <is>
          <t>12 inch</t>
        </is>
      </c>
      <c r="J2057" s="3" t="inlineStr">
        <is>
          <t>Finish</t>
        </is>
      </c>
      <c r="K2057" s="3" t="inlineStr">
        <is>
          <t>Aluminium</t>
        </is>
      </c>
      <c r="Q2057" s="3" t="inlineStr">
        <is>
          <t>Manufacturer's Warranty</t>
        </is>
      </c>
      <c r="R2057" s="3" t="n">
        <v>2734</v>
      </c>
      <c r="Y2057" s="3" t="inlineStr">
        <is>
          <t>WM_DL_GOD_1</t>
        </is>
      </c>
      <c r="AE2057" s="3" t="n">
        <v>436</v>
      </c>
      <c r="AF2057" s="4" t="n"/>
      <c r="AG2057" s="3">
        <f>ROUND(AE2057-(AE2057*AF2057),2)</f>
        <v/>
      </c>
      <c r="AH2057" s="4" t="n"/>
      <c r="AI2057" s="3">
        <f>ROUND(AG2057+(AG2057*AH2057),2)</f>
        <v/>
      </c>
      <c r="AJ2057" s="4" t="n"/>
      <c r="AK2057" s="3">
        <f>ROUND(AI2057*AJ2057,2)</f>
        <v/>
      </c>
      <c r="AL2057" s="3">
        <f>AI2057+AK2057</f>
        <v/>
      </c>
      <c r="AM2057" s="3">
        <f>AE2057-AL2057</f>
        <v/>
      </c>
      <c r="AN2057" s="4">
        <f>AM2057/AE2057</f>
        <v/>
      </c>
      <c r="AO2057" s="3" t="inlineStr">
        <is>
          <t>1 hrs</t>
        </is>
      </c>
    </row>
    <row r="2058" ht="15.75" customHeight="1">
      <c r="A2058" s="3" t="inlineStr">
        <is>
          <t>PROD_0404</t>
        </is>
      </c>
      <c r="B2058" s="3" t="inlineStr">
        <is>
          <t>VAR_6</t>
        </is>
      </c>
      <c r="C2058" s="3" t="inlineStr">
        <is>
          <t>Wooden Material</t>
        </is>
      </c>
      <c r="D2058" s="3" t="inlineStr">
        <is>
          <t>Door Latch</t>
        </is>
      </c>
      <c r="E2058" s="3" t="inlineStr">
        <is>
          <t>Godrej</t>
        </is>
      </c>
      <c r="F2058" s="3" t="inlineStr">
        <is>
          <t>Tower Bolt Designer</t>
        </is>
      </c>
      <c r="H2058" s="3" t="inlineStr">
        <is>
          <t>Size</t>
        </is>
      </c>
      <c r="I2058" s="3" t="inlineStr">
        <is>
          <t>18 inch</t>
        </is>
      </c>
      <c r="J2058" s="3" t="inlineStr">
        <is>
          <t>Finish</t>
        </is>
      </c>
      <c r="K2058" s="3" t="inlineStr">
        <is>
          <t>Aluminium</t>
        </is>
      </c>
      <c r="Q2058" s="3" t="inlineStr">
        <is>
          <t>Manufacturer's Warranty</t>
        </is>
      </c>
      <c r="R2058" s="3" t="n">
        <v>2735</v>
      </c>
      <c r="Y2058" s="3" t="inlineStr">
        <is>
          <t>WM_DL_GOD_1</t>
        </is>
      </c>
      <c r="AE2058" s="3" t="n">
        <v>662</v>
      </c>
      <c r="AF2058" s="4" t="n"/>
      <c r="AG2058" s="3">
        <f>ROUND(AE2058-(AE2058*AF2058),2)</f>
        <v/>
      </c>
      <c r="AH2058" s="4" t="n"/>
      <c r="AI2058" s="3">
        <f>ROUND(AG2058+(AG2058*AH2058),2)</f>
        <v/>
      </c>
      <c r="AJ2058" s="4" t="n"/>
      <c r="AK2058" s="3">
        <f>ROUND(AI2058*AJ2058,2)</f>
        <v/>
      </c>
      <c r="AL2058" s="3">
        <f>AI2058+AK2058</f>
        <v/>
      </c>
      <c r="AM2058" s="3">
        <f>AE2058-AL2058</f>
        <v/>
      </c>
      <c r="AN2058" s="4">
        <f>AM2058/AE2058</f>
        <v/>
      </c>
      <c r="AO2058" s="3" t="inlineStr">
        <is>
          <t>1 hrs</t>
        </is>
      </c>
    </row>
    <row r="2059" ht="15.75" customHeight="1">
      <c r="A2059" s="3" t="inlineStr">
        <is>
          <t>PROD_0404</t>
        </is>
      </c>
      <c r="B2059" s="3" t="inlineStr">
        <is>
          <t>VAR_7</t>
        </is>
      </c>
      <c r="C2059" s="3" t="inlineStr">
        <is>
          <t>Wooden Material</t>
        </is>
      </c>
      <c r="D2059" s="3" t="inlineStr">
        <is>
          <t>Door Latch</t>
        </is>
      </c>
      <c r="E2059" s="3" t="inlineStr">
        <is>
          <t>Godrej</t>
        </is>
      </c>
      <c r="F2059" s="3" t="inlineStr">
        <is>
          <t>Tower Bolt Designer</t>
        </is>
      </c>
      <c r="H2059" s="3" t="inlineStr">
        <is>
          <t>Size</t>
        </is>
      </c>
      <c r="I2059" s="3" t="inlineStr">
        <is>
          <t>24 inch</t>
        </is>
      </c>
      <c r="J2059" s="3" t="inlineStr">
        <is>
          <t>Finish</t>
        </is>
      </c>
      <c r="K2059" s="3" t="inlineStr">
        <is>
          <t>Aluminium</t>
        </is>
      </c>
      <c r="Q2059" s="3" t="inlineStr">
        <is>
          <t>Manufacturer's Warranty</t>
        </is>
      </c>
      <c r="R2059" s="3" t="n">
        <v>2736</v>
      </c>
      <c r="Y2059" s="3" t="inlineStr">
        <is>
          <t>WM_DL_GOD_1</t>
        </is>
      </c>
      <c r="AE2059" s="3" t="n">
        <v>882</v>
      </c>
      <c r="AF2059" s="4" t="n"/>
      <c r="AG2059" s="3">
        <f>ROUND(AE2059-(AE2059*AF2059),2)</f>
        <v/>
      </c>
      <c r="AH2059" s="4" t="n"/>
      <c r="AI2059" s="3">
        <f>ROUND(AG2059+(AG2059*AH2059),2)</f>
        <v/>
      </c>
      <c r="AJ2059" s="4" t="n"/>
      <c r="AK2059" s="3">
        <f>ROUND(AI2059*AJ2059,2)</f>
        <v/>
      </c>
      <c r="AL2059" s="3">
        <f>AI2059+AK2059</f>
        <v/>
      </c>
      <c r="AM2059" s="3">
        <f>AE2059-AL2059</f>
        <v/>
      </c>
      <c r="AN2059" s="4">
        <f>AM2059/AE2059</f>
        <v/>
      </c>
      <c r="AO2059" s="3" t="inlineStr">
        <is>
          <t>1 hrs</t>
        </is>
      </c>
    </row>
    <row r="2060" ht="15.75" customHeight="1">
      <c r="A2060" s="3" t="inlineStr">
        <is>
          <t>PROD_0405</t>
        </is>
      </c>
      <c r="B2060" s="3" t="inlineStr">
        <is>
          <t>VAR_1</t>
        </is>
      </c>
      <c r="C2060" s="3" t="inlineStr">
        <is>
          <t>Wooden Material</t>
        </is>
      </c>
      <c r="D2060" s="3" t="inlineStr">
        <is>
          <t>Door Stopper</t>
        </is>
      </c>
      <c r="E2060" s="3" t="inlineStr">
        <is>
          <t>Godrej</t>
        </is>
      </c>
      <c r="F2060" s="3" t="inlineStr">
        <is>
          <t>Door Stopper</t>
        </is>
      </c>
      <c r="H2060" s="3" t="inlineStr">
        <is>
          <t>Size (in mm)</t>
        </is>
      </c>
      <c r="I2060" s="3" t="inlineStr">
        <is>
          <t>242 x 174 x 115</t>
        </is>
      </c>
      <c r="J2060" s="3" t="inlineStr">
        <is>
          <t>Color</t>
        </is>
      </c>
      <c r="K2060" s="3" t="inlineStr">
        <is>
          <t>Satin Steel</t>
        </is>
      </c>
      <c r="Q2060" s="3" t="inlineStr">
        <is>
          <t>Manufacturer's Warranty</t>
        </is>
      </c>
      <c r="R2060" s="3" t="n">
        <v>9467</v>
      </c>
      <c r="Y2060" s="3" t="inlineStr">
        <is>
          <t>WM_DS_GOD_SS_1</t>
        </is>
      </c>
      <c r="AE2060" s="3" t="n">
        <v>141</v>
      </c>
      <c r="AF2060" s="4" t="n"/>
      <c r="AG2060" s="3">
        <f>ROUND(AE2060-(AE2060*AF2060),2)</f>
        <v/>
      </c>
      <c r="AH2060" s="4" t="n"/>
      <c r="AI2060" s="3">
        <f>ROUND(AG2060+(AG2060*AH2060),2)</f>
        <v/>
      </c>
      <c r="AJ2060" s="4" t="n"/>
      <c r="AK2060" s="3">
        <f>ROUND(AI2060*AJ2060,2)</f>
        <v/>
      </c>
      <c r="AL2060" s="3">
        <f>AI2060+AK2060</f>
        <v/>
      </c>
      <c r="AM2060" s="3">
        <f>AE2060-AL2060</f>
        <v/>
      </c>
      <c r="AN2060" s="4">
        <f>AM2060/AE2060</f>
        <v/>
      </c>
      <c r="AO2060" s="3" t="inlineStr">
        <is>
          <t>1 hrs</t>
        </is>
      </c>
    </row>
    <row r="2061" ht="15.75" customHeight="1">
      <c r="A2061" s="3" t="inlineStr">
        <is>
          <t>PROD_0405</t>
        </is>
      </c>
      <c r="B2061" s="3" t="inlineStr">
        <is>
          <t>VAR_2</t>
        </is>
      </c>
      <c r="C2061" s="3" t="inlineStr">
        <is>
          <t>Wooden Material</t>
        </is>
      </c>
      <c r="D2061" s="3" t="inlineStr">
        <is>
          <t>Door Stopper</t>
        </is>
      </c>
      <c r="E2061" s="3" t="inlineStr">
        <is>
          <t>Godrej</t>
        </is>
      </c>
      <c r="F2061" s="3" t="inlineStr">
        <is>
          <t>Door Stopper</t>
        </is>
      </c>
      <c r="H2061" s="3" t="inlineStr">
        <is>
          <t>Size (in mm)</t>
        </is>
      </c>
      <c r="I2061" s="3" t="inlineStr">
        <is>
          <t>242 x 174 x 115</t>
        </is>
      </c>
      <c r="J2061" s="3" t="inlineStr">
        <is>
          <t>Color</t>
        </is>
      </c>
      <c r="K2061" s="3" t="inlineStr">
        <is>
          <t>Antique Brass</t>
        </is>
      </c>
      <c r="Q2061" s="3" t="inlineStr">
        <is>
          <t>Manufacturer's Warranty</t>
        </is>
      </c>
      <c r="R2061" s="3" t="n">
        <v>9469</v>
      </c>
      <c r="Y2061" s="3" t="inlineStr">
        <is>
          <t>WM_DS_GOD_AB_2</t>
        </is>
      </c>
      <c r="AE2061" s="3" t="n">
        <v>170</v>
      </c>
      <c r="AF2061" s="4" t="n"/>
      <c r="AG2061" s="3">
        <f>ROUND(AE2061-(AE2061*AF2061),2)</f>
        <v/>
      </c>
      <c r="AH2061" s="4" t="n"/>
      <c r="AI2061" s="3">
        <f>ROUND(AG2061+(AG2061*AH2061),2)</f>
        <v/>
      </c>
      <c r="AJ2061" s="4" t="n"/>
      <c r="AK2061" s="3">
        <f>ROUND(AI2061*AJ2061,2)</f>
        <v/>
      </c>
      <c r="AL2061" s="3">
        <f>AI2061+AK2061</f>
        <v/>
      </c>
      <c r="AM2061" s="3">
        <f>AE2061-AL2061</f>
        <v/>
      </c>
      <c r="AN2061" s="4">
        <f>AM2061/AE2061</f>
        <v/>
      </c>
      <c r="AO2061" s="3" t="inlineStr">
        <is>
          <t>1 hrs</t>
        </is>
      </c>
    </row>
    <row r="2062" ht="15.75" customHeight="1">
      <c r="A2062" s="3" t="inlineStr">
        <is>
          <t>PROD_0405</t>
        </is>
      </c>
      <c r="B2062" s="3" t="inlineStr">
        <is>
          <t>VAR_3</t>
        </is>
      </c>
      <c r="C2062" s="3" t="inlineStr">
        <is>
          <t>Wooden Material</t>
        </is>
      </c>
      <c r="D2062" s="3" t="inlineStr">
        <is>
          <t>Door Stopper</t>
        </is>
      </c>
      <c r="E2062" s="3" t="inlineStr">
        <is>
          <t>Godrej</t>
        </is>
      </c>
      <c r="F2062" s="3" t="inlineStr">
        <is>
          <t>Door Stopper</t>
        </is>
      </c>
      <c r="H2062" s="3" t="inlineStr">
        <is>
          <t>Size (in mm)</t>
        </is>
      </c>
      <c r="I2062" s="3" t="inlineStr">
        <is>
          <t>242 x 174 x 115</t>
        </is>
      </c>
      <c r="J2062" s="3" t="inlineStr">
        <is>
          <t>Color</t>
        </is>
      </c>
      <c r="K2062" s="3" t="inlineStr">
        <is>
          <t>Matte Black</t>
        </is>
      </c>
      <c r="Q2062" s="3" t="inlineStr">
        <is>
          <t>Manufacturer's Warranty</t>
        </is>
      </c>
      <c r="R2062" s="3" t="n">
        <v>9470</v>
      </c>
      <c r="Y2062" s="3" t="inlineStr">
        <is>
          <t>WM_DS_GOD_BLACK</t>
        </is>
      </c>
      <c r="AE2062" s="3" t="n">
        <v>170</v>
      </c>
      <c r="AF2062" s="4" t="n"/>
      <c r="AG2062" s="3">
        <f>ROUND(AE2062-(AE2062*AF2062),2)</f>
        <v/>
      </c>
      <c r="AH2062" s="4" t="n"/>
      <c r="AI2062" s="3">
        <f>ROUND(AG2062+(AG2062*AH2062),2)</f>
        <v/>
      </c>
      <c r="AJ2062" s="4" t="n"/>
      <c r="AK2062" s="3">
        <f>ROUND(AI2062*AJ2062,2)</f>
        <v/>
      </c>
      <c r="AL2062" s="3">
        <f>AI2062+AK2062</f>
        <v/>
      </c>
      <c r="AM2062" s="3">
        <f>AE2062-AL2062</f>
        <v/>
      </c>
      <c r="AN2062" s="4">
        <f>AM2062/AE2062</f>
        <v/>
      </c>
      <c r="AO2062" s="3" t="inlineStr">
        <is>
          <t>1 hrs</t>
        </is>
      </c>
    </row>
    <row r="2063" ht="15.75" customHeight="1">
      <c r="A2063" s="3" t="inlineStr">
        <is>
          <t>PROD_0406</t>
        </is>
      </c>
      <c r="B2063" s="3" t="inlineStr">
        <is>
          <t>VAR_1</t>
        </is>
      </c>
      <c r="C2063" s="3" t="inlineStr">
        <is>
          <t>Wooden Material</t>
        </is>
      </c>
      <c r="D2063" s="3" t="inlineStr">
        <is>
          <t>Door Stopper</t>
        </is>
      </c>
      <c r="E2063" s="3" t="inlineStr">
        <is>
          <t>Generic</t>
        </is>
      </c>
      <c r="F2063" s="3" t="inlineStr">
        <is>
          <t>PVC Door Stopper</t>
        </is>
      </c>
      <c r="H2063" s="3" t="inlineStr">
        <is>
          <t>Size</t>
        </is>
      </c>
      <c r="I2063" s="3" t="inlineStr">
        <is>
          <t>2 inch</t>
        </is>
      </c>
      <c r="J2063" s="3" t="inlineStr">
        <is>
          <t>Finish</t>
        </is>
      </c>
      <c r="K2063" s="3" t="inlineStr">
        <is>
          <t>Rubber</t>
        </is>
      </c>
      <c r="Q2063" s="3" t="inlineStr">
        <is>
          <t>Manufacturer's Warranty</t>
        </is>
      </c>
      <c r="Y2063" s="3" t="inlineStr">
        <is>
          <t>WM_DR_GEN_1</t>
        </is>
      </c>
      <c r="AF2063" s="4" t="n"/>
      <c r="AG2063" s="3">
        <f>ROUND(AE2063-(AE2063*AF2063),2)</f>
        <v/>
      </c>
      <c r="AH2063" s="4" t="n"/>
      <c r="AI2063" s="3">
        <f>ROUND(AG2063+(AG2063*AH2063),2)</f>
        <v/>
      </c>
      <c r="AJ2063" s="4" t="n"/>
      <c r="AK2063" s="3">
        <f>ROUND(AI2063*AJ2063,2)</f>
        <v/>
      </c>
      <c r="AL2063" s="3">
        <f>AI2063+AK2063</f>
        <v/>
      </c>
      <c r="AM2063" s="3">
        <f>AE2063-AL2063</f>
        <v/>
      </c>
      <c r="AN2063" s="4">
        <f>AM2063/AE2063</f>
        <v/>
      </c>
      <c r="AO2063" s="3" t="inlineStr">
        <is>
          <t>1 hrs</t>
        </is>
      </c>
    </row>
    <row r="2064" ht="15.75" customHeight="1">
      <c r="A2064" s="3" t="inlineStr">
        <is>
          <t>PROD_0406</t>
        </is>
      </c>
      <c r="B2064" s="3" t="inlineStr">
        <is>
          <t>VAR_2</t>
        </is>
      </c>
      <c r="C2064" s="3" t="inlineStr">
        <is>
          <t>Wooden Material</t>
        </is>
      </c>
      <c r="D2064" s="3" t="inlineStr">
        <is>
          <t>Door Stopper</t>
        </is>
      </c>
      <c r="E2064" s="3" t="inlineStr">
        <is>
          <t>Generic</t>
        </is>
      </c>
      <c r="F2064" s="3" t="inlineStr">
        <is>
          <t>PVC Door Stopper</t>
        </is>
      </c>
      <c r="H2064" s="3" t="inlineStr">
        <is>
          <t>Size</t>
        </is>
      </c>
      <c r="I2064" s="3" t="inlineStr">
        <is>
          <t>4 inch</t>
        </is>
      </c>
      <c r="J2064" s="3" t="inlineStr">
        <is>
          <t>Finish</t>
        </is>
      </c>
      <c r="K2064" s="3" t="inlineStr">
        <is>
          <t>Rubber</t>
        </is>
      </c>
      <c r="Q2064" s="3" t="inlineStr">
        <is>
          <t>Manufacturer's Warranty</t>
        </is>
      </c>
      <c r="Y2064" s="3" t="inlineStr">
        <is>
          <t>WM_DR_GEN_1</t>
        </is>
      </c>
      <c r="AF2064" s="4" t="n"/>
      <c r="AG2064" s="3">
        <f>ROUND(AE2064-(AE2064*AF2064),2)</f>
        <v/>
      </c>
      <c r="AH2064" s="4" t="n"/>
      <c r="AI2064" s="3">
        <f>ROUND(AG2064+(AG2064*AH2064),2)</f>
        <v/>
      </c>
      <c r="AJ2064" s="4" t="n"/>
      <c r="AK2064" s="3">
        <f>ROUND(AI2064*AJ2064,2)</f>
        <v/>
      </c>
      <c r="AL2064" s="3">
        <f>AI2064+AK2064</f>
        <v/>
      </c>
      <c r="AM2064" s="3">
        <f>AE2064-AL2064</f>
        <v/>
      </c>
      <c r="AN2064" s="4">
        <f>AM2064/AE2064</f>
        <v/>
      </c>
      <c r="AO2064" s="3" t="inlineStr">
        <is>
          <t>1 hrs</t>
        </is>
      </c>
    </row>
    <row r="2065" ht="15.75" customHeight="1">
      <c r="A2065" s="3" t="inlineStr">
        <is>
          <t>PROD_0406</t>
        </is>
      </c>
      <c r="B2065" s="3" t="inlineStr">
        <is>
          <t>VAR_3</t>
        </is>
      </c>
      <c r="C2065" s="3" t="inlineStr">
        <is>
          <t>Wooden Material</t>
        </is>
      </c>
      <c r="D2065" s="3" t="inlineStr">
        <is>
          <t>Door Stopper</t>
        </is>
      </c>
      <c r="E2065" s="3" t="inlineStr">
        <is>
          <t>Generic</t>
        </is>
      </c>
      <c r="F2065" s="3" t="inlineStr">
        <is>
          <t>PVC Door Stopper</t>
        </is>
      </c>
      <c r="H2065" s="3" t="inlineStr">
        <is>
          <t>Size</t>
        </is>
      </c>
      <c r="I2065" s="3" t="inlineStr">
        <is>
          <t>6 inch</t>
        </is>
      </c>
      <c r="J2065" s="3" t="inlineStr">
        <is>
          <t>Finish</t>
        </is>
      </c>
      <c r="K2065" s="3" t="inlineStr">
        <is>
          <t>Rubber</t>
        </is>
      </c>
      <c r="Q2065" s="3" t="inlineStr">
        <is>
          <t>Manufacturer's Warranty</t>
        </is>
      </c>
      <c r="Y2065" s="3" t="inlineStr">
        <is>
          <t>WM_DR_GEN_1</t>
        </is>
      </c>
      <c r="AF2065" s="4" t="n"/>
      <c r="AG2065" s="3">
        <f>ROUND(AE2065-(AE2065*AF2065),2)</f>
        <v/>
      </c>
      <c r="AH2065" s="4" t="n"/>
      <c r="AI2065" s="3">
        <f>ROUND(AG2065+(AG2065*AH2065),2)</f>
        <v/>
      </c>
      <c r="AJ2065" s="4" t="n"/>
      <c r="AK2065" s="3">
        <f>ROUND(AI2065*AJ2065,2)</f>
        <v/>
      </c>
      <c r="AL2065" s="3">
        <f>AI2065+AK2065</f>
        <v/>
      </c>
      <c r="AM2065" s="3">
        <f>AE2065-AL2065</f>
        <v/>
      </c>
      <c r="AN2065" s="4">
        <f>AM2065/AE2065</f>
        <v/>
      </c>
    </row>
    <row r="2066" ht="15.75" customHeight="1">
      <c r="A2066" s="3" t="inlineStr">
        <is>
          <t>PROD_0407</t>
        </is>
      </c>
      <c r="B2066" s="3" t="inlineStr">
        <is>
          <t>VAR_1</t>
        </is>
      </c>
      <c r="C2066" s="3" t="inlineStr">
        <is>
          <t>Bathroom</t>
        </is>
      </c>
      <c r="D2066" s="3" t="inlineStr">
        <is>
          <t>Jet Spray</t>
        </is>
      </c>
      <c r="E2066" s="3" t="inlineStr">
        <is>
          <t>Jaquar</t>
        </is>
      </c>
      <c r="F2066" s="3" t="inlineStr">
        <is>
          <t>Essco Health Chrome Faucet</t>
        </is>
      </c>
      <c r="H2066" s="3" t="inlineStr">
        <is>
          <t>Material</t>
        </is>
      </c>
      <c r="I2066" s="3" t="inlineStr">
        <is>
          <t>Stainless Steel</t>
        </is>
      </c>
      <c r="J2066" s="3" t="inlineStr">
        <is>
          <t>Finish</t>
        </is>
      </c>
      <c r="K2066" s="3" t="inlineStr">
        <is>
          <t>Chrome 1</t>
        </is>
      </c>
      <c r="Q2066" s="3" t="inlineStr">
        <is>
          <t>Manufacturer's Warranty</t>
        </is>
      </c>
      <c r="R2066" s="3" t="inlineStr">
        <is>
          <t>ALD-CHR-587</t>
        </is>
      </c>
      <c r="Y2066" s="3" t="inlineStr">
        <is>
          <t>BR_JS_JQ_1</t>
        </is>
      </c>
      <c r="AE2066" s="3" t="n">
        <v>1275</v>
      </c>
      <c r="AF2066" s="4" t="n"/>
      <c r="AG2066" s="3">
        <f>ROUND(AE2066-(AE2066*AF2066),2)</f>
        <v/>
      </c>
      <c r="AH2066" s="4" t="n"/>
      <c r="AI2066" s="3">
        <f>ROUND(AG2066+(AG2066*AH2066),2)</f>
        <v/>
      </c>
      <c r="AJ2066" s="4" t="n"/>
      <c r="AK2066" s="3">
        <f>ROUND(AI2066*AJ2066,2)</f>
        <v/>
      </c>
      <c r="AL2066" s="3">
        <f>AI2066+AK2066</f>
        <v/>
      </c>
      <c r="AM2066" s="3">
        <f>AE2066-AL2066</f>
        <v/>
      </c>
      <c r="AN2066" s="4">
        <f>AM2066/AE2066</f>
        <v/>
      </c>
      <c r="AO2066" s="3" t="inlineStr">
        <is>
          <t>60 mins</t>
        </is>
      </c>
      <c r="AT2066" s="3" t="inlineStr">
        <is>
          <t>60 mins</t>
        </is>
      </c>
    </row>
    <row r="2067" ht="15.75" customHeight="1">
      <c r="A2067" s="3" t="inlineStr">
        <is>
          <t>PROD_0407</t>
        </is>
      </c>
      <c r="B2067" s="3" t="inlineStr">
        <is>
          <t>VAR_2</t>
        </is>
      </c>
      <c r="C2067" s="3" t="inlineStr">
        <is>
          <t>Bathroom</t>
        </is>
      </c>
      <c r="D2067" s="3" t="inlineStr">
        <is>
          <t>Jet Spray</t>
        </is>
      </c>
      <c r="E2067" s="3" t="inlineStr">
        <is>
          <t>Jaquar</t>
        </is>
      </c>
      <c r="F2067" s="3" t="inlineStr">
        <is>
          <t>Essco Health Chrome Faucet</t>
        </is>
      </c>
      <c r="H2067" s="3" t="inlineStr">
        <is>
          <t>Material</t>
        </is>
      </c>
      <c r="I2067" s="3" t="inlineStr">
        <is>
          <t>Stainless Steel</t>
        </is>
      </c>
      <c r="J2067" s="3" t="inlineStr">
        <is>
          <t>Finish</t>
        </is>
      </c>
      <c r="K2067" s="3" t="inlineStr">
        <is>
          <t>Chrome 2</t>
        </is>
      </c>
      <c r="Q2067" s="3" t="inlineStr">
        <is>
          <t>Manufacturer's Warranty</t>
        </is>
      </c>
      <c r="R2067" s="3" t="inlineStr">
        <is>
          <t>ALD-CHR-563</t>
        </is>
      </c>
      <c r="Y2067" s="3" t="inlineStr">
        <is>
          <t>BR_JS_JQ_2</t>
        </is>
      </c>
      <c r="AE2067" s="3" t="n">
        <v>1325</v>
      </c>
      <c r="AF2067" s="4" t="n"/>
      <c r="AG2067" s="3">
        <f>ROUND(AE2067-(AE2067*AF2067),2)</f>
        <v/>
      </c>
      <c r="AH2067" s="4" t="n"/>
      <c r="AI2067" s="3">
        <f>ROUND(AG2067+(AG2067*AH2067),2)</f>
        <v/>
      </c>
      <c r="AJ2067" s="4" t="n"/>
      <c r="AK2067" s="3">
        <f>ROUND(AI2067*AJ2067,2)</f>
        <v/>
      </c>
      <c r="AL2067" s="3">
        <f>AI2067+AK2067</f>
        <v/>
      </c>
      <c r="AM2067" s="3">
        <f>AE2067-AL2067</f>
        <v/>
      </c>
      <c r="AN2067" s="4">
        <f>AM2067/AE2067</f>
        <v/>
      </c>
      <c r="AO2067" s="3" t="inlineStr">
        <is>
          <t>60 mins</t>
        </is>
      </c>
      <c r="AT2067" s="3" t="inlineStr">
        <is>
          <t>60 mins</t>
        </is>
      </c>
    </row>
    <row r="2068" ht="15.75" customHeight="1">
      <c r="A2068" s="3" t="inlineStr">
        <is>
          <t>PROD_0407</t>
        </is>
      </c>
      <c r="B2068" s="3" t="inlineStr">
        <is>
          <t>VAR_3</t>
        </is>
      </c>
      <c r="C2068" s="3" t="inlineStr">
        <is>
          <t>Bathroom</t>
        </is>
      </c>
      <c r="D2068" s="3" t="inlineStr">
        <is>
          <t>Jet Spray</t>
        </is>
      </c>
      <c r="E2068" s="3" t="inlineStr">
        <is>
          <t>Jaquar</t>
        </is>
      </c>
      <c r="F2068" s="3" t="inlineStr">
        <is>
          <t>Essco Health Chrome Faucet</t>
        </is>
      </c>
      <c r="H2068" s="3" t="inlineStr">
        <is>
          <t>Material</t>
        </is>
      </c>
      <c r="I2068" s="3" t="inlineStr">
        <is>
          <t>Stainless Steel</t>
        </is>
      </c>
      <c r="J2068" s="3" t="inlineStr">
        <is>
          <t>Finish</t>
        </is>
      </c>
      <c r="K2068" s="3" t="inlineStr">
        <is>
          <t>Chrome 3</t>
        </is>
      </c>
      <c r="Q2068" s="3" t="inlineStr">
        <is>
          <t>Manufacturer's Warranty</t>
        </is>
      </c>
      <c r="R2068" s="3" t="inlineStr">
        <is>
          <t>ALD-CHR-573</t>
        </is>
      </c>
      <c r="Y2068" s="3" t="inlineStr">
        <is>
          <t>BR_JS_JQ_3</t>
        </is>
      </c>
      <c r="AE2068" s="3" t="n">
        <v>1850</v>
      </c>
      <c r="AF2068" s="4" t="n"/>
      <c r="AG2068" s="3">
        <f>ROUND(AE2068-(AE2068*AF2068),2)</f>
        <v/>
      </c>
      <c r="AH2068" s="4" t="n"/>
      <c r="AI2068" s="3">
        <f>ROUND(AG2068+(AG2068*AH2068),2)</f>
        <v/>
      </c>
      <c r="AJ2068" s="4" t="n"/>
      <c r="AK2068" s="3">
        <f>ROUND(AI2068*AJ2068,2)</f>
        <v/>
      </c>
      <c r="AL2068" s="3">
        <f>AI2068+AK2068</f>
        <v/>
      </c>
      <c r="AM2068" s="3">
        <f>AE2068-AL2068</f>
        <v/>
      </c>
      <c r="AN2068" s="4">
        <f>AM2068/AE2068</f>
        <v/>
      </c>
      <c r="AO2068" s="3" t="inlineStr">
        <is>
          <t>60 mins</t>
        </is>
      </c>
      <c r="AT2068" s="3" t="inlineStr">
        <is>
          <t>60 mins</t>
        </is>
      </c>
    </row>
    <row r="2069" ht="15.75" customHeight="1">
      <c r="A2069" s="3" t="inlineStr">
        <is>
          <t>PROD_0407</t>
        </is>
      </c>
      <c r="B2069" s="3" t="inlineStr">
        <is>
          <t>VAR_4</t>
        </is>
      </c>
      <c r="C2069" s="3" t="inlineStr">
        <is>
          <t>Bathroom</t>
        </is>
      </c>
      <c r="D2069" s="3" t="inlineStr">
        <is>
          <t>Jet Spray</t>
        </is>
      </c>
      <c r="E2069" s="3" t="inlineStr">
        <is>
          <t>Jaquar</t>
        </is>
      </c>
      <c r="F2069" s="3" t="inlineStr">
        <is>
          <t>Essco Health Chrome Faucet</t>
        </is>
      </c>
      <c r="H2069" s="3" t="inlineStr">
        <is>
          <t>Material</t>
        </is>
      </c>
      <c r="I2069" s="3" t="inlineStr">
        <is>
          <t>Stainless Steel</t>
        </is>
      </c>
      <c r="J2069" s="3" t="inlineStr">
        <is>
          <t>Finish</t>
        </is>
      </c>
      <c r="K2069" s="3" t="inlineStr">
        <is>
          <t>Bronze</t>
        </is>
      </c>
      <c r="Q2069" s="3" t="inlineStr">
        <is>
          <t>Manufacturer's Warranty</t>
        </is>
      </c>
      <c r="R2069" s="3" t="inlineStr">
        <is>
          <t>ALD-ABR-573M</t>
        </is>
      </c>
      <c r="Y2069" s="3" t="inlineStr">
        <is>
          <t>BR_JS_JQ_4</t>
        </is>
      </c>
      <c r="AE2069" s="3" t="n">
        <v>4450</v>
      </c>
      <c r="AF2069" s="4" t="n"/>
      <c r="AG2069" s="3">
        <f>ROUND(AE2069-(AE2069*AF2069),2)</f>
        <v/>
      </c>
      <c r="AH2069" s="4" t="n"/>
      <c r="AI2069" s="3">
        <f>ROUND(AG2069+(AG2069*AH2069),2)</f>
        <v/>
      </c>
      <c r="AJ2069" s="4" t="n"/>
      <c r="AK2069" s="3">
        <f>ROUND(AI2069*AJ2069,2)</f>
        <v/>
      </c>
      <c r="AL2069" s="3">
        <f>AI2069+AK2069</f>
        <v/>
      </c>
      <c r="AM2069" s="3">
        <f>AE2069-AL2069</f>
        <v/>
      </c>
      <c r="AN2069" s="4">
        <f>AM2069/AE2069</f>
        <v/>
      </c>
      <c r="AO2069" s="3" t="inlineStr">
        <is>
          <t>60 mins</t>
        </is>
      </c>
      <c r="AT2069" s="3" t="inlineStr">
        <is>
          <t>60 mins</t>
        </is>
      </c>
    </row>
    <row r="2070" ht="15.75" customHeight="1">
      <c r="A2070" s="3" t="inlineStr">
        <is>
          <t>PROD_0407</t>
        </is>
      </c>
      <c r="B2070" s="3" t="inlineStr">
        <is>
          <t>VAR_5</t>
        </is>
      </c>
      <c r="C2070" s="3" t="inlineStr">
        <is>
          <t>Bathroom</t>
        </is>
      </c>
      <c r="D2070" s="3" t="inlineStr">
        <is>
          <t>Jet Spray</t>
        </is>
      </c>
      <c r="E2070" s="3" t="inlineStr">
        <is>
          <t>Jaquar</t>
        </is>
      </c>
      <c r="F2070" s="3" t="inlineStr">
        <is>
          <t>Essco Health Chrome Faucet</t>
        </is>
      </c>
      <c r="H2070" s="3" t="inlineStr">
        <is>
          <t>Material</t>
        </is>
      </c>
      <c r="I2070" s="3" t="inlineStr">
        <is>
          <t>Stainless Steel</t>
        </is>
      </c>
      <c r="J2070" s="3" t="inlineStr">
        <is>
          <t>Finish</t>
        </is>
      </c>
      <c r="K2070" s="3" t="inlineStr">
        <is>
          <t>Copper</t>
        </is>
      </c>
      <c r="Q2070" s="3" t="inlineStr">
        <is>
          <t>Manufacturer's Warranty</t>
        </is>
      </c>
      <c r="R2070" s="3" t="inlineStr">
        <is>
          <t>ALD-ACR-573M</t>
        </is>
      </c>
      <c r="Y2070" s="3" t="inlineStr">
        <is>
          <t>BR_JS_JQ_5</t>
        </is>
      </c>
      <c r="AE2070" s="3" t="n">
        <v>4450</v>
      </c>
      <c r="AF2070" s="4" t="n"/>
      <c r="AG2070" s="3">
        <f>ROUND(AE2070-(AE2070*AF2070),2)</f>
        <v/>
      </c>
      <c r="AH2070" s="4" t="n"/>
      <c r="AI2070" s="3">
        <f>ROUND(AG2070+(AG2070*AH2070),2)</f>
        <v/>
      </c>
      <c r="AJ2070" s="4" t="n"/>
      <c r="AK2070" s="3">
        <f>ROUND(AI2070*AJ2070,2)</f>
        <v/>
      </c>
      <c r="AL2070" s="3">
        <f>AI2070+AK2070</f>
        <v/>
      </c>
      <c r="AM2070" s="3">
        <f>AE2070-AL2070</f>
        <v/>
      </c>
      <c r="AN2070" s="4">
        <f>AM2070/AE2070</f>
        <v/>
      </c>
      <c r="AO2070" s="3" t="inlineStr">
        <is>
          <t>60 mins</t>
        </is>
      </c>
      <c r="AT2070" s="3" t="inlineStr">
        <is>
          <t>60 mins</t>
        </is>
      </c>
    </row>
    <row r="2071" ht="15.75" customHeight="1">
      <c r="A2071" s="3" t="inlineStr">
        <is>
          <t>PROD_0407</t>
        </is>
      </c>
      <c r="B2071" s="3" t="inlineStr">
        <is>
          <t>VAR_6</t>
        </is>
      </c>
      <c r="C2071" s="3" t="inlineStr">
        <is>
          <t>Bathroom</t>
        </is>
      </c>
      <c r="D2071" s="3" t="inlineStr">
        <is>
          <t>Jet Spray</t>
        </is>
      </c>
      <c r="E2071" s="3" t="inlineStr">
        <is>
          <t>Jaquar</t>
        </is>
      </c>
      <c r="F2071" s="3" t="inlineStr">
        <is>
          <t>Essco Health Chrome Faucet</t>
        </is>
      </c>
      <c r="H2071" s="3" t="inlineStr">
        <is>
          <t>Material</t>
        </is>
      </c>
      <c r="I2071" s="3" t="inlineStr">
        <is>
          <t>Stainless Steel</t>
        </is>
      </c>
      <c r="J2071" s="3" t="inlineStr">
        <is>
          <t>Finish</t>
        </is>
      </c>
      <c r="K2071" s="3" t="inlineStr">
        <is>
          <t>Black Chrome</t>
        </is>
      </c>
      <c r="Q2071" s="3" t="inlineStr">
        <is>
          <t>Manufacturer's Warranty</t>
        </is>
      </c>
      <c r="R2071" s="3" t="inlineStr">
        <is>
          <t>ALD-BCH-573M</t>
        </is>
      </c>
      <c r="Y2071" s="3" t="inlineStr">
        <is>
          <t>BR_JS_JQ_6</t>
        </is>
      </c>
      <c r="AE2071" s="3" t="n">
        <v>3900</v>
      </c>
      <c r="AF2071" s="4" t="n"/>
      <c r="AG2071" s="3">
        <f>ROUND(AE2071-(AE2071*AF2071),2)</f>
        <v/>
      </c>
      <c r="AH2071" s="4" t="n"/>
      <c r="AI2071" s="3">
        <f>ROUND(AG2071+(AG2071*AH2071),2)</f>
        <v/>
      </c>
      <c r="AJ2071" s="4" t="n"/>
      <c r="AK2071" s="3">
        <f>ROUND(AI2071*AJ2071,2)</f>
        <v/>
      </c>
      <c r="AL2071" s="3">
        <f>AI2071+AK2071</f>
        <v/>
      </c>
      <c r="AM2071" s="3">
        <f>AE2071-AL2071</f>
        <v/>
      </c>
      <c r="AN2071" s="4">
        <f>AM2071/AE2071</f>
        <v/>
      </c>
      <c r="AO2071" s="3" t="inlineStr">
        <is>
          <t>60 mins</t>
        </is>
      </c>
      <c r="AT2071" s="3" t="inlineStr">
        <is>
          <t>60 mins</t>
        </is>
      </c>
    </row>
    <row r="2072" ht="15.75" customHeight="1">
      <c r="A2072" s="3" t="inlineStr">
        <is>
          <t>PROD_0407</t>
        </is>
      </c>
      <c r="B2072" s="3" t="inlineStr">
        <is>
          <t>VAR_7</t>
        </is>
      </c>
      <c r="C2072" s="3" t="inlineStr">
        <is>
          <t>Bathroom</t>
        </is>
      </c>
      <c r="D2072" s="3" t="inlineStr">
        <is>
          <t>Jet Spray</t>
        </is>
      </c>
      <c r="E2072" s="3" t="inlineStr">
        <is>
          <t>Jaquar</t>
        </is>
      </c>
      <c r="F2072" s="3" t="inlineStr">
        <is>
          <t>Essco Health Chrome Faucet</t>
        </is>
      </c>
      <c r="H2072" s="3" t="inlineStr">
        <is>
          <t>Material</t>
        </is>
      </c>
      <c r="I2072" s="3" t="inlineStr">
        <is>
          <t>Stainless Steel</t>
        </is>
      </c>
      <c r="J2072" s="3" t="inlineStr">
        <is>
          <t>Finish</t>
        </is>
      </c>
      <c r="K2072" s="3" t="inlineStr">
        <is>
          <t>Stainless Steel</t>
        </is>
      </c>
      <c r="Q2072" s="3" t="inlineStr">
        <is>
          <t>Manufacturer's Warranty</t>
        </is>
      </c>
      <c r="R2072" s="3" t="inlineStr">
        <is>
          <t>ALD-SSF-573M</t>
        </is>
      </c>
      <c r="Y2072" s="3" t="inlineStr">
        <is>
          <t>BR_JS_JQ_7</t>
        </is>
      </c>
      <c r="AE2072" s="3" t="n">
        <v>4450</v>
      </c>
      <c r="AF2072" s="4" t="n"/>
      <c r="AG2072" s="3">
        <f>ROUND(AE2072-(AE2072*AF2072),2)</f>
        <v/>
      </c>
      <c r="AH2072" s="4" t="n"/>
      <c r="AI2072" s="3">
        <f>ROUND(AG2072+(AG2072*AH2072),2)</f>
        <v/>
      </c>
      <c r="AJ2072" s="4" t="n"/>
      <c r="AK2072" s="3">
        <f>ROUND(AI2072*AJ2072,2)</f>
        <v/>
      </c>
      <c r="AL2072" s="3">
        <f>AI2072+AK2072</f>
        <v/>
      </c>
      <c r="AM2072" s="3">
        <f>AE2072-AL2072</f>
        <v/>
      </c>
      <c r="AN2072" s="4">
        <f>AM2072/AE2072</f>
        <v/>
      </c>
      <c r="AO2072" s="3" t="inlineStr">
        <is>
          <t>60 mins</t>
        </is>
      </c>
      <c r="AT2072" s="3" t="inlineStr">
        <is>
          <t>60 mins</t>
        </is>
      </c>
    </row>
    <row r="2073" ht="15.75" customHeight="1">
      <c r="A2073" s="3" t="inlineStr">
        <is>
          <t>PROD_0408</t>
        </is>
      </c>
      <c r="B2073" s="3" t="inlineStr">
        <is>
          <t>VAR_1</t>
        </is>
      </c>
      <c r="C2073" s="3" t="inlineStr">
        <is>
          <t>Bathroom</t>
        </is>
      </c>
      <c r="D2073" s="3" t="inlineStr">
        <is>
          <t>Jet Spray</t>
        </is>
      </c>
      <c r="E2073" s="3" t="inlineStr">
        <is>
          <t>Hindware</t>
        </is>
      </c>
      <c r="F2073" s="3" t="inlineStr">
        <is>
          <t>Health Faucet</t>
        </is>
      </c>
      <c r="H2073" s="3" t="inlineStr">
        <is>
          <t>Material</t>
        </is>
      </c>
      <c r="I2073" s="3" t="inlineStr">
        <is>
          <t>Stainless Steel</t>
        </is>
      </c>
      <c r="J2073" s="3" t="inlineStr">
        <is>
          <t>Finish</t>
        </is>
      </c>
      <c r="K2073" s="3" t="inlineStr">
        <is>
          <t>Polished</t>
        </is>
      </c>
      <c r="Q2073" s="3" t="inlineStr">
        <is>
          <t>Manufacturer's Warranty</t>
        </is>
      </c>
      <c r="R2073" s="3" t="inlineStr">
        <is>
          <t>F160193CP</t>
        </is>
      </c>
      <c r="Y2073" s="3" t="inlineStr">
        <is>
          <t>BR_JS_HW_1</t>
        </is>
      </c>
      <c r="AE2073" s="3" t="n">
        <v>1100</v>
      </c>
      <c r="AF2073" s="4" t="n"/>
      <c r="AG2073" s="3">
        <f>ROUND(AE2073-(AE2073*AF2073),2)</f>
        <v/>
      </c>
      <c r="AH2073" s="4" t="n"/>
      <c r="AI2073" s="3">
        <f>ROUND(AG2073+(AG2073*AH2073),2)</f>
        <v/>
      </c>
      <c r="AJ2073" s="4" t="n"/>
      <c r="AK2073" s="3">
        <f>ROUND(AI2073*AJ2073,2)</f>
        <v/>
      </c>
      <c r="AL2073" s="3">
        <f>AI2073+AK2073</f>
        <v/>
      </c>
      <c r="AM2073" s="3">
        <f>AE2073-AL2073</f>
        <v/>
      </c>
      <c r="AN2073" s="4">
        <f>AM2073/AE2073</f>
        <v/>
      </c>
      <c r="AO2073" s="3" t="inlineStr">
        <is>
          <t>60 mins</t>
        </is>
      </c>
      <c r="AT2073" s="3" t="inlineStr">
        <is>
          <t>60 mins</t>
        </is>
      </c>
    </row>
    <row r="2074" ht="15.75" customHeight="1">
      <c r="A2074" s="3" t="inlineStr">
        <is>
          <t>PROD_0408</t>
        </is>
      </c>
      <c r="B2074" s="3" t="inlineStr">
        <is>
          <t>VAR_2</t>
        </is>
      </c>
      <c r="C2074" s="3" t="inlineStr">
        <is>
          <t>Bathroom</t>
        </is>
      </c>
      <c r="D2074" s="3" t="inlineStr">
        <is>
          <t>Jet Spray</t>
        </is>
      </c>
      <c r="E2074" s="3" t="inlineStr">
        <is>
          <t>Hindware</t>
        </is>
      </c>
      <c r="F2074" s="3" t="inlineStr">
        <is>
          <t>Health Faucet</t>
        </is>
      </c>
      <c r="H2074" s="3" t="inlineStr">
        <is>
          <t>Material</t>
        </is>
      </c>
      <c r="I2074" s="3" t="inlineStr">
        <is>
          <t>Stainless Steel</t>
        </is>
      </c>
      <c r="J2074" s="3" t="inlineStr">
        <is>
          <t>Finish</t>
        </is>
      </c>
      <c r="K2074" s="3" t="inlineStr">
        <is>
          <t>Chrome</t>
        </is>
      </c>
      <c r="Q2074" s="3" t="inlineStr">
        <is>
          <t>Manufacturer's Warranty</t>
        </is>
      </c>
      <c r="R2074" s="3" t="inlineStr">
        <is>
          <t>F160013CP</t>
        </is>
      </c>
      <c r="Y2074" s="3" t="inlineStr">
        <is>
          <t>BR_JS_HW_2</t>
        </is>
      </c>
      <c r="AE2074" s="3" t="n">
        <v>1075</v>
      </c>
      <c r="AF2074" s="4" t="n"/>
      <c r="AG2074" s="3">
        <f>ROUND(AE2074-(AE2074*AF2074),2)</f>
        <v/>
      </c>
      <c r="AH2074" s="4" t="n"/>
      <c r="AI2074" s="3">
        <f>ROUND(AG2074+(AG2074*AH2074),2)</f>
        <v/>
      </c>
      <c r="AJ2074" s="4" t="n"/>
      <c r="AK2074" s="3">
        <f>ROUND(AI2074*AJ2074,2)</f>
        <v/>
      </c>
      <c r="AL2074" s="3">
        <f>AI2074+AK2074</f>
        <v/>
      </c>
      <c r="AM2074" s="3">
        <f>AE2074-AL2074</f>
        <v/>
      </c>
      <c r="AN2074" s="4">
        <f>AM2074/AE2074</f>
        <v/>
      </c>
      <c r="AO2074" s="3" t="inlineStr">
        <is>
          <t>60 mins</t>
        </is>
      </c>
      <c r="AT2074" s="3" t="inlineStr">
        <is>
          <t>60 mins</t>
        </is>
      </c>
    </row>
    <row r="2075" ht="15.75" customHeight="1">
      <c r="A2075" s="3" t="inlineStr">
        <is>
          <t>PROD_0408</t>
        </is>
      </c>
      <c r="B2075" s="3" t="inlineStr">
        <is>
          <t>VAR_3</t>
        </is>
      </c>
      <c r="C2075" s="3" t="inlineStr">
        <is>
          <t>Bathroom</t>
        </is>
      </c>
      <c r="D2075" s="3" t="inlineStr">
        <is>
          <t>Jet Spray</t>
        </is>
      </c>
      <c r="E2075" s="3" t="inlineStr">
        <is>
          <t>Hindware</t>
        </is>
      </c>
      <c r="F2075" s="3" t="inlineStr">
        <is>
          <t>Health Faucet</t>
        </is>
      </c>
      <c r="H2075" s="3" t="inlineStr">
        <is>
          <t>Material</t>
        </is>
      </c>
      <c r="I2075" s="3" t="inlineStr">
        <is>
          <t>Stainless Steel</t>
        </is>
      </c>
      <c r="J2075" s="3" t="inlineStr">
        <is>
          <t>Finish</t>
        </is>
      </c>
      <c r="K2075" s="3" t="inlineStr">
        <is>
          <t>Chrome</t>
        </is>
      </c>
      <c r="Q2075" s="3" t="inlineStr">
        <is>
          <t>Manufacturer's Warranty</t>
        </is>
      </c>
      <c r="R2075" s="3" t="inlineStr">
        <is>
          <t>F680013CP</t>
        </is>
      </c>
      <c r="Y2075" s="3" t="inlineStr">
        <is>
          <t>BR_JS_HW_3</t>
        </is>
      </c>
      <c r="AE2075" s="3" t="n">
        <v>1990</v>
      </c>
      <c r="AF2075" s="4" t="n"/>
      <c r="AG2075" s="3">
        <f>ROUND(AE2075-(AE2075*AF2075),2)</f>
        <v/>
      </c>
      <c r="AH2075" s="4" t="n"/>
      <c r="AI2075" s="3">
        <f>ROUND(AG2075+(AG2075*AH2075),2)</f>
        <v/>
      </c>
      <c r="AJ2075" s="4" t="n"/>
      <c r="AK2075" s="3">
        <f>ROUND(AI2075*AJ2075,2)</f>
        <v/>
      </c>
      <c r="AL2075" s="3">
        <f>AI2075+AK2075</f>
        <v/>
      </c>
      <c r="AM2075" s="3">
        <f>AE2075-AL2075</f>
        <v/>
      </c>
      <c r="AN2075" s="4">
        <f>AM2075/AE2075</f>
        <v/>
      </c>
      <c r="AO2075" s="3" t="inlineStr">
        <is>
          <t>60 mins</t>
        </is>
      </c>
      <c r="AT2075" s="3" t="inlineStr">
        <is>
          <t>60 mins</t>
        </is>
      </c>
    </row>
    <row r="2076" ht="15.75" customHeight="1">
      <c r="A2076" s="3" t="inlineStr">
        <is>
          <t>PROD_0408</t>
        </is>
      </c>
      <c r="B2076" s="3" t="inlineStr">
        <is>
          <t>VAR_4</t>
        </is>
      </c>
      <c r="C2076" s="3" t="inlineStr">
        <is>
          <t>Bathroom</t>
        </is>
      </c>
      <c r="D2076" s="3" t="inlineStr">
        <is>
          <t>Jet Spray</t>
        </is>
      </c>
      <c r="E2076" s="3" t="inlineStr">
        <is>
          <t>Hindware</t>
        </is>
      </c>
      <c r="F2076" s="3" t="inlineStr">
        <is>
          <t>Health Faucet</t>
        </is>
      </c>
      <c r="H2076" s="3" t="inlineStr">
        <is>
          <t>Material</t>
        </is>
      </c>
      <c r="I2076" s="3" t="inlineStr">
        <is>
          <t>Stainless Steel</t>
        </is>
      </c>
      <c r="J2076" s="3" t="inlineStr">
        <is>
          <t>Finish</t>
        </is>
      </c>
      <c r="K2076" s="3" t="inlineStr">
        <is>
          <t>Polished</t>
        </is>
      </c>
      <c r="Q2076" s="3" t="inlineStr">
        <is>
          <t>Manufacturer's Warranty</t>
        </is>
      </c>
      <c r="R2076" s="3" t="inlineStr">
        <is>
          <t>F160192CP</t>
        </is>
      </c>
      <c r="Y2076" s="3" t="inlineStr">
        <is>
          <t>BR_JS_HW_4</t>
        </is>
      </c>
      <c r="AE2076" s="3" t="n">
        <v>1325</v>
      </c>
      <c r="AF2076" s="4" t="n"/>
      <c r="AG2076" s="3">
        <f>ROUND(AE2076-(AE2076*AF2076),2)</f>
        <v/>
      </c>
      <c r="AH2076" s="4" t="n"/>
      <c r="AI2076" s="3">
        <f>ROUND(AG2076+(AG2076*AH2076),2)</f>
        <v/>
      </c>
      <c r="AJ2076" s="4" t="n"/>
      <c r="AK2076" s="3">
        <f>ROUND(AI2076*AJ2076,2)</f>
        <v/>
      </c>
      <c r="AL2076" s="3">
        <f>AI2076+AK2076</f>
        <v/>
      </c>
      <c r="AM2076" s="3">
        <f>AE2076-AL2076</f>
        <v/>
      </c>
      <c r="AN2076" s="4">
        <f>AM2076/AE2076</f>
        <v/>
      </c>
      <c r="AO2076" s="3" t="inlineStr">
        <is>
          <t>60 mins</t>
        </is>
      </c>
      <c r="AT2076" s="3" t="inlineStr">
        <is>
          <t>60 mins</t>
        </is>
      </c>
    </row>
    <row r="2077" ht="15.75" customHeight="1">
      <c r="A2077" s="3" t="inlineStr">
        <is>
          <t>PROD_0408</t>
        </is>
      </c>
      <c r="B2077" s="3" t="inlineStr">
        <is>
          <t>VAR_5</t>
        </is>
      </c>
      <c r="C2077" s="3" t="inlineStr">
        <is>
          <t>Bathroom</t>
        </is>
      </c>
      <c r="D2077" s="3" t="inlineStr">
        <is>
          <t>Jet Spray</t>
        </is>
      </c>
      <c r="E2077" s="3" t="inlineStr">
        <is>
          <t>Hindware</t>
        </is>
      </c>
      <c r="F2077" s="3" t="inlineStr">
        <is>
          <t>Health Faucet</t>
        </is>
      </c>
      <c r="H2077" s="3" t="inlineStr">
        <is>
          <t>Material</t>
        </is>
      </c>
      <c r="I2077" s="3" t="inlineStr">
        <is>
          <t>Stainless Steel</t>
        </is>
      </c>
      <c r="J2077" s="3" t="inlineStr">
        <is>
          <t>Finish</t>
        </is>
      </c>
      <c r="K2077" s="3" t="inlineStr">
        <is>
          <t>Polished</t>
        </is>
      </c>
      <c r="Q2077" s="3" t="inlineStr">
        <is>
          <t>Manufacturer's Warranty</t>
        </is>
      </c>
      <c r="R2077" s="3" t="inlineStr">
        <is>
          <t>F160193CP</t>
        </is>
      </c>
      <c r="Y2077" s="3" t="inlineStr">
        <is>
          <t>BR_JS_HW_5</t>
        </is>
      </c>
      <c r="AE2077" s="3" t="n">
        <v>1100</v>
      </c>
      <c r="AF2077" s="4" t="n"/>
      <c r="AG2077" s="3">
        <f>ROUND(AE2077-(AE2077*AF2077),2)</f>
        <v/>
      </c>
      <c r="AH2077" s="4" t="n"/>
      <c r="AI2077" s="3">
        <f>ROUND(AG2077+(AG2077*AH2077),2)</f>
        <v/>
      </c>
      <c r="AJ2077" s="4" t="n"/>
      <c r="AK2077" s="3">
        <f>ROUND(AI2077*AJ2077,2)</f>
        <v/>
      </c>
      <c r="AL2077" s="3">
        <f>AI2077+AK2077</f>
        <v/>
      </c>
      <c r="AM2077" s="3">
        <f>AE2077-AL2077</f>
        <v/>
      </c>
      <c r="AN2077" s="4">
        <f>AM2077/AE2077</f>
        <v/>
      </c>
      <c r="AO2077" s="3" t="inlineStr">
        <is>
          <t>60 mins</t>
        </is>
      </c>
      <c r="AT2077" s="3" t="inlineStr">
        <is>
          <t>60 mins</t>
        </is>
      </c>
    </row>
    <row r="2078" ht="15.75" customHeight="1">
      <c r="A2078" s="3" t="inlineStr">
        <is>
          <t>PROD_0409</t>
        </is>
      </c>
      <c r="B2078" s="3" t="inlineStr">
        <is>
          <t>VAR_1</t>
        </is>
      </c>
      <c r="C2078" s="3" t="inlineStr">
        <is>
          <t>Bathroom</t>
        </is>
      </c>
      <c r="D2078" s="3" t="inlineStr">
        <is>
          <t>Jet Spray</t>
        </is>
      </c>
      <c r="E2078" s="3" t="inlineStr">
        <is>
          <t>Cera</t>
        </is>
      </c>
      <c r="F2078" s="3" t="inlineStr">
        <is>
          <t>Health Faucet</t>
        </is>
      </c>
      <c r="H2078" s="3" t="inlineStr">
        <is>
          <t>Material</t>
        </is>
      </c>
      <c r="I2078" s="3" t="inlineStr">
        <is>
          <t>Plastic</t>
        </is>
      </c>
      <c r="J2078" s="3" t="inlineStr">
        <is>
          <t>Finish</t>
        </is>
      </c>
      <c r="K2078" s="3" t="inlineStr">
        <is>
          <t>Chrome</t>
        </is>
      </c>
      <c r="Q2078" s="3" t="inlineStr">
        <is>
          <t>Manufacturer's Warranty</t>
        </is>
      </c>
      <c r="R2078" s="3" t="inlineStr">
        <is>
          <t>F9090903AB</t>
        </is>
      </c>
      <c r="Y2078" s="3" t="inlineStr">
        <is>
          <t>br_js_cera_1</t>
        </is>
      </c>
      <c r="AE2078" s="3" t="n">
        <v>675</v>
      </c>
      <c r="AF2078" s="4" t="n"/>
      <c r="AG2078" s="3">
        <f>ROUND(AE2078-(AE2078*AF2078),2)</f>
        <v/>
      </c>
      <c r="AH2078" s="4" t="n"/>
      <c r="AI2078" s="3">
        <f>ROUND(AG2078+(AG2078*AH2078),2)</f>
        <v/>
      </c>
      <c r="AJ2078" s="4" t="n"/>
      <c r="AK2078" s="3">
        <f>ROUND(AI2078*AJ2078,2)</f>
        <v/>
      </c>
      <c r="AL2078" s="3">
        <f>AI2078+AK2078</f>
        <v/>
      </c>
      <c r="AM2078" s="3">
        <f>AE2078-AL2078</f>
        <v/>
      </c>
      <c r="AN2078" s="4">
        <f>AM2078/AE2078</f>
        <v/>
      </c>
      <c r="AO2078" s="3" t="inlineStr">
        <is>
          <t>60 mins</t>
        </is>
      </c>
      <c r="AT2078" s="3" t="inlineStr">
        <is>
          <t>60 mins</t>
        </is>
      </c>
    </row>
    <row r="2079" ht="15.75" customHeight="1">
      <c r="A2079" s="3" t="inlineStr">
        <is>
          <t>PROD_0409</t>
        </is>
      </c>
      <c r="B2079" s="3" t="inlineStr">
        <is>
          <t>VAR_2</t>
        </is>
      </c>
      <c r="C2079" s="3" t="inlineStr">
        <is>
          <t>Bathroom</t>
        </is>
      </c>
      <c r="D2079" s="3" t="inlineStr">
        <is>
          <t>Jet Spray</t>
        </is>
      </c>
      <c r="E2079" s="3" t="inlineStr">
        <is>
          <t>Cera</t>
        </is>
      </c>
      <c r="F2079" s="3" t="inlineStr">
        <is>
          <t>Health Faucet</t>
        </is>
      </c>
      <c r="H2079" s="3" t="inlineStr">
        <is>
          <t>Material</t>
        </is>
      </c>
      <c r="I2079" s="3" t="inlineStr">
        <is>
          <t>PVC</t>
        </is>
      </c>
      <c r="J2079" s="3" t="inlineStr">
        <is>
          <t>Finish</t>
        </is>
      </c>
      <c r="K2079" s="3" t="inlineStr">
        <is>
          <t>Chrome</t>
        </is>
      </c>
      <c r="Q2079" s="3" t="inlineStr">
        <is>
          <t>Manufacturer's Warranty</t>
        </is>
      </c>
      <c r="R2079" s="3" t="inlineStr">
        <is>
          <t>F8030104AB</t>
        </is>
      </c>
      <c r="Y2079" s="3" t="inlineStr">
        <is>
          <t>br_js_cera_2</t>
        </is>
      </c>
      <c r="AE2079" s="3" t="n">
        <v>840</v>
      </c>
      <c r="AF2079" s="4" t="n"/>
      <c r="AG2079" s="3">
        <f>ROUND(AE2079-(AE2079*AF2079),2)</f>
        <v/>
      </c>
      <c r="AH2079" s="4" t="n"/>
      <c r="AI2079" s="3">
        <f>ROUND(AG2079+(AG2079*AH2079),2)</f>
        <v/>
      </c>
      <c r="AJ2079" s="4" t="n"/>
      <c r="AK2079" s="3">
        <f>ROUND(AI2079*AJ2079,2)</f>
        <v/>
      </c>
      <c r="AL2079" s="3">
        <f>AI2079+AK2079</f>
        <v/>
      </c>
      <c r="AM2079" s="3">
        <f>AE2079-AL2079</f>
        <v/>
      </c>
      <c r="AN2079" s="4">
        <f>AM2079/AE2079</f>
        <v/>
      </c>
      <c r="AO2079" s="3" t="inlineStr">
        <is>
          <t>60 mins</t>
        </is>
      </c>
      <c r="AT2079" s="3" t="inlineStr">
        <is>
          <t>60 mins</t>
        </is>
      </c>
    </row>
    <row r="2080" ht="15.75" customHeight="1">
      <c r="A2080" s="3" t="inlineStr">
        <is>
          <t>PROD_0409</t>
        </is>
      </c>
      <c r="B2080" s="3" t="inlineStr">
        <is>
          <t>VAR_3</t>
        </is>
      </c>
      <c r="C2080" s="3" t="inlineStr">
        <is>
          <t>Bathroom</t>
        </is>
      </c>
      <c r="D2080" s="3" t="inlineStr">
        <is>
          <t>Jet Spray</t>
        </is>
      </c>
      <c r="E2080" s="3" t="inlineStr">
        <is>
          <t>Cera</t>
        </is>
      </c>
      <c r="F2080" s="3" t="inlineStr">
        <is>
          <t>Health Faucet</t>
        </is>
      </c>
      <c r="H2080" s="3" t="inlineStr">
        <is>
          <t>Material</t>
        </is>
      </c>
      <c r="I2080" s="3" t="inlineStr">
        <is>
          <t>ABS</t>
        </is>
      </c>
      <c r="J2080" s="3" t="inlineStr">
        <is>
          <t>Finish</t>
        </is>
      </c>
      <c r="K2080" s="3" t="inlineStr">
        <is>
          <t>Chrome</t>
        </is>
      </c>
      <c r="Q2080" s="3" t="inlineStr">
        <is>
          <t>Manufacturer's Warranty</t>
        </is>
      </c>
      <c r="R2080" s="3" t="inlineStr">
        <is>
          <t>F8030103AB</t>
        </is>
      </c>
      <c r="Y2080" s="3" t="inlineStr">
        <is>
          <t>br_js_cera_3</t>
        </is>
      </c>
      <c r="AE2080" s="3" t="n">
        <v>1106</v>
      </c>
      <c r="AF2080" s="4" t="n"/>
      <c r="AG2080" s="3">
        <f>ROUND(AE2080-(AE2080*AF2080),2)</f>
        <v/>
      </c>
      <c r="AH2080" s="4" t="n"/>
      <c r="AI2080" s="3">
        <f>ROUND(AG2080+(AG2080*AH2080),2)</f>
        <v/>
      </c>
      <c r="AJ2080" s="4" t="n"/>
      <c r="AK2080" s="3">
        <f>ROUND(AI2080*AJ2080,2)</f>
        <v/>
      </c>
      <c r="AL2080" s="3">
        <f>AI2080+AK2080</f>
        <v/>
      </c>
      <c r="AM2080" s="3">
        <f>AE2080-AL2080</f>
        <v/>
      </c>
      <c r="AN2080" s="4">
        <f>AM2080/AE2080</f>
        <v/>
      </c>
      <c r="AO2080" s="3" t="inlineStr">
        <is>
          <t>60 mins</t>
        </is>
      </c>
      <c r="AT2080" s="3" t="inlineStr">
        <is>
          <t>60 mins</t>
        </is>
      </c>
    </row>
    <row r="2081" ht="15.75" customHeight="1">
      <c r="A2081" s="3" t="inlineStr">
        <is>
          <t>PROD_0409</t>
        </is>
      </c>
      <c r="B2081" s="3" t="inlineStr">
        <is>
          <t>VAR_4</t>
        </is>
      </c>
      <c r="C2081" s="3" t="inlineStr">
        <is>
          <t>Bathroom</t>
        </is>
      </c>
      <c r="D2081" s="3" t="inlineStr">
        <is>
          <t>Jet Spray</t>
        </is>
      </c>
      <c r="E2081" s="3" t="inlineStr">
        <is>
          <t>Cera</t>
        </is>
      </c>
      <c r="F2081" s="3" t="inlineStr">
        <is>
          <t>Health Faucet</t>
        </is>
      </c>
      <c r="H2081" s="3" t="inlineStr">
        <is>
          <t>Material</t>
        </is>
      </c>
      <c r="I2081" s="3" t="inlineStr">
        <is>
          <t>Stainless Steel</t>
        </is>
      </c>
      <c r="J2081" s="3" t="inlineStr">
        <is>
          <t>Finish</t>
        </is>
      </c>
      <c r="K2081" s="3" t="inlineStr">
        <is>
          <t>Chrome</t>
        </is>
      </c>
      <c r="Q2081" s="3" t="inlineStr">
        <is>
          <t>Manufacturer's Warranty</t>
        </is>
      </c>
      <c r="R2081" s="3" t="inlineStr">
        <is>
          <t>F8030110AB</t>
        </is>
      </c>
      <c r="Y2081" s="3" t="inlineStr">
        <is>
          <t>br_js_cera_4</t>
        </is>
      </c>
      <c r="AE2081" s="3" t="n">
        <v>1460</v>
      </c>
      <c r="AF2081" s="4" t="n"/>
      <c r="AG2081" s="3">
        <f>ROUND(AE2081-(AE2081*AF2081),2)</f>
        <v/>
      </c>
      <c r="AH2081" s="4" t="n"/>
      <c r="AI2081" s="3">
        <f>ROUND(AG2081+(AG2081*AH2081),2)</f>
        <v/>
      </c>
      <c r="AJ2081" s="4" t="n"/>
      <c r="AK2081" s="3">
        <f>ROUND(AI2081*AJ2081,2)</f>
        <v/>
      </c>
      <c r="AL2081" s="3">
        <f>AI2081+AK2081</f>
        <v/>
      </c>
      <c r="AM2081" s="3">
        <f>AE2081-AL2081</f>
        <v/>
      </c>
      <c r="AN2081" s="4">
        <f>AM2081/AE2081</f>
        <v/>
      </c>
      <c r="AO2081" s="3" t="inlineStr">
        <is>
          <t>60 mins</t>
        </is>
      </c>
      <c r="AT2081" s="3" t="inlineStr">
        <is>
          <t>60 mins</t>
        </is>
      </c>
    </row>
    <row r="2082" ht="15.75" customHeight="1">
      <c r="A2082" s="3" t="inlineStr">
        <is>
          <t>PROD_0409</t>
        </is>
      </c>
      <c r="B2082" s="3" t="inlineStr">
        <is>
          <t>VAR_5</t>
        </is>
      </c>
      <c r="C2082" s="3" t="inlineStr">
        <is>
          <t>Bathroom</t>
        </is>
      </c>
      <c r="D2082" s="3" t="inlineStr">
        <is>
          <t>Jet Spray</t>
        </is>
      </c>
      <c r="E2082" s="3" t="inlineStr">
        <is>
          <t>Cera</t>
        </is>
      </c>
      <c r="F2082" s="3" t="inlineStr">
        <is>
          <t>Health Faucet</t>
        </is>
      </c>
      <c r="H2082" s="3" t="inlineStr">
        <is>
          <t>Material</t>
        </is>
      </c>
      <c r="I2082" s="3" t="inlineStr">
        <is>
          <t>Brass</t>
        </is>
      </c>
      <c r="J2082" s="3" t="inlineStr">
        <is>
          <t>Finish</t>
        </is>
      </c>
      <c r="K2082" s="3" t="inlineStr">
        <is>
          <t>Chrome</t>
        </is>
      </c>
      <c r="Q2082" s="3" t="inlineStr">
        <is>
          <t>Manufacturer's Warranty</t>
        </is>
      </c>
      <c r="R2082" s="3" t="inlineStr">
        <is>
          <t>F9090902AB</t>
        </is>
      </c>
      <c r="Y2082" s="3" t="inlineStr">
        <is>
          <t>br_js_cera_5</t>
        </is>
      </c>
      <c r="AE2082" s="3" t="n">
        <v>720</v>
      </c>
      <c r="AF2082" s="4" t="n"/>
      <c r="AG2082" s="3">
        <f>ROUND(AE2082-(AE2082*AF2082),2)</f>
        <v/>
      </c>
      <c r="AH2082" s="4" t="n"/>
      <c r="AI2082" s="3">
        <f>ROUND(AG2082+(AG2082*AH2082),2)</f>
        <v/>
      </c>
      <c r="AJ2082" s="4" t="n"/>
      <c r="AK2082" s="3">
        <f>ROUND(AI2082*AJ2082,2)</f>
        <v/>
      </c>
      <c r="AL2082" s="3">
        <f>AI2082+AK2082</f>
        <v/>
      </c>
      <c r="AM2082" s="3">
        <f>AE2082-AL2082</f>
        <v/>
      </c>
      <c r="AN2082" s="4">
        <f>AM2082/AE2082</f>
        <v/>
      </c>
      <c r="AO2082" s="3" t="inlineStr">
        <is>
          <t>60 mins</t>
        </is>
      </c>
      <c r="AT2082" s="3" t="inlineStr">
        <is>
          <t>60 mins</t>
        </is>
      </c>
    </row>
    <row r="2083" ht="15.75" customHeight="1">
      <c r="A2083" s="3" t="inlineStr">
        <is>
          <t>PROD_0409</t>
        </is>
      </c>
      <c r="B2083" s="3" t="inlineStr">
        <is>
          <t>VAR_6</t>
        </is>
      </c>
      <c r="C2083" s="3" t="inlineStr">
        <is>
          <t>Bathroom</t>
        </is>
      </c>
      <c r="D2083" s="3" t="inlineStr">
        <is>
          <t>Jet Spray</t>
        </is>
      </c>
      <c r="E2083" s="3" t="inlineStr">
        <is>
          <t>Cera</t>
        </is>
      </c>
      <c r="F2083" s="3" t="inlineStr">
        <is>
          <t>Health Faucet</t>
        </is>
      </c>
      <c r="H2083" s="3" t="inlineStr">
        <is>
          <t>Material</t>
        </is>
      </c>
      <c r="I2083" s="3" t="inlineStr">
        <is>
          <t>Stainless Steel</t>
        </is>
      </c>
      <c r="J2083" s="3" t="inlineStr">
        <is>
          <t>Finish</t>
        </is>
      </c>
      <c r="K2083" s="3" t="inlineStr">
        <is>
          <t>Chrome</t>
        </is>
      </c>
      <c r="Q2083" s="3" t="inlineStr">
        <is>
          <t>Manufacturer's Warranty</t>
        </is>
      </c>
      <c r="R2083" s="3" t="inlineStr">
        <is>
          <t>F8030108AB</t>
        </is>
      </c>
      <c r="Y2083" s="3" t="inlineStr">
        <is>
          <t>br_js_cera_6</t>
        </is>
      </c>
      <c r="AE2083" s="3" t="n">
        <v>1580</v>
      </c>
      <c r="AF2083" s="4" t="n"/>
      <c r="AG2083" s="3">
        <f>ROUND(AE2083-(AE2083*AF2083),2)</f>
        <v/>
      </c>
      <c r="AH2083" s="4" t="n"/>
      <c r="AI2083" s="3">
        <f>ROUND(AG2083+(AG2083*AH2083),2)</f>
        <v/>
      </c>
      <c r="AJ2083" s="4" t="n"/>
      <c r="AK2083" s="3">
        <f>ROUND(AI2083*AJ2083,2)</f>
        <v/>
      </c>
      <c r="AL2083" s="3">
        <f>AI2083+AK2083</f>
        <v/>
      </c>
      <c r="AM2083" s="3">
        <f>AE2083-AL2083</f>
        <v/>
      </c>
      <c r="AN2083" s="4">
        <f>AM2083/AE2083</f>
        <v/>
      </c>
      <c r="AO2083" s="3" t="inlineStr">
        <is>
          <t>60 mins</t>
        </is>
      </c>
      <c r="AT2083" s="3" t="inlineStr">
        <is>
          <t>60 mins</t>
        </is>
      </c>
    </row>
    <row r="2084" ht="15.75" customHeight="1">
      <c r="A2084" s="3" t="inlineStr">
        <is>
          <t>PROD_0409</t>
        </is>
      </c>
      <c r="B2084" s="3" t="inlineStr">
        <is>
          <t>VAR_7</t>
        </is>
      </c>
      <c r="C2084" s="3" t="inlineStr">
        <is>
          <t>Bathroom</t>
        </is>
      </c>
      <c r="D2084" s="3" t="inlineStr">
        <is>
          <t>Jet Spray</t>
        </is>
      </c>
      <c r="E2084" s="3" t="inlineStr">
        <is>
          <t>Cera</t>
        </is>
      </c>
      <c r="F2084" s="3" t="inlineStr">
        <is>
          <t>Health Faucet</t>
        </is>
      </c>
      <c r="H2084" s="3" t="inlineStr">
        <is>
          <t>Material</t>
        </is>
      </c>
      <c r="I2084" s="3" t="inlineStr">
        <is>
          <t>ABS</t>
        </is>
      </c>
      <c r="J2084" s="3" t="inlineStr">
        <is>
          <t>Finish</t>
        </is>
      </c>
      <c r="K2084" s="3" t="inlineStr">
        <is>
          <t>Chrome</t>
        </is>
      </c>
      <c r="Q2084" s="3" t="inlineStr">
        <is>
          <t>Manufacturer's Warranty</t>
        </is>
      </c>
      <c r="R2084" s="3" t="inlineStr">
        <is>
          <t>F8030103</t>
        </is>
      </c>
      <c r="Y2084" s="3" t="inlineStr">
        <is>
          <t>br_js_cera_7</t>
        </is>
      </c>
      <c r="AE2084" s="3" t="n">
        <v>1160</v>
      </c>
      <c r="AF2084" s="4" t="n"/>
      <c r="AG2084" s="3">
        <f>ROUND(AE2084-(AE2084*AF2084),2)</f>
        <v/>
      </c>
      <c r="AH2084" s="4" t="n"/>
      <c r="AI2084" s="3">
        <f>ROUND(AG2084+(AG2084*AH2084),2)</f>
        <v/>
      </c>
      <c r="AJ2084" s="4" t="n"/>
      <c r="AK2084" s="3">
        <f>ROUND(AI2084*AJ2084,2)</f>
        <v/>
      </c>
      <c r="AL2084" s="3">
        <f>AI2084+AK2084</f>
        <v/>
      </c>
      <c r="AM2084" s="3">
        <f>AE2084-AL2084</f>
        <v/>
      </c>
      <c r="AN2084" s="4">
        <f>AM2084/AE2084</f>
        <v/>
      </c>
      <c r="AO2084" s="3" t="inlineStr">
        <is>
          <t>60 mins</t>
        </is>
      </c>
      <c r="AT2084" s="3" t="inlineStr">
        <is>
          <t>60 mins</t>
        </is>
      </c>
    </row>
    <row r="2085" ht="15.75" customHeight="1">
      <c r="A2085" s="3" t="inlineStr">
        <is>
          <t>PROD_0410</t>
        </is>
      </c>
      <c r="B2085" s="3" t="inlineStr">
        <is>
          <t>VAR_1</t>
        </is>
      </c>
      <c r="C2085" s="3" t="inlineStr">
        <is>
          <t>Bathroom</t>
        </is>
      </c>
      <c r="D2085" s="3" t="inlineStr">
        <is>
          <t>Jet Spray</t>
        </is>
      </c>
      <c r="E2085" s="3" t="inlineStr">
        <is>
          <t>Kohler</t>
        </is>
      </c>
      <c r="F2085" s="3" t="inlineStr">
        <is>
          <t>Health Faucet</t>
        </is>
      </c>
      <c r="H2085" s="3" t="inlineStr">
        <is>
          <t>Material</t>
        </is>
      </c>
      <c r="I2085" s="3" t="inlineStr">
        <is>
          <t>Metal</t>
        </is>
      </c>
      <c r="J2085" s="3" t="inlineStr">
        <is>
          <t>Finish</t>
        </is>
      </c>
      <c r="K2085" s="3" t="inlineStr">
        <is>
          <t>Polished</t>
        </is>
      </c>
      <c r="Q2085" s="3" t="inlineStr">
        <is>
          <t>Manufacturer's Warranty</t>
        </is>
      </c>
      <c r="R2085" s="3" t="inlineStr">
        <is>
          <t>‎12925IN-CP</t>
        </is>
      </c>
      <c r="Y2085" s="3" t="inlineStr">
        <is>
          <t>br_js_kl_1</t>
        </is>
      </c>
      <c r="AE2085" s="3" t="n">
        <v>2100</v>
      </c>
      <c r="AF2085" s="4" t="n"/>
      <c r="AG2085" s="3">
        <f>ROUND(AE2085-(AE2085*AF2085),2)</f>
        <v/>
      </c>
      <c r="AH2085" s="4" t="n"/>
      <c r="AI2085" s="3">
        <f>ROUND(AG2085+(AG2085*AH2085),2)</f>
        <v/>
      </c>
      <c r="AJ2085" s="4" t="n"/>
      <c r="AK2085" s="3">
        <f>ROUND(AI2085*AJ2085,2)</f>
        <v/>
      </c>
      <c r="AL2085" s="3">
        <f>AI2085+AK2085</f>
        <v/>
      </c>
      <c r="AM2085" s="3">
        <f>AE2085-AL2085</f>
        <v/>
      </c>
      <c r="AN2085" s="4">
        <f>AM2085/AE2085</f>
        <v/>
      </c>
      <c r="AO2085" s="3" t="inlineStr">
        <is>
          <t>60 mins</t>
        </is>
      </c>
      <c r="AT2085" s="3" t="inlineStr">
        <is>
          <t>60 mins</t>
        </is>
      </c>
    </row>
    <row r="2086" ht="15.75" customHeight="1">
      <c r="A2086" s="3" t="inlineStr">
        <is>
          <t>PROD_0410</t>
        </is>
      </c>
      <c r="B2086" s="3" t="inlineStr">
        <is>
          <t>VAR_2</t>
        </is>
      </c>
      <c r="C2086" s="3" t="inlineStr">
        <is>
          <t>Bathroom</t>
        </is>
      </c>
      <c r="D2086" s="3" t="inlineStr">
        <is>
          <t>Jet Spray</t>
        </is>
      </c>
      <c r="E2086" s="3" t="inlineStr">
        <is>
          <t>Kohler</t>
        </is>
      </c>
      <c r="F2086" s="3" t="inlineStr">
        <is>
          <t>Health Faucet</t>
        </is>
      </c>
      <c r="H2086" s="3" t="inlineStr">
        <is>
          <t>Material</t>
        </is>
      </c>
      <c r="I2086" s="3" t="inlineStr">
        <is>
          <t>Plastic</t>
        </is>
      </c>
      <c r="J2086" s="3" t="inlineStr">
        <is>
          <t>Finish</t>
        </is>
      </c>
      <c r="K2086" s="3" t="inlineStr">
        <is>
          <t>Polished</t>
        </is>
      </c>
      <c r="Q2086" s="3" t="inlineStr">
        <is>
          <t>Manufacturer's Warranty</t>
        </is>
      </c>
      <c r="R2086" s="3" t="inlineStr">
        <is>
          <t>‎12927IN-CP</t>
        </is>
      </c>
      <c r="Y2086" s="3" t="inlineStr">
        <is>
          <t>br_js_kl_2</t>
        </is>
      </c>
      <c r="AE2086" s="3" t="n">
        <v>3900</v>
      </c>
      <c r="AF2086" s="4" t="n"/>
      <c r="AG2086" s="3">
        <f>ROUND(AE2086-(AE2086*AF2086),2)</f>
        <v/>
      </c>
      <c r="AH2086" s="4" t="n"/>
      <c r="AI2086" s="3">
        <f>ROUND(AG2086+(AG2086*AH2086),2)</f>
        <v/>
      </c>
      <c r="AJ2086" s="4" t="n"/>
      <c r="AK2086" s="3">
        <f>ROUND(AI2086*AJ2086,2)</f>
        <v/>
      </c>
      <c r="AL2086" s="3">
        <f>AI2086+AK2086</f>
        <v/>
      </c>
      <c r="AM2086" s="3">
        <f>AE2086-AL2086</f>
        <v/>
      </c>
      <c r="AN2086" s="4">
        <f>AM2086/AE2086</f>
        <v/>
      </c>
      <c r="AO2086" s="3" t="inlineStr">
        <is>
          <t>60 mins</t>
        </is>
      </c>
      <c r="AT2086" s="3" t="inlineStr">
        <is>
          <t>60 mins</t>
        </is>
      </c>
    </row>
    <row r="2087" ht="15.75" customHeight="1">
      <c r="A2087" s="3" t="inlineStr">
        <is>
          <t>PROD_0410</t>
        </is>
      </c>
      <c r="B2087" s="3" t="inlineStr">
        <is>
          <t>VAR_3</t>
        </is>
      </c>
      <c r="C2087" s="3" t="inlineStr">
        <is>
          <t>Bathroom</t>
        </is>
      </c>
      <c r="D2087" s="3" t="inlineStr">
        <is>
          <t>Jet Spray</t>
        </is>
      </c>
      <c r="E2087" s="3" t="inlineStr">
        <is>
          <t>Kohler</t>
        </is>
      </c>
      <c r="F2087" s="3" t="inlineStr">
        <is>
          <t>Health Faucet</t>
        </is>
      </c>
      <c r="H2087" s="3" t="inlineStr">
        <is>
          <t>Material</t>
        </is>
      </c>
      <c r="I2087" s="3" t="inlineStr">
        <is>
          <t>Metal</t>
        </is>
      </c>
      <c r="J2087" s="3" t="inlineStr">
        <is>
          <t>Finish</t>
        </is>
      </c>
      <c r="K2087" s="3" t="inlineStr">
        <is>
          <t>Chrome</t>
        </is>
      </c>
      <c r="Q2087" s="3" t="inlineStr">
        <is>
          <t>Manufacturer's Warranty</t>
        </is>
      </c>
      <c r="R2087" s="3" t="inlineStr">
        <is>
          <t>‎98100IN-CP</t>
        </is>
      </c>
      <c r="Y2087" s="3" t="inlineStr">
        <is>
          <t>br_js_kl_3</t>
        </is>
      </c>
      <c r="AE2087" s="3" t="n">
        <v>2330</v>
      </c>
      <c r="AF2087" s="4" t="n"/>
      <c r="AG2087" s="3">
        <f>ROUND(AE2087-(AE2087*AF2087),2)</f>
        <v/>
      </c>
      <c r="AH2087" s="4" t="n"/>
      <c r="AI2087" s="3">
        <f>ROUND(AG2087+(AG2087*AH2087),2)</f>
        <v/>
      </c>
      <c r="AJ2087" s="4" t="n"/>
      <c r="AK2087" s="3">
        <f>ROUND(AI2087*AJ2087,2)</f>
        <v/>
      </c>
      <c r="AL2087" s="3">
        <f>AI2087+AK2087</f>
        <v/>
      </c>
      <c r="AM2087" s="3">
        <f>AE2087-AL2087</f>
        <v/>
      </c>
      <c r="AN2087" s="4">
        <f>AM2087/AE2087</f>
        <v/>
      </c>
      <c r="AO2087" s="3" t="inlineStr">
        <is>
          <t>60 mins</t>
        </is>
      </c>
      <c r="AT2087" s="3" t="inlineStr">
        <is>
          <t>60 mins</t>
        </is>
      </c>
    </row>
    <row r="2088" ht="15.75" customHeight="1">
      <c r="A2088" s="3" t="inlineStr">
        <is>
          <t>PROD_0410</t>
        </is>
      </c>
      <c r="B2088" s="3" t="inlineStr">
        <is>
          <t>VAR_4</t>
        </is>
      </c>
      <c r="C2088" s="3" t="inlineStr">
        <is>
          <t>Bathroom</t>
        </is>
      </c>
      <c r="D2088" s="3" t="inlineStr">
        <is>
          <t>Jet Spray</t>
        </is>
      </c>
      <c r="E2088" s="3" t="inlineStr">
        <is>
          <t>Kohler</t>
        </is>
      </c>
      <c r="F2088" s="3" t="inlineStr">
        <is>
          <t>Health Faucet</t>
        </is>
      </c>
      <c r="H2088" s="3" t="inlineStr">
        <is>
          <t>Material</t>
        </is>
      </c>
      <c r="I2088" s="3" t="inlineStr">
        <is>
          <t>ABS</t>
        </is>
      </c>
      <c r="J2088" s="3" t="inlineStr">
        <is>
          <t>Finish</t>
        </is>
      </c>
      <c r="K2088" s="3" t="inlineStr">
        <is>
          <t>Polished</t>
        </is>
      </c>
      <c r="Q2088" s="3" t="inlineStr">
        <is>
          <t>Manufacturer's Warranty</t>
        </is>
      </c>
      <c r="R2088" s="3" t="inlineStr">
        <is>
          <t>‎98100IN-0</t>
        </is>
      </c>
      <c r="Y2088" s="3" t="inlineStr">
        <is>
          <t>br_js_kl_4</t>
        </is>
      </c>
      <c r="AE2088" s="3" t="n">
        <v>1500</v>
      </c>
      <c r="AF2088" s="4" t="n"/>
      <c r="AG2088" s="3">
        <f>ROUND(AE2088-(AE2088*AF2088),2)</f>
        <v/>
      </c>
      <c r="AH2088" s="4" t="n"/>
      <c r="AI2088" s="3">
        <f>ROUND(AG2088+(AG2088*AH2088),2)</f>
        <v/>
      </c>
      <c r="AJ2088" s="4" t="n"/>
      <c r="AK2088" s="3">
        <f>ROUND(AI2088*AJ2088,2)</f>
        <v/>
      </c>
      <c r="AL2088" s="3">
        <f>AI2088+AK2088</f>
        <v/>
      </c>
      <c r="AM2088" s="3">
        <f>AE2088-AL2088</f>
        <v/>
      </c>
      <c r="AN2088" s="4">
        <f>AM2088/AE2088</f>
        <v/>
      </c>
      <c r="AO2088" s="3" t="inlineStr">
        <is>
          <t>60 mins</t>
        </is>
      </c>
      <c r="AT2088" s="3" t="inlineStr">
        <is>
          <t>60 mins</t>
        </is>
      </c>
    </row>
    <row r="2089" ht="15.75" customHeight="1">
      <c r="A2089" s="3" t="inlineStr">
        <is>
          <t>PROD_0410</t>
        </is>
      </c>
      <c r="B2089" s="3" t="inlineStr">
        <is>
          <t>VAR_5</t>
        </is>
      </c>
      <c r="C2089" s="3" t="inlineStr">
        <is>
          <t>Bathroom</t>
        </is>
      </c>
      <c r="D2089" s="3" t="inlineStr">
        <is>
          <t>Jet Spray</t>
        </is>
      </c>
      <c r="E2089" s="3" t="inlineStr">
        <is>
          <t>Kohler</t>
        </is>
      </c>
      <c r="F2089" s="3" t="inlineStr">
        <is>
          <t>Health Faucet</t>
        </is>
      </c>
      <c r="H2089" s="3" t="inlineStr">
        <is>
          <t>Material</t>
        </is>
      </c>
      <c r="I2089" s="3" t="inlineStr">
        <is>
          <t>Metal</t>
        </is>
      </c>
      <c r="J2089" s="3" t="inlineStr">
        <is>
          <t>Finish</t>
        </is>
      </c>
      <c r="K2089" s="3" t="inlineStr">
        <is>
          <t>Polished</t>
        </is>
      </c>
      <c r="Q2089" s="3" t="inlineStr">
        <is>
          <t>Manufacturer's Warranty</t>
        </is>
      </c>
      <c r="R2089" s="3" t="inlineStr">
        <is>
          <t>‎12925IN-CP</t>
        </is>
      </c>
      <c r="Y2089" s="3" t="inlineStr">
        <is>
          <t>br_js_kl_5</t>
        </is>
      </c>
      <c r="AE2089" s="3" t="n">
        <v>2100</v>
      </c>
      <c r="AF2089" s="4" t="n"/>
      <c r="AG2089" s="3">
        <f>ROUND(AE2089-(AE2089*AF2089),2)</f>
        <v/>
      </c>
      <c r="AH2089" s="4" t="n"/>
      <c r="AI2089" s="3">
        <f>ROUND(AG2089+(AG2089*AH2089),2)</f>
        <v/>
      </c>
      <c r="AJ2089" s="4" t="n"/>
      <c r="AK2089" s="3">
        <f>ROUND(AI2089*AJ2089,2)</f>
        <v/>
      </c>
      <c r="AL2089" s="3">
        <f>AI2089+AK2089</f>
        <v/>
      </c>
      <c r="AM2089" s="3">
        <f>AE2089-AL2089</f>
        <v/>
      </c>
      <c r="AN2089" s="4">
        <f>AM2089/AE2089</f>
        <v/>
      </c>
      <c r="AO2089" s="3" t="inlineStr">
        <is>
          <t>60 mins</t>
        </is>
      </c>
      <c r="AT2089" s="3" t="inlineStr">
        <is>
          <t>60 mins</t>
        </is>
      </c>
    </row>
    <row r="2090" ht="15.75" customHeight="1">
      <c r="A2090" s="3" t="inlineStr">
        <is>
          <t>PROD_0411</t>
        </is>
      </c>
      <c r="B2090" s="3" t="inlineStr">
        <is>
          <t>VAR_1</t>
        </is>
      </c>
      <c r="C2090" s="3" t="inlineStr">
        <is>
          <t>Bathroom</t>
        </is>
      </c>
      <c r="D2090" s="3" t="inlineStr">
        <is>
          <t>Jet Spray</t>
        </is>
      </c>
      <c r="E2090" s="3" t="inlineStr">
        <is>
          <t>Generic</t>
        </is>
      </c>
      <c r="F2090" s="3" t="inlineStr">
        <is>
          <t>Health Faucet</t>
        </is>
      </c>
      <c r="H2090" s="3" t="inlineStr">
        <is>
          <t>Material</t>
        </is>
      </c>
      <c r="I2090" s="3" t="inlineStr">
        <is>
          <t>Brass</t>
        </is>
      </c>
      <c r="J2090" s="3" t="inlineStr">
        <is>
          <t>Finish</t>
        </is>
      </c>
      <c r="K2090" s="3" t="inlineStr">
        <is>
          <t>Silver</t>
        </is>
      </c>
      <c r="Q2090" s="3" t="inlineStr">
        <is>
          <t>Manufacturer's Warranty</t>
        </is>
      </c>
      <c r="Y2090" s="3" t="inlineStr">
        <is>
          <t>BR_JS_GEN_1</t>
        </is>
      </c>
      <c r="AE2090" s="3" t="n">
        <v>1147</v>
      </c>
      <c r="AF2090" s="4" t="n"/>
      <c r="AG2090" s="3">
        <f>ROUND(AE2090-(AE2090*AF2090),2)</f>
        <v/>
      </c>
      <c r="AH2090" s="4" t="n"/>
      <c r="AI2090" s="3">
        <f>ROUND(AG2090+(AG2090*AH2090),2)</f>
        <v/>
      </c>
      <c r="AJ2090" s="4" t="n"/>
      <c r="AK2090" s="3">
        <f>ROUND(AI2090*AJ2090,2)</f>
        <v/>
      </c>
      <c r="AL2090" s="3">
        <f>AI2090+AK2090</f>
        <v/>
      </c>
      <c r="AM2090" s="3">
        <f>AE2090-AL2090</f>
        <v/>
      </c>
      <c r="AN2090" s="4">
        <f>AM2090/AE2090</f>
        <v/>
      </c>
      <c r="AO2090" s="3" t="inlineStr">
        <is>
          <t>60 mins</t>
        </is>
      </c>
      <c r="AT2090" s="3" t="inlineStr">
        <is>
          <t>60 mins</t>
        </is>
      </c>
    </row>
    <row r="2091" ht="15.75" customHeight="1">
      <c r="A2091" s="3" t="inlineStr">
        <is>
          <t>PROD_0411</t>
        </is>
      </c>
      <c r="B2091" s="3" t="inlineStr">
        <is>
          <t>VAR_2</t>
        </is>
      </c>
      <c r="C2091" s="3" t="inlineStr">
        <is>
          <t>Bathroom</t>
        </is>
      </c>
      <c r="D2091" s="3" t="inlineStr">
        <is>
          <t>Jet Spray</t>
        </is>
      </c>
      <c r="E2091" s="3" t="inlineStr">
        <is>
          <t>Generic</t>
        </is>
      </c>
      <c r="F2091" s="3" t="inlineStr">
        <is>
          <t>Health Faucet</t>
        </is>
      </c>
      <c r="H2091" s="3" t="inlineStr">
        <is>
          <t>Material</t>
        </is>
      </c>
      <c r="I2091" s="3" t="inlineStr">
        <is>
          <t>Stainless Steel</t>
        </is>
      </c>
      <c r="J2091" s="3" t="inlineStr">
        <is>
          <t>Finish</t>
        </is>
      </c>
      <c r="K2091" s="3" t="inlineStr">
        <is>
          <t>Silver</t>
        </is>
      </c>
      <c r="Q2091" s="3" t="inlineStr">
        <is>
          <t>Manufacturer's Warranty</t>
        </is>
      </c>
      <c r="Y2091" s="3" t="inlineStr">
        <is>
          <t>BR_JS_GEN_2</t>
        </is>
      </c>
      <c r="AE2091" s="3" t="n">
        <v>1000</v>
      </c>
      <c r="AF2091" s="4" t="n"/>
      <c r="AG2091" s="3">
        <f>ROUND(AE2091-(AE2091*AF2091),2)</f>
        <v/>
      </c>
      <c r="AH2091" s="4" t="n"/>
      <c r="AI2091" s="3">
        <f>ROUND(AG2091+(AG2091*AH2091),2)</f>
        <v/>
      </c>
      <c r="AJ2091" s="4" t="n"/>
      <c r="AK2091" s="3">
        <f>ROUND(AI2091*AJ2091,2)</f>
        <v/>
      </c>
      <c r="AL2091" s="3">
        <f>AI2091+AK2091</f>
        <v/>
      </c>
      <c r="AM2091" s="3">
        <f>AE2091-AL2091</f>
        <v/>
      </c>
      <c r="AN2091" s="4">
        <f>AM2091/AE2091</f>
        <v/>
      </c>
      <c r="AO2091" s="3" t="inlineStr">
        <is>
          <t>60 mins</t>
        </is>
      </c>
      <c r="AT2091" s="3" t="inlineStr">
        <is>
          <t>60 mins</t>
        </is>
      </c>
    </row>
    <row r="2092" ht="15.75" customHeight="1">
      <c r="A2092" s="3" t="inlineStr">
        <is>
          <t>PROD_0411</t>
        </is>
      </c>
      <c r="B2092" s="3" t="inlineStr">
        <is>
          <t>VAR_3</t>
        </is>
      </c>
      <c r="C2092" s="3" t="inlineStr">
        <is>
          <t>Bathroom</t>
        </is>
      </c>
      <c r="D2092" s="3" t="inlineStr">
        <is>
          <t>Jet Spray</t>
        </is>
      </c>
      <c r="E2092" s="3" t="inlineStr">
        <is>
          <t>Generic</t>
        </is>
      </c>
      <c r="F2092" s="3" t="inlineStr">
        <is>
          <t>Health Faucet</t>
        </is>
      </c>
      <c r="H2092" s="3" t="inlineStr">
        <is>
          <t>Material</t>
        </is>
      </c>
      <c r="I2092" s="3" t="inlineStr">
        <is>
          <t>Stainless Steel</t>
        </is>
      </c>
      <c r="J2092" s="3" t="inlineStr">
        <is>
          <t>Finish</t>
        </is>
      </c>
      <c r="K2092" s="3" t="inlineStr">
        <is>
          <t>Silver</t>
        </is>
      </c>
      <c r="Q2092" s="3" t="inlineStr">
        <is>
          <t>Manufacturer's Warranty</t>
        </is>
      </c>
      <c r="Y2092" s="3" t="inlineStr">
        <is>
          <t>BR_JS_GEN_3</t>
        </is>
      </c>
      <c r="AE2092" s="3" t="n">
        <v>990</v>
      </c>
      <c r="AF2092" s="4" t="n"/>
      <c r="AG2092" s="3">
        <f>ROUND(AE2092-(AE2092*AF2092),2)</f>
        <v/>
      </c>
      <c r="AH2092" s="4" t="n"/>
      <c r="AI2092" s="3">
        <f>ROUND(AG2092+(AG2092*AH2092),2)</f>
        <v/>
      </c>
      <c r="AJ2092" s="4" t="n"/>
      <c r="AK2092" s="3">
        <f>ROUND(AI2092*AJ2092,2)</f>
        <v/>
      </c>
      <c r="AL2092" s="3">
        <f>AI2092+AK2092</f>
        <v/>
      </c>
      <c r="AM2092" s="3">
        <f>AE2092-AL2092</f>
        <v/>
      </c>
      <c r="AN2092" s="4">
        <f>AM2092/AE2092</f>
        <v/>
      </c>
      <c r="AO2092" s="3" t="inlineStr">
        <is>
          <t>60 mins</t>
        </is>
      </c>
      <c r="AT2092" s="3" t="inlineStr">
        <is>
          <t>60 mins</t>
        </is>
      </c>
    </row>
    <row r="2093" ht="15.75" customHeight="1">
      <c r="A2093" s="3" t="inlineStr">
        <is>
          <t>PROD_0412</t>
        </is>
      </c>
      <c r="B2093" s="3" t="inlineStr">
        <is>
          <t>VAR_1</t>
        </is>
      </c>
      <c r="C2093" s="3" t="inlineStr">
        <is>
          <t>Bathroom</t>
        </is>
      </c>
      <c r="D2093" s="3" t="inlineStr">
        <is>
          <t>Door Hook/ Cloth Hook</t>
        </is>
      </c>
      <c r="E2093" s="3" t="inlineStr">
        <is>
          <t>Generic</t>
        </is>
      </c>
      <c r="F2093" s="3" t="inlineStr">
        <is>
          <t>Cloth Hook</t>
        </is>
      </c>
      <c r="H2093" s="3" t="inlineStr">
        <is>
          <t>Material</t>
        </is>
      </c>
      <c r="I2093" s="3" t="inlineStr">
        <is>
          <t>Stainless Steel</t>
        </is>
      </c>
      <c r="J2093" s="3" t="inlineStr">
        <is>
          <t>Finish</t>
        </is>
      </c>
      <c r="K2093" s="3" t="inlineStr">
        <is>
          <t>Polished</t>
        </is>
      </c>
      <c r="Q2093" s="3" t="inlineStr">
        <is>
          <t>Manufacturer's Warranty</t>
        </is>
      </c>
      <c r="Y2093" s="3" t="inlineStr">
        <is>
          <t>BR_DH_GEN_1</t>
        </is>
      </c>
      <c r="AE2093" s="3" t="n">
        <v>900</v>
      </c>
      <c r="AF2093" s="4" t="n"/>
      <c r="AG2093" s="3">
        <f>ROUND(AE2093-(AE2093*AF2093),2)</f>
        <v/>
      </c>
      <c r="AH2093" s="4" t="n"/>
      <c r="AI2093" s="3">
        <f>ROUND(AG2093+(AG2093*AH2093),2)</f>
        <v/>
      </c>
      <c r="AJ2093" s="4" t="n"/>
      <c r="AK2093" s="3">
        <f>ROUND(AI2093*AJ2093,2)</f>
        <v/>
      </c>
      <c r="AL2093" s="3">
        <f>AI2093+AK2093</f>
        <v/>
      </c>
      <c r="AM2093" s="3">
        <f>AE2093-AL2093</f>
        <v/>
      </c>
      <c r="AN2093" s="4">
        <f>AM2093/AE2093</f>
        <v/>
      </c>
      <c r="AO2093" s="3" t="inlineStr">
        <is>
          <t>60 mins</t>
        </is>
      </c>
      <c r="AT2093" s="3" t="inlineStr">
        <is>
          <t>60 mins</t>
        </is>
      </c>
    </row>
    <row r="2094" ht="15.75" customHeight="1">
      <c r="A2094" s="3" t="inlineStr">
        <is>
          <t>PROD_0412</t>
        </is>
      </c>
      <c r="B2094" s="3" t="inlineStr">
        <is>
          <t>VAR_2</t>
        </is>
      </c>
      <c r="C2094" s="3" t="inlineStr">
        <is>
          <t>Bathroom</t>
        </is>
      </c>
      <c r="D2094" s="3" t="inlineStr">
        <is>
          <t>Door Hook/ Cloth Hook</t>
        </is>
      </c>
      <c r="E2094" s="3" t="inlineStr">
        <is>
          <t>Generic</t>
        </is>
      </c>
      <c r="F2094" s="3" t="inlineStr">
        <is>
          <t>Cloth Hook</t>
        </is>
      </c>
      <c r="H2094" s="3" t="inlineStr">
        <is>
          <t>Material</t>
        </is>
      </c>
      <c r="I2094" s="3" t="inlineStr">
        <is>
          <t>Stainless Steel</t>
        </is>
      </c>
      <c r="J2094" s="3" t="inlineStr">
        <is>
          <t>Finish</t>
        </is>
      </c>
      <c r="K2094" s="3" t="inlineStr">
        <is>
          <t>Polished</t>
        </is>
      </c>
      <c r="Q2094" s="3" t="inlineStr">
        <is>
          <t>Manufacturer's Warranty</t>
        </is>
      </c>
      <c r="Y2094" s="3" t="inlineStr">
        <is>
          <t>BR_DH_GEN_2</t>
        </is>
      </c>
      <c r="AE2094" s="3" t="n">
        <v>350</v>
      </c>
      <c r="AF2094" s="4" t="n"/>
      <c r="AG2094" s="3">
        <f>ROUND(AE2094-(AE2094*AF2094),2)</f>
        <v/>
      </c>
      <c r="AH2094" s="4" t="n"/>
      <c r="AI2094" s="3">
        <f>ROUND(AG2094+(AG2094*AH2094),2)</f>
        <v/>
      </c>
      <c r="AJ2094" s="4" t="n"/>
      <c r="AK2094" s="3">
        <f>ROUND(AI2094*AJ2094,2)</f>
        <v/>
      </c>
      <c r="AL2094" s="3">
        <f>AI2094+AK2094</f>
        <v/>
      </c>
      <c r="AM2094" s="3">
        <f>AE2094-AL2094</f>
        <v/>
      </c>
      <c r="AN2094" s="4">
        <f>AM2094/AE2094</f>
        <v/>
      </c>
      <c r="AO2094" s="3" t="inlineStr">
        <is>
          <t>60 mins</t>
        </is>
      </c>
      <c r="AT2094" s="3" t="inlineStr">
        <is>
          <t>60 mins</t>
        </is>
      </c>
    </row>
    <row r="2095" ht="15.75" customHeight="1">
      <c r="A2095" s="3" t="inlineStr">
        <is>
          <t>PROD_0413</t>
        </is>
      </c>
      <c r="B2095" s="3" t="inlineStr">
        <is>
          <t>VAR_1</t>
        </is>
      </c>
      <c r="C2095" s="3" t="inlineStr">
        <is>
          <t>Bathroom</t>
        </is>
      </c>
      <c r="D2095" s="3" t="inlineStr">
        <is>
          <t>Door Hook/ Cloth Hook</t>
        </is>
      </c>
      <c r="E2095" s="3" t="inlineStr">
        <is>
          <t>Generic</t>
        </is>
      </c>
      <c r="F2095" s="3" t="inlineStr">
        <is>
          <t>Double Hook</t>
        </is>
      </c>
      <c r="H2095" s="3" t="inlineStr">
        <is>
          <t>Material</t>
        </is>
      </c>
      <c r="I2095" s="3" t="inlineStr">
        <is>
          <t>Stainless Steel</t>
        </is>
      </c>
      <c r="J2095" s="3" t="inlineStr">
        <is>
          <t>Finish</t>
        </is>
      </c>
      <c r="K2095" s="3" t="inlineStr">
        <is>
          <t>Polished</t>
        </is>
      </c>
      <c r="Q2095" s="3" t="inlineStr">
        <is>
          <t>Manufacturer's Warranty</t>
        </is>
      </c>
      <c r="Y2095" s="3" t="inlineStr">
        <is>
          <t>BR_DH_GEN_3</t>
        </is>
      </c>
      <c r="AE2095" s="3" t="n">
        <v>335</v>
      </c>
      <c r="AF2095" s="4" t="n"/>
      <c r="AG2095" s="3">
        <f>ROUND(AE2095-(AE2095*AF2095),2)</f>
        <v/>
      </c>
      <c r="AH2095" s="4" t="n"/>
      <c r="AI2095" s="3">
        <f>ROUND(AG2095+(AG2095*AH2095),2)</f>
        <v/>
      </c>
      <c r="AJ2095" s="4" t="n"/>
      <c r="AK2095" s="3">
        <f>ROUND(AI2095*AJ2095,2)</f>
        <v/>
      </c>
      <c r="AL2095" s="3">
        <f>AI2095+AK2095</f>
        <v/>
      </c>
      <c r="AM2095" s="3">
        <f>AE2095-AL2095</f>
        <v/>
      </c>
      <c r="AN2095" s="4">
        <f>AM2095/AE2095</f>
        <v/>
      </c>
      <c r="AO2095" s="3" t="inlineStr">
        <is>
          <t>60 mins</t>
        </is>
      </c>
      <c r="AT2095" s="3" t="inlineStr">
        <is>
          <t>60 mins</t>
        </is>
      </c>
    </row>
    <row r="2096" ht="15.75" customHeight="1">
      <c r="A2096" s="3" t="inlineStr">
        <is>
          <t>PROD_0413</t>
        </is>
      </c>
      <c r="B2096" s="3" t="inlineStr">
        <is>
          <t>VAR_2</t>
        </is>
      </c>
      <c r="C2096" s="3" t="inlineStr">
        <is>
          <t>Bathroom</t>
        </is>
      </c>
      <c r="D2096" s="3" t="inlineStr">
        <is>
          <t>Door Hook/ Cloth Hook</t>
        </is>
      </c>
      <c r="E2096" s="3" t="inlineStr">
        <is>
          <t>Generic</t>
        </is>
      </c>
      <c r="F2096" s="3" t="inlineStr">
        <is>
          <t>Double Hook</t>
        </is>
      </c>
      <c r="H2096" s="3" t="inlineStr">
        <is>
          <t>Material</t>
        </is>
      </c>
      <c r="I2096" s="3" t="inlineStr">
        <is>
          <t>Stainless Steel</t>
        </is>
      </c>
      <c r="J2096" s="3" t="inlineStr">
        <is>
          <t>Finish</t>
        </is>
      </c>
      <c r="K2096" s="3" t="inlineStr">
        <is>
          <t>Chrome</t>
        </is>
      </c>
      <c r="Q2096" s="3" t="inlineStr">
        <is>
          <t>Manufacturer's Warranty</t>
        </is>
      </c>
      <c r="Y2096" s="3" t="inlineStr">
        <is>
          <t>BR_DH_GEN_4</t>
        </is>
      </c>
      <c r="AE2096" s="3" t="n">
        <v>700</v>
      </c>
      <c r="AF2096" s="4" t="n"/>
      <c r="AG2096" s="3">
        <f>ROUND(AE2096-(AE2096*AF2096),2)</f>
        <v/>
      </c>
      <c r="AH2096" s="4" t="n"/>
      <c r="AI2096" s="3">
        <f>ROUND(AG2096+(AG2096*AH2096),2)</f>
        <v/>
      </c>
      <c r="AJ2096" s="4" t="n"/>
      <c r="AK2096" s="3">
        <f>ROUND(AI2096*AJ2096,2)</f>
        <v/>
      </c>
      <c r="AL2096" s="3">
        <f>AI2096+AK2096</f>
        <v/>
      </c>
      <c r="AM2096" s="3">
        <f>AE2096-AL2096</f>
        <v/>
      </c>
      <c r="AN2096" s="4">
        <f>AM2096/AE2096</f>
        <v/>
      </c>
      <c r="AO2096" s="3" t="inlineStr">
        <is>
          <t>60 mins</t>
        </is>
      </c>
      <c r="AT2096" s="3" t="inlineStr">
        <is>
          <t>60 mins</t>
        </is>
      </c>
    </row>
    <row r="2097" ht="15.75" customHeight="1">
      <c r="A2097" s="3" t="inlineStr">
        <is>
          <t>PROD_0414</t>
        </is>
      </c>
      <c r="B2097" s="3" t="inlineStr">
        <is>
          <t>VAR_1</t>
        </is>
      </c>
      <c r="C2097" s="3" t="inlineStr">
        <is>
          <t>Tools</t>
        </is>
      </c>
      <c r="D2097" s="3" t="inlineStr">
        <is>
          <t>Inch Tape</t>
        </is>
      </c>
      <c r="E2097" s="3" t="inlineStr">
        <is>
          <t>Generic</t>
        </is>
      </c>
      <c r="F2097" s="3" t="inlineStr">
        <is>
          <t>Inch Tape</t>
        </is>
      </c>
      <c r="H2097" s="3" t="inlineStr">
        <is>
          <t>Size</t>
        </is>
      </c>
      <c r="I2097" s="3" t="inlineStr">
        <is>
          <t>3 Mtr</t>
        </is>
      </c>
      <c r="Q2097" s="3" t="inlineStr">
        <is>
          <t>Manufacturer's Warranty</t>
        </is>
      </c>
      <c r="Y2097" s="3" t="inlineStr">
        <is>
          <t>TOOLS_INCH TAPE</t>
        </is>
      </c>
      <c r="AF2097" s="4" t="n"/>
      <c r="AG2097" s="3">
        <f>ROUND(AE2097-(AE2097*AF2097),2)</f>
        <v/>
      </c>
      <c r="AH2097" s="4" t="n"/>
      <c r="AI2097" s="3">
        <f>ROUND(AG2097+(AG2097*AH2097),2)</f>
        <v/>
      </c>
      <c r="AJ2097" s="4" t="n"/>
      <c r="AK2097" s="3">
        <f>ROUND(AI2097*AJ2097,2)</f>
        <v/>
      </c>
      <c r="AL2097" s="3">
        <f>AI2097+AK2097</f>
        <v/>
      </c>
      <c r="AM2097" s="3">
        <f>AE2097-AL2097</f>
        <v/>
      </c>
      <c r="AN2097" s="4">
        <f>AM2097/AE2097</f>
        <v/>
      </c>
      <c r="AO2097" s="3" t="inlineStr">
        <is>
          <t>1 hrs</t>
        </is>
      </c>
    </row>
    <row r="2098" ht="15.75" customHeight="1">
      <c r="A2098" s="3" t="inlineStr">
        <is>
          <t>PROD_0414</t>
        </is>
      </c>
      <c r="B2098" s="3" t="inlineStr">
        <is>
          <t>VAR_2</t>
        </is>
      </c>
      <c r="C2098" s="3" t="inlineStr">
        <is>
          <t>Tools</t>
        </is>
      </c>
      <c r="D2098" s="3" t="inlineStr">
        <is>
          <t>Inch Tape</t>
        </is>
      </c>
      <c r="E2098" s="3" t="inlineStr">
        <is>
          <t>Generic</t>
        </is>
      </c>
      <c r="F2098" s="3" t="inlineStr">
        <is>
          <t>Inch Tape</t>
        </is>
      </c>
      <c r="H2098" s="3" t="inlineStr">
        <is>
          <t>Size</t>
        </is>
      </c>
      <c r="I2098" s="3" t="inlineStr">
        <is>
          <t>5 Mtr</t>
        </is>
      </c>
      <c r="Q2098" s="3" t="inlineStr">
        <is>
          <t>Manufacturer's Warranty</t>
        </is>
      </c>
      <c r="Y2098" s="3" t="inlineStr">
        <is>
          <t>TOOLS_INCH TAPE</t>
        </is>
      </c>
      <c r="AF2098" s="4" t="n"/>
      <c r="AG2098" s="3">
        <f>ROUND(AE2098-(AE2098*AF2098),2)</f>
        <v/>
      </c>
      <c r="AH2098" s="4" t="n"/>
      <c r="AI2098" s="3">
        <f>ROUND(AG2098+(AG2098*AH2098),2)</f>
        <v/>
      </c>
      <c r="AJ2098" s="4" t="n"/>
      <c r="AK2098" s="3">
        <f>ROUND(AI2098*AJ2098,2)</f>
        <v/>
      </c>
      <c r="AL2098" s="3">
        <f>AI2098+AK2098</f>
        <v/>
      </c>
      <c r="AM2098" s="3">
        <f>AE2098-AL2098</f>
        <v/>
      </c>
      <c r="AN2098" s="4">
        <f>AM2098/AE2098</f>
        <v/>
      </c>
      <c r="AO2098" s="3" t="inlineStr">
        <is>
          <t>1 hrs</t>
        </is>
      </c>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C2098"/>
  <sheetViews>
    <sheetView workbookViewId="0">
      <selection activeCell="A1" sqref="A1"/>
    </sheetView>
  </sheetViews>
  <sheetFormatPr baseColWidth="8" defaultColWidth="14.44140625" defaultRowHeight="15" customHeight="1"/>
  <cols>
    <col width="22" customWidth="1" min="1" max="1"/>
    <col width="9.109375" customWidth="1" min="2" max="5"/>
    <col width="12.88671875" customWidth="1" min="6" max="6"/>
    <col width="9.109375" customWidth="1" min="7" max="26"/>
  </cols>
  <sheetData>
    <row r="1" ht="14.4" customHeight="1">
      <c r="A1" s="1" t="inlineStr">
        <is>
          <t>Product ID</t>
        </is>
      </c>
      <c r="B1" s="18" t="inlineStr">
        <is>
          <t>MRP</t>
        </is>
      </c>
      <c r="C1" s="18" t="inlineStr">
        <is>
          <t>Sale Price</t>
        </is>
      </c>
    </row>
    <row r="2" ht="14.4" customHeight="1">
      <c r="A2" s="3" t="inlineStr">
        <is>
          <t>PROD_0001</t>
        </is>
      </c>
    </row>
    <row r="3" ht="14.4" customHeight="1">
      <c r="A3" s="3" t="inlineStr">
        <is>
          <t>PROD_0002</t>
        </is>
      </c>
    </row>
    <row r="4" ht="14.4" customHeight="1">
      <c r="A4" s="3" t="inlineStr">
        <is>
          <t>PROD_0003</t>
        </is>
      </c>
    </row>
    <row r="5" ht="14.4" customHeight="1">
      <c r="A5" s="3" t="inlineStr">
        <is>
          <t>PROD_0004</t>
        </is>
      </c>
    </row>
    <row r="6" ht="14.4" customHeight="1">
      <c r="A6" s="3" t="inlineStr">
        <is>
          <t>PROD_0005</t>
        </is>
      </c>
    </row>
    <row r="7" ht="14.4" customHeight="1">
      <c r="A7" s="3" t="inlineStr">
        <is>
          <t>PROD_0006</t>
        </is>
      </c>
    </row>
    <row r="8" ht="14.4" customHeight="1">
      <c r="A8" s="3" t="inlineStr">
        <is>
          <t>PROD_0007</t>
        </is>
      </c>
    </row>
    <row r="9" ht="14.4" customHeight="1">
      <c r="A9" s="3" t="inlineStr">
        <is>
          <t>PROD_0008</t>
        </is>
      </c>
    </row>
    <row r="10" ht="14.4" customHeight="1">
      <c r="A10" s="3" t="inlineStr">
        <is>
          <t>PROD_0009</t>
        </is>
      </c>
    </row>
    <row r="11" ht="14.4" customHeight="1">
      <c r="A11" s="3" t="inlineStr">
        <is>
          <t>PROD_0010</t>
        </is>
      </c>
    </row>
    <row r="12" ht="14.4" customHeight="1">
      <c r="A12" s="3" t="inlineStr">
        <is>
          <t>PROD_0011</t>
        </is>
      </c>
    </row>
    <row r="13" ht="14.4" customHeight="1">
      <c r="A13" s="3" t="inlineStr">
        <is>
          <t>PROD_0012</t>
        </is>
      </c>
    </row>
    <row r="14" ht="14.4" customHeight="1">
      <c r="A14" s="3" t="inlineStr">
        <is>
          <t>PROD_0013</t>
        </is>
      </c>
    </row>
    <row r="15" ht="14.4" customHeight="1">
      <c r="A15" s="3" t="inlineStr">
        <is>
          <t>PROD_0014</t>
        </is>
      </c>
    </row>
    <row r="16" ht="14.4" customHeight="1">
      <c r="A16" s="3" t="inlineStr">
        <is>
          <t>PROD_0015</t>
        </is>
      </c>
    </row>
    <row r="17" ht="14.4" customHeight="1">
      <c r="A17" s="3" t="inlineStr">
        <is>
          <t>PROD_0016</t>
        </is>
      </c>
    </row>
    <row r="18" ht="14.4" customHeight="1">
      <c r="A18" s="3" t="inlineStr">
        <is>
          <t>PROD_0017</t>
        </is>
      </c>
    </row>
    <row r="19" ht="14.4" customHeight="1">
      <c r="A19" s="3" t="inlineStr">
        <is>
          <t>PROD_0018</t>
        </is>
      </c>
    </row>
    <row r="20" ht="14.4" customHeight="1">
      <c r="A20" s="3" t="inlineStr">
        <is>
          <t>PROD_0019</t>
        </is>
      </c>
    </row>
    <row r="21" ht="15.75" customHeight="1">
      <c r="A21" s="3" t="inlineStr">
        <is>
          <t>PROD_0020</t>
        </is>
      </c>
    </row>
    <row r="22" ht="15.75" customHeight="1">
      <c r="A22" s="3" t="inlineStr">
        <is>
          <t>PROD_0021</t>
        </is>
      </c>
    </row>
    <row r="23" ht="15.75" customHeight="1">
      <c r="A23" s="3" t="inlineStr">
        <is>
          <t>PROD_0022</t>
        </is>
      </c>
    </row>
    <row r="24" ht="15.75" customHeight="1">
      <c r="A24" s="3" t="inlineStr">
        <is>
          <t>PROD_0023</t>
        </is>
      </c>
    </row>
    <row r="25" ht="15.75" customHeight="1">
      <c r="A25" s="3" t="inlineStr">
        <is>
          <t>PROD_0024</t>
        </is>
      </c>
    </row>
    <row r="26" ht="15.75" customHeight="1">
      <c r="A26" s="3" t="inlineStr">
        <is>
          <t>PROD_0025</t>
        </is>
      </c>
    </row>
    <row r="27" ht="15.75" customHeight="1">
      <c r="A27" s="3" t="inlineStr">
        <is>
          <t>PROD_0026</t>
        </is>
      </c>
    </row>
    <row r="28" ht="15.75" customHeight="1">
      <c r="A28" s="3" t="inlineStr">
        <is>
          <t>PROD_0027</t>
        </is>
      </c>
    </row>
    <row r="29" ht="15.75" customHeight="1">
      <c r="A29" s="3" t="inlineStr">
        <is>
          <t>PROD_0028</t>
        </is>
      </c>
    </row>
    <row r="30" ht="15.75" customHeight="1">
      <c r="A30" s="3" t="inlineStr">
        <is>
          <t>PROD_0029</t>
        </is>
      </c>
    </row>
    <row r="31" ht="15.75" customHeight="1">
      <c r="A31" s="3" t="inlineStr">
        <is>
          <t>PROD_0030</t>
        </is>
      </c>
    </row>
    <row r="32" ht="15.75" customHeight="1">
      <c r="A32" s="3" t="inlineStr">
        <is>
          <t>PROD_0031</t>
        </is>
      </c>
    </row>
    <row r="33" ht="15.75" customHeight="1">
      <c r="A33" s="3" t="inlineStr">
        <is>
          <t>PROD_0032</t>
        </is>
      </c>
    </row>
    <row r="34" ht="15.75" customHeight="1">
      <c r="A34" s="3" t="inlineStr">
        <is>
          <t>PROD_0033</t>
        </is>
      </c>
    </row>
    <row r="35" ht="15.75" customHeight="1">
      <c r="A35" s="3" t="inlineStr">
        <is>
          <t>PROD_0034</t>
        </is>
      </c>
    </row>
    <row r="36" ht="15.75" customHeight="1">
      <c r="A36" s="3" t="inlineStr">
        <is>
          <t>PROD_0035</t>
        </is>
      </c>
    </row>
    <row r="37" ht="15.75" customHeight="1">
      <c r="A37" s="3" t="inlineStr">
        <is>
          <t>PROD_0036</t>
        </is>
      </c>
    </row>
    <row r="38" ht="15.75" customHeight="1">
      <c r="A38" s="3" t="inlineStr">
        <is>
          <t>PROD_0037</t>
        </is>
      </c>
    </row>
    <row r="39" ht="15.75" customHeight="1">
      <c r="A39" s="3" t="inlineStr">
        <is>
          <t>PROD_0038</t>
        </is>
      </c>
    </row>
    <row r="40" ht="15.75" customHeight="1">
      <c r="A40" s="3" t="inlineStr">
        <is>
          <t>PROD_0039</t>
        </is>
      </c>
    </row>
    <row r="41" ht="15.75" customHeight="1">
      <c r="A41" s="3" t="inlineStr">
        <is>
          <t>PROD_0040</t>
        </is>
      </c>
    </row>
    <row r="42" ht="15.75" customHeight="1">
      <c r="A42" s="3" t="inlineStr">
        <is>
          <t>PROD_0041</t>
        </is>
      </c>
    </row>
    <row r="43" ht="15.75" customHeight="1">
      <c r="A43" s="3" t="inlineStr">
        <is>
          <t>PROD_0042</t>
        </is>
      </c>
    </row>
    <row r="44" ht="15.75" customHeight="1">
      <c r="A44" s="3" t="inlineStr">
        <is>
          <t>PROD_0043</t>
        </is>
      </c>
    </row>
    <row r="45" ht="15.75" customHeight="1">
      <c r="A45" s="3" t="inlineStr">
        <is>
          <t>PROD_0044</t>
        </is>
      </c>
    </row>
    <row r="46" ht="15.75" customHeight="1">
      <c r="A46" s="3" t="inlineStr">
        <is>
          <t>PROD_0045</t>
        </is>
      </c>
    </row>
    <row r="47" ht="15.75" customHeight="1">
      <c r="A47" s="3" t="inlineStr">
        <is>
          <t>PROD_0046</t>
        </is>
      </c>
    </row>
    <row r="48" ht="15.75" customHeight="1">
      <c r="A48" s="3" t="inlineStr">
        <is>
          <t>PROD_0047</t>
        </is>
      </c>
    </row>
    <row r="49" ht="15.75" customHeight="1">
      <c r="A49" s="3" t="inlineStr">
        <is>
          <t>PROD_0048</t>
        </is>
      </c>
    </row>
    <row r="50" ht="15.75" customHeight="1">
      <c r="A50" s="3" t="inlineStr">
        <is>
          <t>PROD_0049</t>
        </is>
      </c>
    </row>
    <row r="51" ht="15.75" customHeight="1">
      <c r="A51" s="3" t="inlineStr">
        <is>
          <t>PROD_0050</t>
        </is>
      </c>
    </row>
    <row r="52" ht="15.75" customHeight="1">
      <c r="A52" s="3" t="inlineStr">
        <is>
          <t>PROD_0051</t>
        </is>
      </c>
    </row>
    <row r="53" ht="15.75" customHeight="1">
      <c r="A53" s="3" t="inlineStr">
        <is>
          <t>PROD_0052</t>
        </is>
      </c>
    </row>
    <row r="54" ht="15.75" customHeight="1">
      <c r="A54" s="3" t="inlineStr">
        <is>
          <t>PROD_0053</t>
        </is>
      </c>
    </row>
    <row r="55" ht="15.75" customHeight="1">
      <c r="A55" s="3" t="inlineStr">
        <is>
          <t>PROD_0054</t>
        </is>
      </c>
    </row>
    <row r="56" ht="15.75" customHeight="1">
      <c r="A56" s="3" t="inlineStr">
        <is>
          <t>PROD_0055</t>
        </is>
      </c>
    </row>
    <row r="57" ht="15.75" customHeight="1">
      <c r="A57" s="3" t="inlineStr">
        <is>
          <t>PROD_0056</t>
        </is>
      </c>
    </row>
    <row r="58" ht="15.75" customHeight="1">
      <c r="A58" s="3" t="inlineStr">
        <is>
          <t>PROD_0057</t>
        </is>
      </c>
    </row>
    <row r="59" ht="15.75" customHeight="1">
      <c r="A59" s="3" t="inlineStr">
        <is>
          <t>PROD_0058</t>
        </is>
      </c>
    </row>
    <row r="60" ht="15.75" customHeight="1">
      <c r="A60" s="3" t="inlineStr">
        <is>
          <t>PROD_0059</t>
        </is>
      </c>
    </row>
    <row r="61" ht="15.75" customHeight="1">
      <c r="A61" s="3" t="inlineStr">
        <is>
          <t>PROD_0060</t>
        </is>
      </c>
    </row>
    <row r="62" ht="15.75" customHeight="1">
      <c r="A62" s="3" t="inlineStr">
        <is>
          <t>PROD_0061</t>
        </is>
      </c>
    </row>
    <row r="63" ht="15.75" customHeight="1">
      <c r="A63" s="3" t="inlineStr">
        <is>
          <t>PROD_0062</t>
        </is>
      </c>
    </row>
    <row r="64" ht="15.75" customHeight="1">
      <c r="A64" s="3" t="inlineStr">
        <is>
          <t>PROD_0063</t>
        </is>
      </c>
    </row>
    <row r="65" ht="15.75" customHeight="1">
      <c r="A65" s="3" t="inlineStr">
        <is>
          <t>PROD_0064</t>
        </is>
      </c>
    </row>
    <row r="66" ht="15.75" customHeight="1">
      <c r="A66" s="3" t="inlineStr">
        <is>
          <t>PROD_0065</t>
        </is>
      </c>
    </row>
    <row r="67" ht="15.75" customHeight="1">
      <c r="A67" s="3" t="inlineStr">
        <is>
          <t>PROD_0066</t>
        </is>
      </c>
    </row>
    <row r="68" ht="15.75" customHeight="1">
      <c r="A68" s="3" t="inlineStr">
        <is>
          <t>PROD_0067</t>
        </is>
      </c>
    </row>
    <row r="69" ht="15.75" customHeight="1">
      <c r="A69" s="3" t="inlineStr">
        <is>
          <t>PROD_0068</t>
        </is>
      </c>
    </row>
    <row r="70" ht="15.75" customHeight="1">
      <c r="A70" s="3" t="inlineStr">
        <is>
          <t>PROD_0069</t>
        </is>
      </c>
    </row>
    <row r="71" ht="15.75" customHeight="1">
      <c r="A71" s="3" t="inlineStr">
        <is>
          <t>PROD_0070</t>
        </is>
      </c>
    </row>
    <row r="72" ht="15.75" customHeight="1">
      <c r="A72" s="3" t="inlineStr">
        <is>
          <t>PROD_0071</t>
        </is>
      </c>
    </row>
    <row r="73" ht="15.75" customHeight="1">
      <c r="A73" s="3" t="inlineStr">
        <is>
          <t>PROD_0072</t>
        </is>
      </c>
    </row>
    <row r="74" ht="15.75" customHeight="1">
      <c r="A74" s="3" t="inlineStr">
        <is>
          <t>PROD_0073</t>
        </is>
      </c>
    </row>
    <row r="75" ht="15.75" customHeight="1">
      <c r="A75" s="3" t="inlineStr">
        <is>
          <t>PROD_0074</t>
        </is>
      </c>
    </row>
    <row r="76" ht="15.75" customHeight="1">
      <c r="A76" s="3" t="inlineStr">
        <is>
          <t>PROD_0075</t>
        </is>
      </c>
    </row>
    <row r="77" ht="15.75" customHeight="1">
      <c r="A77" s="3" t="inlineStr">
        <is>
          <t>PROD_0076</t>
        </is>
      </c>
    </row>
    <row r="78" ht="15.75" customHeight="1">
      <c r="A78" s="3" t="inlineStr">
        <is>
          <t>PROD_0077</t>
        </is>
      </c>
    </row>
    <row r="79" ht="15.75" customHeight="1">
      <c r="A79" s="3" t="inlineStr">
        <is>
          <t>PROD_0078</t>
        </is>
      </c>
    </row>
    <row r="80" ht="15.75" customHeight="1">
      <c r="A80" s="3" t="inlineStr">
        <is>
          <t>PROD_0079</t>
        </is>
      </c>
    </row>
    <row r="81" ht="15.75" customHeight="1">
      <c r="A81" s="3" t="inlineStr">
        <is>
          <t>PROD_0080</t>
        </is>
      </c>
    </row>
    <row r="82" ht="15.75" customHeight="1">
      <c r="A82" s="3" t="inlineStr">
        <is>
          <t>PROD_0081</t>
        </is>
      </c>
    </row>
    <row r="83" ht="15.75" customHeight="1">
      <c r="A83" s="3" t="inlineStr">
        <is>
          <t>PROD_0082</t>
        </is>
      </c>
    </row>
    <row r="84" ht="15.75" customHeight="1">
      <c r="A84" s="3" t="inlineStr">
        <is>
          <t>PROD_0083</t>
        </is>
      </c>
    </row>
    <row r="85" ht="15.75" customHeight="1">
      <c r="A85" s="3" t="inlineStr">
        <is>
          <t>PROD_0084</t>
        </is>
      </c>
    </row>
    <row r="86" ht="15.75" customHeight="1">
      <c r="A86" s="3" t="inlineStr">
        <is>
          <t>PROD_0085</t>
        </is>
      </c>
    </row>
    <row r="87" ht="15.75" customHeight="1">
      <c r="A87" s="3" t="inlineStr">
        <is>
          <t>PROD_0086</t>
        </is>
      </c>
    </row>
    <row r="88" ht="15.75" customHeight="1">
      <c r="A88" s="3" t="inlineStr">
        <is>
          <t>PROD_0087</t>
        </is>
      </c>
    </row>
    <row r="89" ht="15.75" customHeight="1">
      <c r="A89" s="3" t="inlineStr">
        <is>
          <t>PROD_0088</t>
        </is>
      </c>
    </row>
    <row r="90" ht="15.75" customHeight="1">
      <c r="A90" s="3" t="inlineStr">
        <is>
          <t>PROD_0089</t>
        </is>
      </c>
    </row>
    <row r="91" ht="15.75" customHeight="1">
      <c r="A91" s="3" t="inlineStr">
        <is>
          <t>PROD_0090</t>
        </is>
      </c>
    </row>
    <row r="92" ht="15.75" customHeight="1">
      <c r="A92" s="3" t="inlineStr">
        <is>
          <t>PROD_0091</t>
        </is>
      </c>
    </row>
    <row r="93" ht="15.75" customHeight="1">
      <c r="A93" s="3" t="inlineStr">
        <is>
          <t>PROD_0092</t>
        </is>
      </c>
    </row>
    <row r="94" ht="15.75" customHeight="1">
      <c r="A94" s="3" t="inlineStr">
        <is>
          <t>PROD_0093</t>
        </is>
      </c>
    </row>
    <row r="95" ht="15.75" customHeight="1">
      <c r="A95" s="3" t="inlineStr">
        <is>
          <t>PROD_0094</t>
        </is>
      </c>
    </row>
    <row r="96" ht="15.75" customHeight="1">
      <c r="A96" s="3" t="inlineStr">
        <is>
          <t>PROD_0095</t>
        </is>
      </c>
    </row>
    <row r="97" ht="15.75" customHeight="1">
      <c r="A97" s="3" t="inlineStr">
        <is>
          <t>PROD_0096</t>
        </is>
      </c>
    </row>
    <row r="98" ht="15.75" customHeight="1">
      <c r="A98" s="3" t="inlineStr">
        <is>
          <t>PROD_0097</t>
        </is>
      </c>
    </row>
    <row r="99" ht="15.75" customHeight="1">
      <c r="A99" s="3" t="inlineStr">
        <is>
          <t>PROD_0098</t>
        </is>
      </c>
    </row>
    <row r="100" ht="15.75" customHeight="1">
      <c r="A100" s="3" t="inlineStr">
        <is>
          <t>PROD_0099</t>
        </is>
      </c>
    </row>
    <row r="101" ht="15.75" customHeight="1">
      <c r="A101" s="3" t="inlineStr">
        <is>
          <t>PROD_0100</t>
        </is>
      </c>
    </row>
    <row r="102" ht="15.75" customHeight="1">
      <c r="A102" s="3" t="inlineStr">
        <is>
          <t>PROD_0101</t>
        </is>
      </c>
    </row>
    <row r="103" ht="15.75" customHeight="1">
      <c r="A103" s="3" t="inlineStr">
        <is>
          <t>PROD_0102</t>
        </is>
      </c>
    </row>
    <row r="104" ht="15.75" customHeight="1">
      <c r="A104" s="3" t="inlineStr">
        <is>
          <t>PROD_0103</t>
        </is>
      </c>
    </row>
    <row r="105" ht="15.75" customHeight="1">
      <c r="A105" s="3" t="inlineStr">
        <is>
          <t>PROD_0104</t>
        </is>
      </c>
    </row>
    <row r="106" ht="15.75" customHeight="1">
      <c r="A106" s="3" t="inlineStr">
        <is>
          <t>PROD_0105</t>
        </is>
      </c>
    </row>
    <row r="107" ht="15.75" customHeight="1">
      <c r="A107" s="3" t="inlineStr">
        <is>
          <t>PROD_0106</t>
        </is>
      </c>
    </row>
    <row r="108" ht="15.75" customHeight="1">
      <c r="A108" s="3" t="inlineStr">
        <is>
          <t>PROD_0107</t>
        </is>
      </c>
    </row>
    <row r="109" ht="15.75" customHeight="1">
      <c r="A109" s="3" t="inlineStr">
        <is>
          <t>PROD_0108</t>
        </is>
      </c>
    </row>
    <row r="110" ht="15.75" customHeight="1">
      <c r="A110" s="3" t="inlineStr">
        <is>
          <t>PROD_0109</t>
        </is>
      </c>
    </row>
    <row r="111" ht="15.75" customHeight="1">
      <c r="A111" s="3" t="inlineStr">
        <is>
          <t>PROD_0110</t>
        </is>
      </c>
    </row>
    <row r="112" ht="15.75" customHeight="1">
      <c r="A112" s="3" t="inlineStr">
        <is>
          <t>PROD_0111</t>
        </is>
      </c>
    </row>
    <row r="113" ht="15.75" customHeight="1">
      <c r="A113" s="3" t="inlineStr">
        <is>
          <t>PROD_0112</t>
        </is>
      </c>
    </row>
    <row r="114" ht="15.75" customHeight="1">
      <c r="A114" s="3" t="inlineStr">
        <is>
          <t>PROD_0113</t>
        </is>
      </c>
    </row>
    <row r="115" ht="15.75" customHeight="1">
      <c r="A115" s="3" t="inlineStr">
        <is>
          <t>PROD_0114</t>
        </is>
      </c>
    </row>
    <row r="116" ht="15.75" customHeight="1">
      <c r="A116" s="3" t="inlineStr">
        <is>
          <t>PROD_0115</t>
        </is>
      </c>
    </row>
    <row r="117" ht="15.75" customHeight="1">
      <c r="A117" s="3" t="inlineStr">
        <is>
          <t>PROD_0116</t>
        </is>
      </c>
    </row>
    <row r="118" ht="15.75" customHeight="1">
      <c r="A118" s="3" t="inlineStr">
        <is>
          <t>PROD_0117</t>
        </is>
      </c>
    </row>
    <row r="119" ht="15.75" customHeight="1">
      <c r="A119" s="3" t="inlineStr">
        <is>
          <t>PROD_0118</t>
        </is>
      </c>
    </row>
    <row r="120" ht="15.75" customHeight="1">
      <c r="A120" s="3" t="inlineStr">
        <is>
          <t>PROD_0119</t>
        </is>
      </c>
    </row>
    <row r="121" ht="15.75" customHeight="1">
      <c r="A121" s="3" t="inlineStr">
        <is>
          <t>PROD_0120</t>
        </is>
      </c>
    </row>
    <row r="122" ht="15.75" customHeight="1">
      <c r="A122" s="3" t="inlineStr">
        <is>
          <t>PROD_0121</t>
        </is>
      </c>
    </row>
    <row r="123" ht="15.75" customHeight="1">
      <c r="A123" s="3" t="inlineStr">
        <is>
          <t>PROD_0122</t>
        </is>
      </c>
    </row>
    <row r="124" ht="15.75" customHeight="1">
      <c r="A124" s="3" t="inlineStr">
        <is>
          <t>PROD_0123</t>
        </is>
      </c>
    </row>
    <row r="125" ht="15.75" customHeight="1">
      <c r="A125" s="3" t="inlineStr">
        <is>
          <t>PROD_0124</t>
        </is>
      </c>
    </row>
    <row r="126" ht="15.75" customHeight="1">
      <c r="A126" s="3" t="inlineStr">
        <is>
          <t>PROD_0125</t>
        </is>
      </c>
    </row>
    <row r="127" ht="15.75" customHeight="1">
      <c r="A127" s="3" t="inlineStr">
        <is>
          <t>PROD_0126</t>
        </is>
      </c>
    </row>
    <row r="128" ht="15.75" customHeight="1">
      <c r="A128" s="3" t="inlineStr">
        <is>
          <t>PROD_0127</t>
        </is>
      </c>
    </row>
    <row r="129" ht="15.75" customHeight="1">
      <c r="A129" s="3" t="inlineStr">
        <is>
          <t>PROD_0128</t>
        </is>
      </c>
    </row>
    <row r="130" ht="15.75" customHeight="1">
      <c r="A130" s="3" t="inlineStr">
        <is>
          <t>PROD_0129</t>
        </is>
      </c>
    </row>
    <row r="131" ht="15.75" customHeight="1">
      <c r="A131" s="3" t="inlineStr">
        <is>
          <t>PROD_0130</t>
        </is>
      </c>
    </row>
    <row r="132" ht="15.75" customHeight="1">
      <c r="A132" s="3" t="inlineStr">
        <is>
          <t>PROD_0131</t>
        </is>
      </c>
    </row>
    <row r="133" ht="15.75" customHeight="1">
      <c r="A133" s="3" t="inlineStr">
        <is>
          <t>PROD_0132</t>
        </is>
      </c>
    </row>
    <row r="134" ht="15.75" customHeight="1">
      <c r="A134" s="3" t="inlineStr">
        <is>
          <t>PROD_0133</t>
        </is>
      </c>
    </row>
    <row r="135" ht="15.75" customHeight="1">
      <c r="A135" s="3" t="inlineStr">
        <is>
          <t>PROD_0134</t>
        </is>
      </c>
    </row>
    <row r="136" ht="15.75" customHeight="1">
      <c r="A136" s="3" t="inlineStr">
        <is>
          <t>PROD_0135</t>
        </is>
      </c>
    </row>
    <row r="137" ht="15.75" customHeight="1">
      <c r="A137" s="3" t="inlineStr">
        <is>
          <t>PROD_0136</t>
        </is>
      </c>
    </row>
    <row r="138" ht="15.75" customHeight="1">
      <c r="A138" s="3" t="inlineStr">
        <is>
          <t>PROD_0137</t>
        </is>
      </c>
    </row>
    <row r="139" ht="15.75" customHeight="1">
      <c r="A139" s="3" t="inlineStr">
        <is>
          <t>PROD_0138</t>
        </is>
      </c>
    </row>
    <row r="140" ht="15.75" customHeight="1">
      <c r="A140" s="3" t="inlineStr">
        <is>
          <t>PROD_0139</t>
        </is>
      </c>
    </row>
    <row r="141" ht="15.75" customHeight="1">
      <c r="A141" s="3" t="inlineStr">
        <is>
          <t>PROD_0140</t>
        </is>
      </c>
    </row>
    <row r="142" ht="15.75" customHeight="1">
      <c r="A142" s="3" t="inlineStr">
        <is>
          <t>PROD_0141</t>
        </is>
      </c>
    </row>
    <row r="143" ht="15.75" customHeight="1">
      <c r="A143" s="3" t="inlineStr">
        <is>
          <t>PROD_0142</t>
        </is>
      </c>
    </row>
    <row r="144" ht="15.75" customHeight="1">
      <c r="A144" s="3" t="inlineStr">
        <is>
          <t>PROD_0143</t>
        </is>
      </c>
    </row>
    <row r="145" ht="15.75" customHeight="1">
      <c r="A145" s="3" t="inlineStr">
        <is>
          <t>PROD_0144</t>
        </is>
      </c>
    </row>
    <row r="146" ht="15.75" customHeight="1">
      <c r="A146" s="3" t="inlineStr">
        <is>
          <t>PROD_0145</t>
        </is>
      </c>
    </row>
    <row r="147" ht="15.75" customHeight="1">
      <c r="A147" s="3" t="inlineStr">
        <is>
          <t>PROD_0146</t>
        </is>
      </c>
    </row>
    <row r="148" ht="15.75" customHeight="1">
      <c r="A148" s="3" t="inlineStr">
        <is>
          <t>PROD_0147</t>
        </is>
      </c>
    </row>
    <row r="149" ht="15.75" customHeight="1">
      <c r="A149" s="3" t="inlineStr">
        <is>
          <t>PROD_0148</t>
        </is>
      </c>
    </row>
    <row r="150" ht="15.75" customHeight="1">
      <c r="A150" s="3" t="inlineStr">
        <is>
          <t>PROD_0149</t>
        </is>
      </c>
    </row>
    <row r="151" ht="15.75" customHeight="1">
      <c r="A151" s="3" t="inlineStr">
        <is>
          <t>PROD_0150</t>
        </is>
      </c>
    </row>
    <row r="152" ht="15.75" customHeight="1">
      <c r="A152" s="3" t="inlineStr">
        <is>
          <t>PROD_0151</t>
        </is>
      </c>
    </row>
    <row r="153" ht="15.75" customHeight="1">
      <c r="A153" s="3" t="inlineStr">
        <is>
          <t>PROD_0152</t>
        </is>
      </c>
    </row>
    <row r="154" ht="15.75" customHeight="1">
      <c r="A154" s="3" t="inlineStr">
        <is>
          <t>PROD_0153</t>
        </is>
      </c>
    </row>
    <row r="155" ht="15.75" customHeight="1">
      <c r="A155" s="3" t="inlineStr">
        <is>
          <t>PROD_0154</t>
        </is>
      </c>
    </row>
    <row r="156" ht="15.75" customHeight="1">
      <c r="A156" s="3" t="inlineStr">
        <is>
          <t>PROD_0155</t>
        </is>
      </c>
    </row>
    <row r="157" ht="15.75" customHeight="1">
      <c r="A157" s="3" t="inlineStr">
        <is>
          <t>PROD_0156</t>
        </is>
      </c>
    </row>
    <row r="158" ht="15.75" customHeight="1">
      <c r="A158" s="3" t="inlineStr">
        <is>
          <t>PROD_0157</t>
        </is>
      </c>
    </row>
    <row r="159" ht="15.75" customHeight="1">
      <c r="A159" s="3" t="inlineStr">
        <is>
          <t>PROD_0158</t>
        </is>
      </c>
    </row>
    <row r="160" ht="15.75" customHeight="1">
      <c r="A160" s="3" t="inlineStr">
        <is>
          <t>PROD_0159</t>
        </is>
      </c>
    </row>
    <row r="161" ht="15.75" customHeight="1">
      <c r="A161" s="3" t="inlineStr">
        <is>
          <t>PROD_0160</t>
        </is>
      </c>
    </row>
    <row r="162" ht="15.75" customHeight="1">
      <c r="A162" s="3" t="inlineStr">
        <is>
          <t>PROD_0161</t>
        </is>
      </c>
    </row>
    <row r="163" ht="15.75" customHeight="1">
      <c r="A163" s="3" t="inlineStr">
        <is>
          <t>PROD_0162</t>
        </is>
      </c>
    </row>
    <row r="164" ht="15.75" customHeight="1">
      <c r="A164" s="3" t="inlineStr">
        <is>
          <t>PROD_0163</t>
        </is>
      </c>
    </row>
    <row r="165" ht="15.75" customHeight="1">
      <c r="A165" s="3" t="inlineStr">
        <is>
          <t>PROD_0164</t>
        </is>
      </c>
    </row>
    <row r="166" ht="15.75" customHeight="1">
      <c r="A166" s="3" t="inlineStr">
        <is>
          <t>PROD_0165</t>
        </is>
      </c>
    </row>
    <row r="167" ht="15.75" customHeight="1">
      <c r="A167" s="3" t="inlineStr">
        <is>
          <t>PROD_0166</t>
        </is>
      </c>
    </row>
    <row r="168" ht="15.75" customHeight="1">
      <c r="A168" s="3" t="inlineStr">
        <is>
          <t>PROD_0167</t>
        </is>
      </c>
    </row>
    <row r="169" ht="15.75" customHeight="1">
      <c r="A169" s="3" t="inlineStr">
        <is>
          <t>PROD_0168</t>
        </is>
      </c>
    </row>
    <row r="170" ht="15.75" customHeight="1">
      <c r="A170" s="3" t="inlineStr">
        <is>
          <t>PROD_0169</t>
        </is>
      </c>
    </row>
    <row r="171" ht="15.75" customHeight="1">
      <c r="A171" s="3" t="inlineStr">
        <is>
          <t>PROD_0170</t>
        </is>
      </c>
    </row>
    <row r="172" ht="15.75" customHeight="1">
      <c r="A172" s="3" t="inlineStr">
        <is>
          <t>PROD_0171</t>
        </is>
      </c>
    </row>
    <row r="173" ht="15.75" customHeight="1">
      <c r="A173" s="3" t="inlineStr">
        <is>
          <t>PROD_0172</t>
        </is>
      </c>
    </row>
    <row r="174" ht="15.75" customHeight="1">
      <c r="A174" s="3" t="inlineStr">
        <is>
          <t>PROD_0173</t>
        </is>
      </c>
    </row>
    <row r="175" ht="15.75" customHeight="1">
      <c r="A175" s="3" t="inlineStr">
        <is>
          <t>PROD_0174</t>
        </is>
      </c>
    </row>
    <row r="176" ht="15.75" customHeight="1">
      <c r="A176" s="3" t="inlineStr">
        <is>
          <t>PROD_0175</t>
        </is>
      </c>
    </row>
    <row r="177" ht="15.75" customHeight="1">
      <c r="A177" s="3" t="inlineStr">
        <is>
          <t>PROD_0176</t>
        </is>
      </c>
    </row>
    <row r="178" ht="15.75" customHeight="1">
      <c r="A178" s="3" t="inlineStr">
        <is>
          <t>PROD_0177</t>
        </is>
      </c>
    </row>
    <row r="179" ht="15.75" customHeight="1">
      <c r="A179" s="3" t="inlineStr">
        <is>
          <t>PROD_0178</t>
        </is>
      </c>
    </row>
    <row r="180" ht="15.75" customHeight="1">
      <c r="A180" s="3" t="inlineStr">
        <is>
          <t>PROD_0179</t>
        </is>
      </c>
    </row>
    <row r="181" ht="15.75" customHeight="1">
      <c r="A181" s="3" t="inlineStr">
        <is>
          <t>PROD_0180</t>
        </is>
      </c>
    </row>
    <row r="182" ht="15.75" customHeight="1">
      <c r="A182" s="3" t="inlineStr">
        <is>
          <t>PROD_0181</t>
        </is>
      </c>
    </row>
    <row r="183" ht="15.75" customHeight="1">
      <c r="A183" s="3" t="inlineStr">
        <is>
          <t>PROD_0182</t>
        </is>
      </c>
    </row>
    <row r="184" ht="15.75" customHeight="1">
      <c r="A184" s="3" t="inlineStr">
        <is>
          <t>PROD_0183</t>
        </is>
      </c>
    </row>
    <row r="185" ht="15.75" customHeight="1">
      <c r="A185" s="3" t="inlineStr">
        <is>
          <t>PROD_0184</t>
        </is>
      </c>
    </row>
    <row r="186" ht="15.75" customHeight="1">
      <c r="A186" s="3" t="inlineStr">
        <is>
          <t>PROD_0185</t>
        </is>
      </c>
    </row>
    <row r="187" ht="15.75" customHeight="1">
      <c r="A187" s="3" t="inlineStr">
        <is>
          <t>PROD_0186</t>
        </is>
      </c>
    </row>
    <row r="188" ht="15.75" customHeight="1">
      <c r="A188" s="3" t="inlineStr">
        <is>
          <t>PROD_0187</t>
        </is>
      </c>
    </row>
    <row r="189" ht="15.75" customHeight="1">
      <c r="A189" s="3" t="inlineStr">
        <is>
          <t>PROD_0188</t>
        </is>
      </c>
    </row>
    <row r="190" ht="15.75" customHeight="1">
      <c r="A190" s="3" t="inlineStr">
        <is>
          <t>PROD_0189</t>
        </is>
      </c>
    </row>
    <row r="191" ht="15.75" customHeight="1">
      <c r="A191" s="3" t="inlineStr">
        <is>
          <t>PROD_0190</t>
        </is>
      </c>
    </row>
    <row r="192" ht="15.75" customHeight="1">
      <c r="A192" s="3" t="inlineStr">
        <is>
          <t>PROD_0191</t>
        </is>
      </c>
    </row>
    <row r="193" ht="15.75" customHeight="1">
      <c r="A193" s="3" t="inlineStr">
        <is>
          <t>PROD_0192</t>
        </is>
      </c>
    </row>
    <row r="194" ht="15.75" customHeight="1">
      <c r="A194" s="3" t="inlineStr">
        <is>
          <t>PROD_0193</t>
        </is>
      </c>
    </row>
    <row r="195" ht="15.75" customHeight="1">
      <c r="A195" s="3" t="inlineStr">
        <is>
          <t>PROD_0194</t>
        </is>
      </c>
    </row>
    <row r="196" ht="15.75" customHeight="1">
      <c r="A196" s="3" t="inlineStr">
        <is>
          <t>PROD_0195</t>
        </is>
      </c>
    </row>
    <row r="197" ht="15.75" customHeight="1">
      <c r="A197" s="3" t="inlineStr">
        <is>
          <t>PROD_0196</t>
        </is>
      </c>
    </row>
    <row r="198" ht="15.75" customHeight="1">
      <c r="A198" s="3" t="inlineStr">
        <is>
          <t>PROD_0197</t>
        </is>
      </c>
    </row>
    <row r="199" ht="15.75" customHeight="1">
      <c r="A199" s="3" t="inlineStr">
        <is>
          <t>PROD_0198</t>
        </is>
      </c>
    </row>
    <row r="200" ht="15.75" customHeight="1">
      <c r="A200" s="3" t="inlineStr">
        <is>
          <t>PROD_0199</t>
        </is>
      </c>
    </row>
    <row r="201" ht="15.75" customHeight="1">
      <c r="A201" s="3" t="inlineStr">
        <is>
          <t>PROD_0200</t>
        </is>
      </c>
    </row>
    <row r="202" ht="15.75" customHeight="1">
      <c r="A202" s="3" t="inlineStr">
        <is>
          <t>PROD_0201</t>
        </is>
      </c>
    </row>
    <row r="203" ht="15.75" customHeight="1">
      <c r="A203" s="3" t="inlineStr">
        <is>
          <t>PROD_0202</t>
        </is>
      </c>
    </row>
    <row r="204" ht="15.75" customHeight="1">
      <c r="A204" s="3" t="inlineStr">
        <is>
          <t>PROD_0203</t>
        </is>
      </c>
    </row>
    <row r="205" ht="15.75" customHeight="1">
      <c r="A205" s="3" t="inlineStr">
        <is>
          <t>PROD_0204</t>
        </is>
      </c>
    </row>
    <row r="206" ht="15.75" customHeight="1">
      <c r="A206" s="3" t="inlineStr">
        <is>
          <t>PROD_0205</t>
        </is>
      </c>
    </row>
    <row r="207" ht="15.75" customHeight="1">
      <c r="A207" s="3" t="inlineStr">
        <is>
          <t>PROD_0206</t>
        </is>
      </c>
    </row>
    <row r="208" ht="15.75" customHeight="1">
      <c r="A208" s="3" t="inlineStr">
        <is>
          <t>PROD_0207</t>
        </is>
      </c>
    </row>
    <row r="209" ht="15.75" customHeight="1">
      <c r="A209" s="3" t="inlineStr">
        <is>
          <t>PROD_0208</t>
        </is>
      </c>
    </row>
    <row r="210" ht="15.75" customHeight="1">
      <c r="A210" s="3" t="inlineStr">
        <is>
          <t>PROD_0209</t>
        </is>
      </c>
    </row>
    <row r="211" ht="15.75" customHeight="1">
      <c r="A211" s="3" t="inlineStr">
        <is>
          <t>PROD_0210</t>
        </is>
      </c>
    </row>
    <row r="212" ht="15.75" customHeight="1">
      <c r="A212" s="3" t="inlineStr">
        <is>
          <t>PROD_0211</t>
        </is>
      </c>
    </row>
    <row r="213" ht="15.75" customHeight="1">
      <c r="A213" s="3" t="inlineStr">
        <is>
          <t>PROD_0212</t>
        </is>
      </c>
    </row>
    <row r="214" ht="15.75" customHeight="1">
      <c r="A214" s="3" t="inlineStr">
        <is>
          <t>PROD_0213</t>
        </is>
      </c>
    </row>
    <row r="215" ht="15.75" customHeight="1">
      <c r="A215" s="3" t="inlineStr">
        <is>
          <t>PROD_0214</t>
        </is>
      </c>
    </row>
    <row r="216" ht="15.75" customHeight="1">
      <c r="A216" s="3" t="inlineStr">
        <is>
          <t>PROD_0215</t>
        </is>
      </c>
    </row>
    <row r="217" ht="15.75" customHeight="1">
      <c r="A217" s="3" t="inlineStr">
        <is>
          <t>PROD_0216</t>
        </is>
      </c>
    </row>
    <row r="218" ht="15.75" customHeight="1">
      <c r="A218" s="3" t="inlineStr">
        <is>
          <t>PROD_0217</t>
        </is>
      </c>
    </row>
    <row r="219" ht="15.75" customHeight="1">
      <c r="A219" s="3" t="inlineStr">
        <is>
          <t>PROD_0218</t>
        </is>
      </c>
    </row>
    <row r="220" ht="15.75" customHeight="1">
      <c r="A220" s="3" t="inlineStr">
        <is>
          <t>PROD_0219</t>
        </is>
      </c>
    </row>
    <row r="221" ht="15.75" customHeight="1">
      <c r="A221" s="3" t="inlineStr">
        <is>
          <t>PROD_0220</t>
        </is>
      </c>
    </row>
    <row r="222" ht="15.75" customHeight="1">
      <c r="A222" s="3" t="inlineStr">
        <is>
          <t>PROD_0221</t>
        </is>
      </c>
    </row>
    <row r="223" ht="15.75" customHeight="1">
      <c r="A223" s="3" t="inlineStr">
        <is>
          <t>PROD_0222</t>
        </is>
      </c>
    </row>
    <row r="224" ht="15.75" customHeight="1">
      <c r="A224" s="3" t="inlineStr">
        <is>
          <t>PROD_0223</t>
        </is>
      </c>
    </row>
    <row r="225" ht="15.75" customHeight="1">
      <c r="A225" s="3" t="inlineStr">
        <is>
          <t>PROD_0224</t>
        </is>
      </c>
    </row>
    <row r="226" ht="15.75" customHeight="1">
      <c r="A226" s="3" t="inlineStr">
        <is>
          <t>PROD_0225</t>
        </is>
      </c>
    </row>
    <row r="227" ht="15.75" customHeight="1">
      <c r="A227" s="3" t="inlineStr">
        <is>
          <t>PROD_0226</t>
        </is>
      </c>
    </row>
    <row r="228" ht="15.75" customHeight="1">
      <c r="A228" s="3" t="inlineStr">
        <is>
          <t>PROD_0227</t>
        </is>
      </c>
    </row>
    <row r="229" ht="15.75" customHeight="1">
      <c r="A229" s="3" t="inlineStr">
        <is>
          <t>PROD_0228</t>
        </is>
      </c>
    </row>
    <row r="230" ht="15.75" customHeight="1">
      <c r="A230" s="3" t="inlineStr">
        <is>
          <t>PROD_0229</t>
        </is>
      </c>
    </row>
    <row r="231" ht="15.75" customHeight="1">
      <c r="A231" s="3" t="inlineStr">
        <is>
          <t>PROD_0230</t>
        </is>
      </c>
    </row>
    <row r="232" ht="15.75" customHeight="1">
      <c r="A232" s="3" t="inlineStr">
        <is>
          <t>PROD_0231</t>
        </is>
      </c>
    </row>
    <row r="233" ht="15.75" customHeight="1">
      <c r="A233" s="3" t="inlineStr">
        <is>
          <t>PROD_0232</t>
        </is>
      </c>
    </row>
    <row r="234" ht="15.75" customHeight="1">
      <c r="A234" s="3" t="inlineStr">
        <is>
          <t>PROD_0233</t>
        </is>
      </c>
    </row>
    <row r="235" ht="15.75" customHeight="1">
      <c r="A235" s="3" t="inlineStr">
        <is>
          <t>PROD_0234</t>
        </is>
      </c>
    </row>
    <row r="236" ht="15.75" customHeight="1">
      <c r="A236" s="3" t="inlineStr">
        <is>
          <t>PROD_0235</t>
        </is>
      </c>
    </row>
    <row r="237" ht="15.75" customHeight="1">
      <c r="A237" s="3" t="inlineStr">
        <is>
          <t>PROD_0236</t>
        </is>
      </c>
    </row>
    <row r="238" ht="15.75" customHeight="1">
      <c r="A238" s="3" t="inlineStr">
        <is>
          <t>PROD_0237</t>
        </is>
      </c>
    </row>
    <row r="239" ht="15.75" customHeight="1">
      <c r="A239" s="3" t="inlineStr">
        <is>
          <t>PROD_0238</t>
        </is>
      </c>
    </row>
    <row r="240" ht="15.75" customHeight="1">
      <c r="A240" s="3" t="inlineStr">
        <is>
          <t>PROD_0239</t>
        </is>
      </c>
    </row>
    <row r="241" ht="15.75" customHeight="1">
      <c r="A241" s="3" t="inlineStr">
        <is>
          <t>PROD_0240</t>
        </is>
      </c>
    </row>
    <row r="242" ht="15.75" customHeight="1">
      <c r="A242" s="3" t="inlineStr">
        <is>
          <t>PROD_0241</t>
        </is>
      </c>
    </row>
    <row r="243" ht="15.75" customHeight="1">
      <c r="A243" s="3" t="inlineStr">
        <is>
          <t>PROD_0242</t>
        </is>
      </c>
    </row>
    <row r="244" ht="15.75" customHeight="1">
      <c r="A244" s="3" t="inlineStr">
        <is>
          <t>PROD_0243</t>
        </is>
      </c>
    </row>
    <row r="245" ht="15.75" customHeight="1">
      <c r="A245" s="3" t="inlineStr">
        <is>
          <t>PROD_0244</t>
        </is>
      </c>
    </row>
    <row r="246" ht="15.75" customHeight="1">
      <c r="A246" s="3" t="inlineStr">
        <is>
          <t>PROD_0245</t>
        </is>
      </c>
    </row>
    <row r="247" ht="15.75" customHeight="1">
      <c r="A247" s="3" t="inlineStr">
        <is>
          <t>PROD_0246</t>
        </is>
      </c>
    </row>
    <row r="248" ht="15.75" customHeight="1">
      <c r="A248" s="3" t="inlineStr">
        <is>
          <t>PROD_0247</t>
        </is>
      </c>
    </row>
    <row r="249" ht="15.75" customHeight="1">
      <c r="A249" s="3" t="inlineStr">
        <is>
          <t>PROD_0248</t>
        </is>
      </c>
    </row>
    <row r="250" ht="15.75" customHeight="1">
      <c r="A250" s="3" t="inlineStr">
        <is>
          <t>PROD_0249</t>
        </is>
      </c>
    </row>
    <row r="251" ht="15.75" customHeight="1">
      <c r="A251" s="3" t="inlineStr">
        <is>
          <t>PROD_0250</t>
        </is>
      </c>
    </row>
    <row r="252" ht="15.75" customHeight="1">
      <c r="A252" s="3" t="inlineStr">
        <is>
          <t>PROD_0251</t>
        </is>
      </c>
    </row>
    <row r="253" ht="15.75" customHeight="1">
      <c r="A253" s="3" t="inlineStr">
        <is>
          <t>PROD_0252</t>
        </is>
      </c>
    </row>
    <row r="254" ht="15.75" customHeight="1">
      <c r="A254" s="3" t="inlineStr">
        <is>
          <t>PROD_0253</t>
        </is>
      </c>
    </row>
    <row r="255" ht="15.75" customHeight="1">
      <c r="A255" s="3" t="inlineStr">
        <is>
          <t>PROD_0254</t>
        </is>
      </c>
    </row>
    <row r="256" ht="15.75" customHeight="1">
      <c r="A256" s="3" t="inlineStr">
        <is>
          <t>PROD_0255</t>
        </is>
      </c>
    </row>
    <row r="257" ht="15.75" customHeight="1">
      <c r="A257" s="3" t="inlineStr">
        <is>
          <t>PROD_0256</t>
        </is>
      </c>
    </row>
    <row r="258" ht="15.75" customHeight="1">
      <c r="A258" s="3" t="inlineStr">
        <is>
          <t>PROD_0257</t>
        </is>
      </c>
    </row>
    <row r="259" ht="15.75" customHeight="1">
      <c r="A259" s="3" t="inlineStr">
        <is>
          <t>PROD_0258</t>
        </is>
      </c>
    </row>
    <row r="260" ht="15.75" customHeight="1">
      <c r="A260" s="3" t="inlineStr">
        <is>
          <t>PROD_0259</t>
        </is>
      </c>
    </row>
    <row r="261" ht="15.75" customHeight="1">
      <c r="A261" s="3" t="inlineStr">
        <is>
          <t>PROD_0260</t>
        </is>
      </c>
    </row>
    <row r="262" ht="15.75" customHeight="1">
      <c r="A262" s="3" t="inlineStr">
        <is>
          <t>PROD_0261</t>
        </is>
      </c>
    </row>
    <row r="263" ht="15.75" customHeight="1">
      <c r="A263" s="3" t="inlineStr">
        <is>
          <t>PROD_0262</t>
        </is>
      </c>
    </row>
    <row r="264" ht="15.75" customHeight="1">
      <c r="A264" s="3" t="inlineStr">
        <is>
          <t>PROD_0263</t>
        </is>
      </c>
    </row>
    <row r="265" ht="15.75" customHeight="1">
      <c r="A265" s="3" t="inlineStr">
        <is>
          <t>PROD_0264</t>
        </is>
      </c>
    </row>
    <row r="266" ht="15.75" customHeight="1">
      <c r="A266" s="3" t="inlineStr">
        <is>
          <t>PROD_0265</t>
        </is>
      </c>
    </row>
    <row r="267" ht="15.75" customHeight="1">
      <c r="A267" s="3" t="inlineStr">
        <is>
          <t>PROD_0266</t>
        </is>
      </c>
    </row>
    <row r="268" ht="15.75" customHeight="1">
      <c r="A268" s="3" t="inlineStr">
        <is>
          <t>PROD_0267</t>
        </is>
      </c>
    </row>
    <row r="269" ht="15.75" customHeight="1">
      <c r="A269" s="3" t="inlineStr">
        <is>
          <t>PROD_0268</t>
        </is>
      </c>
    </row>
    <row r="270" ht="15.75" customHeight="1">
      <c r="A270" s="3" t="inlineStr">
        <is>
          <t>PROD_0269</t>
        </is>
      </c>
    </row>
    <row r="271" ht="15.75" customHeight="1">
      <c r="A271" s="3" t="inlineStr">
        <is>
          <t>PROD_0270</t>
        </is>
      </c>
    </row>
    <row r="272" ht="15.75" customHeight="1">
      <c r="A272" s="3" t="inlineStr">
        <is>
          <t>PROD_0271</t>
        </is>
      </c>
    </row>
    <row r="273" ht="15.75" customHeight="1">
      <c r="A273" s="3" t="inlineStr">
        <is>
          <t>PROD_0272</t>
        </is>
      </c>
    </row>
    <row r="274" ht="15.75" customHeight="1">
      <c r="A274" s="3" t="inlineStr">
        <is>
          <t>PROD_0273</t>
        </is>
      </c>
    </row>
    <row r="275" ht="15.75" customHeight="1">
      <c r="A275" s="3" t="inlineStr">
        <is>
          <t>PROD_0274</t>
        </is>
      </c>
    </row>
    <row r="276" ht="15.75" customHeight="1">
      <c r="A276" s="3" t="inlineStr">
        <is>
          <t>PROD_0275</t>
        </is>
      </c>
    </row>
    <row r="277" ht="15.75" customHeight="1">
      <c r="A277" s="3" t="inlineStr">
        <is>
          <t>PROD_0276</t>
        </is>
      </c>
    </row>
    <row r="278" ht="15.75" customHeight="1">
      <c r="A278" s="3" t="inlineStr">
        <is>
          <t>PROD_0277</t>
        </is>
      </c>
    </row>
    <row r="279" ht="15.75" customHeight="1">
      <c r="A279" s="3" t="inlineStr">
        <is>
          <t>PROD_0278</t>
        </is>
      </c>
    </row>
    <row r="280" ht="15.75" customHeight="1">
      <c r="A280" s="3" t="inlineStr">
        <is>
          <t>PROD_0279</t>
        </is>
      </c>
    </row>
    <row r="281" ht="15.75" customHeight="1">
      <c r="A281" s="3" t="inlineStr">
        <is>
          <t>PROD_0280</t>
        </is>
      </c>
    </row>
    <row r="282" ht="15.75" customHeight="1">
      <c r="A282" s="3" t="inlineStr">
        <is>
          <t>PROD_0281</t>
        </is>
      </c>
    </row>
    <row r="283" ht="15.75" customHeight="1">
      <c r="A283" s="3" t="inlineStr">
        <is>
          <t>PROD_0282</t>
        </is>
      </c>
    </row>
    <row r="284" ht="15.75" customHeight="1">
      <c r="A284" s="3" t="inlineStr">
        <is>
          <t>PROD_0283</t>
        </is>
      </c>
    </row>
    <row r="285" ht="15.75" customHeight="1">
      <c r="A285" s="3" t="inlineStr">
        <is>
          <t>PROD_0284</t>
        </is>
      </c>
    </row>
    <row r="286" ht="15.75" customHeight="1">
      <c r="A286" s="3" t="inlineStr">
        <is>
          <t>PROD_0285</t>
        </is>
      </c>
    </row>
    <row r="287" ht="15.75" customHeight="1">
      <c r="A287" s="3" t="inlineStr">
        <is>
          <t>PROD_0286</t>
        </is>
      </c>
    </row>
    <row r="288" ht="15.75" customHeight="1">
      <c r="A288" s="3" t="inlineStr">
        <is>
          <t>PROD_0287</t>
        </is>
      </c>
    </row>
    <row r="289" ht="15.75" customHeight="1">
      <c r="A289" s="3" t="inlineStr">
        <is>
          <t>PROD_0288</t>
        </is>
      </c>
    </row>
    <row r="290" ht="15.75" customHeight="1">
      <c r="A290" s="3" t="inlineStr">
        <is>
          <t>PROD_0289</t>
        </is>
      </c>
    </row>
    <row r="291" ht="15.75" customHeight="1">
      <c r="A291" s="3" t="inlineStr">
        <is>
          <t>PROD_0290</t>
        </is>
      </c>
    </row>
    <row r="292" ht="15.75" customHeight="1">
      <c r="A292" s="3" t="inlineStr">
        <is>
          <t>PROD_0291</t>
        </is>
      </c>
    </row>
    <row r="293" ht="15.75" customHeight="1">
      <c r="A293" s="3" t="inlineStr">
        <is>
          <t>PROD_0292</t>
        </is>
      </c>
    </row>
    <row r="294" ht="15.75" customHeight="1">
      <c r="A294" s="3" t="inlineStr">
        <is>
          <t>PROD_0293</t>
        </is>
      </c>
    </row>
    <row r="295" ht="15.75" customHeight="1">
      <c r="A295" s="3" t="inlineStr">
        <is>
          <t>PROD_0294</t>
        </is>
      </c>
    </row>
    <row r="296" ht="15.75" customHeight="1">
      <c r="A296" s="3" t="inlineStr">
        <is>
          <t>PROD_0295</t>
        </is>
      </c>
    </row>
    <row r="297" ht="15.75" customHeight="1">
      <c r="A297" s="3" t="inlineStr">
        <is>
          <t>PROD_0296</t>
        </is>
      </c>
    </row>
    <row r="298" ht="15.75" customHeight="1">
      <c r="A298" s="3" t="inlineStr">
        <is>
          <t>PROD_0297</t>
        </is>
      </c>
    </row>
    <row r="299" ht="15.75" customHeight="1">
      <c r="A299" s="3" t="inlineStr">
        <is>
          <t>PROD_0298</t>
        </is>
      </c>
    </row>
    <row r="300" ht="15.75" customHeight="1">
      <c r="A300" s="3" t="inlineStr">
        <is>
          <t>PROD_0299</t>
        </is>
      </c>
    </row>
    <row r="301" ht="15.75" customHeight="1">
      <c r="A301" s="3" t="inlineStr">
        <is>
          <t>PROD_0300</t>
        </is>
      </c>
    </row>
    <row r="302" ht="15.75" customHeight="1">
      <c r="A302" s="3" t="inlineStr">
        <is>
          <t>PROD_0301</t>
        </is>
      </c>
    </row>
    <row r="303" ht="15.75" customHeight="1">
      <c r="A303" s="3" t="inlineStr">
        <is>
          <t>PROD_0302</t>
        </is>
      </c>
    </row>
    <row r="304" ht="15.75" customHeight="1">
      <c r="A304" s="3" t="inlineStr">
        <is>
          <t>PROD_0303</t>
        </is>
      </c>
    </row>
    <row r="305" ht="15.75" customHeight="1">
      <c r="A305" s="3" t="inlineStr">
        <is>
          <t>PROD_0304</t>
        </is>
      </c>
    </row>
    <row r="306" ht="15.75" customHeight="1">
      <c r="A306" s="3" t="inlineStr">
        <is>
          <t>PROD_0305</t>
        </is>
      </c>
    </row>
    <row r="307" ht="15.75" customHeight="1">
      <c r="A307" s="3" t="inlineStr">
        <is>
          <t>PROD_0306</t>
        </is>
      </c>
    </row>
    <row r="308" ht="15.75" customHeight="1">
      <c r="A308" s="3" t="inlineStr">
        <is>
          <t>PROD_0307</t>
        </is>
      </c>
    </row>
    <row r="309" ht="15.75" customHeight="1">
      <c r="A309" s="3" t="inlineStr">
        <is>
          <t>PROD_0308</t>
        </is>
      </c>
    </row>
    <row r="310" ht="15.75" customHeight="1">
      <c r="A310" s="3" t="inlineStr">
        <is>
          <t>PROD_0309</t>
        </is>
      </c>
    </row>
    <row r="311" ht="15.75" customHeight="1">
      <c r="A311" s="3" t="inlineStr">
        <is>
          <t>PROD_0310</t>
        </is>
      </c>
    </row>
    <row r="312" ht="15.75" customHeight="1">
      <c r="A312" s="3" t="inlineStr">
        <is>
          <t>PROD_0311</t>
        </is>
      </c>
    </row>
    <row r="313" ht="15.75" customHeight="1">
      <c r="A313" s="3" t="inlineStr">
        <is>
          <t>PROD_0312</t>
        </is>
      </c>
    </row>
    <row r="314" ht="15.75" customHeight="1">
      <c r="A314" s="3" t="inlineStr">
        <is>
          <t>PROD_0313</t>
        </is>
      </c>
    </row>
    <row r="315" ht="15.75" customHeight="1">
      <c r="A315" s="3" t="inlineStr">
        <is>
          <t>PROD_0314</t>
        </is>
      </c>
    </row>
    <row r="316" ht="15.75" customHeight="1">
      <c r="A316" s="3" t="inlineStr">
        <is>
          <t>PROD_0315</t>
        </is>
      </c>
    </row>
    <row r="317" ht="15.75" customHeight="1">
      <c r="A317" s="3" t="inlineStr">
        <is>
          <t>PROD_0316</t>
        </is>
      </c>
    </row>
    <row r="318" ht="15.75" customHeight="1">
      <c r="A318" s="3" t="inlineStr">
        <is>
          <t>PROD_0317</t>
        </is>
      </c>
    </row>
    <row r="319" ht="15.75" customHeight="1">
      <c r="A319" s="3" t="inlineStr">
        <is>
          <t>PROD_0318</t>
        </is>
      </c>
    </row>
    <row r="320" ht="15.75" customHeight="1">
      <c r="A320" s="3" t="inlineStr">
        <is>
          <t>PROD_0319</t>
        </is>
      </c>
    </row>
    <row r="321" ht="15.75" customHeight="1">
      <c r="A321" s="3" t="inlineStr">
        <is>
          <t>PROD_0320</t>
        </is>
      </c>
    </row>
    <row r="322" ht="15.75" customHeight="1">
      <c r="A322" s="3" t="inlineStr">
        <is>
          <t>PROD_0321</t>
        </is>
      </c>
    </row>
    <row r="323" ht="15.75" customHeight="1">
      <c r="A323" s="3" t="inlineStr">
        <is>
          <t>PROD_0322</t>
        </is>
      </c>
    </row>
    <row r="324" ht="15.75" customHeight="1">
      <c r="A324" s="3" t="inlineStr">
        <is>
          <t>PROD_0323</t>
        </is>
      </c>
    </row>
    <row r="325" ht="15.75" customHeight="1">
      <c r="A325" s="3" t="inlineStr">
        <is>
          <t>PROD_0324</t>
        </is>
      </c>
    </row>
    <row r="326" ht="15.75" customHeight="1">
      <c r="A326" s="3" t="inlineStr">
        <is>
          <t>PROD_0325</t>
        </is>
      </c>
    </row>
    <row r="327" ht="15.75" customHeight="1">
      <c r="A327" s="3" t="inlineStr">
        <is>
          <t>PROD_0326</t>
        </is>
      </c>
    </row>
    <row r="328" ht="15.75" customHeight="1">
      <c r="A328" s="3" t="inlineStr">
        <is>
          <t>PROD_0327</t>
        </is>
      </c>
    </row>
    <row r="329" ht="15.75" customHeight="1">
      <c r="A329" s="3" t="inlineStr">
        <is>
          <t>PROD_0328</t>
        </is>
      </c>
    </row>
    <row r="330" ht="15.75" customHeight="1">
      <c r="A330" s="3" t="inlineStr">
        <is>
          <t>PROD_0329</t>
        </is>
      </c>
    </row>
    <row r="331" ht="15.75" customHeight="1">
      <c r="A331" s="3" t="inlineStr">
        <is>
          <t>PROD_0330</t>
        </is>
      </c>
    </row>
    <row r="332" ht="15.75" customHeight="1">
      <c r="A332" s="3" t="inlineStr">
        <is>
          <t>PROD_0331</t>
        </is>
      </c>
    </row>
    <row r="333" ht="15.75" customHeight="1">
      <c r="A333" s="3" t="inlineStr">
        <is>
          <t>PROD_0332</t>
        </is>
      </c>
    </row>
    <row r="334" ht="15.75" customHeight="1">
      <c r="A334" s="3" t="inlineStr">
        <is>
          <t>PROD_0333</t>
        </is>
      </c>
    </row>
    <row r="335" ht="15.75" customHeight="1">
      <c r="A335" s="3" t="inlineStr">
        <is>
          <t>PROD_0334</t>
        </is>
      </c>
    </row>
    <row r="336" ht="15.75" customHeight="1">
      <c r="A336" s="3" t="inlineStr">
        <is>
          <t>PROD_0335</t>
        </is>
      </c>
    </row>
    <row r="337" ht="15.75" customHeight="1">
      <c r="A337" s="3" t="inlineStr">
        <is>
          <t>PROD_0336</t>
        </is>
      </c>
    </row>
    <row r="338" ht="15.75" customHeight="1">
      <c r="A338" s="3" t="inlineStr">
        <is>
          <t>PROD_0337</t>
        </is>
      </c>
    </row>
    <row r="339" ht="15.75" customHeight="1">
      <c r="A339" s="3" t="inlineStr">
        <is>
          <t>PROD_0338</t>
        </is>
      </c>
    </row>
    <row r="340" ht="15.75" customHeight="1">
      <c r="A340" s="3" t="inlineStr">
        <is>
          <t>PROD_0339</t>
        </is>
      </c>
    </row>
    <row r="341" ht="15.75" customHeight="1">
      <c r="A341" s="3" t="inlineStr">
        <is>
          <t>PROD_0340</t>
        </is>
      </c>
    </row>
    <row r="342" ht="15.75" customHeight="1">
      <c r="A342" s="3" t="inlineStr">
        <is>
          <t>PROD_0341</t>
        </is>
      </c>
    </row>
    <row r="343" ht="15.75" customHeight="1">
      <c r="A343" s="3" t="inlineStr">
        <is>
          <t>PROD_0342</t>
        </is>
      </c>
    </row>
    <row r="344" ht="15.75" customHeight="1">
      <c r="A344" s="3" t="inlineStr">
        <is>
          <t>PROD_0343</t>
        </is>
      </c>
    </row>
    <row r="345" ht="15.75" customHeight="1">
      <c r="A345" s="3" t="inlineStr">
        <is>
          <t>PROD_0344</t>
        </is>
      </c>
    </row>
    <row r="346" ht="15.75" customHeight="1">
      <c r="A346" s="3" t="inlineStr">
        <is>
          <t>PROD_0345</t>
        </is>
      </c>
    </row>
    <row r="347" ht="15.75" customHeight="1">
      <c r="A347" s="3" t="inlineStr">
        <is>
          <t>PROD_0346</t>
        </is>
      </c>
    </row>
    <row r="348" ht="15.75" customHeight="1">
      <c r="A348" s="3" t="inlineStr">
        <is>
          <t>PROD_0347</t>
        </is>
      </c>
    </row>
    <row r="349" ht="15.75" customHeight="1">
      <c r="A349" s="3" t="inlineStr">
        <is>
          <t>PROD_0348</t>
        </is>
      </c>
    </row>
    <row r="350" ht="15.75" customHeight="1">
      <c r="A350" s="3" t="inlineStr">
        <is>
          <t>PROD_0349</t>
        </is>
      </c>
    </row>
    <row r="351" ht="15.75" customHeight="1">
      <c r="A351" s="3" t="inlineStr">
        <is>
          <t>PROD_0350</t>
        </is>
      </c>
    </row>
    <row r="352" ht="15.75" customHeight="1">
      <c r="A352" s="3" t="inlineStr">
        <is>
          <t>PROD_0351</t>
        </is>
      </c>
    </row>
    <row r="353" ht="15.75" customHeight="1">
      <c r="A353" s="3" t="inlineStr">
        <is>
          <t>PROD_0352</t>
        </is>
      </c>
    </row>
    <row r="354" ht="15.75" customHeight="1">
      <c r="A354" s="3" t="inlineStr">
        <is>
          <t>PROD_0353</t>
        </is>
      </c>
    </row>
    <row r="355" ht="15.75" customHeight="1">
      <c r="A355" s="3" t="inlineStr">
        <is>
          <t>PROD_0354</t>
        </is>
      </c>
    </row>
    <row r="356" ht="15.75" customHeight="1">
      <c r="A356" s="3" t="inlineStr">
        <is>
          <t>PROD_0355</t>
        </is>
      </c>
    </row>
    <row r="357" ht="15.75" customHeight="1">
      <c r="A357" s="3" t="inlineStr">
        <is>
          <t>PROD_0356</t>
        </is>
      </c>
    </row>
    <row r="358" ht="15.75" customHeight="1">
      <c r="A358" s="3" t="inlineStr">
        <is>
          <t>PROD_0357</t>
        </is>
      </c>
    </row>
    <row r="359" ht="15.75" customHeight="1">
      <c r="A359" s="3" t="inlineStr">
        <is>
          <t>PROD_0358</t>
        </is>
      </c>
    </row>
    <row r="360" ht="15.75" customHeight="1">
      <c r="A360" s="3" t="inlineStr">
        <is>
          <t>PROD_0359</t>
        </is>
      </c>
    </row>
    <row r="361" ht="15.75" customHeight="1">
      <c r="A361" s="3" t="inlineStr">
        <is>
          <t>PROD_0360</t>
        </is>
      </c>
    </row>
    <row r="362" ht="15.75" customHeight="1">
      <c r="A362" s="3" t="inlineStr">
        <is>
          <t>PROD_0361</t>
        </is>
      </c>
    </row>
    <row r="363" ht="15.75" customHeight="1">
      <c r="A363" s="3" t="inlineStr">
        <is>
          <t>PROD_0362</t>
        </is>
      </c>
    </row>
    <row r="364" ht="15.75" customHeight="1">
      <c r="A364" s="3" t="inlineStr">
        <is>
          <t>PROD_0363</t>
        </is>
      </c>
    </row>
    <row r="365" ht="15.75" customHeight="1">
      <c r="A365" s="3" t="inlineStr">
        <is>
          <t>PROD_0364</t>
        </is>
      </c>
    </row>
    <row r="366" ht="15.75" customHeight="1">
      <c r="A366" s="3" t="inlineStr">
        <is>
          <t>PROD_0365</t>
        </is>
      </c>
    </row>
    <row r="367" ht="15.75" customHeight="1">
      <c r="A367" s="3" t="inlineStr">
        <is>
          <t>PROD_0366</t>
        </is>
      </c>
    </row>
    <row r="368" ht="15.75" customHeight="1">
      <c r="A368" s="3" t="inlineStr">
        <is>
          <t>PROD_0367</t>
        </is>
      </c>
    </row>
    <row r="369" ht="15.75" customHeight="1">
      <c r="A369" s="3" t="inlineStr">
        <is>
          <t>PROD_0368</t>
        </is>
      </c>
    </row>
    <row r="370" ht="15.75" customHeight="1">
      <c r="A370" s="3" t="inlineStr">
        <is>
          <t>PROD_0369</t>
        </is>
      </c>
    </row>
    <row r="371" ht="15.75" customHeight="1">
      <c r="A371" s="3" t="inlineStr">
        <is>
          <t>PROD_0370</t>
        </is>
      </c>
    </row>
    <row r="372" ht="15.75" customHeight="1">
      <c r="A372" s="3" t="inlineStr">
        <is>
          <t>PROD_0371</t>
        </is>
      </c>
    </row>
    <row r="373" ht="15.75" customHeight="1">
      <c r="A373" s="3" t="inlineStr">
        <is>
          <t>PROD_0372</t>
        </is>
      </c>
    </row>
    <row r="374" ht="15.75" customHeight="1">
      <c r="A374" s="3" t="inlineStr">
        <is>
          <t>PROD_0373</t>
        </is>
      </c>
    </row>
    <row r="375" ht="15.75" customHeight="1">
      <c r="A375" s="3" t="inlineStr">
        <is>
          <t>PROD_0374</t>
        </is>
      </c>
    </row>
    <row r="376" ht="15.75" customHeight="1">
      <c r="A376" s="3" t="inlineStr">
        <is>
          <t>PROD_0375</t>
        </is>
      </c>
    </row>
    <row r="377" ht="15.75" customHeight="1">
      <c r="A377" s="3" t="inlineStr">
        <is>
          <t>PROD_0376</t>
        </is>
      </c>
    </row>
    <row r="378" ht="15.75" customHeight="1">
      <c r="A378" s="3" t="inlineStr">
        <is>
          <t>PROD_0377</t>
        </is>
      </c>
    </row>
    <row r="379" ht="15.75" customHeight="1">
      <c r="A379" s="3" t="inlineStr">
        <is>
          <t>PROD_0378</t>
        </is>
      </c>
    </row>
    <row r="380" ht="15.75" customHeight="1">
      <c r="A380" s="3" t="inlineStr">
        <is>
          <t>PROD_0379</t>
        </is>
      </c>
    </row>
    <row r="381" ht="15.75" customHeight="1">
      <c r="A381" s="3" t="inlineStr">
        <is>
          <t>PROD_0380</t>
        </is>
      </c>
    </row>
    <row r="382" ht="15.75" customHeight="1">
      <c r="A382" s="3" t="inlineStr">
        <is>
          <t>PROD_0381</t>
        </is>
      </c>
    </row>
    <row r="383" ht="15.75" customHeight="1">
      <c r="A383" s="3" t="inlineStr">
        <is>
          <t>PROD_0382</t>
        </is>
      </c>
    </row>
    <row r="384" ht="15.75" customHeight="1">
      <c r="A384" s="3" t="inlineStr">
        <is>
          <t>PROD_0383</t>
        </is>
      </c>
    </row>
    <row r="385" ht="15.75" customHeight="1">
      <c r="A385" s="3" t="inlineStr">
        <is>
          <t>PROD_0384</t>
        </is>
      </c>
    </row>
    <row r="386" ht="15.75" customHeight="1">
      <c r="A386" s="3" t="inlineStr">
        <is>
          <t>PROD_0385</t>
        </is>
      </c>
    </row>
    <row r="387" ht="15.75" customHeight="1">
      <c r="A387" s="3" t="inlineStr">
        <is>
          <t>PROD_0386</t>
        </is>
      </c>
    </row>
    <row r="388" ht="15.75" customHeight="1">
      <c r="A388" s="3" t="inlineStr">
        <is>
          <t>PROD_0387</t>
        </is>
      </c>
    </row>
    <row r="389" ht="15.75" customHeight="1">
      <c r="A389" s="3" t="inlineStr">
        <is>
          <t>PROD_0388</t>
        </is>
      </c>
    </row>
    <row r="390" ht="15.75" customHeight="1">
      <c r="A390" s="3" t="inlineStr">
        <is>
          <t>PROD_0389</t>
        </is>
      </c>
    </row>
    <row r="391" ht="15.75" customHeight="1">
      <c r="A391" s="3" t="inlineStr">
        <is>
          <t>PROD_0390</t>
        </is>
      </c>
    </row>
    <row r="392" ht="15.75" customHeight="1">
      <c r="A392" s="3" t="inlineStr">
        <is>
          <t>PROD_0391</t>
        </is>
      </c>
    </row>
    <row r="393" ht="15.75" customHeight="1">
      <c r="A393" s="3" t="inlineStr">
        <is>
          <t>PROD_0392</t>
        </is>
      </c>
    </row>
    <row r="394" ht="15.75" customHeight="1">
      <c r="A394" s="3" t="inlineStr">
        <is>
          <t>PROD_0393</t>
        </is>
      </c>
    </row>
    <row r="395" ht="15.75" customHeight="1">
      <c r="A395" s="3" t="inlineStr">
        <is>
          <t>PROD_0394</t>
        </is>
      </c>
    </row>
    <row r="396" ht="15.75" customHeight="1">
      <c r="A396" s="3" t="inlineStr">
        <is>
          <t>PROD_0395</t>
        </is>
      </c>
    </row>
    <row r="397" ht="15.75" customHeight="1">
      <c r="A397" s="3" t="inlineStr">
        <is>
          <t>PROD_0396</t>
        </is>
      </c>
    </row>
    <row r="398" ht="15.75" customHeight="1">
      <c r="A398" s="3" t="inlineStr">
        <is>
          <t>PROD_0397</t>
        </is>
      </c>
    </row>
    <row r="399" ht="15.75" customHeight="1">
      <c r="A399" s="3" t="inlineStr">
        <is>
          <t>PROD_0398</t>
        </is>
      </c>
    </row>
    <row r="400" ht="15.75" customHeight="1">
      <c r="A400" s="3" t="inlineStr">
        <is>
          <t>PROD_0399</t>
        </is>
      </c>
    </row>
    <row r="401" ht="15.75" customHeight="1">
      <c r="A401" s="3" t="inlineStr">
        <is>
          <t>PROD_0400</t>
        </is>
      </c>
    </row>
    <row r="402" ht="15.75" customHeight="1">
      <c r="A402" s="3" t="inlineStr">
        <is>
          <t>PROD_0401</t>
        </is>
      </c>
    </row>
    <row r="403" ht="15.75" customHeight="1">
      <c r="A403" s="3" t="inlineStr">
        <is>
          <t>PROD_0402</t>
        </is>
      </c>
    </row>
    <row r="404" ht="15.75" customHeight="1">
      <c r="A404" s="3" t="inlineStr">
        <is>
          <t>PROD_0403</t>
        </is>
      </c>
    </row>
    <row r="405" ht="15.75" customHeight="1">
      <c r="A405" s="3" t="inlineStr">
        <is>
          <t>PROD_0404</t>
        </is>
      </c>
    </row>
    <row r="406" ht="15.75" customHeight="1">
      <c r="A406" s="3" t="inlineStr">
        <is>
          <t>PROD_0405</t>
        </is>
      </c>
    </row>
    <row r="407" ht="15.75" customHeight="1">
      <c r="A407" s="3" t="inlineStr">
        <is>
          <t>PROD_0406</t>
        </is>
      </c>
    </row>
    <row r="408" ht="15.75" customHeight="1">
      <c r="A408" s="3" t="inlineStr">
        <is>
          <t>PROD_0407</t>
        </is>
      </c>
    </row>
    <row r="409" ht="15.75" customHeight="1">
      <c r="A409" s="3" t="inlineStr">
        <is>
          <t>PROD_0408</t>
        </is>
      </c>
    </row>
    <row r="410" ht="15.75" customHeight="1">
      <c r="A410" s="3" t="inlineStr">
        <is>
          <t>PROD_0409</t>
        </is>
      </c>
    </row>
    <row r="411" ht="15.75" customHeight="1">
      <c r="A411" s="3" t="inlineStr">
        <is>
          <t>PROD_0410</t>
        </is>
      </c>
    </row>
    <row r="412" ht="15.75" customHeight="1">
      <c r="A412" s="3" t="inlineStr">
        <is>
          <t>PROD_0411</t>
        </is>
      </c>
    </row>
    <row r="413" ht="15.75" customHeight="1">
      <c r="A413" s="3" t="inlineStr">
        <is>
          <t>PROD_0412</t>
        </is>
      </c>
    </row>
    <row r="414" ht="15.75" customHeight="1">
      <c r="A414" s="3" t="inlineStr">
        <is>
          <t>PROD_0413</t>
        </is>
      </c>
    </row>
    <row r="415" ht="15.75" customHeight="1">
      <c r="A415" s="3" t="inlineStr">
        <is>
          <t>PROD_0414</t>
        </is>
      </c>
    </row>
    <row r="416" ht="15.75" customHeight="1">
      <c r="A416" s="3" t="inlineStr">
        <is>
          <t>PROD_0415</t>
        </is>
      </c>
    </row>
    <row r="417" ht="15.75" customHeight="1">
      <c r="A417" s="3" t="inlineStr">
        <is>
          <t>PROD_0416</t>
        </is>
      </c>
    </row>
    <row r="418" ht="15.75" customHeight="1">
      <c r="A418" s="3" t="inlineStr">
        <is>
          <t>PROD_0417</t>
        </is>
      </c>
    </row>
    <row r="419" ht="15.75" customHeight="1">
      <c r="A419" s="3" t="inlineStr">
        <is>
          <t>PROD_0418</t>
        </is>
      </c>
    </row>
    <row r="420" ht="15.75" customHeight="1">
      <c r="A420" s="3" t="inlineStr">
        <is>
          <t>PROD_0419</t>
        </is>
      </c>
    </row>
    <row r="421" ht="15.75" customHeight="1">
      <c r="A421" s="3" t="inlineStr">
        <is>
          <t>PROD_0420</t>
        </is>
      </c>
    </row>
    <row r="422" ht="15.75" customHeight="1">
      <c r="A422" s="3" t="inlineStr">
        <is>
          <t>PROD_0421</t>
        </is>
      </c>
    </row>
    <row r="423" ht="15.75" customHeight="1">
      <c r="A423" s="3" t="inlineStr">
        <is>
          <t>PROD_0422</t>
        </is>
      </c>
    </row>
    <row r="424" ht="15.75" customHeight="1">
      <c r="A424" s="3" t="inlineStr">
        <is>
          <t>PROD_0423</t>
        </is>
      </c>
    </row>
    <row r="425" ht="15.75" customHeight="1">
      <c r="A425" s="3" t="inlineStr">
        <is>
          <t>PROD_0424</t>
        </is>
      </c>
    </row>
    <row r="426" ht="15.75" customHeight="1">
      <c r="A426" s="3" t="inlineStr">
        <is>
          <t>PROD_0425</t>
        </is>
      </c>
    </row>
    <row r="427" ht="15.75" customHeight="1">
      <c r="A427" s="3" t="inlineStr">
        <is>
          <t>PROD_0426</t>
        </is>
      </c>
    </row>
    <row r="428" ht="15.75" customHeight="1">
      <c r="A428" s="3" t="inlineStr">
        <is>
          <t>PROD_0427</t>
        </is>
      </c>
    </row>
    <row r="429" ht="15.75" customHeight="1">
      <c r="A429" s="3" t="inlineStr">
        <is>
          <t>PROD_0428</t>
        </is>
      </c>
    </row>
    <row r="430" ht="15.75" customHeight="1">
      <c r="A430" s="3" t="inlineStr">
        <is>
          <t>PROD_0429</t>
        </is>
      </c>
    </row>
    <row r="431" ht="15.75" customHeight="1">
      <c r="A431" s="3" t="inlineStr">
        <is>
          <t>PROD_0430</t>
        </is>
      </c>
    </row>
    <row r="432" ht="15.75" customHeight="1">
      <c r="A432" s="3" t="inlineStr">
        <is>
          <t>PROD_0431</t>
        </is>
      </c>
    </row>
    <row r="433" ht="15.75" customHeight="1">
      <c r="A433" s="3" t="inlineStr">
        <is>
          <t>PROD_0432</t>
        </is>
      </c>
    </row>
    <row r="434" ht="15.75" customHeight="1">
      <c r="A434" s="3" t="inlineStr">
        <is>
          <t>PROD_0433</t>
        </is>
      </c>
    </row>
    <row r="435" ht="15.75" customHeight="1">
      <c r="A435" s="3" t="inlineStr">
        <is>
          <t>PROD_0434</t>
        </is>
      </c>
    </row>
    <row r="436" ht="15.75" customHeight="1">
      <c r="A436" s="3" t="inlineStr">
        <is>
          <t>PROD_0435</t>
        </is>
      </c>
    </row>
    <row r="437" ht="15.75" customHeight="1">
      <c r="A437" s="3" t="inlineStr">
        <is>
          <t>PROD_0436</t>
        </is>
      </c>
    </row>
    <row r="438" ht="15.75" customHeight="1">
      <c r="A438" s="3" t="inlineStr">
        <is>
          <t>PROD_0437</t>
        </is>
      </c>
    </row>
    <row r="439" ht="15.75" customHeight="1">
      <c r="A439" s="3" t="inlineStr">
        <is>
          <t>PROD_0438</t>
        </is>
      </c>
    </row>
    <row r="440" ht="15.75" customHeight="1">
      <c r="A440" s="3" t="inlineStr">
        <is>
          <t>PROD_0439</t>
        </is>
      </c>
    </row>
    <row r="441" ht="15.75" customHeight="1">
      <c r="A441" s="3" t="inlineStr">
        <is>
          <t>PROD_0440</t>
        </is>
      </c>
    </row>
    <row r="442" ht="15.75" customHeight="1">
      <c r="A442" s="3" t="inlineStr">
        <is>
          <t>PROD_0441</t>
        </is>
      </c>
    </row>
    <row r="443" ht="15.75" customHeight="1">
      <c r="A443" s="3" t="inlineStr">
        <is>
          <t>PROD_0442</t>
        </is>
      </c>
    </row>
    <row r="444" ht="15.75" customHeight="1">
      <c r="A444" s="3" t="inlineStr">
        <is>
          <t>PROD_0443</t>
        </is>
      </c>
    </row>
    <row r="445" ht="15.75" customHeight="1">
      <c r="A445" s="3" t="inlineStr">
        <is>
          <t>PROD_0444</t>
        </is>
      </c>
    </row>
    <row r="446" ht="15.75" customHeight="1">
      <c r="A446" s="3" t="inlineStr">
        <is>
          <t>PROD_0445</t>
        </is>
      </c>
    </row>
    <row r="447" ht="15.75" customHeight="1">
      <c r="A447" s="3" t="inlineStr">
        <is>
          <t>PROD_0446</t>
        </is>
      </c>
    </row>
    <row r="448" ht="15.75" customHeight="1">
      <c r="A448" s="3" t="inlineStr">
        <is>
          <t>PROD_0447</t>
        </is>
      </c>
    </row>
    <row r="449" ht="15.75" customHeight="1">
      <c r="A449" s="3" t="inlineStr">
        <is>
          <t>PROD_0448</t>
        </is>
      </c>
    </row>
    <row r="450" ht="15.75" customHeight="1">
      <c r="A450" s="3" t="inlineStr">
        <is>
          <t>PROD_0449</t>
        </is>
      </c>
    </row>
    <row r="451" ht="15.75" customHeight="1">
      <c r="A451" s="3" t="inlineStr">
        <is>
          <t>PROD_0450</t>
        </is>
      </c>
    </row>
    <row r="452" ht="15.75" customHeight="1">
      <c r="A452" s="3" t="inlineStr">
        <is>
          <t>PROD_0451</t>
        </is>
      </c>
    </row>
    <row r="453" ht="15.75" customHeight="1">
      <c r="A453" s="3" t="inlineStr">
        <is>
          <t>PROD_0452</t>
        </is>
      </c>
    </row>
    <row r="454" ht="15.75" customHeight="1">
      <c r="A454" s="3" t="inlineStr">
        <is>
          <t>PROD_0453</t>
        </is>
      </c>
    </row>
    <row r="455" ht="15.75" customHeight="1">
      <c r="A455" s="3" t="inlineStr">
        <is>
          <t>PROD_0454</t>
        </is>
      </c>
    </row>
    <row r="456" ht="15.75" customHeight="1">
      <c r="A456" s="3" t="inlineStr">
        <is>
          <t>PROD_0455</t>
        </is>
      </c>
    </row>
    <row r="457" ht="15.75" customHeight="1">
      <c r="A457" s="3" t="inlineStr">
        <is>
          <t>PROD_0456</t>
        </is>
      </c>
    </row>
    <row r="458" ht="15.75" customHeight="1">
      <c r="A458" s="3" t="inlineStr">
        <is>
          <t>PROD_0457</t>
        </is>
      </c>
    </row>
    <row r="459" ht="15.75" customHeight="1">
      <c r="A459" s="3" t="inlineStr">
        <is>
          <t>PROD_0458</t>
        </is>
      </c>
    </row>
    <row r="460" ht="15.75" customHeight="1">
      <c r="A460" s="3" t="inlineStr">
        <is>
          <t>PROD_0459</t>
        </is>
      </c>
    </row>
    <row r="461" ht="15.75" customHeight="1">
      <c r="A461" s="3" t="inlineStr">
        <is>
          <t>PROD_0460</t>
        </is>
      </c>
    </row>
    <row r="462" ht="15.75" customHeight="1">
      <c r="A462" s="3" t="inlineStr">
        <is>
          <t>PROD_0461</t>
        </is>
      </c>
    </row>
    <row r="463" ht="15.75" customHeight="1">
      <c r="A463" s="3" t="inlineStr">
        <is>
          <t>PROD_0462</t>
        </is>
      </c>
    </row>
    <row r="464" ht="15.75" customHeight="1">
      <c r="A464" s="3" t="inlineStr">
        <is>
          <t>PROD_0463</t>
        </is>
      </c>
    </row>
    <row r="465" ht="15.75" customHeight="1">
      <c r="A465" s="3" t="inlineStr">
        <is>
          <t>PROD_0464</t>
        </is>
      </c>
    </row>
    <row r="466" ht="15.75" customHeight="1">
      <c r="A466" s="3" t="inlineStr">
        <is>
          <t>PROD_0465</t>
        </is>
      </c>
    </row>
    <row r="467" ht="15.75" customHeight="1">
      <c r="A467" s="3" t="inlineStr">
        <is>
          <t>PROD_0466</t>
        </is>
      </c>
    </row>
    <row r="468" ht="15.75" customHeight="1">
      <c r="A468" s="3" t="inlineStr">
        <is>
          <t>PROD_0467</t>
        </is>
      </c>
    </row>
    <row r="469" ht="15.75" customHeight="1">
      <c r="A469" s="3" t="inlineStr">
        <is>
          <t>PROD_0468</t>
        </is>
      </c>
    </row>
    <row r="470" ht="15.75" customHeight="1">
      <c r="A470" s="3" t="inlineStr">
        <is>
          <t>PROD_0469</t>
        </is>
      </c>
    </row>
    <row r="471" ht="15.75" customHeight="1">
      <c r="A471" s="3" t="inlineStr">
        <is>
          <t>PROD_0470</t>
        </is>
      </c>
    </row>
    <row r="472" ht="15.75" customHeight="1">
      <c r="A472" s="3" t="inlineStr">
        <is>
          <t>PROD_0471</t>
        </is>
      </c>
    </row>
    <row r="473" ht="15.75" customHeight="1">
      <c r="A473" s="3" t="inlineStr">
        <is>
          <t>PROD_0472</t>
        </is>
      </c>
    </row>
    <row r="474" ht="15.75" customHeight="1">
      <c r="A474" s="3" t="inlineStr">
        <is>
          <t>PROD_0473</t>
        </is>
      </c>
    </row>
    <row r="475" ht="15.75" customHeight="1">
      <c r="A475" s="3" t="inlineStr">
        <is>
          <t>PROD_0474</t>
        </is>
      </c>
    </row>
    <row r="476" ht="15.75" customHeight="1">
      <c r="A476" s="3" t="inlineStr">
        <is>
          <t>PROD_0475</t>
        </is>
      </c>
    </row>
    <row r="477" ht="15.75" customHeight="1">
      <c r="A477" s="3" t="inlineStr">
        <is>
          <t>PROD_0476</t>
        </is>
      </c>
    </row>
    <row r="478" ht="15.75" customHeight="1">
      <c r="A478" s="3" t="inlineStr">
        <is>
          <t>PROD_0477</t>
        </is>
      </c>
    </row>
    <row r="479" ht="15.75" customHeight="1">
      <c r="A479" s="3" t="inlineStr">
        <is>
          <t>PROD_0478</t>
        </is>
      </c>
    </row>
    <row r="480" ht="15.75" customHeight="1">
      <c r="A480" s="3" t="inlineStr">
        <is>
          <t>PROD_0479</t>
        </is>
      </c>
    </row>
    <row r="481" ht="15.75" customHeight="1">
      <c r="A481" s="3" t="inlineStr">
        <is>
          <t>PROD_0480</t>
        </is>
      </c>
    </row>
    <row r="482" ht="15.75" customHeight="1">
      <c r="A482" s="3" t="inlineStr">
        <is>
          <t>PROD_0481</t>
        </is>
      </c>
    </row>
    <row r="483" ht="15.75" customHeight="1">
      <c r="A483" s="3" t="inlineStr">
        <is>
          <t>PROD_0482</t>
        </is>
      </c>
    </row>
    <row r="484" ht="15.75" customHeight="1">
      <c r="A484" s="3" t="inlineStr">
        <is>
          <t>PROD_0483</t>
        </is>
      </c>
    </row>
    <row r="485" ht="15.75" customHeight="1">
      <c r="A485" s="3" t="inlineStr">
        <is>
          <t>PROD_0484</t>
        </is>
      </c>
    </row>
    <row r="486" ht="15.75" customHeight="1">
      <c r="A486" s="3" t="inlineStr">
        <is>
          <t>PROD_0485</t>
        </is>
      </c>
    </row>
    <row r="487" ht="15.75" customHeight="1">
      <c r="A487" s="3" t="inlineStr">
        <is>
          <t>PROD_0486</t>
        </is>
      </c>
    </row>
    <row r="488" ht="15.75" customHeight="1">
      <c r="A488" s="3" t="inlineStr">
        <is>
          <t>PROD_0487</t>
        </is>
      </c>
    </row>
    <row r="489" ht="15.75" customHeight="1">
      <c r="A489" s="3" t="inlineStr">
        <is>
          <t>PROD_0488</t>
        </is>
      </c>
    </row>
    <row r="490" ht="15.75" customHeight="1">
      <c r="A490" s="3" t="inlineStr">
        <is>
          <t>PROD_0489</t>
        </is>
      </c>
    </row>
    <row r="491" ht="15.75" customHeight="1">
      <c r="A491" s="3" t="inlineStr">
        <is>
          <t>PROD_0490</t>
        </is>
      </c>
    </row>
    <row r="492" ht="15.75" customHeight="1">
      <c r="A492" s="3" t="inlineStr">
        <is>
          <t>PROD_0491</t>
        </is>
      </c>
    </row>
    <row r="493" ht="15.75" customHeight="1">
      <c r="A493" s="3" t="inlineStr">
        <is>
          <t>PROD_0492</t>
        </is>
      </c>
    </row>
    <row r="494" ht="15.75" customHeight="1">
      <c r="A494" s="3" t="inlineStr">
        <is>
          <t>PROD_0493</t>
        </is>
      </c>
    </row>
    <row r="495" ht="15.75" customHeight="1">
      <c r="A495" s="3" t="inlineStr">
        <is>
          <t>PROD_0494</t>
        </is>
      </c>
    </row>
    <row r="496" ht="15.75" customHeight="1">
      <c r="A496" s="3" t="inlineStr">
        <is>
          <t>PROD_0495</t>
        </is>
      </c>
    </row>
    <row r="497" ht="15.75" customHeight="1">
      <c r="A497" s="3" t="inlineStr">
        <is>
          <t>PROD_0496</t>
        </is>
      </c>
    </row>
    <row r="498" ht="15.75" customHeight="1">
      <c r="A498" s="3" t="inlineStr">
        <is>
          <t>PROD_0497</t>
        </is>
      </c>
    </row>
    <row r="499" ht="15.75" customHeight="1">
      <c r="A499" s="3" t="inlineStr">
        <is>
          <t>PROD_0498</t>
        </is>
      </c>
    </row>
    <row r="500" ht="15.75" customHeight="1">
      <c r="A500" s="3" t="inlineStr">
        <is>
          <t>PROD_0499</t>
        </is>
      </c>
    </row>
    <row r="501" ht="15.75" customHeight="1">
      <c r="A501" s="3" t="inlineStr">
        <is>
          <t>PROD_0500</t>
        </is>
      </c>
    </row>
    <row r="502" ht="15.75" customHeight="1">
      <c r="A502" s="3" t="inlineStr">
        <is>
          <t>PROD_0501</t>
        </is>
      </c>
    </row>
    <row r="503" ht="15.75" customHeight="1">
      <c r="A503" s="3" t="inlineStr">
        <is>
          <t>PROD_0502</t>
        </is>
      </c>
    </row>
    <row r="504" ht="15.75" customHeight="1">
      <c r="A504" s="3" t="inlineStr">
        <is>
          <t>PROD_0503</t>
        </is>
      </c>
    </row>
    <row r="505" ht="15.75" customHeight="1">
      <c r="A505" s="3" t="inlineStr">
        <is>
          <t>PROD_0504</t>
        </is>
      </c>
    </row>
    <row r="506" ht="15.75" customHeight="1">
      <c r="A506" s="3" t="inlineStr">
        <is>
          <t>PROD_0505</t>
        </is>
      </c>
    </row>
    <row r="507" ht="15.75" customHeight="1">
      <c r="A507" s="3" t="inlineStr">
        <is>
          <t>PROD_0506</t>
        </is>
      </c>
    </row>
    <row r="508" ht="15.75" customHeight="1">
      <c r="A508" s="3" t="inlineStr">
        <is>
          <t>PROD_0507</t>
        </is>
      </c>
    </row>
    <row r="509" ht="15.75" customHeight="1">
      <c r="A509" s="3" t="inlineStr">
        <is>
          <t>PROD_0508</t>
        </is>
      </c>
    </row>
    <row r="510" ht="15.75" customHeight="1">
      <c r="A510" s="3" t="inlineStr">
        <is>
          <t>PROD_0509</t>
        </is>
      </c>
    </row>
    <row r="511" ht="15.75" customHeight="1">
      <c r="A511" s="3" t="inlineStr">
        <is>
          <t>PROD_0510</t>
        </is>
      </c>
    </row>
    <row r="512" ht="15.75" customHeight="1">
      <c r="A512" s="3" t="inlineStr">
        <is>
          <t>PROD_0511</t>
        </is>
      </c>
    </row>
    <row r="513" ht="15.75" customHeight="1">
      <c r="A513" s="3" t="inlineStr">
        <is>
          <t>PROD_0512</t>
        </is>
      </c>
    </row>
    <row r="514" ht="15.75" customHeight="1">
      <c r="A514" s="3" t="inlineStr">
        <is>
          <t>PROD_0513</t>
        </is>
      </c>
    </row>
    <row r="515" ht="15.75" customHeight="1">
      <c r="A515" s="3" t="inlineStr">
        <is>
          <t>PROD_0514</t>
        </is>
      </c>
    </row>
    <row r="516" ht="15.75" customHeight="1">
      <c r="A516" s="3" t="inlineStr">
        <is>
          <t>PROD_0515</t>
        </is>
      </c>
    </row>
    <row r="517" ht="15.75" customHeight="1">
      <c r="A517" s="3" t="inlineStr">
        <is>
          <t>PROD_0516</t>
        </is>
      </c>
    </row>
    <row r="518" ht="15.75" customHeight="1">
      <c r="A518" s="3" t="inlineStr">
        <is>
          <t>PROD_0517</t>
        </is>
      </c>
    </row>
    <row r="519" ht="15.75" customHeight="1">
      <c r="A519" s="3" t="inlineStr">
        <is>
          <t>PROD_0518</t>
        </is>
      </c>
    </row>
    <row r="520" ht="15.75" customHeight="1">
      <c r="A520" s="3" t="inlineStr">
        <is>
          <t>PROD_0519</t>
        </is>
      </c>
    </row>
    <row r="521" ht="15.75" customHeight="1">
      <c r="A521" s="3" t="inlineStr">
        <is>
          <t>PROD_0520</t>
        </is>
      </c>
    </row>
    <row r="522" ht="15.75" customHeight="1">
      <c r="A522" s="3" t="inlineStr">
        <is>
          <t>PROD_0521</t>
        </is>
      </c>
    </row>
    <row r="523" ht="15.75" customHeight="1">
      <c r="A523" s="3" t="inlineStr">
        <is>
          <t>PROD_0522</t>
        </is>
      </c>
    </row>
    <row r="524" ht="15.75" customHeight="1">
      <c r="A524" s="3" t="inlineStr">
        <is>
          <t>PROD_0523</t>
        </is>
      </c>
    </row>
    <row r="525" ht="15.75" customHeight="1">
      <c r="A525" s="3" t="inlineStr">
        <is>
          <t>PROD_0524</t>
        </is>
      </c>
    </row>
    <row r="526" ht="15.75" customHeight="1">
      <c r="A526" s="3" t="inlineStr">
        <is>
          <t>PROD_0525</t>
        </is>
      </c>
    </row>
    <row r="527" ht="15.75" customHeight="1">
      <c r="A527" s="3" t="inlineStr">
        <is>
          <t>PROD_0526</t>
        </is>
      </c>
    </row>
    <row r="528" ht="15.75" customHeight="1">
      <c r="A528" s="3" t="inlineStr">
        <is>
          <t>PROD_0527</t>
        </is>
      </c>
    </row>
    <row r="529" ht="15.75" customHeight="1">
      <c r="A529" s="3" t="inlineStr">
        <is>
          <t>PROD_0528</t>
        </is>
      </c>
    </row>
    <row r="530" ht="15.75" customHeight="1">
      <c r="A530" s="3" t="inlineStr">
        <is>
          <t>PROD_0529</t>
        </is>
      </c>
    </row>
    <row r="531" ht="15.75" customHeight="1">
      <c r="A531" s="3" t="inlineStr">
        <is>
          <t>PROD_0530</t>
        </is>
      </c>
    </row>
    <row r="532" ht="15.75" customHeight="1">
      <c r="A532" s="3" t="inlineStr">
        <is>
          <t>PROD_0531</t>
        </is>
      </c>
    </row>
    <row r="533" ht="15.75" customHeight="1">
      <c r="A533" s="3" t="inlineStr">
        <is>
          <t>PROD_0532</t>
        </is>
      </c>
    </row>
    <row r="534" ht="15.75" customHeight="1">
      <c r="A534" s="3" t="inlineStr">
        <is>
          <t>PROD_0533</t>
        </is>
      </c>
    </row>
    <row r="535" ht="15.75" customHeight="1">
      <c r="A535" s="3" t="inlineStr">
        <is>
          <t>PROD_0534</t>
        </is>
      </c>
    </row>
    <row r="536" ht="15.75" customHeight="1">
      <c r="A536" s="3" t="inlineStr">
        <is>
          <t>PROD_0535</t>
        </is>
      </c>
    </row>
    <row r="537" ht="15.75" customHeight="1">
      <c r="A537" s="3" t="inlineStr">
        <is>
          <t>PROD_0536</t>
        </is>
      </c>
    </row>
    <row r="538" ht="15.75" customHeight="1">
      <c r="A538" s="3" t="inlineStr">
        <is>
          <t>PROD_0537</t>
        </is>
      </c>
    </row>
    <row r="539" ht="15.75" customHeight="1">
      <c r="A539" s="3" t="inlineStr">
        <is>
          <t>PROD_0538</t>
        </is>
      </c>
    </row>
    <row r="540" ht="15.75" customHeight="1">
      <c r="A540" s="3" t="inlineStr">
        <is>
          <t>PROD_0539</t>
        </is>
      </c>
    </row>
    <row r="541" ht="15.75" customHeight="1">
      <c r="A541" s="3" t="inlineStr">
        <is>
          <t>PROD_0540</t>
        </is>
      </c>
    </row>
    <row r="542" ht="15.75" customHeight="1">
      <c r="A542" s="3" t="inlineStr">
        <is>
          <t>PROD_0541</t>
        </is>
      </c>
    </row>
    <row r="543" ht="15.75" customHeight="1">
      <c r="A543" s="3" t="inlineStr">
        <is>
          <t>PROD_0542</t>
        </is>
      </c>
    </row>
    <row r="544" ht="15.75" customHeight="1">
      <c r="A544" s="3" t="inlineStr">
        <is>
          <t>PROD_0543</t>
        </is>
      </c>
    </row>
    <row r="545" ht="15.75" customHeight="1">
      <c r="A545" s="3" t="inlineStr">
        <is>
          <t>PROD_0544</t>
        </is>
      </c>
    </row>
    <row r="546" ht="15.75" customHeight="1">
      <c r="A546" s="3" t="inlineStr">
        <is>
          <t>PROD_0545</t>
        </is>
      </c>
    </row>
    <row r="547" ht="15.75" customHeight="1">
      <c r="A547" s="3" t="inlineStr">
        <is>
          <t>PROD_0546</t>
        </is>
      </c>
    </row>
    <row r="548" ht="15.75" customHeight="1">
      <c r="A548" s="3" t="inlineStr">
        <is>
          <t>PROD_0547</t>
        </is>
      </c>
    </row>
    <row r="549" ht="15.75" customHeight="1">
      <c r="A549" s="3" t="inlineStr">
        <is>
          <t>PROD_0548</t>
        </is>
      </c>
    </row>
    <row r="550" ht="15.75" customHeight="1">
      <c r="A550" s="3" t="inlineStr">
        <is>
          <t>PROD_0549</t>
        </is>
      </c>
    </row>
    <row r="551" ht="15.75" customHeight="1">
      <c r="A551" s="3" t="inlineStr">
        <is>
          <t>PROD_0550</t>
        </is>
      </c>
    </row>
    <row r="552" ht="15.75" customHeight="1">
      <c r="A552" s="3" t="inlineStr">
        <is>
          <t>PROD_0551</t>
        </is>
      </c>
    </row>
    <row r="553" ht="15.75" customHeight="1">
      <c r="A553" s="3" t="inlineStr">
        <is>
          <t>PROD_0552</t>
        </is>
      </c>
    </row>
    <row r="554" ht="15.75" customHeight="1">
      <c r="A554" s="3" t="inlineStr">
        <is>
          <t>PROD_0553</t>
        </is>
      </c>
    </row>
    <row r="555" ht="15.75" customHeight="1">
      <c r="A555" s="3" t="inlineStr">
        <is>
          <t>PROD_0554</t>
        </is>
      </c>
    </row>
    <row r="556" ht="15.75" customHeight="1">
      <c r="A556" s="3" t="inlineStr">
        <is>
          <t>PROD_0555</t>
        </is>
      </c>
    </row>
    <row r="557" ht="15.75" customHeight="1">
      <c r="A557" s="3" t="inlineStr">
        <is>
          <t>PROD_0556</t>
        </is>
      </c>
    </row>
    <row r="558" ht="15.75" customHeight="1">
      <c r="A558" s="3" t="inlineStr">
        <is>
          <t>PROD_0557</t>
        </is>
      </c>
    </row>
    <row r="559" ht="15.75" customHeight="1">
      <c r="A559" s="3" t="inlineStr">
        <is>
          <t>PROD_0558</t>
        </is>
      </c>
    </row>
    <row r="560" ht="15.75" customHeight="1">
      <c r="A560" s="3" t="inlineStr">
        <is>
          <t>PROD_0559</t>
        </is>
      </c>
    </row>
    <row r="561" ht="15.75" customHeight="1">
      <c r="A561" s="3" t="inlineStr">
        <is>
          <t>PROD_0560</t>
        </is>
      </c>
    </row>
    <row r="562" ht="15.75" customHeight="1">
      <c r="A562" s="3" t="inlineStr">
        <is>
          <t>PROD_0561</t>
        </is>
      </c>
    </row>
    <row r="563" ht="15.75" customHeight="1">
      <c r="A563" s="3" t="inlineStr">
        <is>
          <t>PROD_0562</t>
        </is>
      </c>
    </row>
    <row r="564" ht="15.75" customHeight="1">
      <c r="A564" s="3" t="inlineStr">
        <is>
          <t>PROD_0563</t>
        </is>
      </c>
    </row>
    <row r="565" ht="15.75" customHeight="1">
      <c r="A565" s="3" t="inlineStr">
        <is>
          <t>PROD_0564</t>
        </is>
      </c>
    </row>
    <row r="566" ht="15.75" customHeight="1">
      <c r="A566" s="3" t="inlineStr">
        <is>
          <t>PROD_0565</t>
        </is>
      </c>
    </row>
    <row r="567" ht="15.75" customHeight="1">
      <c r="A567" s="3" t="inlineStr">
        <is>
          <t>PROD_0566</t>
        </is>
      </c>
    </row>
    <row r="568" ht="15.75" customHeight="1">
      <c r="A568" s="3" t="inlineStr">
        <is>
          <t>PROD_0567</t>
        </is>
      </c>
    </row>
    <row r="569" ht="15.75" customHeight="1">
      <c r="A569" s="3" t="inlineStr">
        <is>
          <t>PROD_0568</t>
        </is>
      </c>
    </row>
    <row r="570" ht="15.75" customHeight="1">
      <c r="A570" s="3" t="inlineStr">
        <is>
          <t>PROD_0569</t>
        </is>
      </c>
    </row>
    <row r="571" ht="15.75" customHeight="1">
      <c r="A571" s="3" t="inlineStr">
        <is>
          <t>PROD_0570</t>
        </is>
      </c>
    </row>
    <row r="572" ht="15.75" customHeight="1">
      <c r="A572" s="3" t="inlineStr">
        <is>
          <t>PROD_0571</t>
        </is>
      </c>
    </row>
    <row r="573" ht="15.75" customHeight="1">
      <c r="A573" s="3" t="inlineStr">
        <is>
          <t>PROD_0572</t>
        </is>
      </c>
    </row>
    <row r="574" ht="15.75" customHeight="1">
      <c r="A574" s="3" t="inlineStr">
        <is>
          <t>PROD_0573</t>
        </is>
      </c>
    </row>
    <row r="575" ht="15.75" customHeight="1">
      <c r="A575" s="3" t="inlineStr">
        <is>
          <t>PROD_0574</t>
        </is>
      </c>
    </row>
    <row r="576" ht="15.75" customHeight="1">
      <c r="A576" s="3" t="inlineStr">
        <is>
          <t>PROD_0575</t>
        </is>
      </c>
    </row>
    <row r="577" ht="15.75" customHeight="1">
      <c r="A577" s="3" t="inlineStr">
        <is>
          <t>PROD_0576</t>
        </is>
      </c>
    </row>
    <row r="578" ht="15.75" customHeight="1">
      <c r="A578" s="3" t="inlineStr">
        <is>
          <t>PROD_0577</t>
        </is>
      </c>
    </row>
    <row r="579" ht="15.75" customHeight="1">
      <c r="A579" s="3" t="inlineStr">
        <is>
          <t>PROD_0578</t>
        </is>
      </c>
    </row>
    <row r="580" ht="15.75" customHeight="1">
      <c r="A580" s="3" t="inlineStr">
        <is>
          <t>PROD_0579</t>
        </is>
      </c>
    </row>
    <row r="581" ht="15.75" customHeight="1">
      <c r="A581" s="3" t="inlineStr">
        <is>
          <t>PROD_0580</t>
        </is>
      </c>
    </row>
    <row r="582" ht="15.75" customHeight="1">
      <c r="A582" s="3" t="inlineStr">
        <is>
          <t>PROD_0581</t>
        </is>
      </c>
    </row>
    <row r="583" ht="15.75" customHeight="1">
      <c r="A583" s="3" t="inlineStr">
        <is>
          <t>PROD_0582</t>
        </is>
      </c>
    </row>
    <row r="584" ht="15.75" customHeight="1">
      <c r="A584" s="3" t="inlineStr">
        <is>
          <t>PROD_0583</t>
        </is>
      </c>
    </row>
    <row r="585" ht="15.75" customHeight="1">
      <c r="A585" s="3" t="inlineStr">
        <is>
          <t>PROD_0584</t>
        </is>
      </c>
    </row>
    <row r="586" ht="15.75" customHeight="1">
      <c r="A586" s="3" t="inlineStr">
        <is>
          <t>PROD_0585</t>
        </is>
      </c>
    </row>
    <row r="587" ht="15.75" customHeight="1">
      <c r="A587" s="3" t="inlineStr">
        <is>
          <t>PROD_0586</t>
        </is>
      </c>
    </row>
    <row r="588" ht="15.75" customHeight="1">
      <c r="A588" s="3" t="inlineStr">
        <is>
          <t>PROD_0587</t>
        </is>
      </c>
    </row>
    <row r="589" ht="15.75" customHeight="1">
      <c r="A589" s="3" t="inlineStr">
        <is>
          <t>PROD_0588</t>
        </is>
      </c>
    </row>
    <row r="590" ht="15.75" customHeight="1">
      <c r="A590" s="3" t="inlineStr">
        <is>
          <t>PROD_0589</t>
        </is>
      </c>
    </row>
    <row r="591" ht="15.75" customHeight="1">
      <c r="A591" s="3" t="inlineStr">
        <is>
          <t>PROD_0590</t>
        </is>
      </c>
    </row>
    <row r="592" ht="15.75" customHeight="1">
      <c r="A592" s="3" t="inlineStr">
        <is>
          <t>PROD_0591</t>
        </is>
      </c>
    </row>
    <row r="593" ht="15.75" customHeight="1">
      <c r="A593" s="3" t="inlineStr">
        <is>
          <t>PROD_0592</t>
        </is>
      </c>
    </row>
    <row r="594" ht="15.75" customHeight="1">
      <c r="A594" s="3" t="inlineStr">
        <is>
          <t>PROD_0593</t>
        </is>
      </c>
    </row>
    <row r="595" ht="15.75" customHeight="1">
      <c r="A595" s="3" t="inlineStr">
        <is>
          <t>PROD_0594</t>
        </is>
      </c>
    </row>
    <row r="596" ht="15.75" customHeight="1">
      <c r="A596" s="3" t="inlineStr">
        <is>
          <t>PROD_0595</t>
        </is>
      </c>
    </row>
    <row r="597" ht="15.75" customHeight="1">
      <c r="A597" s="3" t="inlineStr">
        <is>
          <t>PROD_0596</t>
        </is>
      </c>
    </row>
    <row r="598" ht="15.75" customHeight="1">
      <c r="A598" s="3" t="inlineStr">
        <is>
          <t>PROD_0597</t>
        </is>
      </c>
    </row>
    <row r="599" ht="15.75" customHeight="1">
      <c r="A599" s="3" t="inlineStr">
        <is>
          <t>PROD_0598</t>
        </is>
      </c>
    </row>
    <row r="600" ht="15.75" customHeight="1">
      <c r="A600" s="3" t="inlineStr">
        <is>
          <t>PROD_0599</t>
        </is>
      </c>
    </row>
    <row r="601" ht="15.75" customHeight="1">
      <c r="A601" s="3" t="inlineStr">
        <is>
          <t>PROD_0600</t>
        </is>
      </c>
    </row>
    <row r="602" ht="15.75" customHeight="1">
      <c r="A602" s="3" t="inlineStr">
        <is>
          <t>PROD_0601</t>
        </is>
      </c>
    </row>
    <row r="603" ht="15.75" customHeight="1">
      <c r="A603" s="3" t="inlineStr">
        <is>
          <t>PROD_0602</t>
        </is>
      </c>
    </row>
    <row r="604" ht="15.75" customHeight="1">
      <c r="A604" s="3" t="inlineStr">
        <is>
          <t>PROD_0603</t>
        </is>
      </c>
    </row>
    <row r="605" ht="15.75" customHeight="1">
      <c r="A605" s="3" t="inlineStr">
        <is>
          <t>PROD_0604</t>
        </is>
      </c>
    </row>
    <row r="606" ht="15.75" customHeight="1">
      <c r="A606" s="3" t="inlineStr">
        <is>
          <t>PROD_0605</t>
        </is>
      </c>
    </row>
    <row r="607" ht="15.75" customHeight="1">
      <c r="A607" s="3" t="inlineStr">
        <is>
          <t>PROD_0606</t>
        </is>
      </c>
    </row>
    <row r="608" ht="15.75" customHeight="1">
      <c r="A608" s="3" t="inlineStr">
        <is>
          <t>PROD_0607</t>
        </is>
      </c>
    </row>
    <row r="609" ht="15.75" customHeight="1">
      <c r="A609" s="3" t="inlineStr">
        <is>
          <t>PROD_0608</t>
        </is>
      </c>
    </row>
    <row r="610" ht="15.75" customHeight="1">
      <c r="A610" s="3" t="inlineStr">
        <is>
          <t>PROD_0609</t>
        </is>
      </c>
    </row>
    <row r="611" ht="15.75" customHeight="1">
      <c r="A611" s="3" t="inlineStr">
        <is>
          <t>PROD_0610</t>
        </is>
      </c>
    </row>
    <row r="612" ht="15.75" customHeight="1">
      <c r="A612" s="3" t="inlineStr">
        <is>
          <t>PROD_0611</t>
        </is>
      </c>
    </row>
    <row r="613" ht="15.75" customHeight="1">
      <c r="A613" s="3" t="inlineStr">
        <is>
          <t>PROD_0612</t>
        </is>
      </c>
    </row>
    <row r="614" ht="15.75" customHeight="1">
      <c r="A614" s="3" t="inlineStr">
        <is>
          <t>PROD_0613</t>
        </is>
      </c>
    </row>
    <row r="615" ht="15.75" customHeight="1">
      <c r="A615" s="3" t="inlineStr">
        <is>
          <t>PROD_0614</t>
        </is>
      </c>
    </row>
    <row r="616" ht="15.75" customHeight="1">
      <c r="A616" s="3" t="inlineStr">
        <is>
          <t>PROD_0615</t>
        </is>
      </c>
    </row>
    <row r="617" ht="15.75" customHeight="1">
      <c r="A617" s="3" t="inlineStr">
        <is>
          <t>PROD_0616</t>
        </is>
      </c>
    </row>
    <row r="618" ht="15.75" customHeight="1">
      <c r="A618" s="3" t="inlineStr">
        <is>
          <t>PROD_0617</t>
        </is>
      </c>
    </row>
    <row r="619" ht="15.75" customHeight="1">
      <c r="A619" s="3" t="inlineStr">
        <is>
          <t>PROD_0618</t>
        </is>
      </c>
    </row>
    <row r="620" ht="15.75" customHeight="1">
      <c r="A620" s="3" t="inlineStr">
        <is>
          <t>PROD_0619</t>
        </is>
      </c>
    </row>
    <row r="621" ht="15.75" customHeight="1">
      <c r="A621" s="3" t="inlineStr">
        <is>
          <t>PROD_0620</t>
        </is>
      </c>
    </row>
    <row r="622" ht="15.75" customHeight="1">
      <c r="A622" s="3" t="inlineStr">
        <is>
          <t>PROD_0621</t>
        </is>
      </c>
    </row>
    <row r="623" ht="15.75" customHeight="1">
      <c r="A623" s="3" t="inlineStr">
        <is>
          <t>PROD_0622</t>
        </is>
      </c>
    </row>
    <row r="624" ht="15.75" customHeight="1">
      <c r="A624" s="3" t="inlineStr">
        <is>
          <t>PROD_0623</t>
        </is>
      </c>
    </row>
    <row r="625" ht="15.75" customHeight="1">
      <c r="A625" s="3" t="inlineStr">
        <is>
          <t>PROD_0624</t>
        </is>
      </c>
    </row>
    <row r="626" ht="15.75" customHeight="1">
      <c r="A626" s="3" t="inlineStr">
        <is>
          <t>PROD_0625</t>
        </is>
      </c>
    </row>
    <row r="627" ht="15.75" customHeight="1">
      <c r="A627" s="3" t="inlineStr">
        <is>
          <t>PROD_0626</t>
        </is>
      </c>
    </row>
    <row r="628" ht="15.75" customHeight="1">
      <c r="A628" s="3" t="inlineStr">
        <is>
          <t>PROD_0627</t>
        </is>
      </c>
    </row>
    <row r="629" ht="15.75" customHeight="1">
      <c r="A629" s="3" t="inlineStr">
        <is>
          <t>PROD_0628</t>
        </is>
      </c>
    </row>
    <row r="630" ht="15.75" customHeight="1">
      <c r="A630" s="3" t="inlineStr">
        <is>
          <t>PROD_0629</t>
        </is>
      </c>
    </row>
    <row r="631" ht="15.75" customHeight="1">
      <c r="A631" s="3" t="inlineStr">
        <is>
          <t>PROD_0630</t>
        </is>
      </c>
    </row>
    <row r="632" ht="15.75" customHeight="1">
      <c r="A632" s="3" t="inlineStr">
        <is>
          <t>PROD_0631</t>
        </is>
      </c>
    </row>
    <row r="633" ht="15.75" customHeight="1">
      <c r="A633" s="3" t="inlineStr">
        <is>
          <t>PROD_0632</t>
        </is>
      </c>
    </row>
    <row r="634" ht="15.75" customHeight="1">
      <c r="A634" s="3" t="inlineStr">
        <is>
          <t>PROD_0633</t>
        </is>
      </c>
    </row>
    <row r="635" ht="15.75" customHeight="1">
      <c r="A635" s="3" t="inlineStr">
        <is>
          <t>PROD_0634</t>
        </is>
      </c>
    </row>
    <row r="636" ht="15.75" customHeight="1">
      <c r="A636" s="3" t="inlineStr">
        <is>
          <t>PROD_0635</t>
        </is>
      </c>
    </row>
    <row r="637" ht="15.75" customHeight="1">
      <c r="A637" s="3" t="inlineStr">
        <is>
          <t>PROD_0636</t>
        </is>
      </c>
    </row>
    <row r="638" ht="15.75" customHeight="1">
      <c r="A638" s="3" t="inlineStr">
        <is>
          <t>PROD_0637</t>
        </is>
      </c>
    </row>
    <row r="639" ht="15.75" customHeight="1">
      <c r="A639" s="3" t="inlineStr">
        <is>
          <t>PROD_0638</t>
        </is>
      </c>
    </row>
    <row r="640" ht="15.75" customHeight="1">
      <c r="A640" s="3" t="inlineStr">
        <is>
          <t>PROD_0639</t>
        </is>
      </c>
    </row>
    <row r="641" ht="15.75" customHeight="1">
      <c r="A641" s="3" t="inlineStr">
        <is>
          <t>PROD_0640</t>
        </is>
      </c>
    </row>
    <row r="642" ht="15.75" customHeight="1">
      <c r="A642" s="3" t="inlineStr">
        <is>
          <t>PROD_0641</t>
        </is>
      </c>
    </row>
    <row r="643" ht="15.75" customHeight="1">
      <c r="A643" s="3" t="inlineStr">
        <is>
          <t>PROD_0642</t>
        </is>
      </c>
    </row>
    <row r="644" ht="15.75" customHeight="1">
      <c r="A644" s="3" t="inlineStr">
        <is>
          <t>PROD_0643</t>
        </is>
      </c>
    </row>
    <row r="645" ht="15.75" customHeight="1">
      <c r="A645" s="3" t="inlineStr">
        <is>
          <t>PROD_0644</t>
        </is>
      </c>
    </row>
    <row r="646" ht="15.75" customHeight="1">
      <c r="A646" s="3" t="inlineStr">
        <is>
          <t>PROD_0645</t>
        </is>
      </c>
    </row>
    <row r="647" ht="15.75" customHeight="1">
      <c r="A647" s="3" t="inlineStr">
        <is>
          <t>PROD_0646</t>
        </is>
      </c>
    </row>
    <row r="648" ht="15.75" customHeight="1">
      <c r="A648" s="3" t="inlineStr">
        <is>
          <t>PROD_0647</t>
        </is>
      </c>
    </row>
    <row r="649" ht="15.75" customHeight="1">
      <c r="A649" s="3" t="inlineStr">
        <is>
          <t>PROD_0648</t>
        </is>
      </c>
    </row>
    <row r="650" ht="15.75" customHeight="1">
      <c r="A650" s="3" t="inlineStr">
        <is>
          <t>PROD_0649</t>
        </is>
      </c>
    </row>
    <row r="651" ht="15.75" customHeight="1">
      <c r="A651" s="3" t="inlineStr">
        <is>
          <t>PROD_0650</t>
        </is>
      </c>
    </row>
    <row r="652" ht="15.75" customHeight="1">
      <c r="A652" s="3" t="inlineStr">
        <is>
          <t>PROD_0651</t>
        </is>
      </c>
    </row>
    <row r="653" ht="15.75" customHeight="1">
      <c r="A653" s="3" t="inlineStr">
        <is>
          <t>PROD_0652</t>
        </is>
      </c>
    </row>
    <row r="654" ht="15.75" customHeight="1">
      <c r="A654" s="3" t="inlineStr">
        <is>
          <t>PROD_0653</t>
        </is>
      </c>
    </row>
    <row r="655" ht="15.75" customHeight="1">
      <c r="A655" s="3" t="inlineStr">
        <is>
          <t>PROD_0654</t>
        </is>
      </c>
    </row>
    <row r="656" ht="15.75" customHeight="1">
      <c r="A656" s="3" t="inlineStr">
        <is>
          <t>PROD_0655</t>
        </is>
      </c>
    </row>
    <row r="657" ht="15.75" customHeight="1">
      <c r="A657" s="3" t="inlineStr">
        <is>
          <t>PROD_0656</t>
        </is>
      </c>
    </row>
    <row r="658" ht="15.75" customHeight="1">
      <c r="A658" s="3" t="inlineStr">
        <is>
          <t>PROD_0657</t>
        </is>
      </c>
    </row>
    <row r="659" ht="15.75" customHeight="1">
      <c r="A659" s="3" t="inlineStr">
        <is>
          <t>PROD_0658</t>
        </is>
      </c>
    </row>
    <row r="660" ht="15.75" customHeight="1">
      <c r="A660" s="3" t="inlineStr">
        <is>
          <t>PROD_0659</t>
        </is>
      </c>
    </row>
    <row r="661" ht="15.75" customHeight="1">
      <c r="A661" s="3" t="inlineStr">
        <is>
          <t>PROD_0660</t>
        </is>
      </c>
    </row>
    <row r="662" ht="15.75" customHeight="1">
      <c r="A662" s="3" t="inlineStr">
        <is>
          <t>PROD_0661</t>
        </is>
      </c>
    </row>
    <row r="663" ht="15.75" customHeight="1">
      <c r="A663" s="3" t="inlineStr">
        <is>
          <t>PROD_0662</t>
        </is>
      </c>
    </row>
    <row r="664" ht="15.75" customHeight="1">
      <c r="A664" s="3" t="inlineStr">
        <is>
          <t>PROD_0663</t>
        </is>
      </c>
    </row>
    <row r="665" ht="15.75" customHeight="1">
      <c r="A665" s="3" t="inlineStr">
        <is>
          <t>PROD_0664</t>
        </is>
      </c>
    </row>
    <row r="666" ht="15.75" customHeight="1">
      <c r="A666" s="3" t="inlineStr">
        <is>
          <t>PROD_0665</t>
        </is>
      </c>
    </row>
    <row r="667" ht="15.75" customHeight="1">
      <c r="A667" s="3" t="inlineStr">
        <is>
          <t>PROD_0666</t>
        </is>
      </c>
    </row>
    <row r="668" ht="15.75" customHeight="1">
      <c r="A668" s="3" t="inlineStr">
        <is>
          <t>PROD_0667</t>
        </is>
      </c>
    </row>
    <row r="669" ht="15.75" customHeight="1">
      <c r="A669" s="3" t="inlineStr">
        <is>
          <t>PROD_0668</t>
        </is>
      </c>
    </row>
    <row r="670" ht="15.75" customHeight="1">
      <c r="A670" s="3" t="inlineStr">
        <is>
          <t>PROD_0669</t>
        </is>
      </c>
    </row>
    <row r="671" ht="15.75" customHeight="1">
      <c r="A671" s="3" t="inlineStr">
        <is>
          <t>PROD_0670</t>
        </is>
      </c>
    </row>
    <row r="672" ht="15.75" customHeight="1">
      <c r="A672" s="3" t="inlineStr">
        <is>
          <t>PROD_0671</t>
        </is>
      </c>
    </row>
    <row r="673" ht="15.75" customHeight="1">
      <c r="A673" s="3" t="inlineStr">
        <is>
          <t>PROD_0672</t>
        </is>
      </c>
    </row>
    <row r="674" ht="15.75" customHeight="1">
      <c r="A674" s="3" t="inlineStr">
        <is>
          <t>PROD_0673</t>
        </is>
      </c>
    </row>
    <row r="675" ht="15.75" customHeight="1">
      <c r="A675" s="3" t="inlineStr">
        <is>
          <t>PROD_0674</t>
        </is>
      </c>
    </row>
    <row r="676" ht="15.75" customHeight="1">
      <c r="A676" s="3" t="inlineStr">
        <is>
          <t>PROD_0675</t>
        </is>
      </c>
    </row>
    <row r="677" ht="15.75" customHeight="1">
      <c r="A677" s="3" t="inlineStr">
        <is>
          <t>PROD_0676</t>
        </is>
      </c>
    </row>
    <row r="678" ht="15.75" customHeight="1">
      <c r="A678" s="3" t="inlineStr">
        <is>
          <t>PROD_0677</t>
        </is>
      </c>
    </row>
    <row r="679" ht="15.75" customHeight="1">
      <c r="A679" s="3" t="inlineStr">
        <is>
          <t>PROD_0678</t>
        </is>
      </c>
    </row>
    <row r="680" ht="15.75" customHeight="1">
      <c r="A680" s="3" t="inlineStr">
        <is>
          <t>PROD_0679</t>
        </is>
      </c>
    </row>
    <row r="681" ht="15.75" customHeight="1">
      <c r="A681" s="3" t="inlineStr">
        <is>
          <t>PROD_0680</t>
        </is>
      </c>
    </row>
    <row r="682" ht="15.75" customHeight="1">
      <c r="A682" s="3" t="inlineStr">
        <is>
          <t>PROD_0681</t>
        </is>
      </c>
    </row>
    <row r="683" ht="15.75" customHeight="1">
      <c r="A683" s="3" t="inlineStr">
        <is>
          <t>PROD_0682</t>
        </is>
      </c>
    </row>
    <row r="684" ht="15.75" customHeight="1">
      <c r="A684" s="3" t="inlineStr">
        <is>
          <t>PROD_0683</t>
        </is>
      </c>
    </row>
    <row r="685" ht="15.75" customHeight="1">
      <c r="A685" s="3" t="inlineStr">
        <is>
          <t>PROD_0684</t>
        </is>
      </c>
    </row>
    <row r="686" ht="15.75" customHeight="1">
      <c r="A686" s="3" t="inlineStr">
        <is>
          <t>PROD_0685</t>
        </is>
      </c>
    </row>
    <row r="687" ht="15.75" customHeight="1">
      <c r="A687" s="3" t="inlineStr">
        <is>
          <t>PROD_0686</t>
        </is>
      </c>
    </row>
    <row r="688" ht="15.75" customHeight="1">
      <c r="A688" s="3" t="inlineStr">
        <is>
          <t>PROD_0687</t>
        </is>
      </c>
    </row>
    <row r="689" ht="15.75" customHeight="1">
      <c r="A689" s="3" t="inlineStr">
        <is>
          <t>PROD_0688</t>
        </is>
      </c>
    </row>
    <row r="690" ht="15.75" customHeight="1">
      <c r="A690" s="3" t="inlineStr">
        <is>
          <t>PROD_0689</t>
        </is>
      </c>
    </row>
    <row r="691" ht="15.75" customHeight="1">
      <c r="A691" s="3" t="inlineStr">
        <is>
          <t>PROD_0690</t>
        </is>
      </c>
    </row>
    <row r="692" ht="15.75" customHeight="1">
      <c r="A692" s="3" t="inlineStr">
        <is>
          <t>PROD_0691</t>
        </is>
      </c>
    </row>
    <row r="693" ht="15.75" customHeight="1">
      <c r="A693" s="3" t="inlineStr">
        <is>
          <t>PROD_0692</t>
        </is>
      </c>
    </row>
    <row r="694" ht="15.75" customHeight="1">
      <c r="A694" s="3" t="inlineStr">
        <is>
          <t>PROD_0693</t>
        </is>
      </c>
    </row>
    <row r="695" ht="15.75" customHeight="1">
      <c r="A695" s="3" t="inlineStr">
        <is>
          <t>PROD_0694</t>
        </is>
      </c>
    </row>
    <row r="696" ht="15.75" customHeight="1">
      <c r="A696" s="3" t="inlineStr">
        <is>
          <t>PROD_0695</t>
        </is>
      </c>
    </row>
    <row r="697" ht="15.75" customHeight="1">
      <c r="A697" s="3" t="inlineStr">
        <is>
          <t>PROD_0696</t>
        </is>
      </c>
    </row>
    <row r="698" ht="15.75" customHeight="1">
      <c r="A698" s="3" t="inlineStr">
        <is>
          <t>PROD_0697</t>
        </is>
      </c>
    </row>
    <row r="699" ht="15.75" customHeight="1">
      <c r="A699" s="3" t="inlineStr">
        <is>
          <t>PROD_0698</t>
        </is>
      </c>
    </row>
    <row r="700" ht="15.75" customHeight="1">
      <c r="A700" s="3" t="inlineStr">
        <is>
          <t>PROD_0699</t>
        </is>
      </c>
    </row>
    <row r="701" ht="15.75" customHeight="1">
      <c r="A701" s="3" t="inlineStr">
        <is>
          <t>PROD_0700</t>
        </is>
      </c>
    </row>
    <row r="702" ht="15.75" customHeight="1">
      <c r="A702" s="3" t="inlineStr">
        <is>
          <t>PROD_0701</t>
        </is>
      </c>
    </row>
    <row r="703" ht="15.75" customHeight="1">
      <c r="A703" s="3" t="inlineStr">
        <is>
          <t>PROD_0702</t>
        </is>
      </c>
    </row>
    <row r="704" ht="15.75" customHeight="1">
      <c r="A704" s="3" t="inlineStr">
        <is>
          <t>PROD_0703</t>
        </is>
      </c>
    </row>
    <row r="705" ht="15.75" customHeight="1">
      <c r="A705" s="3" t="inlineStr">
        <is>
          <t>PROD_0704</t>
        </is>
      </c>
    </row>
    <row r="706" ht="15.75" customHeight="1">
      <c r="A706" s="3" t="inlineStr">
        <is>
          <t>PROD_0705</t>
        </is>
      </c>
    </row>
    <row r="707" ht="15.75" customHeight="1">
      <c r="A707" s="3" t="inlineStr">
        <is>
          <t>PROD_0706</t>
        </is>
      </c>
    </row>
    <row r="708" ht="15.75" customHeight="1">
      <c r="A708" s="3" t="inlineStr">
        <is>
          <t>PROD_0707</t>
        </is>
      </c>
    </row>
    <row r="709" ht="15.75" customHeight="1">
      <c r="A709" s="3" t="inlineStr">
        <is>
          <t>PROD_0708</t>
        </is>
      </c>
    </row>
    <row r="710" ht="15.75" customHeight="1">
      <c r="A710" s="3" t="inlineStr">
        <is>
          <t>PROD_0709</t>
        </is>
      </c>
    </row>
    <row r="711" ht="15.75" customHeight="1">
      <c r="A711" s="3" t="inlineStr">
        <is>
          <t>PROD_0710</t>
        </is>
      </c>
    </row>
    <row r="712" ht="15.75" customHeight="1">
      <c r="A712" s="3" t="inlineStr">
        <is>
          <t>PROD_0711</t>
        </is>
      </c>
    </row>
    <row r="713" ht="15.75" customHeight="1">
      <c r="A713" s="3" t="inlineStr">
        <is>
          <t>PROD_0712</t>
        </is>
      </c>
    </row>
    <row r="714" ht="15.75" customHeight="1">
      <c r="A714" s="3" t="inlineStr">
        <is>
          <t>PROD_0713</t>
        </is>
      </c>
    </row>
    <row r="715" ht="15.75" customHeight="1">
      <c r="A715" s="3" t="inlineStr">
        <is>
          <t>PROD_0714</t>
        </is>
      </c>
    </row>
    <row r="716" ht="15.75" customHeight="1">
      <c r="A716" s="3" t="inlineStr">
        <is>
          <t>PROD_0715</t>
        </is>
      </c>
    </row>
    <row r="717" ht="15.75" customHeight="1">
      <c r="A717" s="3" t="inlineStr">
        <is>
          <t>PROD_0716</t>
        </is>
      </c>
    </row>
    <row r="718" ht="15.75" customHeight="1">
      <c r="A718" s="3" t="inlineStr">
        <is>
          <t>PROD_0717</t>
        </is>
      </c>
    </row>
    <row r="719" ht="15.75" customHeight="1">
      <c r="A719" s="3" t="inlineStr">
        <is>
          <t>PROD_0718</t>
        </is>
      </c>
    </row>
    <row r="720" ht="15.75" customHeight="1">
      <c r="A720" s="3" t="inlineStr">
        <is>
          <t>PROD_0719</t>
        </is>
      </c>
    </row>
    <row r="721" ht="15.75" customHeight="1">
      <c r="A721" s="3" t="inlineStr">
        <is>
          <t>PROD_0720</t>
        </is>
      </c>
    </row>
    <row r="722" ht="15.75" customHeight="1">
      <c r="A722" s="3" t="inlineStr">
        <is>
          <t>PROD_0721</t>
        </is>
      </c>
    </row>
    <row r="723" ht="15.75" customHeight="1">
      <c r="A723" s="3" t="inlineStr">
        <is>
          <t>PROD_0722</t>
        </is>
      </c>
    </row>
    <row r="724" ht="15.75" customHeight="1">
      <c r="A724" s="3" t="inlineStr">
        <is>
          <t>PROD_0723</t>
        </is>
      </c>
    </row>
    <row r="725" ht="15.75" customHeight="1">
      <c r="A725" s="3" t="inlineStr">
        <is>
          <t>PROD_0724</t>
        </is>
      </c>
    </row>
    <row r="726" ht="15.75" customHeight="1">
      <c r="A726" s="3" t="inlineStr">
        <is>
          <t>PROD_0725</t>
        </is>
      </c>
    </row>
    <row r="727" ht="15.75" customHeight="1">
      <c r="A727" s="3" t="inlineStr">
        <is>
          <t>PROD_0726</t>
        </is>
      </c>
    </row>
    <row r="728" ht="15.75" customHeight="1">
      <c r="A728" s="3" t="inlineStr">
        <is>
          <t>PROD_0727</t>
        </is>
      </c>
    </row>
    <row r="729" ht="15.75" customHeight="1">
      <c r="A729" s="3" t="inlineStr">
        <is>
          <t>PROD_0728</t>
        </is>
      </c>
    </row>
    <row r="730" ht="15.75" customHeight="1">
      <c r="A730" s="3" t="inlineStr">
        <is>
          <t>PROD_0729</t>
        </is>
      </c>
    </row>
    <row r="731" ht="15.75" customHeight="1">
      <c r="A731" s="3" t="inlineStr">
        <is>
          <t>PROD_0730</t>
        </is>
      </c>
    </row>
    <row r="732" ht="15.75" customHeight="1">
      <c r="A732" s="3" t="inlineStr">
        <is>
          <t>PROD_0731</t>
        </is>
      </c>
    </row>
    <row r="733" ht="15.75" customHeight="1">
      <c r="A733" s="3" t="inlineStr">
        <is>
          <t>PROD_0732</t>
        </is>
      </c>
    </row>
    <row r="734" ht="15.75" customHeight="1">
      <c r="A734" s="3" t="inlineStr">
        <is>
          <t>PROD_0733</t>
        </is>
      </c>
    </row>
    <row r="735" ht="15.75" customHeight="1">
      <c r="A735" s="3" t="inlineStr">
        <is>
          <t>PROD_0734</t>
        </is>
      </c>
    </row>
    <row r="736" ht="15.75" customHeight="1">
      <c r="A736" s="3" t="inlineStr">
        <is>
          <t>PROD_0735</t>
        </is>
      </c>
    </row>
    <row r="737" ht="15.75" customHeight="1">
      <c r="A737" s="3" t="inlineStr">
        <is>
          <t>PROD_0736</t>
        </is>
      </c>
    </row>
    <row r="738" ht="15.75" customHeight="1">
      <c r="A738" s="3" t="inlineStr">
        <is>
          <t>PROD_0737</t>
        </is>
      </c>
    </row>
    <row r="739" ht="15.75" customHeight="1">
      <c r="A739" s="3" t="inlineStr">
        <is>
          <t>PROD_0738</t>
        </is>
      </c>
    </row>
    <row r="740" ht="15.75" customHeight="1">
      <c r="A740" s="3" t="inlineStr">
        <is>
          <t>PROD_0739</t>
        </is>
      </c>
    </row>
    <row r="741" ht="15.75" customHeight="1">
      <c r="A741" s="3" t="inlineStr">
        <is>
          <t>PROD_0740</t>
        </is>
      </c>
    </row>
    <row r="742" ht="15.75" customHeight="1">
      <c r="A742" s="3" t="inlineStr">
        <is>
          <t>PROD_0741</t>
        </is>
      </c>
    </row>
    <row r="743" ht="15.75" customHeight="1">
      <c r="A743" s="3" t="inlineStr">
        <is>
          <t>PROD_0742</t>
        </is>
      </c>
    </row>
    <row r="744" ht="15.75" customHeight="1">
      <c r="A744" s="3" t="inlineStr">
        <is>
          <t>PROD_0743</t>
        </is>
      </c>
    </row>
    <row r="745" ht="15.75" customHeight="1">
      <c r="A745" s="3" t="inlineStr">
        <is>
          <t>PROD_0744</t>
        </is>
      </c>
    </row>
    <row r="746" ht="15.75" customHeight="1">
      <c r="A746" s="3" t="inlineStr">
        <is>
          <t>PROD_0745</t>
        </is>
      </c>
    </row>
    <row r="747" ht="15.75" customHeight="1">
      <c r="A747" s="3" t="inlineStr">
        <is>
          <t>PROD_0746</t>
        </is>
      </c>
    </row>
    <row r="748" ht="15.75" customHeight="1">
      <c r="A748" s="3" t="inlineStr">
        <is>
          <t>PROD_0747</t>
        </is>
      </c>
    </row>
    <row r="749" ht="15.75" customHeight="1">
      <c r="A749" s="3" t="inlineStr">
        <is>
          <t>PROD_0748</t>
        </is>
      </c>
    </row>
    <row r="750" ht="15.75" customHeight="1">
      <c r="A750" s="3" t="inlineStr">
        <is>
          <t>PROD_0749</t>
        </is>
      </c>
    </row>
    <row r="751" ht="15.75" customHeight="1">
      <c r="A751" s="3" t="inlineStr">
        <is>
          <t>PROD_0750</t>
        </is>
      </c>
    </row>
    <row r="752" ht="15.75" customHeight="1">
      <c r="A752" s="3" t="inlineStr">
        <is>
          <t>PROD_0751</t>
        </is>
      </c>
    </row>
    <row r="753" ht="15.75" customHeight="1">
      <c r="A753" s="3" t="inlineStr">
        <is>
          <t>PROD_0752</t>
        </is>
      </c>
    </row>
    <row r="754" ht="15.75" customHeight="1">
      <c r="A754" s="3" t="inlineStr">
        <is>
          <t>PROD_0753</t>
        </is>
      </c>
    </row>
    <row r="755" ht="15.75" customHeight="1">
      <c r="A755" s="3" t="inlineStr">
        <is>
          <t>PROD_0754</t>
        </is>
      </c>
    </row>
    <row r="756" ht="15.75" customHeight="1">
      <c r="A756" s="3" t="inlineStr">
        <is>
          <t>PROD_0755</t>
        </is>
      </c>
    </row>
    <row r="757" ht="15.75" customHeight="1">
      <c r="A757" s="3" t="inlineStr">
        <is>
          <t>PROD_0756</t>
        </is>
      </c>
    </row>
    <row r="758" ht="15.75" customHeight="1">
      <c r="A758" s="3" t="inlineStr">
        <is>
          <t>PROD_0757</t>
        </is>
      </c>
    </row>
    <row r="759" ht="15.75" customHeight="1">
      <c r="A759" s="3" t="inlineStr">
        <is>
          <t>PROD_0758</t>
        </is>
      </c>
    </row>
    <row r="760" ht="15.75" customHeight="1">
      <c r="A760" s="3" t="inlineStr">
        <is>
          <t>PROD_0759</t>
        </is>
      </c>
    </row>
    <row r="761" ht="15.75" customHeight="1">
      <c r="A761" s="3" t="inlineStr">
        <is>
          <t>PROD_0760</t>
        </is>
      </c>
    </row>
    <row r="762" ht="15.75" customHeight="1">
      <c r="A762" s="3" t="inlineStr">
        <is>
          <t>PROD_0761</t>
        </is>
      </c>
    </row>
    <row r="763" ht="15.75" customHeight="1">
      <c r="A763" s="3" t="inlineStr">
        <is>
          <t>PROD_0762</t>
        </is>
      </c>
    </row>
    <row r="764" ht="15.75" customHeight="1">
      <c r="A764" s="3" t="inlineStr">
        <is>
          <t>PROD_0763</t>
        </is>
      </c>
    </row>
    <row r="765" ht="15.75" customHeight="1">
      <c r="A765" s="3" t="inlineStr">
        <is>
          <t>PROD_0764</t>
        </is>
      </c>
    </row>
    <row r="766" ht="15.75" customHeight="1">
      <c r="A766" s="3" t="inlineStr">
        <is>
          <t>PROD_0765</t>
        </is>
      </c>
    </row>
    <row r="767" ht="15.75" customHeight="1">
      <c r="A767" s="3" t="inlineStr">
        <is>
          <t>PROD_0766</t>
        </is>
      </c>
    </row>
    <row r="768" ht="15.75" customHeight="1">
      <c r="A768" s="3" t="inlineStr">
        <is>
          <t>PROD_0767</t>
        </is>
      </c>
    </row>
    <row r="769" ht="15.75" customHeight="1">
      <c r="A769" s="3" t="inlineStr">
        <is>
          <t>PROD_0768</t>
        </is>
      </c>
    </row>
    <row r="770" ht="15.75" customHeight="1">
      <c r="A770" s="3" t="inlineStr">
        <is>
          <t>PROD_0769</t>
        </is>
      </c>
    </row>
    <row r="771" ht="15.75" customHeight="1">
      <c r="A771" s="3" t="inlineStr">
        <is>
          <t>PROD_0770</t>
        </is>
      </c>
    </row>
    <row r="772" ht="15.75" customHeight="1">
      <c r="A772" s="3" t="inlineStr">
        <is>
          <t>PROD_0771</t>
        </is>
      </c>
    </row>
    <row r="773" ht="15.75" customHeight="1">
      <c r="A773" s="3" t="inlineStr">
        <is>
          <t>PROD_0772</t>
        </is>
      </c>
    </row>
    <row r="774" ht="15.75" customHeight="1">
      <c r="A774" s="3" t="inlineStr">
        <is>
          <t>PROD_0773</t>
        </is>
      </c>
    </row>
    <row r="775" ht="15.75" customHeight="1">
      <c r="A775" s="3" t="inlineStr">
        <is>
          <t>PROD_0774</t>
        </is>
      </c>
    </row>
    <row r="776" ht="15.75" customHeight="1">
      <c r="A776" s="3" t="inlineStr">
        <is>
          <t>PROD_0775</t>
        </is>
      </c>
    </row>
    <row r="777" ht="15.75" customHeight="1">
      <c r="A777" s="3" t="inlineStr">
        <is>
          <t>PROD_0776</t>
        </is>
      </c>
    </row>
    <row r="778" ht="15.75" customHeight="1">
      <c r="A778" s="3" t="inlineStr">
        <is>
          <t>PROD_0777</t>
        </is>
      </c>
    </row>
    <row r="779" ht="15.75" customHeight="1">
      <c r="A779" s="3" t="inlineStr">
        <is>
          <t>PROD_0778</t>
        </is>
      </c>
    </row>
    <row r="780" ht="15.75" customHeight="1">
      <c r="A780" s="3" t="inlineStr">
        <is>
          <t>PROD_0779</t>
        </is>
      </c>
    </row>
    <row r="781" ht="15.75" customHeight="1">
      <c r="A781" s="3" t="inlineStr">
        <is>
          <t>PROD_0780</t>
        </is>
      </c>
    </row>
    <row r="782" ht="15.75" customHeight="1">
      <c r="A782" s="3" t="inlineStr">
        <is>
          <t>PROD_0781</t>
        </is>
      </c>
    </row>
    <row r="783" ht="15.75" customHeight="1">
      <c r="A783" s="3" t="inlineStr">
        <is>
          <t>PROD_0782</t>
        </is>
      </c>
    </row>
    <row r="784" ht="15.75" customHeight="1">
      <c r="A784" s="3" t="inlineStr">
        <is>
          <t>PROD_0783</t>
        </is>
      </c>
    </row>
    <row r="785" ht="15.75" customHeight="1">
      <c r="A785" s="3" t="inlineStr">
        <is>
          <t>PROD_0784</t>
        </is>
      </c>
    </row>
    <row r="786" ht="15.75" customHeight="1">
      <c r="A786" s="3" t="inlineStr">
        <is>
          <t>PROD_0785</t>
        </is>
      </c>
    </row>
    <row r="787" ht="15.75" customHeight="1">
      <c r="A787" s="3" t="inlineStr">
        <is>
          <t>PROD_0786</t>
        </is>
      </c>
    </row>
    <row r="788" ht="15.75" customHeight="1">
      <c r="A788" s="3" t="inlineStr">
        <is>
          <t>PROD_0787</t>
        </is>
      </c>
    </row>
    <row r="789" ht="15.75" customHeight="1">
      <c r="A789" s="3" t="inlineStr">
        <is>
          <t>PROD_0788</t>
        </is>
      </c>
    </row>
    <row r="790" ht="15.75" customHeight="1">
      <c r="A790" s="3" t="inlineStr">
        <is>
          <t>PROD_0789</t>
        </is>
      </c>
    </row>
    <row r="791" ht="15.75" customHeight="1">
      <c r="A791" s="3" t="inlineStr">
        <is>
          <t>PROD_0790</t>
        </is>
      </c>
    </row>
    <row r="792" ht="15.75" customHeight="1">
      <c r="A792" s="3" t="inlineStr">
        <is>
          <t>PROD_0791</t>
        </is>
      </c>
    </row>
    <row r="793" ht="15.75" customHeight="1">
      <c r="A793" s="3" t="inlineStr">
        <is>
          <t>PROD_0792</t>
        </is>
      </c>
    </row>
    <row r="794" ht="15.75" customHeight="1">
      <c r="A794" s="3" t="inlineStr">
        <is>
          <t>PROD_0793</t>
        </is>
      </c>
    </row>
    <row r="795" ht="15.75" customHeight="1">
      <c r="A795" s="3" t="inlineStr">
        <is>
          <t>PROD_0794</t>
        </is>
      </c>
    </row>
    <row r="796" ht="15.75" customHeight="1">
      <c r="A796" s="3" t="inlineStr">
        <is>
          <t>PROD_0795</t>
        </is>
      </c>
    </row>
    <row r="797" ht="15.75" customHeight="1">
      <c r="A797" s="3" t="inlineStr">
        <is>
          <t>PROD_0796</t>
        </is>
      </c>
    </row>
    <row r="798" ht="15.75" customHeight="1">
      <c r="A798" s="3" t="inlineStr">
        <is>
          <t>PROD_0797</t>
        </is>
      </c>
    </row>
    <row r="799" ht="15.75" customHeight="1">
      <c r="A799" s="3" t="inlineStr">
        <is>
          <t>PROD_0798</t>
        </is>
      </c>
    </row>
    <row r="800" ht="15.75" customHeight="1">
      <c r="A800" s="3" t="inlineStr">
        <is>
          <t>PROD_0799</t>
        </is>
      </c>
    </row>
    <row r="801" ht="15.75" customHeight="1">
      <c r="A801" s="3" t="inlineStr">
        <is>
          <t>PROD_0800</t>
        </is>
      </c>
    </row>
    <row r="802" ht="15.75" customHeight="1">
      <c r="A802" s="3" t="inlineStr">
        <is>
          <t>PROD_0801</t>
        </is>
      </c>
    </row>
    <row r="803" ht="15.75" customHeight="1">
      <c r="A803" s="3" t="inlineStr">
        <is>
          <t>PROD_0802</t>
        </is>
      </c>
    </row>
    <row r="804" ht="15.75" customHeight="1">
      <c r="A804" s="3" t="inlineStr">
        <is>
          <t>PROD_0803</t>
        </is>
      </c>
    </row>
    <row r="805" ht="15.75" customHeight="1">
      <c r="A805" s="3" t="inlineStr">
        <is>
          <t>PROD_0804</t>
        </is>
      </c>
    </row>
    <row r="806" ht="15.75" customHeight="1">
      <c r="A806" s="3" t="inlineStr">
        <is>
          <t>PROD_0805</t>
        </is>
      </c>
    </row>
    <row r="807" ht="15.75" customHeight="1">
      <c r="A807" s="3" t="inlineStr">
        <is>
          <t>PROD_0806</t>
        </is>
      </c>
    </row>
    <row r="808" ht="15.75" customHeight="1">
      <c r="A808" s="3" t="inlineStr">
        <is>
          <t>PROD_0807</t>
        </is>
      </c>
    </row>
    <row r="809" ht="15.75" customHeight="1">
      <c r="A809" s="3" t="inlineStr">
        <is>
          <t>PROD_0808</t>
        </is>
      </c>
    </row>
    <row r="810" ht="15.75" customHeight="1">
      <c r="A810" s="3" t="inlineStr">
        <is>
          <t>PROD_0809</t>
        </is>
      </c>
    </row>
    <row r="811" ht="15.75" customHeight="1">
      <c r="A811" s="3" t="inlineStr">
        <is>
          <t>PROD_0810</t>
        </is>
      </c>
    </row>
    <row r="812" ht="15.75" customHeight="1">
      <c r="A812" s="3" t="inlineStr">
        <is>
          <t>PROD_0811</t>
        </is>
      </c>
    </row>
    <row r="813" ht="15.75" customHeight="1">
      <c r="A813" s="3" t="inlineStr">
        <is>
          <t>PROD_0812</t>
        </is>
      </c>
    </row>
    <row r="814" ht="15.75" customHeight="1">
      <c r="A814" s="3" t="inlineStr">
        <is>
          <t>PROD_0813</t>
        </is>
      </c>
    </row>
    <row r="815" ht="15.75" customHeight="1">
      <c r="A815" s="3" t="inlineStr">
        <is>
          <t>PROD_0814</t>
        </is>
      </c>
    </row>
    <row r="816" ht="15.75" customHeight="1">
      <c r="A816" s="3" t="inlineStr">
        <is>
          <t>PROD_0815</t>
        </is>
      </c>
    </row>
    <row r="817" ht="15.75" customHeight="1">
      <c r="A817" s="3" t="inlineStr">
        <is>
          <t>PROD_0816</t>
        </is>
      </c>
    </row>
    <row r="818" ht="15.75" customHeight="1">
      <c r="A818" s="3" t="inlineStr">
        <is>
          <t>PROD_0817</t>
        </is>
      </c>
    </row>
    <row r="819" ht="15.75" customHeight="1">
      <c r="A819" s="3" t="inlineStr">
        <is>
          <t>PROD_0818</t>
        </is>
      </c>
    </row>
    <row r="820" ht="15.75" customHeight="1">
      <c r="A820" s="3" t="inlineStr">
        <is>
          <t>PROD_0819</t>
        </is>
      </c>
    </row>
    <row r="821" ht="15.75" customHeight="1">
      <c r="A821" s="3" t="inlineStr">
        <is>
          <t>PROD_0820</t>
        </is>
      </c>
    </row>
    <row r="822" ht="15.75" customHeight="1">
      <c r="A822" s="3" t="inlineStr">
        <is>
          <t>PROD_0821</t>
        </is>
      </c>
    </row>
    <row r="823" ht="15.75" customHeight="1">
      <c r="A823" s="3" t="inlineStr">
        <is>
          <t>PROD_0822</t>
        </is>
      </c>
    </row>
    <row r="824" ht="15.75" customHeight="1">
      <c r="A824" s="3" t="inlineStr">
        <is>
          <t>PROD_0823</t>
        </is>
      </c>
    </row>
    <row r="825" ht="15.75" customHeight="1">
      <c r="A825" s="3" t="inlineStr">
        <is>
          <t>PROD_0824</t>
        </is>
      </c>
    </row>
    <row r="826" ht="15.75" customHeight="1">
      <c r="A826" s="3" t="inlineStr">
        <is>
          <t>PROD_0825</t>
        </is>
      </c>
    </row>
    <row r="827" ht="15.75" customHeight="1">
      <c r="A827" s="3" t="inlineStr">
        <is>
          <t>PROD_0826</t>
        </is>
      </c>
    </row>
    <row r="828" ht="15.75" customHeight="1">
      <c r="A828" s="3" t="inlineStr">
        <is>
          <t>PROD_0827</t>
        </is>
      </c>
    </row>
    <row r="829" ht="15.75" customHeight="1">
      <c r="A829" s="3" t="inlineStr">
        <is>
          <t>PROD_0828</t>
        </is>
      </c>
    </row>
    <row r="830" ht="15.75" customHeight="1">
      <c r="A830" s="3" t="inlineStr">
        <is>
          <t>PROD_0829</t>
        </is>
      </c>
    </row>
    <row r="831" ht="15.75" customHeight="1">
      <c r="A831" s="3" t="inlineStr">
        <is>
          <t>PROD_0830</t>
        </is>
      </c>
    </row>
    <row r="832" ht="15.75" customHeight="1">
      <c r="A832" s="3" t="inlineStr">
        <is>
          <t>PROD_0831</t>
        </is>
      </c>
    </row>
    <row r="833" ht="15.75" customHeight="1">
      <c r="A833" s="3" t="inlineStr">
        <is>
          <t>PROD_0832</t>
        </is>
      </c>
    </row>
    <row r="834" ht="15.75" customHeight="1">
      <c r="A834" s="3" t="inlineStr">
        <is>
          <t>PROD_0833</t>
        </is>
      </c>
    </row>
    <row r="835" ht="15.75" customHeight="1">
      <c r="A835" s="3" t="inlineStr">
        <is>
          <t>PROD_0834</t>
        </is>
      </c>
    </row>
    <row r="836" ht="15.75" customHeight="1">
      <c r="A836" s="3" t="inlineStr">
        <is>
          <t>PROD_0835</t>
        </is>
      </c>
    </row>
    <row r="837" ht="15.75" customHeight="1">
      <c r="A837" s="3" t="inlineStr">
        <is>
          <t>PROD_0836</t>
        </is>
      </c>
    </row>
    <row r="838" ht="15.75" customHeight="1">
      <c r="A838" s="3" t="inlineStr">
        <is>
          <t>PROD_0837</t>
        </is>
      </c>
    </row>
    <row r="839" ht="15.75" customHeight="1">
      <c r="A839" s="3" t="inlineStr">
        <is>
          <t>PROD_0838</t>
        </is>
      </c>
    </row>
    <row r="840" ht="15.75" customHeight="1">
      <c r="A840" s="3" t="inlineStr">
        <is>
          <t>PROD_0839</t>
        </is>
      </c>
    </row>
    <row r="841" ht="15.75" customHeight="1">
      <c r="A841" s="3" t="inlineStr">
        <is>
          <t>PROD_0840</t>
        </is>
      </c>
    </row>
    <row r="842" ht="15.75" customHeight="1">
      <c r="A842" s="3" t="inlineStr">
        <is>
          <t>PROD_0841</t>
        </is>
      </c>
    </row>
    <row r="843" ht="15.75" customHeight="1">
      <c r="A843" s="3" t="inlineStr">
        <is>
          <t>PROD_0842</t>
        </is>
      </c>
    </row>
    <row r="844" ht="15.75" customHeight="1">
      <c r="A844" s="3" t="inlineStr">
        <is>
          <t>PROD_0843</t>
        </is>
      </c>
    </row>
    <row r="845" ht="15.75" customHeight="1">
      <c r="A845" s="3" t="inlineStr">
        <is>
          <t>PROD_0844</t>
        </is>
      </c>
    </row>
    <row r="846" ht="15.75" customHeight="1">
      <c r="A846" s="3" t="inlineStr">
        <is>
          <t>PROD_0845</t>
        </is>
      </c>
    </row>
    <row r="847" ht="15.75" customHeight="1">
      <c r="A847" s="3" t="inlineStr">
        <is>
          <t>PROD_0846</t>
        </is>
      </c>
    </row>
    <row r="848" ht="15.75" customHeight="1">
      <c r="A848" s="3" t="inlineStr">
        <is>
          <t>PROD_0847</t>
        </is>
      </c>
    </row>
    <row r="849" ht="15.75" customHeight="1">
      <c r="A849" s="3" t="inlineStr">
        <is>
          <t>PROD_0848</t>
        </is>
      </c>
    </row>
    <row r="850" ht="15.75" customHeight="1">
      <c r="A850" s="3" t="inlineStr">
        <is>
          <t>PROD_0849</t>
        </is>
      </c>
    </row>
    <row r="851" ht="15.75" customHeight="1">
      <c r="A851" s="3" t="inlineStr">
        <is>
          <t>PROD_0850</t>
        </is>
      </c>
    </row>
    <row r="852" ht="15.75" customHeight="1">
      <c r="A852" s="3" t="inlineStr">
        <is>
          <t>PROD_0851</t>
        </is>
      </c>
    </row>
    <row r="853" ht="15.75" customHeight="1">
      <c r="A853" s="3" t="inlineStr">
        <is>
          <t>PROD_0852</t>
        </is>
      </c>
    </row>
    <row r="854" ht="15.75" customHeight="1">
      <c r="A854" s="3" t="inlineStr">
        <is>
          <t>PROD_0853</t>
        </is>
      </c>
    </row>
    <row r="855" ht="15.75" customHeight="1">
      <c r="A855" s="3" t="inlineStr">
        <is>
          <t>PROD_0854</t>
        </is>
      </c>
    </row>
    <row r="856" ht="15.75" customHeight="1">
      <c r="A856" s="3" t="inlineStr">
        <is>
          <t>PROD_0855</t>
        </is>
      </c>
    </row>
    <row r="857" ht="15.75" customHeight="1">
      <c r="A857" s="3" t="inlineStr">
        <is>
          <t>PROD_0856</t>
        </is>
      </c>
    </row>
    <row r="858" ht="15.75" customHeight="1">
      <c r="A858" s="3" t="inlineStr">
        <is>
          <t>PROD_0857</t>
        </is>
      </c>
    </row>
    <row r="859" ht="15.75" customHeight="1">
      <c r="A859" s="3" t="inlineStr">
        <is>
          <t>PROD_0858</t>
        </is>
      </c>
    </row>
    <row r="860" ht="15.75" customHeight="1">
      <c r="A860" s="3" t="inlineStr">
        <is>
          <t>PROD_0859</t>
        </is>
      </c>
    </row>
    <row r="861" ht="15.75" customHeight="1">
      <c r="A861" s="3" t="inlineStr">
        <is>
          <t>PROD_0860</t>
        </is>
      </c>
    </row>
    <row r="862" ht="15.75" customHeight="1">
      <c r="A862" s="3" t="inlineStr">
        <is>
          <t>PROD_0861</t>
        </is>
      </c>
    </row>
    <row r="863" ht="15.75" customHeight="1">
      <c r="A863" s="3" t="inlineStr">
        <is>
          <t>PROD_0862</t>
        </is>
      </c>
    </row>
    <row r="864" ht="15.75" customHeight="1">
      <c r="A864" s="3" t="inlineStr">
        <is>
          <t>PROD_0863</t>
        </is>
      </c>
    </row>
    <row r="865" ht="15.75" customHeight="1">
      <c r="A865" s="3" t="inlineStr">
        <is>
          <t>PROD_0864</t>
        </is>
      </c>
    </row>
    <row r="866" ht="15.75" customHeight="1">
      <c r="A866" s="3" t="inlineStr">
        <is>
          <t>PROD_0865</t>
        </is>
      </c>
    </row>
    <row r="867" ht="15.75" customHeight="1">
      <c r="A867" s="3" t="inlineStr">
        <is>
          <t>PROD_0866</t>
        </is>
      </c>
    </row>
    <row r="868" ht="15.75" customHeight="1">
      <c r="A868" s="3" t="inlineStr">
        <is>
          <t>PROD_0867</t>
        </is>
      </c>
    </row>
    <row r="869" ht="15.75" customHeight="1">
      <c r="A869" s="3" t="inlineStr">
        <is>
          <t>PROD_0868</t>
        </is>
      </c>
    </row>
    <row r="870" ht="15.75" customHeight="1">
      <c r="A870" s="3" t="inlineStr">
        <is>
          <t>PROD_0869</t>
        </is>
      </c>
    </row>
    <row r="871" ht="15.75" customHeight="1">
      <c r="A871" s="3" t="inlineStr">
        <is>
          <t>PROD_0870</t>
        </is>
      </c>
    </row>
    <row r="872" ht="15.75" customHeight="1">
      <c r="A872" s="3" t="inlineStr">
        <is>
          <t>PROD_0871</t>
        </is>
      </c>
    </row>
    <row r="873" ht="15.75" customHeight="1">
      <c r="A873" s="3" t="inlineStr">
        <is>
          <t>PROD_0872</t>
        </is>
      </c>
    </row>
    <row r="874" ht="15.75" customHeight="1">
      <c r="A874" s="3" t="inlineStr">
        <is>
          <t>PROD_0873</t>
        </is>
      </c>
    </row>
    <row r="875" ht="15.75" customHeight="1">
      <c r="A875" s="3" t="inlineStr">
        <is>
          <t>PROD_0874</t>
        </is>
      </c>
    </row>
    <row r="876" ht="15.75" customHeight="1">
      <c r="A876" s="3" t="inlineStr">
        <is>
          <t>PROD_0875</t>
        </is>
      </c>
    </row>
    <row r="877" ht="15.75" customHeight="1">
      <c r="A877" s="3" t="inlineStr">
        <is>
          <t>PROD_0876</t>
        </is>
      </c>
    </row>
    <row r="878" ht="15.75" customHeight="1">
      <c r="A878" s="3" t="inlineStr">
        <is>
          <t>PROD_0877</t>
        </is>
      </c>
    </row>
    <row r="879" ht="15.75" customHeight="1">
      <c r="A879" s="3" t="inlineStr">
        <is>
          <t>PROD_0878</t>
        </is>
      </c>
    </row>
    <row r="880" ht="15.75" customHeight="1">
      <c r="A880" s="3" t="inlineStr">
        <is>
          <t>PROD_0879</t>
        </is>
      </c>
    </row>
    <row r="881" ht="15.75" customHeight="1">
      <c r="A881" s="3" t="inlineStr">
        <is>
          <t>PROD_0880</t>
        </is>
      </c>
    </row>
    <row r="882" ht="15.75" customHeight="1">
      <c r="A882" s="3" t="inlineStr">
        <is>
          <t>PROD_0881</t>
        </is>
      </c>
    </row>
    <row r="883" ht="15.75" customHeight="1">
      <c r="A883" s="3" t="inlineStr">
        <is>
          <t>PROD_0882</t>
        </is>
      </c>
    </row>
    <row r="884" ht="15.75" customHeight="1">
      <c r="A884" s="3" t="inlineStr">
        <is>
          <t>PROD_0883</t>
        </is>
      </c>
    </row>
    <row r="885" ht="15.75" customHeight="1">
      <c r="A885" s="3" t="inlineStr">
        <is>
          <t>PROD_0884</t>
        </is>
      </c>
    </row>
    <row r="886" ht="15.75" customHeight="1">
      <c r="A886" s="3" t="inlineStr">
        <is>
          <t>PROD_0885</t>
        </is>
      </c>
    </row>
    <row r="887" ht="15.75" customHeight="1">
      <c r="A887" s="3" t="inlineStr">
        <is>
          <t>PROD_0886</t>
        </is>
      </c>
    </row>
    <row r="888" ht="15.75" customHeight="1">
      <c r="A888" s="3" t="inlineStr">
        <is>
          <t>PROD_0887</t>
        </is>
      </c>
    </row>
    <row r="889" ht="15.75" customHeight="1">
      <c r="A889" s="3" t="inlineStr">
        <is>
          <t>PROD_0888</t>
        </is>
      </c>
    </row>
    <row r="890" ht="15.75" customHeight="1">
      <c r="A890" s="3" t="inlineStr">
        <is>
          <t>PROD_0889</t>
        </is>
      </c>
    </row>
    <row r="891" ht="15.75" customHeight="1">
      <c r="A891" s="3" t="inlineStr">
        <is>
          <t>PROD_0890</t>
        </is>
      </c>
    </row>
    <row r="892" ht="15.75" customHeight="1">
      <c r="A892" s="3" t="inlineStr">
        <is>
          <t>PROD_0891</t>
        </is>
      </c>
    </row>
    <row r="893" ht="15.75" customHeight="1">
      <c r="A893" s="3" t="inlineStr">
        <is>
          <t>PROD_0892</t>
        </is>
      </c>
    </row>
    <row r="894" ht="15.75" customHeight="1">
      <c r="A894" s="3" t="inlineStr">
        <is>
          <t>PROD_0893</t>
        </is>
      </c>
    </row>
    <row r="895" ht="15.75" customHeight="1">
      <c r="A895" s="3" t="inlineStr">
        <is>
          <t>PROD_0894</t>
        </is>
      </c>
    </row>
    <row r="896" ht="15.75" customHeight="1">
      <c r="A896" s="3" t="inlineStr">
        <is>
          <t>PROD_0895</t>
        </is>
      </c>
    </row>
    <row r="897" ht="15.75" customHeight="1">
      <c r="A897" s="3" t="inlineStr">
        <is>
          <t>PROD_0896</t>
        </is>
      </c>
    </row>
    <row r="898" ht="15.75" customHeight="1">
      <c r="A898" s="3" t="inlineStr">
        <is>
          <t>PROD_0897</t>
        </is>
      </c>
    </row>
    <row r="899" ht="15.75" customHeight="1">
      <c r="A899" s="3" t="inlineStr">
        <is>
          <t>PROD_0898</t>
        </is>
      </c>
    </row>
    <row r="900" ht="15.75" customHeight="1">
      <c r="A900" s="3" t="inlineStr">
        <is>
          <t>PROD_0899</t>
        </is>
      </c>
    </row>
    <row r="901" ht="15.75" customHeight="1">
      <c r="A901" s="3" t="inlineStr">
        <is>
          <t>PROD_0900</t>
        </is>
      </c>
    </row>
    <row r="902" ht="15.75" customHeight="1">
      <c r="A902" s="3" t="inlineStr">
        <is>
          <t>PROD_0901</t>
        </is>
      </c>
    </row>
    <row r="903" ht="15.75" customHeight="1">
      <c r="A903" s="3" t="inlineStr">
        <is>
          <t>PROD_0902</t>
        </is>
      </c>
    </row>
    <row r="904" ht="15.75" customHeight="1">
      <c r="A904" s="3" t="inlineStr">
        <is>
          <t>PROD_0903</t>
        </is>
      </c>
    </row>
    <row r="905" ht="15.75" customHeight="1">
      <c r="A905" s="3" t="inlineStr">
        <is>
          <t>PROD_0904</t>
        </is>
      </c>
    </row>
    <row r="906" ht="15.75" customHeight="1">
      <c r="A906" s="3" t="inlineStr">
        <is>
          <t>PROD_0905</t>
        </is>
      </c>
    </row>
    <row r="907" ht="15.75" customHeight="1">
      <c r="A907" s="3" t="inlineStr">
        <is>
          <t>PROD_0906</t>
        </is>
      </c>
    </row>
    <row r="908" ht="15.75" customHeight="1">
      <c r="A908" s="3" t="inlineStr">
        <is>
          <t>PROD_0907</t>
        </is>
      </c>
    </row>
    <row r="909" ht="15.75" customHeight="1">
      <c r="A909" s="3" t="inlineStr">
        <is>
          <t>PROD_0908</t>
        </is>
      </c>
    </row>
    <row r="910" ht="15.75" customHeight="1">
      <c r="A910" s="3" t="inlineStr">
        <is>
          <t>PROD_0909</t>
        </is>
      </c>
    </row>
    <row r="911" ht="15.75" customHeight="1">
      <c r="A911" s="3" t="inlineStr">
        <is>
          <t>PROD_0910</t>
        </is>
      </c>
    </row>
    <row r="912" ht="15.75" customHeight="1">
      <c r="A912" s="3" t="inlineStr">
        <is>
          <t>PROD_0911</t>
        </is>
      </c>
    </row>
    <row r="913" ht="15.75" customHeight="1">
      <c r="A913" s="3" t="inlineStr">
        <is>
          <t>PROD_0912</t>
        </is>
      </c>
    </row>
    <row r="914" ht="15.75" customHeight="1">
      <c r="A914" s="3" t="inlineStr">
        <is>
          <t>PROD_0913</t>
        </is>
      </c>
    </row>
    <row r="915" ht="15.75" customHeight="1">
      <c r="A915" s="3" t="inlineStr">
        <is>
          <t>PROD_0914</t>
        </is>
      </c>
    </row>
    <row r="916" ht="15.75" customHeight="1">
      <c r="A916" s="3" t="inlineStr">
        <is>
          <t>PROD_0915</t>
        </is>
      </c>
    </row>
    <row r="917" ht="15.75" customHeight="1">
      <c r="A917" s="3" t="inlineStr">
        <is>
          <t>PROD_0916</t>
        </is>
      </c>
    </row>
    <row r="918" ht="15.75" customHeight="1">
      <c r="A918" s="3" t="inlineStr">
        <is>
          <t>PROD_0917</t>
        </is>
      </c>
    </row>
    <row r="919" ht="15.75" customHeight="1">
      <c r="A919" s="3" t="inlineStr">
        <is>
          <t>PROD_0918</t>
        </is>
      </c>
    </row>
    <row r="920" ht="15.75" customHeight="1">
      <c r="A920" s="3" t="inlineStr">
        <is>
          <t>PROD_0919</t>
        </is>
      </c>
    </row>
    <row r="921" ht="15.75" customHeight="1">
      <c r="A921" s="3" t="inlineStr">
        <is>
          <t>PROD_0920</t>
        </is>
      </c>
    </row>
    <row r="922" ht="15.75" customHeight="1">
      <c r="A922" s="3" t="inlineStr">
        <is>
          <t>PROD_0921</t>
        </is>
      </c>
    </row>
    <row r="923" ht="15.75" customHeight="1">
      <c r="A923" s="3" t="inlineStr">
        <is>
          <t>PROD_0922</t>
        </is>
      </c>
    </row>
    <row r="924" ht="15.75" customHeight="1">
      <c r="A924" s="3" t="inlineStr">
        <is>
          <t>PROD_0923</t>
        </is>
      </c>
    </row>
    <row r="925" ht="15.75" customHeight="1">
      <c r="A925" s="3" t="inlineStr">
        <is>
          <t>PROD_0924</t>
        </is>
      </c>
    </row>
    <row r="926" ht="15.75" customHeight="1">
      <c r="A926" s="3" t="inlineStr">
        <is>
          <t>PROD_0925</t>
        </is>
      </c>
    </row>
    <row r="927" ht="15.75" customHeight="1">
      <c r="A927" s="3" t="inlineStr">
        <is>
          <t>PROD_0926</t>
        </is>
      </c>
    </row>
    <row r="928" ht="15.75" customHeight="1">
      <c r="A928" s="3" t="inlineStr">
        <is>
          <t>PROD_0927</t>
        </is>
      </c>
    </row>
    <row r="929" ht="15.75" customHeight="1">
      <c r="A929" s="3" t="inlineStr">
        <is>
          <t>PROD_0928</t>
        </is>
      </c>
    </row>
    <row r="930" ht="15.75" customHeight="1">
      <c r="A930" s="3" t="inlineStr">
        <is>
          <t>PROD_0929</t>
        </is>
      </c>
    </row>
    <row r="931" ht="15.75" customHeight="1">
      <c r="A931" s="3" t="inlineStr">
        <is>
          <t>PROD_0930</t>
        </is>
      </c>
    </row>
    <row r="932" ht="15.75" customHeight="1">
      <c r="A932" s="3" t="inlineStr">
        <is>
          <t>PROD_0931</t>
        </is>
      </c>
    </row>
    <row r="933" ht="15.75" customHeight="1">
      <c r="A933" s="3" t="inlineStr">
        <is>
          <t>PROD_0932</t>
        </is>
      </c>
    </row>
    <row r="934" ht="15.75" customHeight="1">
      <c r="A934" s="3" t="inlineStr">
        <is>
          <t>PROD_0933</t>
        </is>
      </c>
    </row>
    <row r="935" ht="15.75" customHeight="1">
      <c r="A935" s="3" t="inlineStr">
        <is>
          <t>PROD_0934</t>
        </is>
      </c>
    </row>
    <row r="936" ht="15.75" customHeight="1">
      <c r="A936" s="3" t="inlineStr">
        <is>
          <t>PROD_0935</t>
        </is>
      </c>
    </row>
    <row r="937" ht="15.75" customHeight="1">
      <c r="A937" s="3" t="inlineStr">
        <is>
          <t>PROD_0936</t>
        </is>
      </c>
    </row>
    <row r="938" ht="15.75" customHeight="1">
      <c r="A938" s="3" t="inlineStr">
        <is>
          <t>PROD_0937</t>
        </is>
      </c>
    </row>
    <row r="939" ht="15.75" customHeight="1">
      <c r="A939" s="3" t="inlineStr">
        <is>
          <t>PROD_0938</t>
        </is>
      </c>
    </row>
    <row r="940" ht="15.75" customHeight="1">
      <c r="A940" s="3" t="inlineStr">
        <is>
          <t>PROD_0939</t>
        </is>
      </c>
    </row>
    <row r="941" ht="15.75" customHeight="1">
      <c r="A941" s="3" t="inlineStr">
        <is>
          <t>PROD_0940</t>
        </is>
      </c>
    </row>
    <row r="942" ht="15.75" customHeight="1">
      <c r="A942" s="3" t="inlineStr">
        <is>
          <t>PROD_0941</t>
        </is>
      </c>
    </row>
    <row r="943" ht="15.75" customHeight="1">
      <c r="A943" s="3" t="inlineStr">
        <is>
          <t>PROD_0942</t>
        </is>
      </c>
    </row>
    <row r="944" ht="15.75" customHeight="1">
      <c r="A944" s="3" t="inlineStr">
        <is>
          <t>PROD_0943</t>
        </is>
      </c>
    </row>
    <row r="945" ht="15.75" customHeight="1">
      <c r="A945" s="3" t="inlineStr">
        <is>
          <t>PROD_0944</t>
        </is>
      </c>
    </row>
    <row r="946" ht="15.75" customHeight="1">
      <c r="A946" s="3" t="inlineStr">
        <is>
          <t>PROD_0945</t>
        </is>
      </c>
    </row>
    <row r="947" ht="15.75" customHeight="1">
      <c r="A947" s="3" t="inlineStr">
        <is>
          <t>PROD_0946</t>
        </is>
      </c>
    </row>
    <row r="948" ht="15.75" customHeight="1">
      <c r="A948" s="3" t="inlineStr">
        <is>
          <t>PROD_0947</t>
        </is>
      </c>
    </row>
    <row r="949" ht="15.75" customHeight="1">
      <c r="A949" s="3" t="inlineStr">
        <is>
          <t>PROD_0948</t>
        </is>
      </c>
    </row>
    <row r="950" ht="15.75" customHeight="1">
      <c r="A950" s="3" t="inlineStr">
        <is>
          <t>PROD_0949</t>
        </is>
      </c>
    </row>
    <row r="951" ht="15.75" customHeight="1">
      <c r="A951" s="3" t="inlineStr">
        <is>
          <t>PROD_0950</t>
        </is>
      </c>
    </row>
    <row r="952" ht="15.75" customHeight="1">
      <c r="A952" s="3" t="inlineStr">
        <is>
          <t>PROD_0951</t>
        </is>
      </c>
    </row>
    <row r="953" ht="15.75" customHeight="1">
      <c r="A953" s="3" t="inlineStr">
        <is>
          <t>PROD_0952</t>
        </is>
      </c>
    </row>
    <row r="954" ht="15.75" customHeight="1">
      <c r="A954" s="3" t="inlineStr">
        <is>
          <t>PROD_0953</t>
        </is>
      </c>
    </row>
    <row r="955" ht="15.75" customHeight="1">
      <c r="A955" s="3" t="inlineStr">
        <is>
          <t>PROD_0954</t>
        </is>
      </c>
    </row>
    <row r="956" ht="15.75" customHeight="1">
      <c r="A956" s="3" t="inlineStr">
        <is>
          <t>PROD_0955</t>
        </is>
      </c>
    </row>
    <row r="957" ht="15.75" customHeight="1">
      <c r="A957" s="3" t="inlineStr">
        <is>
          <t>PROD_0956</t>
        </is>
      </c>
    </row>
    <row r="958" ht="15.75" customHeight="1">
      <c r="A958" s="3" t="inlineStr">
        <is>
          <t>PROD_0957</t>
        </is>
      </c>
    </row>
    <row r="959" ht="15.75" customHeight="1">
      <c r="A959" s="3" t="inlineStr">
        <is>
          <t>PROD_0958</t>
        </is>
      </c>
    </row>
    <row r="960" ht="15.75" customHeight="1">
      <c r="A960" s="3" t="inlineStr">
        <is>
          <t>PROD_0959</t>
        </is>
      </c>
    </row>
    <row r="961" ht="15.75" customHeight="1">
      <c r="A961" s="3" t="inlineStr">
        <is>
          <t>PROD_0960</t>
        </is>
      </c>
    </row>
    <row r="962" ht="15.75" customHeight="1">
      <c r="A962" s="3" t="inlineStr">
        <is>
          <t>PROD_0961</t>
        </is>
      </c>
    </row>
    <row r="963" ht="15.75" customHeight="1">
      <c r="A963" s="3" t="inlineStr">
        <is>
          <t>PROD_0962</t>
        </is>
      </c>
    </row>
    <row r="964" ht="15.75" customHeight="1">
      <c r="A964" s="3" t="inlineStr">
        <is>
          <t>PROD_0963</t>
        </is>
      </c>
    </row>
    <row r="965" ht="15.75" customHeight="1">
      <c r="A965" s="3" t="inlineStr">
        <is>
          <t>PROD_0964</t>
        </is>
      </c>
    </row>
    <row r="966" ht="15.75" customHeight="1">
      <c r="A966" s="3" t="inlineStr">
        <is>
          <t>PROD_0965</t>
        </is>
      </c>
    </row>
    <row r="967" ht="15.75" customHeight="1">
      <c r="A967" s="3" t="inlineStr">
        <is>
          <t>PROD_0966</t>
        </is>
      </c>
    </row>
    <row r="968" ht="15.75" customHeight="1">
      <c r="A968" s="3" t="inlineStr">
        <is>
          <t>PROD_0967</t>
        </is>
      </c>
    </row>
    <row r="969" ht="15.75" customHeight="1">
      <c r="A969" s="3" t="inlineStr">
        <is>
          <t>PROD_0968</t>
        </is>
      </c>
    </row>
    <row r="970" ht="15.75" customHeight="1">
      <c r="A970" s="3" t="inlineStr">
        <is>
          <t>PROD_0969</t>
        </is>
      </c>
    </row>
    <row r="971" ht="15.75" customHeight="1">
      <c r="A971" s="3" t="inlineStr">
        <is>
          <t>PROD_0970</t>
        </is>
      </c>
    </row>
    <row r="972" ht="15.75" customHeight="1">
      <c r="A972" s="3" t="inlineStr">
        <is>
          <t>PROD_0971</t>
        </is>
      </c>
    </row>
    <row r="973" ht="15.75" customHeight="1">
      <c r="A973" s="3" t="inlineStr">
        <is>
          <t>PROD_0972</t>
        </is>
      </c>
    </row>
    <row r="974" ht="15.75" customHeight="1">
      <c r="A974" s="3" t="inlineStr">
        <is>
          <t>PROD_0973</t>
        </is>
      </c>
    </row>
    <row r="975" ht="15.75" customHeight="1">
      <c r="A975" s="3" t="inlineStr">
        <is>
          <t>PROD_0974</t>
        </is>
      </c>
    </row>
    <row r="976" ht="15.75" customHeight="1">
      <c r="A976" s="3" t="inlineStr">
        <is>
          <t>PROD_0975</t>
        </is>
      </c>
    </row>
    <row r="977" ht="15.75" customHeight="1">
      <c r="A977" s="3" t="inlineStr">
        <is>
          <t>PROD_0976</t>
        </is>
      </c>
    </row>
    <row r="978" ht="15.75" customHeight="1">
      <c r="A978" s="3" t="inlineStr">
        <is>
          <t>PROD_0977</t>
        </is>
      </c>
    </row>
    <row r="979" ht="15.75" customHeight="1">
      <c r="A979" s="3" t="inlineStr">
        <is>
          <t>PROD_0978</t>
        </is>
      </c>
    </row>
    <row r="980" ht="15.75" customHeight="1">
      <c r="A980" s="3" t="inlineStr">
        <is>
          <t>PROD_0979</t>
        </is>
      </c>
    </row>
    <row r="981" ht="15.75" customHeight="1">
      <c r="A981" s="3" t="inlineStr">
        <is>
          <t>PROD_0980</t>
        </is>
      </c>
    </row>
    <row r="982" ht="15.75" customHeight="1">
      <c r="A982" s="3" t="inlineStr">
        <is>
          <t>PROD_0981</t>
        </is>
      </c>
    </row>
    <row r="983" ht="15.75" customHeight="1">
      <c r="A983" s="3" t="inlineStr">
        <is>
          <t>PROD_0982</t>
        </is>
      </c>
    </row>
    <row r="984" ht="15.75" customHeight="1">
      <c r="A984" s="3" t="inlineStr">
        <is>
          <t>PROD_0983</t>
        </is>
      </c>
    </row>
    <row r="985" ht="15.75" customHeight="1">
      <c r="A985" s="3" t="inlineStr">
        <is>
          <t>PROD_0984</t>
        </is>
      </c>
    </row>
    <row r="986" ht="15.75" customHeight="1">
      <c r="A986" s="3" t="inlineStr">
        <is>
          <t>PROD_0985</t>
        </is>
      </c>
    </row>
    <row r="987" ht="15.75" customHeight="1">
      <c r="A987" s="3" t="inlineStr">
        <is>
          <t>PROD_0986</t>
        </is>
      </c>
    </row>
    <row r="988" ht="15.75" customHeight="1">
      <c r="A988" s="3" t="inlineStr">
        <is>
          <t>PROD_0987</t>
        </is>
      </c>
    </row>
    <row r="989" ht="15.75" customHeight="1">
      <c r="A989" s="3" t="inlineStr">
        <is>
          <t>PROD_0988</t>
        </is>
      </c>
    </row>
    <row r="990" ht="15.75" customHeight="1">
      <c r="A990" s="3" t="inlineStr">
        <is>
          <t>PROD_0989</t>
        </is>
      </c>
    </row>
    <row r="991" ht="15.75" customHeight="1">
      <c r="A991" s="3" t="inlineStr">
        <is>
          <t>PROD_0990</t>
        </is>
      </c>
    </row>
    <row r="992" ht="15.75" customHeight="1">
      <c r="A992" s="3" t="inlineStr">
        <is>
          <t>PROD_0991</t>
        </is>
      </c>
    </row>
    <row r="993" ht="15.75" customHeight="1">
      <c r="A993" s="3" t="inlineStr">
        <is>
          <t>PROD_0992</t>
        </is>
      </c>
    </row>
    <row r="994" ht="15.75" customHeight="1">
      <c r="A994" s="3" t="inlineStr">
        <is>
          <t>PROD_0993</t>
        </is>
      </c>
    </row>
    <row r="995" ht="15.75" customHeight="1">
      <c r="A995" s="3" t="inlineStr">
        <is>
          <t>PROD_0994</t>
        </is>
      </c>
    </row>
    <row r="996" ht="15.75" customHeight="1">
      <c r="A996" s="3" t="inlineStr">
        <is>
          <t>PROD_0995</t>
        </is>
      </c>
    </row>
    <row r="997" ht="15.75" customHeight="1">
      <c r="A997" s="3" t="inlineStr">
        <is>
          <t>PROD_0996</t>
        </is>
      </c>
    </row>
    <row r="998" ht="15.75" customHeight="1">
      <c r="A998" s="3" t="inlineStr">
        <is>
          <t>PROD_0997</t>
        </is>
      </c>
    </row>
    <row r="999" ht="15.75" customHeight="1">
      <c r="A999" s="3" t="inlineStr">
        <is>
          <t>PROD_0998</t>
        </is>
      </c>
    </row>
    <row r="1000" ht="15.75" customHeight="1">
      <c r="A1000" s="3" t="inlineStr">
        <is>
          <t>PROD_0999</t>
        </is>
      </c>
    </row>
    <row r="1001" ht="15.75" customHeight="1">
      <c r="A1001" s="3" t="inlineStr">
        <is>
          <t>PROD_1000</t>
        </is>
      </c>
    </row>
    <row r="1002" ht="15.75" customHeight="1">
      <c r="A1002" s="3" t="inlineStr">
        <is>
          <t>PROD_1001</t>
        </is>
      </c>
    </row>
    <row r="1003" ht="15.75" customHeight="1">
      <c r="A1003" s="3" t="inlineStr">
        <is>
          <t>PROD_1002</t>
        </is>
      </c>
    </row>
    <row r="1004" ht="15.75" customHeight="1">
      <c r="A1004" s="3" t="inlineStr">
        <is>
          <t>PROD_1003</t>
        </is>
      </c>
    </row>
    <row r="1005" ht="15.75" customHeight="1">
      <c r="A1005" s="3" t="inlineStr">
        <is>
          <t>PROD_1004</t>
        </is>
      </c>
    </row>
    <row r="1006" ht="15.75" customHeight="1">
      <c r="A1006" s="3" t="inlineStr">
        <is>
          <t>PROD_1005</t>
        </is>
      </c>
    </row>
    <row r="1007" ht="15.75" customHeight="1">
      <c r="A1007" s="3" t="inlineStr">
        <is>
          <t>PROD_1006</t>
        </is>
      </c>
    </row>
    <row r="1008" ht="15.75" customHeight="1">
      <c r="A1008" s="3" t="inlineStr">
        <is>
          <t>PROD_1007</t>
        </is>
      </c>
    </row>
    <row r="1009" ht="15.75" customHeight="1">
      <c r="A1009" s="3" t="inlineStr">
        <is>
          <t>PROD_1008</t>
        </is>
      </c>
    </row>
    <row r="1010" ht="15.75" customHeight="1">
      <c r="A1010" s="3" t="inlineStr">
        <is>
          <t>PROD_1009</t>
        </is>
      </c>
    </row>
    <row r="1011" ht="15.75" customHeight="1">
      <c r="A1011" s="3" t="inlineStr">
        <is>
          <t>PROD_1010</t>
        </is>
      </c>
    </row>
    <row r="1012" ht="15.75" customHeight="1">
      <c r="A1012" s="3" t="inlineStr">
        <is>
          <t>PROD_1011</t>
        </is>
      </c>
    </row>
    <row r="1013" ht="15.75" customHeight="1">
      <c r="A1013" s="3" t="inlineStr">
        <is>
          <t>PROD_1012</t>
        </is>
      </c>
    </row>
    <row r="1014" ht="15.75" customHeight="1">
      <c r="A1014" s="3" t="inlineStr">
        <is>
          <t>PROD_1013</t>
        </is>
      </c>
    </row>
    <row r="1015" ht="15.75" customHeight="1">
      <c r="A1015" s="3" t="inlineStr">
        <is>
          <t>PROD_1014</t>
        </is>
      </c>
    </row>
    <row r="1016" ht="15.75" customHeight="1">
      <c r="A1016" s="3" t="inlineStr">
        <is>
          <t>PROD_1015</t>
        </is>
      </c>
    </row>
    <row r="1017" ht="15.75" customHeight="1">
      <c r="A1017" s="3" t="inlineStr">
        <is>
          <t>PROD_1016</t>
        </is>
      </c>
    </row>
    <row r="1018" ht="15.75" customHeight="1">
      <c r="A1018" s="3" t="inlineStr">
        <is>
          <t>PROD_1017</t>
        </is>
      </c>
    </row>
    <row r="1019" ht="15.75" customHeight="1">
      <c r="A1019" s="3" t="inlineStr">
        <is>
          <t>PROD_1018</t>
        </is>
      </c>
    </row>
    <row r="1020" ht="15.75" customHeight="1">
      <c r="A1020" s="3" t="inlineStr">
        <is>
          <t>PROD_1019</t>
        </is>
      </c>
    </row>
    <row r="1021" ht="15.75" customHeight="1">
      <c r="A1021" s="3" t="inlineStr">
        <is>
          <t>PROD_1020</t>
        </is>
      </c>
    </row>
    <row r="1022" ht="15.75" customHeight="1">
      <c r="A1022" s="3" t="inlineStr">
        <is>
          <t>PROD_1021</t>
        </is>
      </c>
    </row>
    <row r="1023" ht="15.75" customHeight="1">
      <c r="A1023" s="3" t="inlineStr">
        <is>
          <t>PROD_1022</t>
        </is>
      </c>
    </row>
    <row r="1024" ht="15.75" customHeight="1">
      <c r="A1024" s="3" t="inlineStr">
        <is>
          <t>PROD_1023</t>
        </is>
      </c>
    </row>
    <row r="1025" ht="15.75" customHeight="1">
      <c r="A1025" s="3" t="inlineStr">
        <is>
          <t>PROD_1024</t>
        </is>
      </c>
    </row>
    <row r="1026" ht="15.75" customHeight="1">
      <c r="A1026" s="3" t="inlineStr">
        <is>
          <t>PROD_1025</t>
        </is>
      </c>
    </row>
    <row r="1027" ht="15.75" customHeight="1">
      <c r="A1027" s="3" t="inlineStr">
        <is>
          <t>PROD_1026</t>
        </is>
      </c>
    </row>
    <row r="1028" ht="15.75" customHeight="1">
      <c r="A1028" s="3" t="inlineStr">
        <is>
          <t>PROD_1027</t>
        </is>
      </c>
    </row>
    <row r="1029" ht="15.75" customHeight="1">
      <c r="A1029" s="3" t="inlineStr">
        <is>
          <t>PROD_1028</t>
        </is>
      </c>
    </row>
    <row r="1030" ht="15.75" customHeight="1">
      <c r="A1030" s="3" t="inlineStr">
        <is>
          <t>PROD_1029</t>
        </is>
      </c>
    </row>
    <row r="1031" ht="15.75" customHeight="1">
      <c r="A1031" s="3" t="inlineStr">
        <is>
          <t>PROD_1030</t>
        </is>
      </c>
    </row>
    <row r="1032" ht="15.75" customHeight="1">
      <c r="A1032" s="3" t="inlineStr">
        <is>
          <t>PROD_1031</t>
        </is>
      </c>
    </row>
    <row r="1033" ht="15.75" customHeight="1">
      <c r="A1033" s="3" t="inlineStr">
        <is>
          <t>PROD_1032</t>
        </is>
      </c>
    </row>
    <row r="1034" ht="15.75" customHeight="1">
      <c r="A1034" s="3" t="inlineStr">
        <is>
          <t>PROD_1033</t>
        </is>
      </c>
    </row>
    <row r="1035" ht="15.75" customHeight="1">
      <c r="A1035" s="3" t="inlineStr">
        <is>
          <t>PROD_1034</t>
        </is>
      </c>
    </row>
    <row r="1036" ht="15.75" customHeight="1">
      <c r="A1036" s="3" t="inlineStr">
        <is>
          <t>PROD_1035</t>
        </is>
      </c>
    </row>
    <row r="1037" ht="15.75" customHeight="1">
      <c r="A1037" s="3" t="inlineStr">
        <is>
          <t>PROD_1036</t>
        </is>
      </c>
    </row>
    <row r="1038" ht="15.75" customHeight="1">
      <c r="A1038" s="3" t="inlineStr">
        <is>
          <t>PROD_1037</t>
        </is>
      </c>
    </row>
    <row r="1039" ht="15.75" customHeight="1">
      <c r="A1039" s="3" t="inlineStr">
        <is>
          <t>PROD_1038</t>
        </is>
      </c>
    </row>
    <row r="1040" ht="15.75" customHeight="1">
      <c r="A1040" s="3" t="inlineStr">
        <is>
          <t>PROD_1039</t>
        </is>
      </c>
    </row>
    <row r="1041" ht="15.75" customHeight="1">
      <c r="A1041" s="3" t="inlineStr">
        <is>
          <t>PROD_1040</t>
        </is>
      </c>
    </row>
    <row r="1042" ht="15.75" customHeight="1">
      <c r="A1042" s="3" t="inlineStr">
        <is>
          <t>PROD_1041</t>
        </is>
      </c>
    </row>
    <row r="1043" ht="15.75" customHeight="1">
      <c r="A1043" s="3" t="inlineStr">
        <is>
          <t>PROD_1042</t>
        </is>
      </c>
    </row>
    <row r="1044" ht="15.75" customHeight="1">
      <c r="A1044" s="3" t="inlineStr">
        <is>
          <t>PROD_1043</t>
        </is>
      </c>
    </row>
    <row r="1045" ht="15.75" customHeight="1">
      <c r="A1045" s="3" t="inlineStr">
        <is>
          <t>PROD_1044</t>
        </is>
      </c>
    </row>
    <row r="1046" ht="15.75" customHeight="1">
      <c r="A1046" s="3" t="inlineStr">
        <is>
          <t>PROD_1045</t>
        </is>
      </c>
    </row>
    <row r="1047" ht="15.75" customHeight="1">
      <c r="A1047" s="3" t="inlineStr">
        <is>
          <t>PROD_1046</t>
        </is>
      </c>
    </row>
    <row r="1048" ht="15.75" customHeight="1">
      <c r="A1048" s="3" t="inlineStr">
        <is>
          <t>PROD_1047</t>
        </is>
      </c>
    </row>
    <row r="1049" ht="15.75" customHeight="1">
      <c r="A1049" s="3" t="inlineStr">
        <is>
          <t>PROD_1048</t>
        </is>
      </c>
    </row>
    <row r="1050" ht="15.75" customHeight="1">
      <c r="A1050" s="3" t="inlineStr">
        <is>
          <t>PROD_1049</t>
        </is>
      </c>
    </row>
    <row r="1051" ht="15.75" customHeight="1">
      <c r="A1051" s="3" t="inlineStr">
        <is>
          <t>PROD_1050</t>
        </is>
      </c>
    </row>
    <row r="1052" ht="15.75" customHeight="1">
      <c r="A1052" s="3" t="inlineStr">
        <is>
          <t>PROD_1051</t>
        </is>
      </c>
    </row>
    <row r="1053" ht="15.75" customHeight="1">
      <c r="A1053" s="3" t="inlineStr">
        <is>
          <t>PROD_1052</t>
        </is>
      </c>
    </row>
    <row r="1054" ht="15.75" customHeight="1">
      <c r="A1054" s="3" t="inlineStr">
        <is>
          <t>PROD_1053</t>
        </is>
      </c>
    </row>
    <row r="1055" ht="15.75" customHeight="1">
      <c r="A1055" s="3" t="inlineStr">
        <is>
          <t>PROD_1054</t>
        </is>
      </c>
    </row>
    <row r="1056" ht="15.75" customHeight="1">
      <c r="A1056" s="3" t="inlineStr">
        <is>
          <t>PROD_1055</t>
        </is>
      </c>
    </row>
    <row r="1057" ht="15.75" customHeight="1">
      <c r="A1057" s="3" t="inlineStr">
        <is>
          <t>PROD_1056</t>
        </is>
      </c>
    </row>
    <row r="1058" ht="15.75" customHeight="1">
      <c r="A1058" s="3" t="inlineStr">
        <is>
          <t>PROD_1057</t>
        </is>
      </c>
    </row>
    <row r="1059" ht="15.75" customHeight="1">
      <c r="A1059" s="3" t="inlineStr">
        <is>
          <t>PROD_1058</t>
        </is>
      </c>
    </row>
    <row r="1060" ht="15.75" customHeight="1">
      <c r="A1060" s="3" t="inlineStr">
        <is>
          <t>PROD_1059</t>
        </is>
      </c>
    </row>
    <row r="1061" ht="15.75" customHeight="1">
      <c r="A1061" s="3" t="inlineStr">
        <is>
          <t>PROD_1060</t>
        </is>
      </c>
    </row>
    <row r="1062" ht="15.75" customHeight="1">
      <c r="A1062" s="3" t="inlineStr">
        <is>
          <t>PROD_1061</t>
        </is>
      </c>
    </row>
    <row r="1063" ht="15.75" customHeight="1">
      <c r="A1063" s="3" t="inlineStr">
        <is>
          <t>PROD_1062</t>
        </is>
      </c>
    </row>
    <row r="1064" ht="15.75" customHeight="1">
      <c r="A1064" s="3" t="inlineStr">
        <is>
          <t>PROD_1063</t>
        </is>
      </c>
    </row>
    <row r="1065" ht="15.75" customHeight="1">
      <c r="A1065" s="3" t="inlineStr">
        <is>
          <t>PROD_1064</t>
        </is>
      </c>
    </row>
    <row r="1066" ht="15.75" customHeight="1">
      <c r="A1066" s="3" t="inlineStr">
        <is>
          <t>PROD_1065</t>
        </is>
      </c>
    </row>
    <row r="1067" ht="15.75" customHeight="1">
      <c r="A1067" s="3" t="inlineStr">
        <is>
          <t>PROD_1066</t>
        </is>
      </c>
    </row>
    <row r="1068" ht="15.75" customHeight="1">
      <c r="A1068" s="3" t="inlineStr">
        <is>
          <t>PROD_1067</t>
        </is>
      </c>
    </row>
    <row r="1069" ht="15.75" customHeight="1">
      <c r="A1069" s="3" t="inlineStr">
        <is>
          <t>PROD_1068</t>
        </is>
      </c>
    </row>
    <row r="1070" ht="15.75" customHeight="1">
      <c r="A1070" s="3" t="inlineStr">
        <is>
          <t>PROD_1069</t>
        </is>
      </c>
    </row>
    <row r="1071" ht="15.75" customHeight="1">
      <c r="A1071" s="3" t="inlineStr">
        <is>
          <t>PROD_1070</t>
        </is>
      </c>
    </row>
    <row r="1072" ht="15.75" customHeight="1">
      <c r="A1072" s="3" t="inlineStr">
        <is>
          <t>PROD_1071</t>
        </is>
      </c>
    </row>
    <row r="1073" ht="15.75" customHeight="1">
      <c r="A1073" s="3" t="inlineStr">
        <is>
          <t>PROD_1072</t>
        </is>
      </c>
    </row>
    <row r="1074" ht="15.75" customHeight="1">
      <c r="A1074" s="3" t="inlineStr">
        <is>
          <t>PROD_1073</t>
        </is>
      </c>
    </row>
    <row r="1075" ht="15.75" customHeight="1">
      <c r="A1075" s="3" t="inlineStr">
        <is>
          <t>PROD_1074</t>
        </is>
      </c>
    </row>
    <row r="1076" ht="15.75" customHeight="1">
      <c r="A1076" s="3" t="inlineStr">
        <is>
          <t>PROD_1075</t>
        </is>
      </c>
    </row>
    <row r="1077" ht="15.75" customHeight="1">
      <c r="A1077" s="3" t="inlineStr">
        <is>
          <t>PROD_1076</t>
        </is>
      </c>
    </row>
    <row r="1078" ht="15.75" customHeight="1">
      <c r="A1078" s="3" t="inlineStr">
        <is>
          <t>PROD_1077</t>
        </is>
      </c>
    </row>
    <row r="1079" ht="15.75" customHeight="1">
      <c r="A1079" s="3" t="inlineStr">
        <is>
          <t>PROD_1078</t>
        </is>
      </c>
    </row>
    <row r="1080" ht="15.75" customHeight="1">
      <c r="A1080" s="3" t="inlineStr">
        <is>
          <t>PROD_1079</t>
        </is>
      </c>
    </row>
    <row r="1081" ht="15.75" customHeight="1">
      <c r="A1081" s="3" t="inlineStr">
        <is>
          <t>PROD_1080</t>
        </is>
      </c>
    </row>
    <row r="1082" ht="15.75" customHeight="1">
      <c r="A1082" s="3" t="inlineStr">
        <is>
          <t>PROD_1081</t>
        </is>
      </c>
    </row>
    <row r="1083" ht="15.75" customHeight="1">
      <c r="A1083" s="3" t="inlineStr">
        <is>
          <t>PROD_1082</t>
        </is>
      </c>
    </row>
    <row r="1084" ht="15.75" customHeight="1">
      <c r="A1084" s="3" t="inlineStr">
        <is>
          <t>PROD_1083</t>
        </is>
      </c>
    </row>
    <row r="1085" ht="15.75" customHeight="1">
      <c r="A1085" s="3" t="inlineStr">
        <is>
          <t>PROD_1084</t>
        </is>
      </c>
    </row>
    <row r="1086" ht="15.75" customHeight="1">
      <c r="A1086" s="3" t="inlineStr">
        <is>
          <t>PROD_1085</t>
        </is>
      </c>
    </row>
    <row r="1087" ht="15.75" customHeight="1">
      <c r="A1087" s="3" t="inlineStr">
        <is>
          <t>PROD_1086</t>
        </is>
      </c>
    </row>
    <row r="1088" ht="15.75" customHeight="1">
      <c r="A1088" s="3" t="inlineStr">
        <is>
          <t>PROD_1087</t>
        </is>
      </c>
    </row>
    <row r="1089" ht="15.75" customHeight="1">
      <c r="A1089" s="3" t="inlineStr">
        <is>
          <t>PROD_1088</t>
        </is>
      </c>
    </row>
    <row r="1090" ht="15.75" customHeight="1">
      <c r="A1090" s="3" t="inlineStr">
        <is>
          <t>PROD_1089</t>
        </is>
      </c>
    </row>
    <row r="1091" ht="15.75" customHeight="1">
      <c r="A1091" s="3" t="inlineStr">
        <is>
          <t>PROD_1090</t>
        </is>
      </c>
    </row>
    <row r="1092" ht="15.75" customHeight="1">
      <c r="A1092" s="3" t="inlineStr">
        <is>
          <t>PROD_1091</t>
        </is>
      </c>
    </row>
    <row r="1093" ht="15.75" customHeight="1">
      <c r="A1093" s="3" t="inlineStr">
        <is>
          <t>PROD_1092</t>
        </is>
      </c>
    </row>
    <row r="1094" ht="15.75" customHeight="1">
      <c r="A1094" s="3" t="inlineStr">
        <is>
          <t>PROD_1093</t>
        </is>
      </c>
    </row>
    <row r="1095" ht="15.75" customHeight="1">
      <c r="A1095" s="3" t="inlineStr">
        <is>
          <t>PROD_1094</t>
        </is>
      </c>
    </row>
    <row r="1096" ht="15.75" customHeight="1">
      <c r="A1096" s="3" t="inlineStr">
        <is>
          <t>PROD_1095</t>
        </is>
      </c>
    </row>
    <row r="1097" ht="15.75" customHeight="1">
      <c r="A1097" s="3" t="inlineStr">
        <is>
          <t>PROD_1096</t>
        </is>
      </c>
    </row>
    <row r="1098" ht="15.75" customHeight="1">
      <c r="A1098" s="3" t="inlineStr">
        <is>
          <t>PROD_1097</t>
        </is>
      </c>
    </row>
    <row r="1099" ht="15.75" customHeight="1">
      <c r="A1099" s="3" t="inlineStr">
        <is>
          <t>PROD_1098</t>
        </is>
      </c>
    </row>
    <row r="1100" ht="15.75" customHeight="1">
      <c r="A1100" s="3" t="inlineStr">
        <is>
          <t>PROD_1099</t>
        </is>
      </c>
    </row>
    <row r="1101" ht="15.75" customHeight="1">
      <c r="A1101" s="3" t="inlineStr">
        <is>
          <t>PROD_1100</t>
        </is>
      </c>
    </row>
    <row r="1102" ht="15.75" customHeight="1">
      <c r="A1102" s="3" t="inlineStr">
        <is>
          <t>PROD_1101</t>
        </is>
      </c>
    </row>
    <row r="1103" ht="15.75" customHeight="1">
      <c r="A1103" s="3" t="inlineStr">
        <is>
          <t>PROD_1102</t>
        </is>
      </c>
    </row>
    <row r="1104" ht="15.75" customHeight="1">
      <c r="A1104" s="3" t="inlineStr">
        <is>
          <t>PROD_1103</t>
        </is>
      </c>
    </row>
    <row r="1105" ht="15.75" customHeight="1">
      <c r="A1105" s="3" t="inlineStr">
        <is>
          <t>PROD_1104</t>
        </is>
      </c>
    </row>
    <row r="1106" ht="15.75" customHeight="1">
      <c r="A1106" s="3" t="inlineStr">
        <is>
          <t>PROD_1105</t>
        </is>
      </c>
    </row>
    <row r="1107" ht="15.75" customHeight="1">
      <c r="A1107" s="3" t="inlineStr">
        <is>
          <t>PROD_1106</t>
        </is>
      </c>
    </row>
    <row r="1108" ht="15.75" customHeight="1">
      <c r="A1108" s="3" t="inlineStr">
        <is>
          <t>PROD_1107</t>
        </is>
      </c>
    </row>
    <row r="1109" ht="15.75" customHeight="1">
      <c r="A1109" s="3" t="inlineStr">
        <is>
          <t>PROD_1108</t>
        </is>
      </c>
    </row>
    <row r="1110" ht="15.75" customHeight="1">
      <c r="A1110" s="3" t="inlineStr">
        <is>
          <t>PROD_1109</t>
        </is>
      </c>
    </row>
    <row r="1111" ht="15.75" customHeight="1">
      <c r="A1111" s="3" t="inlineStr">
        <is>
          <t>PROD_1110</t>
        </is>
      </c>
    </row>
    <row r="1112" ht="15.75" customHeight="1">
      <c r="A1112" s="3" t="inlineStr">
        <is>
          <t>PROD_1111</t>
        </is>
      </c>
    </row>
    <row r="1113" ht="15.75" customHeight="1">
      <c r="A1113" s="3" t="inlineStr">
        <is>
          <t>PROD_1112</t>
        </is>
      </c>
    </row>
    <row r="1114" ht="15.75" customHeight="1">
      <c r="A1114" s="3" t="inlineStr">
        <is>
          <t>PROD_1113</t>
        </is>
      </c>
    </row>
    <row r="1115" ht="15.75" customHeight="1">
      <c r="A1115" s="3" t="inlineStr">
        <is>
          <t>PROD_1114</t>
        </is>
      </c>
    </row>
    <row r="1116" ht="15.75" customHeight="1">
      <c r="A1116" s="3" t="inlineStr">
        <is>
          <t>PROD_1115</t>
        </is>
      </c>
    </row>
    <row r="1117" ht="15.75" customHeight="1">
      <c r="A1117" s="3" t="inlineStr">
        <is>
          <t>PROD_1116</t>
        </is>
      </c>
    </row>
    <row r="1118" ht="15.75" customHeight="1">
      <c r="A1118" s="3" t="inlineStr">
        <is>
          <t>PROD_1117</t>
        </is>
      </c>
    </row>
    <row r="1119" ht="15.75" customHeight="1">
      <c r="A1119" s="3" t="inlineStr">
        <is>
          <t>PROD_1118</t>
        </is>
      </c>
    </row>
    <row r="1120" ht="15.75" customHeight="1">
      <c r="A1120" s="3" t="inlineStr">
        <is>
          <t>PROD_1119</t>
        </is>
      </c>
    </row>
    <row r="1121" ht="15.75" customHeight="1">
      <c r="A1121" s="3" t="inlineStr">
        <is>
          <t>PROD_1120</t>
        </is>
      </c>
    </row>
    <row r="1122" ht="15.75" customHeight="1">
      <c r="A1122" s="3" t="inlineStr">
        <is>
          <t>PROD_1121</t>
        </is>
      </c>
    </row>
    <row r="1123" ht="15.75" customHeight="1">
      <c r="A1123" s="3" t="inlineStr">
        <is>
          <t>PROD_1122</t>
        </is>
      </c>
    </row>
    <row r="1124" ht="15.75" customHeight="1">
      <c r="A1124" s="3" t="inlineStr">
        <is>
          <t>PROD_1123</t>
        </is>
      </c>
    </row>
    <row r="1125" ht="15.75" customHeight="1">
      <c r="A1125" s="3" t="inlineStr">
        <is>
          <t>PROD_1124</t>
        </is>
      </c>
    </row>
    <row r="1126" ht="15.75" customHeight="1">
      <c r="A1126" s="3" t="inlineStr">
        <is>
          <t>PROD_1125</t>
        </is>
      </c>
    </row>
    <row r="1127" ht="15.75" customHeight="1">
      <c r="A1127" s="3" t="inlineStr">
        <is>
          <t>PROD_1126</t>
        </is>
      </c>
    </row>
    <row r="1128" ht="15.75" customHeight="1">
      <c r="A1128" s="3" t="inlineStr">
        <is>
          <t>PROD_1127</t>
        </is>
      </c>
    </row>
    <row r="1129" ht="15.75" customHeight="1">
      <c r="A1129" s="3" t="inlineStr">
        <is>
          <t>PROD_1128</t>
        </is>
      </c>
    </row>
    <row r="1130" ht="15.75" customHeight="1">
      <c r="A1130" s="3" t="inlineStr">
        <is>
          <t>PROD_1129</t>
        </is>
      </c>
    </row>
    <row r="1131" ht="15.75" customHeight="1">
      <c r="A1131" s="3" t="inlineStr">
        <is>
          <t>PROD_1130</t>
        </is>
      </c>
    </row>
    <row r="1132" ht="15.75" customHeight="1">
      <c r="A1132" s="3" t="inlineStr">
        <is>
          <t>PROD_1131</t>
        </is>
      </c>
    </row>
    <row r="1133" ht="15.75" customHeight="1">
      <c r="A1133" s="3" t="inlineStr">
        <is>
          <t>PROD_1132</t>
        </is>
      </c>
    </row>
    <row r="1134" ht="15.75" customHeight="1">
      <c r="A1134" s="3" t="inlineStr">
        <is>
          <t>PROD_1133</t>
        </is>
      </c>
    </row>
    <row r="1135" ht="15.75" customHeight="1">
      <c r="A1135" s="3" t="inlineStr">
        <is>
          <t>PROD_1134</t>
        </is>
      </c>
    </row>
    <row r="1136" ht="15.75" customHeight="1">
      <c r="A1136" s="3" t="inlineStr">
        <is>
          <t>PROD_1135</t>
        </is>
      </c>
    </row>
    <row r="1137" ht="15.75" customHeight="1">
      <c r="A1137" s="3" t="inlineStr">
        <is>
          <t>PROD_1136</t>
        </is>
      </c>
    </row>
    <row r="1138" ht="15.75" customHeight="1">
      <c r="A1138" s="3" t="inlineStr">
        <is>
          <t>PROD_1137</t>
        </is>
      </c>
    </row>
    <row r="1139" ht="15.75" customHeight="1">
      <c r="A1139" s="3" t="inlineStr">
        <is>
          <t>PROD_1138</t>
        </is>
      </c>
    </row>
    <row r="1140" ht="15.75" customHeight="1">
      <c r="A1140" s="3" t="inlineStr">
        <is>
          <t>PROD_1139</t>
        </is>
      </c>
    </row>
    <row r="1141" ht="15.75" customHeight="1">
      <c r="A1141" s="3" t="inlineStr">
        <is>
          <t>PROD_1140</t>
        </is>
      </c>
    </row>
    <row r="1142" ht="15.75" customHeight="1">
      <c r="A1142" s="3" t="inlineStr">
        <is>
          <t>PROD_1141</t>
        </is>
      </c>
    </row>
    <row r="1143" ht="15.75" customHeight="1">
      <c r="A1143" s="3" t="inlineStr">
        <is>
          <t>PROD_1142</t>
        </is>
      </c>
    </row>
    <row r="1144" ht="15.75" customHeight="1">
      <c r="A1144" s="3" t="inlineStr">
        <is>
          <t>PROD_1143</t>
        </is>
      </c>
    </row>
    <row r="1145" ht="15.75" customHeight="1">
      <c r="A1145" s="3" t="inlineStr">
        <is>
          <t>PROD_1144</t>
        </is>
      </c>
    </row>
    <row r="1146" ht="15.75" customHeight="1">
      <c r="A1146" s="3" t="inlineStr">
        <is>
          <t>PROD_1145</t>
        </is>
      </c>
    </row>
    <row r="1147" ht="15.75" customHeight="1">
      <c r="A1147" s="3" t="inlineStr">
        <is>
          <t>PROD_1146</t>
        </is>
      </c>
    </row>
    <row r="1148" ht="15.75" customHeight="1">
      <c r="A1148" s="3" t="inlineStr">
        <is>
          <t>PROD_1147</t>
        </is>
      </c>
    </row>
    <row r="1149" ht="15.75" customHeight="1">
      <c r="A1149" s="3" t="inlineStr">
        <is>
          <t>PROD_1148</t>
        </is>
      </c>
    </row>
    <row r="1150" ht="15.75" customHeight="1">
      <c r="A1150" s="3" t="inlineStr">
        <is>
          <t>PROD_1149</t>
        </is>
      </c>
    </row>
    <row r="1151" ht="15.75" customHeight="1">
      <c r="A1151" s="3" t="inlineStr">
        <is>
          <t>PROD_1150</t>
        </is>
      </c>
    </row>
    <row r="1152" ht="15.75" customHeight="1">
      <c r="A1152" s="3" t="inlineStr">
        <is>
          <t>PROD_1151</t>
        </is>
      </c>
    </row>
    <row r="1153" ht="15.75" customHeight="1">
      <c r="A1153" s="3" t="inlineStr">
        <is>
          <t>PROD_1152</t>
        </is>
      </c>
    </row>
    <row r="1154" ht="15.75" customHeight="1">
      <c r="A1154" s="3" t="inlineStr">
        <is>
          <t>PROD_1153</t>
        </is>
      </c>
    </row>
    <row r="1155" ht="15.75" customHeight="1">
      <c r="A1155" s="3" t="inlineStr">
        <is>
          <t>PROD_1154</t>
        </is>
      </c>
    </row>
    <row r="1156" ht="15.75" customHeight="1">
      <c r="A1156" s="3" t="inlineStr">
        <is>
          <t>PROD_1155</t>
        </is>
      </c>
    </row>
    <row r="1157" ht="15.75" customHeight="1">
      <c r="A1157" s="3" t="inlineStr">
        <is>
          <t>PROD_1156</t>
        </is>
      </c>
    </row>
    <row r="1158" ht="15.75" customHeight="1">
      <c r="A1158" s="3" t="inlineStr">
        <is>
          <t>PROD_1157</t>
        </is>
      </c>
    </row>
    <row r="1159" ht="15.75" customHeight="1">
      <c r="A1159" s="3" t="inlineStr">
        <is>
          <t>PROD_1158</t>
        </is>
      </c>
    </row>
    <row r="1160" ht="15.75" customHeight="1">
      <c r="A1160" s="3" t="inlineStr">
        <is>
          <t>PROD_1159</t>
        </is>
      </c>
    </row>
    <row r="1161" ht="15.75" customHeight="1">
      <c r="A1161" s="3" t="inlineStr">
        <is>
          <t>PROD_1160</t>
        </is>
      </c>
    </row>
    <row r="1162" ht="15.75" customHeight="1">
      <c r="A1162" s="3" t="inlineStr">
        <is>
          <t>PROD_1161</t>
        </is>
      </c>
    </row>
    <row r="1163" ht="15.75" customHeight="1">
      <c r="A1163" s="3" t="inlineStr">
        <is>
          <t>PROD_1162</t>
        </is>
      </c>
    </row>
    <row r="1164" ht="15.75" customHeight="1">
      <c r="A1164" s="3" t="inlineStr">
        <is>
          <t>PROD_1163</t>
        </is>
      </c>
    </row>
    <row r="1165" ht="15.75" customHeight="1">
      <c r="A1165" s="3" t="inlineStr">
        <is>
          <t>PROD_1164</t>
        </is>
      </c>
    </row>
    <row r="1166" ht="15.75" customHeight="1">
      <c r="A1166" s="3" t="inlineStr">
        <is>
          <t>PROD_1165</t>
        </is>
      </c>
    </row>
    <row r="1167" ht="15.75" customHeight="1">
      <c r="A1167" s="3" t="inlineStr">
        <is>
          <t>PROD_1166</t>
        </is>
      </c>
    </row>
    <row r="1168" ht="15.75" customHeight="1">
      <c r="A1168" s="3" t="inlineStr">
        <is>
          <t>PROD_1167</t>
        </is>
      </c>
    </row>
    <row r="1169" ht="15.75" customHeight="1">
      <c r="A1169" s="3" t="inlineStr">
        <is>
          <t>PROD_1168</t>
        </is>
      </c>
    </row>
    <row r="1170" ht="15.75" customHeight="1">
      <c r="A1170" s="3" t="inlineStr">
        <is>
          <t>PROD_1169</t>
        </is>
      </c>
    </row>
    <row r="1171" ht="15.75" customHeight="1">
      <c r="A1171" s="3" t="inlineStr">
        <is>
          <t>PROD_1170</t>
        </is>
      </c>
    </row>
    <row r="1172" ht="15.75" customHeight="1">
      <c r="A1172" s="3" t="inlineStr">
        <is>
          <t>PROD_1171</t>
        </is>
      </c>
    </row>
    <row r="1173" ht="15.75" customHeight="1">
      <c r="A1173" s="3" t="inlineStr">
        <is>
          <t>PROD_1172</t>
        </is>
      </c>
    </row>
    <row r="1174" ht="15.75" customHeight="1">
      <c r="A1174" s="3" t="inlineStr">
        <is>
          <t>PROD_1173</t>
        </is>
      </c>
    </row>
    <row r="1175" ht="15.75" customHeight="1">
      <c r="A1175" s="3" t="inlineStr">
        <is>
          <t>PROD_1174</t>
        </is>
      </c>
    </row>
    <row r="1176" ht="15.75" customHeight="1">
      <c r="A1176" s="3" t="inlineStr">
        <is>
          <t>PROD_1175</t>
        </is>
      </c>
    </row>
    <row r="1177" ht="15.75" customHeight="1">
      <c r="A1177" s="3" t="inlineStr">
        <is>
          <t>PROD_1176</t>
        </is>
      </c>
    </row>
    <row r="1178" ht="15.75" customHeight="1">
      <c r="A1178" s="3" t="inlineStr">
        <is>
          <t>PROD_1177</t>
        </is>
      </c>
    </row>
    <row r="1179" ht="15.75" customHeight="1">
      <c r="A1179" s="3" t="inlineStr">
        <is>
          <t>PROD_1178</t>
        </is>
      </c>
    </row>
    <row r="1180" ht="15.75" customHeight="1">
      <c r="A1180" s="3" t="inlineStr">
        <is>
          <t>PROD_1179</t>
        </is>
      </c>
    </row>
    <row r="1181" ht="15.75" customHeight="1">
      <c r="A1181" s="3" t="inlineStr">
        <is>
          <t>PROD_1180</t>
        </is>
      </c>
    </row>
    <row r="1182" ht="15.75" customHeight="1">
      <c r="A1182" s="3" t="inlineStr">
        <is>
          <t>PROD_1181</t>
        </is>
      </c>
    </row>
    <row r="1183" ht="15.75" customHeight="1">
      <c r="A1183" s="3" t="inlineStr">
        <is>
          <t>PROD_1182</t>
        </is>
      </c>
    </row>
    <row r="1184" ht="15.75" customHeight="1">
      <c r="A1184" s="3" t="inlineStr">
        <is>
          <t>PROD_1183</t>
        </is>
      </c>
    </row>
    <row r="1185" ht="15.75" customHeight="1">
      <c r="A1185" s="3" t="inlineStr">
        <is>
          <t>PROD_1184</t>
        </is>
      </c>
    </row>
    <row r="1186" ht="15.75" customHeight="1">
      <c r="A1186" s="3" t="inlineStr">
        <is>
          <t>PROD_1185</t>
        </is>
      </c>
    </row>
    <row r="1187" ht="15.75" customHeight="1">
      <c r="A1187" s="3" t="inlineStr">
        <is>
          <t>PROD_1186</t>
        </is>
      </c>
    </row>
    <row r="1188" ht="15.75" customHeight="1">
      <c r="A1188" s="3" t="inlineStr">
        <is>
          <t>PROD_1187</t>
        </is>
      </c>
    </row>
    <row r="1189" ht="15.75" customHeight="1">
      <c r="A1189" s="3" t="inlineStr">
        <is>
          <t>PROD_1188</t>
        </is>
      </c>
    </row>
    <row r="1190" ht="15.75" customHeight="1">
      <c r="A1190" s="3" t="inlineStr">
        <is>
          <t>PROD_1189</t>
        </is>
      </c>
    </row>
    <row r="1191" ht="15.75" customHeight="1">
      <c r="A1191" s="3" t="inlineStr">
        <is>
          <t>PROD_1190</t>
        </is>
      </c>
    </row>
    <row r="1192" ht="15.75" customHeight="1">
      <c r="A1192" s="3" t="inlineStr">
        <is>
          <t>PROD_1191</t>
        </is>
      </c>
    </row>
    <row r="1193" ht="15.75" customHeight="1">
      <c r="A1193" s="3" t="inlineStr">
        <is>
          <t>PROD_1192</t>
        </is>
      </c>
    </row>
    <row r="1194" ht="15.75" customHeight="1">
      <c r="A1194" s="3" t="inlineStr">
        <is>
          <t>PROD_1193</t>
        </is>
      </c>
    </row>
    <row r="1195" ht="15.75" customHeight="1">
      <c r="A1195" s="3" t="inlineStr">
        <is>
          <t>PROD_1194</t>
        </is>
      </c>
    </row>
    <row r="1196" ht="15.75" customHeight="1">
      <c r="A1196" s="3" t="inlineStr">
        <is>
          <t>PROD_1195</t>
        </is>
      </c>
    </row>
    <row r="1197" ht="15.75" customHeight="1">
      <c r="A1197" s="3" t="inlineStr">
        <is>
          <t>PROD_1196</t>
        </is>
      </c>
    </row>
    <row r="1198" ht="15.75" customHeight="1">
      <c r="A1198" s="3" t="inlineStr">
        <is>
          <t>PROD_1197</t>
        </is>
      </c>
    </row>
    <row r="1199" ht="15.75" customHeight="1">
      <c r="A1199" s="3" t="inlineStr">
        <is>
          <t>PROD_1198</t>
        </is>
      </c>
    </row>
    <row r="1200" ht="15.75" customHeight="1">
      <c r="A1200" s="3" t="inlineStr">
        <is>
          <t>PROD_1199</t>
        </is>
      </c>
    </row>
    <row r="1201" ht="15.75" customHeight="1">
      <c r="A1201" s="3" t="inlineStr">
        <is>
          <t>PROD_1200</t>
        </is>
      </c>
    </row>
    <row r="1202" ht="15.75" customHeight="1">
      <c r="A1202" s="3" t="inlineStr">
        <is>
          <t>PROD_1201</t>
        </is>
      </c>
    </row>
    <row r="1203" ht="15.75" customHeight="1">
      <c r="A1203" s="3" t="inlineStr">
        <is>
          <t>PROD_1202</t>
        </is>
      </c>
    </row>
    <row r="1204" ht="15.75" customHeight="1">
      <c r="A1204" s="3" t="inlineStr">
        <is>
          <t>PROD_1203</t>
        </is>
      </c>
    </row>
    <row r="1205" ht="15.75" customHeight="1">
      <c r="A1205" s="3" t="inlineStr">
        <is>
          <t>PROD_1204</t>
        </is>
      </c>
    </row>
    <row r="1206" ht="15.75" customHeight="1">
      <c r="A1206" s="3" t="inlineStr">
        <is>
          <t>PROD_1205</t>
        </is>
      </c>
    </row>
    <row r="1207" ht="15.75" customHeight="1">
      <c r="A1207" s="3" t="inlineStr">
        <is>
          <t>PROD_1206</t>
        </is>
      </c>
    </row>
    <row r="1208" ht="15.75" customHeight="1">
      <c r="A1208" s="3" t="inlineStr">
        <is>
          <t>PROD_1207</t>
        </is>
      </c>
    </row>
    <row r="1209" ht="15.75" customHeight="1">
      <c r="A1209" s="3" t="inlineStr">
        <is>
          <t>PROD_1208</t>
        </is>
      </c>
    </row>
    <row r="1210" ht="15.75" customHeight="1">
      <c r="A1210" s="3" t="inlineStr">
        <is>
          <t>PROD_1209</t>
        </is>
      </c>
    </row>
    <row r="1211" ht="15.75" customHeight="1">
      <c r="A1211" s="3" t="inlineStr">
        <is>
          <t>PROD_1210</t>
        </is>
      </c>
    </row>
    <row r="1212" ht="15.75" customHeight="1">
      <c r="A1212" s="3" t="inlineStr">
        <is>
          <t>PROD_1211</t>
        </is>
      </c>
    </row>
    <row r="1213" ht="15.75" customHeight="1">
      <c r="A1213" s="3" t="inlineStr">
        <is>
          <t>PROD_1212</t>
        </is>
      </c>
    </row>
    <row r="1214" ht="15.75" customHeight="1">
      <c r="A1214" s="3" t="inlineStr">
        <is>
          <t>PROD_1213</t>
        </is>
      </c>
    </row>
    <row r="1215" ht="15.75" customHeight="1">
      <c r="A1215" s="3" t="inlineStr">
        <is>
          <t>PROD_1214</t>
        </is>
      </c>
    </row>
    <row r="1216" ht="15.75" customHeight="1">
      <c r="A1216" s="3" t="inlineStr">
        <is>
          <t>PROD_1215</t>
        </is>
      </c>
    </row>
    <row r="1217" ht="15.75" customHeight="1">
      <c r="A1217" s="3" t="inlineStr">
        <is>
          <t>PROD_1216</t>
        </is>
      </c>
    </row>
    <row r="1218" ht="15.75" customHeight="1">
      <c r="A1218" s="3" t="inlineStr">
        <is>
          <t>PROD_1217</t>
        </is>
      </c>
    </row>
    <row r="1219" ht="15.75" customHeight="1">
      <c r="A1219" s="3" t="inlineStr">
        <is>
          <t>PROD_1218</t>
        </is>
      </c>
    </row>
    <row r="1220" ht="15.75" customHeight="1">
      <c r="A1220" s="3" t="inlineStr">
        <is>
          <t>PROD_1219</t>
        </is>
      </c>
    </row>
    <row r="1221" ht="15.75" customHeight="1">
      <c r="A1221" s="3" t="inlineStr">
        <is>
          <t>PROD_1220</t>
        </is>
      </c>
    </row>
    <row r="1222" ht="15.75" customHeight="1">
      <c r="A1222" s="3" t="inlineStr">
        <is>
          <t>PROD_1221</t>
        </is>
      </c>
    </row>
    <row r="1223" ht="15.75" customHeight="1">
      <c r="A1223" s="3" t="inlineStr">
        <is>
          <t>PROD_1222</t>
        </is>
      </c>
    </row>
    <row r="1224" ht="15.75" customHeight="1">
      <c r="A1224" s="3" t="inlineStr">
        <is>
          <t>PROD_1223</t>
        </is>
      </c>
    </row>
    <row r="1225" ht="15.75" customHeight="1">
      <c r="A1225" s="3" t="inlineStr">
        <is>
          <t>PROD_1224</t>
        </is>
      </c>
    </row>
    <row r="1226" ht="15.75" customHeight="1">
      <c r="A1226" s="3" t="inlineStr">
        <is>
          <t>PROD_1225</t>
        </is>
      </c>
    </row>
    <row r="1227" ht="15.75" customHeight="1">
      <c r="A1227" s="3" t="inlineStr">
        <is>
          <t>PROD_1226</t>
        </is>
      </c>
    </row>
    <row r="1228" ht="15.75" customHeight="1">
      <c r="A1228" s="3" t="inlineStr">
        <is>
          <t>PROD_1227</t>
        </is>
      </c>
    </row>
    <row r="1229" ht="15.75" customHeight="1">
      <c r="A1229" s="3" t="inlineStr">
        <is>
          <t>PROD_1228</t>
        </is>
      </c>
    </row>
    <row r="1230" ht="15.75" customHeight="1">
      <c r="A1230" s="3" t="inlineStr">
        <is>
          <t>PROD_1229</t>
        </is>
      </c>
    </row>
    <row r="1231" ht="15.75" customHeight="1">
      <c r="A1231" s="3" t="inlineStr">
        <is>
          <t>PROD_1230</t>
        </is>
      </c>
    </row>
    <row r="1232" ht="15.75" customHeight="1">
      <c r="A1232" s="3" t="inlineStr">
        <is>
          <t>PROD_1231</t>
        </is>
      </c>
    </row>
    <row r="1233" ht="15.75" customHeight="1">
      <c r="A1233" s="3" t="inlineStr">
        <is>
          <t>PROD_1232</t>
        </is>
      </c>
    </row>
    <row r="1234" ht="15.75" customHeight="1">
      <c r="A1234" s="3" t="inlineStr">
        <is>
          <t>PROD_1233</t>
        </is>
      </c>
    </row>
    <row r="1235" ht="15.75" customHeight="1">
      <c r="A1235" s="3" t="inlineStr">
        <is>
          <t>PROD_1234</t>
        </is>
      </c>
    </row>
    <row r="1236" ht="15.75" customHeight="1">
      <c r="A1236" s="3" t="inlineStr">
        <is>
          <t>PROD_1235</t>
        </is>
      </c>
    </row>
    <row r="1237" ht="15.75" customHeight="1">
      <c r="A1237" s="3" t="inlineStr">
        <is>
          <t>PROD_1236</t>
        </is>
      </c>
    </row>
    <row r="1238" ht="15.75" customHeight="1">
      <c r="A1238" s="3" t="inlineStr">
        <is>
          <t>PROD_1237</t>
        </is>
      </c>
    </row>
    <row r="1239" ht="15.75" customHeight="1">
      <c r="A1239" s="3" t="inlineStr">
        <is>
          <t>PROD_1238</t>
        </is>
      </c>
    </row>
    <row r="1240" ht="15.75" customHeight="1">
      <c r="A1240" s="3" t="inlineStr">
        <is>
          <t>PROD_1239</t>
        </is>
      </c>
    </row>
    <row r="1241" ht="15.75" customHeight="1">
      <c r="A1241" s="3" t="inlineStr">
        <is>
          <t>PROD_1240</t>
        </is>
      </c>
    </row>
    <row r="1242" ht="15.75" customHeight="1">
      <c r="A1242" s="3" t="inlineStr">
        <is>
          <t>PROD_1241</t>
        </is>
      </c>
    </row>
    <row r="1243" ht="15.75" customHeight="1">
      <c r="A1243" s="3" t="inlineStr">
        <is>
          <t>PROD_1242</t>
        </is>
      </c>
    </row>
    <row r="1244" ht="15.75" customHeight="1">
      <c r="A1244" s="3" t="inlineStr">
        <is>
          <t>PROD_1243</t>
        </is>
      </c>
    </row>
    <row r="1245" ht="15.75" customHeight="1">
      <c r="A1245" s="3" t="inlineStr">
        <is>
          <t>PROD_1244</t>
        </is>
      </c>
    </row>
    <row r="1246" ht="15.75" customHeight="1">
      <c r="A1246" s="3" t="inlineStr">
        <is>
          <t>PROD_1245</t>
        </is>
      </c>
    </row>
    <row r="1247" ht="15.75" customHeight="1">
      <c r="A1247" s="3" t="inlineStr">
        <is>
          <t>PROD_1246</t>
        </is>
      </c>
    </row>
    <row r="1248" ht="15.75" customHeight="1">
      <c r="A1248" s="3" t="inlineStr">
        <is>
          <t>PROD_1247</t>
        </is>
      </c>
    </row>
    <row r="1249" ht="15.75" customHeight="1">
      <c r="A1249" s="3" t="inlineStr">
        <is>
          <t>PROD_1248</t>
        </is>
      </c>
    </row>
    <row r="1250" ht="15.75" customHeight="1">
      <c r="A1250" s="3" t="inlineStr">
        <is>
          <t>PROD_1249</t>
        </is>
      </c>
    </row>
    <row r="1251" ht="15.75" customHeight="1">
      <c r="A1251" s="3" t="inlineStr">
        <is>
          <t>PROD_1250</t>
        </is>
      </c>
    </row>
    <row r="1252" ht="15.75" customHeight="1">
      <c r="A1252" s="3" t="inlineStr">
        <is>
          <t>PROD_1251</t>
        </is>
      </c>
    </row>
    <row r="1253" ht="15.75" customHeight="1">
      <c r="A1253" s="3" t="inlineStr">
        <is>
          <t>PROD_1252</t>
        </is>
      </c>
    </row>
    <row r="1254" ht="15.75" customHeight="1">
      <c r="A1254" s="3" t="inlineStr">
        <is>
          <t>PROD_1253</t>
        </is>
      </c>
    </row>
    <row r="1255" ht="15.75" customHeight="1">
      <c r="A1255" s="3" t="inlineStr">
        <is>
          <t>PROD_1254</t>
        </is>
      </c>
    </row>
    <row r="1256" ht="15.75" customHeight="1">
      <c r="A1256" s="3" t="inlineStr">
        <is>
          <t>PROD_1255</t>
        </is>
      </c>
    </row>
    <row r="1257" ht="15.75" customHeight="1">
      <c r="A1257" s="3" t="inlineStr">
        <is>
          <t>PROD_1256</t>
        </is>
      </c>
    </row>
    <row r="1258" ht="15.75" customHeight="1">
      <c r="A1258" s="3" t="inlineStr">
        <is>
          <t>PROD_1257</t>
        </is>
      </c>
    </row>
    <row r="1259" ht="15.75" customHeight="1">
      <c r="A1259" s="3" t="inlineStr">
        <is>
          <t>PROD_1258</t>
        </is>
      </c>
    </row>
    <row r="1260" ht="15.75" customHeight="1">
      <c r="A1260" s="3" t="inlineStr">
        <is>
          <t>PROD_1259</t>
        </is>
      </c>
    </row>
    <row r="1261" ht="15.75" customHeight="1">
      <c r="A1261" s="3" t="inlineStr">
        <is>
          <t>PROD_1260</t>
        </is>
      </c>
    </row>
    <row r="1262" ht="15.75" customHeight="1">
      <c r="A1262" s="3" t="inlineStr">
        <is>
          <t>PROD_1261</t>
        </is>
      </c>
    </row>
    <row r="1263" ht="15.75" customHeight="1">
      <c r="A1263" s="3" t="inlineStr">
        <is>
          <t>PROD_1262</t>
        </is>
      </c>
    </row>
    <row r="1264" ht="15.75" customHeight="1">
      <c r="A1264" s="3" t="inlineStr">
        <is>
          <t>PROD_1263</t>
        </is>
      </c>
    </row>
    <row r="1265" ht="15.75" customHeight="1">
      <c r="A1265" s="3" t="inlineStr">
        <is>
          <t>PROD_1264</t>
        </is>
      </c>
    </row>
    <row r="1266" ht="15.75" customHeight="1">
      <c r="A1266" s="3" t="inlineStr">
        <is>
          <t>PROD_1265</t>
        </is>
      </c>
    </row>
    <row r="1267" ht="15.75" customHeight="1">
      <c r="A1267" s="3" t="inlineStr">
        <is>
          <t>PROD_1266</t>
        </is>
      </c>
    </row>
    <row r="1268" ht="15.75" customHeight="1">
      <c r="A1268" s="3" t="inlineStr">
        <is>
          <t>PROD_1267</t>
        </is>
      </c>
    </row>
    <row r="1269" ht="15.75" customHeight="1">
      <c r="A1269" s="3" t="inlineStr">
        <is>
          <t>PROD_1268</t>
        </is>
      </c>
    </row>
    <row r="1270" ht="15.75" customHeight="1">
      <c r="A1270" s="3" t="inlineStr">
        <is>
          <t>PROD_1269</t>
        </is>
      </c>
    </row>
    <row r="1271" ht="15.75" customHeight="1">
      <c r="A1271" s="3" t="inlineStr">
        <is>
          <t>PROD_1270</t>
        </is>
      </c>
    </row>
    <row r="1272" ht="15.75" customHeight="1">
      <c r="A1272" s="3" t="inlineStr">
        <is>
          <t>PROD_1271</t>
        </is>
      </c>
    </row>
    <row r="1273" ht="15.75" customHeight="1">
      <c r="A1273" s="3" t="inlineStr">
        <is>
          <t>PROD_1272</t>
        </is>
      </c>
    </row>
    <row r="1274" ht="15.75" customHeight="1">
      <c r="A1274" s="3" t="inlineStr">
        <is>
          <t>PROD_1273</t>
        </is>
      </c>
    </row>
    <row r="1275" ht="15.75" customHeight="1">
      <c r="A1275" s="3" t="inlineStr">
        <is>
          <t>PROD_1274</t>
        </is>
      </c>
    </row>
    <row r="1276" ht="15.75" customHeight="1">
      <c r="A1276" s="3" t="inlineStr">
        <is>
          <t>PROD_1275</t>
        </is>
      </c>
    </row>
    <row r="1277" ht="15.75" customHeight="1">
      <c r="A1277" s="3" t="inlineStr">
        <is>
          <t>PROD_1276</t>
        </is>
      </c>
    </row>
    <row r="1278" ht="15.75" customHeight="1">
      <c r="A1278" s="3" t="inlineStr">
        <is>
          <t>PROD_1277</t>
        </is>
      </c>
    </row>
    <row r="1279" ht="15.75" customHeight="1">
      <c r="A1279" s="3" t="inlineStr">
        <is>
          <t>PROD_1278</t>
        </is>
      </c>
    </row>
    <row r="1280" ht="15.75" customHeight="1">
      <c r="A1280" s="3" t="inlineStr">
        <is>
          <t>PROD_1279</t>
        </is>
      </c>
    </row>
    <row r="1281" ht="15.75" customHeight="1">
      <c r="A1281" s="3" t="inlineStr">
        <is>
          <t>PROD_1280</t>
        </is>
      </c>
    </row>
    <row r="1282" ht="15.75" customHeight="1">
      <c r="A1282" s="3" t="inlineStr">
        <is>
          <t>PROD_1281</t>
        </is>
      </c>
    </row>
    <row r="1283" ht="15.75" customHeight="1">
      <c r="A1283" s="3" t="inlineStr">
        <is>
          <t>PROD_1282</t>
        </is>
      </c>
    </row>
    <row r="1284" ht="15.75" customHeight="1">
      <c r="A1284" s="3" t="inlineStr">
        <is>
          <t>PROD_1283</t>
        </is>
      </c>
    </row>
    <row r="1285" ht="15.75" customHeight="1">
      <c r="A1285" s="3" t="inlineStr">
        <is>
          <t>PROD_1284</t>
        </is>
      </c>
    </row>
    <row r="1286" ht="15.75" customHeight="1">
      <c r="A1286" s="3" t="inlineStr">
        <is>
          <t>PROD_1285</t>
        </is>
      </c>
    </row>
    <row r="1287" ht="15.75" customHeight="1">
      <c r="A1287" s="3" t="inlineStr">
        <is>
          <t>PROD_1286</t>
        </is>
      </c>
    </row>
    <row r="1288" ht="15.75" customHeight="1">
      <c r="A1288" s="3" t="inlineStr">
        <is>
          <t>PROD_1287</t>
        </is>
      </c>
    </row>
    <row r="1289" ht="15.75" customHeight="1">
      <c r="A1289" s="3" t="inlineStr">
        <is>
          <t>PROD_1288</t>
        </is>
      </c>
    </row>
    <row r="1290" ht="15.75" customHeight="1">
      <c r="A1290" s="3" t="inlineStr">
        <is>
          <t>PROD_1289</t>
        </is>
      </c>
    </row>
    <row r="1291" ht="15.75" customHeight="1">
      <c r="A1291" s="3" t="inlineStr">
        <is>
          <t>PROD_1290</t>
        </is>
      </c>
    </row>
    <row r="1292" ht="15.75" customHeight="1">
      <c r="A1292" s="3" t="inlineStr">
        <is>
          <t>PROD_1291</t>
        </is>
      </c>
    </row>
    <row r="1293" ht="15.75" customHeight="1">
      <c r="A1293" s="3" t="inlineStr">
        <is>
          <t>PROD_1292</t>
        </is>
      </c>
    </row>
    <row r="1294" ht="15.75" customHeight="1">
      <c r="A1294" s="3" t="inlineStr">
        <is>
          <t>PROD_1293</t>
        </is>
      </c>
    </row>
    <row r="1295" ht="15.75" customHeight="1">
      <c r="A1295" s="3" t="inlineStr">
        <is>
          <t>PROD_1294</t>
        </is>
      </c>
    </row>
    <row r="1296" ht="15.75" customHeight="1">
      <c r="A1296" s="3" t="inlineStr">
        <is>
          <t>PROD_1295</t>
        </is>
      </c>
    </row>
    <row r="1297" ht="15.75" customHeight="1">
      <c r="A1297" s="3" t="inlineStr">
        <is>
          <t>PROD_1296</t>
        </is>
      </c>
    </row>
    <row r="1298" ht="15.75" customHeight="1">
      <c r="A1298" s="3" t="inlineStr">
        <is>
          <t>PROD_1297</t>
        </is>
      </c>
    </row>
    <row r="1299" ht="15.75" customHeight="1">
      <c r="A1299" s="3" t="inlineStr">
        <is>
          <t>PROD_1298</t>
        </is>
      </c>
    </row>
    <row r="1300" ht="15.75" customHeight="1">
      <c r="A1300" s="3" t="inlineStr">
        <is>
          <t>PROD_1299</t>
        </is>
      </c>
    </row>
    <row r="1301" ht="15.75" customHeight="1">
      <c r="A1301" s="3" t="inlineStr">
        <is>
          <t>PROD_1300</t>
        </is>
      </c>
    </row>
    <row r="1302" ht="15.75" customHeight="1">
      <c r="A1302" s="3" t="inlineStr">
        <is>
          <t>PROD_1301</t>
        </is>
      </c>
    </row>
    <row r="1303" ht="15.75" customHeight="1">
      <c r="A1303" s="3" t="inlineStr">
        <is>
          <t>PROD_1302</t>
        </is>
      </c>
    </row>
    <row r="1304" ht="15.75" customHeight="1">
      <c r="A1304" s="3" t="inlineStr">
        <is>
          <t>PROD_1303</t>
        </is>
      </c>
    </row>
    <row r="1305" ht="15.75" customHeight="1">
      <c r="A1305" s="3" t="inlineStr">
        <is>
          <t>PROD_1304</t>
        </is>
      </c>
    </row>
    <row r="1306" ht="15.75" customHeight="1">
      <c r="A1306" s="3" t="inlineStr">
        <is>
          <t>PROD_1305</t>
        </is>
      </c>
    </row>
    <row r="1307" ht="15.75" customHeight="1">
      <c r="A1307" s="3" t="inlineStr">
        <is>
          <t>PROD_1306</t>
        </is>
      </c>
    </row>
    <row r="1308" ht="15.75" customHeight="1">
      <c r="A1308" s="3" t="inlineStr">
        <is>
          <t>PROD_1307</t>
        </is>
      </c>
    </row>
    <row r="1309" ht="15.75" customHeight="1">
      <c r="A1309" s="3" t="inlineStr">
        <is>
          <t>PROD_1308</t>
        </is>
      </c>
    </row>
    <row r="1310" ht="15.75" customHeight="1">
      <c r="A1310" s="3" t="inlineStr">
        <is>
          <t>PROD_1309</t>
        </is>
      </c>
    </row>
    <row r="1311" ht="15.75" customHeight="1">
      <c r="A1311" s="3" t="inlineStr">
        <is>
          <t>PROD_1310</t>
        </is>
      </c>
    </row>
    <row r="1312" ht="15.75" customHeight="1">
      <c r="A1312" s="3" t="inlineStr">
        <is>
          <t>PROD_1311</t>
        </is>
      </c>
    </row>
    <row r="1313" ht="15.75" customHeight="1">
      <c r="A1313" s="3" t="inlineStr">
        <is>
          <t>PROD_1312</t>
        </is>
      </c>
    </row>
    <row r="1314" ht="15.75" customHeight="1">
      <c r="A1314" s="3" t="inlineStr">
        <is>
          <t>PROD_1313</t>
        </is>
      </c>
    </row>
    <row r="1315" ht="15.75" customHeight="1">
      <c r="A1315" s="3" t="inlineStr">
        <is>
          <t>PROD_1314</t>
        </is>
      </c>
    </row>
    <row r="1316" ht="15.75" customHeight="1">
      <c r="A1316" s="3" t="inlineStr">
        <is>
          <t>PROD_1315</t>
        </is>
      </c>
    </row>
    <row r="1317" ht="15.75" customHeight="1">
      <c r="A1317" s="3" t="inlineStr">
        <is>
          <t>PROD_1316</t>
        </is>
      </c>
    </row>
    <row r="1318" ht="15.75" customHeight="1">
      <c r="A1318" s="3" t="inlineStr">
        <is>
          <t>PROD_1317</t>
        </is>
      </c>
    </row>
    <row r="1319" ht="15.75" customHeight="1">
      <c r="A1319" s="3" t="inlineStr">
        <is>
          <t>PROD_1318</t>
        </is>
      </c>
    </row>
    <row r="1320" ht="15.75" customHeight="1">
      <c r="A1320" s="3" t="inlineStr">
        <is>
          <t>PROD_1319</t>
        </is>
      </c>
    </row>
    <row r="1321" ht="15.75" customHeight="1">
      <c r="A1321" s="3" t="inlineStr">
        <is>
          <t>PROD_1320</t>
        </is>
      </c>
    </row>
    <row r="1322" ht="15.75" customHeight="1">
      <c r="A1322" s="3" t="inlineStr">
        <is>
          <t>PROD_1321</t>
        </is>
      </c>
    </row>
    <row r="1323" ht="15.75" customHeight="1">
      <c r="A1323" s="3" t="inlineStr">
        <is>
          <t>PROD_1322</t>
        </is>
      </c>
    </row>
    <row r="1324" ht="15.75" customHeight="1">
      <c r="A1324" s="3" t="inlineStr">
        <is>
          <t>PROD_1323</t>
        </is>
      </c>
    </row>
    <row r="1325" ht="15.75" customHeight="1">
      <c r="A1325" s="3" t="inlineStr">
        <is>
          <t>PROD_1324</t>
        </is>
      </c>
    </row>
    <row r="1326" ht="15.75" customHeight="1">
      <c r="A1326" s="3" t="inlineStr">
        <is>
          <t>PROD_1325</t>
        </is>
      </c>
    </row>
    <row r="1327" ht="15.75" customHeight="1">
      <c r="A1327" s="3" t="inlineStr">
        <is>
          <t>PROD_1326</t>
        </is>
      </c>
    </row>
    <row r="1328" ht="15.75" customHeight="1">
      <c r="A1328" s="3" t="inlineStr">
        <is>
          <t>PROD_1327</t>
        </is>
      </c>
    </row>
    <row r="1329" ht="15.75" customHeight="1">
      <c r="A1329" s="3" t="inlineStr">
        <is>
          <t>PROD_1328</t>
        </is>
      </c>
    </row>
    <row r="1330" ht="15.75" customHeight="1">
      <c r="A1330" s="3" t="inlineStr">
        <is>
          <t>PROD_1329</t>
        </is>
      </c>
    </row>
    <row r="1331" ht="15.75" customHeight="1">
      <c r="A1331" s="3" t="inlineStr">
        <is>
          <t>PROD_1330</t>
        </is>
      </c>
    </row>
    <row r="1332" ht="15.75" customHeight="1">
      <c r="A1332" s="3" t="inlineStr">
        <is>
          <t>PROD_1331</t>
        </is>
      </c>
    </row>
    <row r="1333" ht="15.75" customHeight="1">
      <c r="A1333" s="3" t="inlineStr">
        <is>
          <t>PROD_1332</t>
        </is>
      </c>
    </row>
    <row r="1334" ht="15.75" customHeight="1">
      <c r="A1334" s="3" t="inlineStr">
        <is>
          <t>PROD_1333</t>
        </is>
      </c>
    </row>
    <row r="1335" ht="15.75" customHeight="1">
      <c r="A1335" s="3" t="inlineStr">
        <is>
          <t>PROD_1334</t>
        </is>
      </c>
    </row>
    <row r="1336" ht="15.75" customHeight="1">
      <c r="A1336" s="3" t="inlineStr">
        <is>
          <t>PROD_1335</t>
        </is>
      </c>
    </row>
    <row r="1337" ht="15.75" customHeight="1">
      <c r="A1337" s="3" t="inlineStr">
        <is>
          <t>PROD_1336</t>
        </is>
      </c>
    </row>
    <row r="1338" ht="15.75" customHeight="1">
      <c r="A1338" s="3" t="inlineStr">
        <is>
          <t>PROD_1337</t>
        </is>
      </c>
    </row>
    <row r="1339" ht="15.75" customHeight="1">
      <c r="A1339" s="3" t="inlineStr">
        <is>
          <t>PROD_1338</t>
        </is>
      </c>
    </row>
    <row r="1340" ht="15.75" customHeight="1">
      <c r="A1340" s="3" t="inlineStr">
        <is>
          <t>PROD_1339</t>
        </is>
      </c>
    </row>
    <row r="1341" ht="15.75" customHeight="1">
      <c r="A1341" s="3" t="inlineStr">
        <is>
          <t>PROD_1340</t>
        </is>
      </c>
    </row>
    <row r="1342" ht="15.75" customHeight="1">
      <c r="A1342" s="3" t="inlineStr">
        <is>
          <t>PROD_1341</t>
        </is>
      </c>
    </row>
    <row r="1343" ht="15.75" customHeight="1">
      <c r="A1343" s="3" t="inlineStr">
        <is>
          <t>PROD_1342</t>
        </is>
      </c>
    </row>
    <row r="1344" ht="15.75" customHeight="1">
      <c r="A1344" s="3" t="inlineStr">
        <is>
          <t>PROD_1343</t>
        </is>
      </c>
    </row>
    <row r="1345" ht="15.75" customHeight="1">
      <c r="A1345" s="3" t="inlineStr">
        <is>
          <t>PROD_1344</t>
        </is>
      </c>
    </row>
    <row r="1346" ht="15.75" customHeight="1">
      <c r="A1346" s="3" t="inlineStr">
        <is>
          <t>PROD_1345</t>
        </is>
      </c>
    </row>
    <row r="1347" ht="15.75" customHeight="1">
      <c r="A1347" s="3" t="inlineStr">
        <is>
          <t>PROD_1346</t>
        </is>
      </c>
    </row>
    <row r="1348" ht="15.75" customHeight="1">
      <c r="A1348" s="3" t="inlineStr">
        <is>
          <t>PROD_1347</t>
        </is>
      </c>
    </row>
    <row r="1349" ht="15.75" customHeight="1">
      <c r="A1349" s="3" t="inlineStr">
        <is>
          <t>PROD_1348</t>
        </is>
      </c>
    </row>
    <row r="1350" ht="15.75" customHeight="1">
      <c r="A1350" s="3" t="inlineStr">
        <is>
          <t>PROD_1349</t>
        </is>
      </c>
    </row>
    <row r="1351" ht="15.75" customHeight="1">
      <c r="A1351" s="3" t="inlineStr">
        <is>
          <t>PROD_1350</t>
        </is>
      </c>
    </row>
    <row r="1352" ht="15.75" customHeight="1">
      <c r="A1352" s="3" t="inlineStr">
        <is>
          <t>PROD_1351</t>
        </is>
      </c>
    </row>
    <row r="1353" ht="15.75" customHeight="1">
      <c r="A1353" s="3" t="inlineStr">
        <is>
          <t>PROD_1352</t>
        </is>
      </c>
    </row>
    <row r="1354" ht="15.75" customHeight="1">
      <c r="A1354" s="3" t="inlineStr">
        <is>
          <t>PROD_1353</t>
        </is>
      </c>
    </row>
    <row r="1355" ht="15.75" customHeight="1">
      <c r="A1355" s="3" t="inlineStr">
        <is>
          <t>PROD_1354</t>
        </is>
      </c>
    </row>
    <row r="1356" ht="15.75" customHeight="1">
      <c r="A1356" s="3" t="inlineStr">
        <is>
          <t>PROD_1355</t>
        </is>
      </c>
    </row>
    <row r="1357" ht="15.75" customHeight="1">
      <c r="A1357" s="3" t="inlineStr">
        <is>
          <t>PROD_1356</t>
        </is>
      </c>
    </row>
    <row r="1358" ht="15.75" customHeight="1">
      <c r="A1358" s="3" t="inlineStr">
        <is>
          <t>PROD_1357</t>
        </is>
      </c>
    </row>
    <row r="1359" ht="15.75" customHeight="1">
      <c r="A1359" s="3" t="inlineStr">
        <is>
          <t>PROD_1358</t>
        </is>
      </c>
    </row>
    <row r="1360" ht="15.75" customHeight="1">
      <c r="A1360" s="3" t="inlineStr">
        <is>
          <t>PROD_1359</t>
        </is>
      </c>
    </row>
    <row r="1361" ht="15.75" customHeight="1">
      <c r="A1361" s="3" t="inlineStr">
        <is>
          <t>PROD_1360</t>
        </is>
      </c>
    </row>
    <row r="1362" ht="15.75" customHeight="1">
      <c r="A1362" s="3" t="inlineStr">
        <is>
          <t>PROD_1361</t>
        </is>
      </c>
    </row>
    <row r="1363" ht="15.75" customHeight="1">
      <c r="A1363" s="3" t="inlineStr">
        <is>
          <t>PROD_1362</t>
        </is>
      </c>
    </row>
    <row r="1364" ht="15.75" customHeight="1">
      <c r="A1364" s="3" t="inlineStr">
        <is>
          <t>PROD_1363</t>
        </is>
      </c>
    </row>
    <row r="1365" ht="15.75" customHeight="1">
      <c r="A1365" s="3" t="inlineStr">
        <is>
          <t>PROD_1364</t>
        </is>
      </c>
    </row>
    <row r="1366" ht="15.75" customHeight="1">
      <c r="A1366" s="3" t="inlineStr">
        <is>
          <t>PROD_1365</t>
        </is>
      </c>
    </row>
    <row r="1367" ht="15.75" customHeight="1">
      <c r="A1367" s="3" t="inlineStr">
        <is>
          <t>PROD_1366</t>
        </is>
      </c>
    </row>
    <row r="1368" ht="15.75" customHeight="1">
      <c r="A1368" s="3" t="inlineStr">
        <is>
          <t>PROD_1367</t>
        </is>
      </c>
    </row>
    <row r="1369" ht="15.75" customHeight="1">
      <c r="A1369" s="3" t="inlineStr">
        <is>
          <t>PROD_1368</t>
        </is>
      </c>
    </row>
    <row r="1370" ht="15.75" customHeight="1">
      <c r="A1370" s="3" t="inlineStr">
        <is>
          <t>PROD_1369</t>
        </is>
      </c>
    </row>
    <row r="1371" ht="15.75" customHeight="1">
      <c r="A1371" s="3" t="inlineStr">
        <is>
          <t>PROD_1370</t>
        </is>
      </c>
    </row>
    <row r="1372" ht="15.75" customHeight="1">
      <c r="A1372" s="3" t="inlineStr">
        <is>
          <t>PROD_1371</t>
        </is>
      </c>
    </row>
    <row r="1373" ht="15.75" customHeight="1">
      <c r="A1373" s="3" t="inlineStr">
        <is>
          <t>PROD_1372</t>
        </is>
      </c>
    </row>
    <row r="1374" ht="15.75" customHeight="1">
      <c r="A1374" s="3" t="inlineStr">
        <is>
          <t>PROD_1373</t>
        </is>
      </c>
    </row>
    <row r="1375" ht="15.75" customHeight="1">
      <c r="A1375" s="3" t="inlineStr">
        <is>
          <t>PROD_1374</t>
        </is>
      </c>
    </row>
    <row r="1376" ht="15.75" customHeight="1">
      <c r="A1376" s="3" t="inlineStr">
        <is>
          <t>PROD_1375</t>
        </is>
      </c>
    </row>
    <row r="1377" ht="15.75" customHeight="1">
      <c r="A1377" s="3" t="inlineStr">
        <is>
          <t>PROD_1376</t>
        </is>
      </c>
    </row>
    <row r="1378" ht="15.75" customHeight="1">
      <c r="A1378" s="3" t="inlineStr">
        <is>
          <t>PROD_1377</t>
        </is>
      </c>
    </row>
    <row r="1379" ht="15.75" customHeight="1">
      <c r="A1379" s="3" t="inlineStr">
        <is>
          <t>PROD_1378</t>
        </is>
      </c>
    </row>
    <row r="1380" ht="15.75" customHeight="1">
      <c r="A1380" s="3" t="inlineStr">
        <is>
          <t>PROD_1379</t>
        </is>
      </c>
    </row>
    <row r="1381" ht="15.75" customHeight="1">
      <c r="A1381" s="3" t="inlineStr">
        <is>
          <t>PROD_1380</t>
        </is>
      </c>
    </row>
    <row r="1382" ht="15.75" customHeight="1">
      <c r="A1382" s="3" t="inlineStr">
        <is>
          <t>PROD_1381</t>
        </is>
      </c>
    </row>
    <row r="1383" ht="15.75" customHeight="1">
      <c r="A1383" s="3" t="inlineStr">
        <is>
          <t>PROD_1382</t>
        </is>
      </c>
    </row>
    <row r="1384" ht="15.75" customHeight="1">
      <c r="A1384" s="3" t="inlineStr">
        <is>
          <t>PROD_1383</t>
        </is>
      </c>
    </row>
    <row r="1385" ht="15.75" customHeight="1">
      <c r="A1385" s="3" t="inlineStr">
        <is>
          <t>PROD_1384</t>
        </is>
      </c>
    </row>
    <row r="1386" ht="15.75" customHeight="1">
      <c r="A1386" s="3" t="inlineStr">
        <is>
          <t>PROD_1385</t>
        </is>
      </c>
    </row>
    <row r="1387" ht="15.75" customHeight="1">
      <c r="A1387" s="3" t="inlineStr">
        <is>
          <t>PROD_1386</t>
        </is>
      </c>
    </row>
    <row r="1388" ht="15.75" customHeight="1">
      <c r="A1388" s="3" t="inlineStr">
        <is>
          <t>PROD_1387</t>
        </is>
      </c>
    </row>
    <row r="1389" ht="15.75" customHeight="1">
      <c r="A1389" s="3" t="inlineStr">
        <is>
          <t>PROD_1388</t>
        </is>
      </c>
    </row>
    <row r="1390" ht="15.75" customHeight="1">
      <c r="A1390" s="3" t="inlineStr">
        <is>
          <t>PROD_1389</t>
        </is>
      </c>
    </row>
    <row r="1391" ht="15.75" customHeight="1">
      <c r="A1391" s="3" t="inlineStr">
        <is>
          <t>PROD_1390</t>
        </is>
      </c>
    </row>
    <row r="1392" ht="15.75" customHeight="1">
      <c r="A1392" s="3" t="inlineStr">
        <is>
          <t>PROD_1391</t>
        </is>
      </c>
    </row>
    <row r="1393" ht="15.75" customHeight="1">
      <c r="A1393" s="3" t="inlineStr">
        <is>
          <t>PROD_1392</t>
        </is>
      </c>
    </row>
    <row r="1394" ht="15.75" customHeight="1">
      <c r="A1394" s="3" t="inlineStr">
        <is>
          <t>PROD_1393</t>
        </is>
      </c>
    </row>
    <row r="1395" ht="15.75" customHeight="1">
      <c r="A1395" s="3" t="inlineStr">
        <is>
          <t>PROD_1394</t>
        </is>
      </c>
    </row>
    <row r="1396" ht="15.75" customHeight="1">
      <c r="A1396" s="3" t="inlineStr">
        <is>
          <t>PROD_1395</t>
        </is>
      </c>
    </row>
    <row r="1397" ht="15.75" customHeight="1">
      <c r="A1397" s="3" t="inlineStr">
        <is>
          <t>PROD_1396</t>
        </is>
      </c>
    </row>
    <row r="1398" ht="15.75" customHeight="1">
      <c r="A1398" s="3" t="inlineStr">
        <is>
          <t>PROD_1397</t>
        </is>
      </c>
    </row>
    <row r="1399" ht="15.75" customHeight="1">
      <c r="A1399" s="3" t="inlineStr">
        <is>
          <t>PROD_1398</t>
        </is>
      </c>
    </row>
    <row r="1400" ht="15.75" customHeight="1">
      <c r="A1400" s="3" t="inlineStr">
        <is>
          <t>PROD_1399</t>
        </is>
      </c>
    </row>
    <row r="1401" ht="15.75" customHeight="1">
      <c r="A1401" s="3" t="inlineStr">
        <is>
          <t>PROD_1400</t>
        </is>
      </c>
    </row>
    <row r="1402" ht="15.75" customHeight="1">
      <c r="A1402" s="3" t="inlineStr">
        <is>
          <t>PROD_1401</t>
        </is>
      </c>
    </row>
    <row r="1403" ht="15.75" customHeight="1">
      <c r="A1403" s="3" t="inlineStr">
        <is>
          <t>PROD_1402</t>
        </is>
      </c>
    </row>
    <row r="1404" ht="15.75" customHeight="1">
      <c r="A1404" s="3" t="inlineStr">
        <is>
          <t>PROD_1403</t>
        </is>
      </c>
    </row>
    <row r="1405" ht="15.75" customHeight="1">
      <c r="A1405" s="3" t="inlineStr">
        <is>
          <t>PROD_1404</t>
        </is>
      </c>
    </row>
    <row r="1406" ht="15.75" customHeight="1">
      <c r="A1406" s="3" t="inlineStr">
        <is>
          <t>PROD_1405</t>
        </is>
      </c>
    </row>
    <row r="1407" ht="15.75" customHeight="1">
      <c r="A1407" s="3" t="inlineStr">
        <is>
          <t>PROD_1406</t>
        </is>
      </c>
    </row>
    <row r="1408" ht="15.75" customHeight="1">
      <c r="A1408" s="3" t="inlineStr">
        <is>
          <t>PROD_1407</t>
        </is>
      </c>
    </row>
    <row r="1409" ht="15.75" customHeight="1">
      <c r="A1409" s="3" t="inlineStr">
        <is>
          <t>PROD_1408</t>
        </is>
      </c>
    </row>
    <row r="1410" ht="15.75" customHeight="1">
      <c r="A1410" s="3" t="inlineStr">
        <is>
          <t>PROD_1409</t>
        </is>
      </c>
    </row>
    <row r="1411" ht="15.75" customHeight="1">
      <c r="A1411" s="3" t="inlineStr">
        <is>
          <t>PROD_1410</t>
        </is>
      </c>
    </row>
    <row r="1412" ht="15.75" customHeight="1">
      <c r="A1412" s="3" t="inlineStr">
        <is>
          <t>PROD_1411</t>
        </is>
      </c>
    </row>
    <row r="1413" ht="15.75" customHeight="1">
      <c r="A1413" s="3" t="inlineStr">
        <is>
          <t>PROD_1412</t>
        </is>
      </c>
    </row>
    <row r="1414" ht="15.75" customHeight="1">
      <c r="A1414" s="3" t="inlineStr">
        <is>
          <t>PROD_1413</t>
        </is>
      </c>
    </row>
    <row r="1415" ht="15.75" customHeight="1">
      <c r="A1415" s="3" t="inlineStr">
        <is>
          <t>PROD_1414</t>
        </is>
      </c>
    </row>
    <row r="1416" ht="15.75" customHeight="1">
      <c r="A1416" s="3" t="inlineStr">
        <is>
          <t>PROD_1415</t>
        </is>
      </c>
    </row>
    <row r="1417" ht="15.75" customHeight="1">
      <c r="A1417" s="3" t="inlineStr">
        <is>
          <t>PROD_1416</t>
        </is>
      </c>
    </row>
    <row r="1418" ht="15.75" customHeight="1">
      <c r="A1418" s="3" t="inlineStr">
        <is>
          <t>PROD_1417</t>
        </is>
      </c>
    </row>
    <row r="1419" ht="15.75" customHeight="1">
      <c r="A1419" s="3" t="inlineStr">
        <is>
          <t>PROD_1418</t>
        </is>
      </c>
    </row>
    <row r="1420" ht="15.75" customHeight="1">
      <c r="A1420" s="3" t="inlineStr">
        <is>
          <t>PROD_1419</t>
        </is>
      </c>
    </row>
    <row r="1421" ht="15.75" customHeight="1">
      <c r="A1421" s="3" t="inlineStr">
        <is>
          <t>PROD_1420</t>
        </is>
      </c>
    </row>
    <row r="1422" ht="15.75" customHeight="1">
      <c r="A1422" s="3" t="inlineStr">
        <is>
          <t>PROD_1421</t>
        </is>
      </c>
    </row>
    <row r="1423" ht="15.75" customHeight="1">
      <c r="A1423" s="3" t="inlineStr">
        <is>
          <t>PROD_1422</t>
        </is>
      </c>
    </row>
    <row r="1424" ht="15.75" customHeight="1">
      <c r="A1424" s="3" t="inlineStr">
        <is>
          <t>PROD_1423</t>
        </is>
      </c>
    </row>
    <row r="1425" ht="15.75" customHeight="1">
      <c r="A1425" s="3" t="inlineStr">
        <is>
          <t>PROD_1424</t>
        </is>
      </c>
    </row>
    <row r="1426" ht="15.75" customHeight="1">
      <c r="A1426" s="3" t="inlineStr">
        <is>
          <t>PROD_1425</t>
        </is>
      </c>
    </row>
    <row r="1427" ht="15.75" customHeight="1">
      <c r="A1427" s="3" t="inlineStr">
        <is>
          <t>PROD_1426</t>
        </is>
      </c>
    </row>
    <row r="1428" ht="15.75" customHeight="1">
      <c r="A1428" s="3" t="inlineStr">
        <is>
          <t>PROD_1427</t>
        </is>
      </c>
    </row>
    <row r="1429" ht="15.75" customHeight="1">
      <c r="A1429" s="3" t="inlineStr">
        <is>
          <t>PROD_1428</t>
        </is>
      </c>
    </row>
    <row r="1430" ht="15.75" customHeight="1">
      <c r="A1430" s="3" t="inlineStr">
        <is>
          <t>PROD_1429</t>
        </is>
      </c>
    </row>
    <row r="1431" ht="15.75" customHeight="1">
      <c r="A1431" s="3" t="inlineStr">
        <is>
          <t>PROD_1430</t>
        </is>
      </c>
    </row>
    <row r="1432" ht="15.75" customHeight="1">
      <c r="A1432" s="3" t="inlineStr">
        <is>
          <t>PROD_1431</t>
        </is>
      </c>
    </row>
    <row r="1433" ht="15.75" customHeight="1">
      <c r="A1433" s="3" t="inlineStr">
        <is>
          <t>PROD_1432</t>
        </is>
      </c>
    </row>
    <row r="1434" ht="15.75" customHeight="1">
      <c r="A1434" s="3" t="inlineStr">
        <is>
          <t>PROD_1433</t>
        </is>
      </c>
    </row>
    <row r="1435" ht="15.75" customHeight="1">
      <c r="A1435" s="3" t="inlineStr">
        <is>
          <t>PROD_1434</t>
        </is>
      </c>
    </row>
    <row r="1436" ht="15.75" customHeight="1">
      <c r="A1436" s="3" t="inlineStr">
        <is>
          <t>PROD_1435</t>
        </is>
      </c>
    </row>
    <row r="1437" ht="15.75" customHeight="1">
      <c r="A1437" s="3" t="inlineStr">
        <is>
          <t>PROD_1436</t>
        </is>
      </c>
    </row>
    <row r="1438" ht="15.75" customHeight="1">
      <c r="A1438" s="3" t="inlineStr">
        <is>
          <t>PROD_1437</t>
        </is>
      </c>
    </row>
    <row r="1439" ht="15.75" customHeight="1">
      <c r="A1439" s="3" t="inlineStr">
        <is>
          <t>PROD_1438</t>
        </is>
      </c>
    </row>
    <row r="1440" ht="15.75" customHeight="1">
      <c r="A1440" s="3" t="inlineStr">
        <is>
          <t>PROD_1439</t>
        </is>
      </c>
    </row>
    <row r="1441" ht="15.75" customHeight="1">
      <c r="A1441" s="3" t="inlineStr">
        <is>
          <t>PROD_1440</t>
        </is>
      </c>
    </row>
    <row r="1442" ht="15.75" customHeight="1">
      <c r="A1442" s="3" t="inlineStr">
        <is>
          <t>PROD_1441</t>
        </is>
      </c>
    </row>
    <row r="1443" ht="15.75" customHeight="1">
      <c r="A1443" s="3" t="inlineStr">
        <is>
          <t>PROD_1442</t>
        </is>
      </c>
    </row>
    <row r="1444" ht="15.75" customHeight="1">
      <c r="A1444" s="3" t="inlineStr">
        <is>
          <t>PROD_1443</t>
        </is>
      </c>
    </row>
    <row r="1445" ht="15.75" customHeight="1">
      <c r="A1445" s="3" t="inlineStr">
        <is>
          <t>PROD_1444</t>
        </is>
      </c>
    </row>
    <row r="1446" ht="15.75" customHeight="1">
      <c r="A1446" s="3" t="inlineStr">
        <is>
          <t>PROD_1445</t>
        </is>
      </c>
    </row>
    <row r="1447" ht="15.75" customHeight="1">
      <c r="A1447" s="3" t="inlineStr">
        <is>
          <t>PROD_1446</t>
        </is>
      </c>
    </row>
    <row r="1448" ht="15.75" customHeight="1">
      <c r="A1448" s="3" t="inlineStr">
        <is>
          <t>PROD_1447</t>
        </is>
      </c>
    </row>
    <row r="1449" ht="15.75" customHeight="1">
      <c r="A1449" s="3" t="inlineStr">
        <is>
          <t>PROD_1448</t>
        </is>
      </c>
    </row>
    <row r="1450" ht="15.75" customHeight="1">
      <c r="A1450" s="3" t="inlineStr">
        <is>
          <t>PROD_1449</t>
        </is>
      </c>
    </row>
    <row r="1451" ht="15.75" customHeight="1">
      <c r="A1451" s="3" t="inlineStr">
        <is>
          <t>PROD_1450</t>
        </is>
      </c>
    </row>
    <row r="1452" ht="15.75" customHeight="1">
      <c r="A1452" s="3" t="inlineStr">
        <is>
          <t>PROD_1451</t>
        </is>
      </c>
    </row>
    <row r="1453" ht="15.75" customHeight="1">
      <c r="A1453" s="3" t="inlineStr">
        <is>
          <t>PROD_1452</t>
        </is>
      </c>
    </row>
    <row r="1454" ht="15.75" customHeight="1">
      <c r="A1454" s="3" t="inlineStr">
        <is>
          <t>PROD_1453</t>
        </is>
      </c>
    </row>
    <row r="1455" ht="15.75" customHeight="1">
      <c r="A1455" s="3" t="inlineStr">
        <is>
          <t>PROD_1454</t>
        </is>
      </c>
    </row>
    <row r="1456" ht="15.75" customHeight="1">
      <c r="A1456" s="3" t="inlineStr">
        <is>
          <t>PROD_1455</t>
        </is>
      </c>
    </row>
    <row r="1457" ht="15.75" customHeight="1">
      <c r="A1457" s="3" t="inlineStr">
        <is>
          <t>PROD_1456</t>
        </is>
      </c>
    </row>
    <row r="1458" ht="15.75" customHeight="1">
      <c r="A1458" s="3" t="inlineStr">
        <is>
          <t>PROD_1457</t>
        </is>
      </c>
    </row>
    <row r="1459" ht="15.75" customHeight="1">
      <c r="A1459" s="3" t="inlineStr">
        <is>
          <t>PROD_1458</t>
        </is>
      </c>
    </row>
    <row r="1460" ht="15.75" customHeight="1">
      <c r="A1460" s="3" t="inlineStr">
        <is>
          <t>PROD_1459</t>
        </is>
      </c>
    </row>
    <row r="1461" ht="15.75" customHeight="1">
      <c r="A1461" s="3" t="inlineStr">
        <is>
          <t>PROD_1460</t>
        </is>
      </c>
    </row>
    <row r="1462" ht="15.75" customHeight="1">
      <c r="A1462" s="3" t="inlineStr">
        <is>
          <t>PROD_1461</t>
        </is>
      </c>
    </row>
    <row r="1463" ht="15.75" customHeight="1">
      <c r="A1463" s="3" t="inlineStr">
        <is>
          <t>PROD_1462</t>
        </is>
      </c>
    </row>
    <row r="1464" ht="15.75" customHeight="1">
      <c r="A1464" s="3" t="inlineStr">
        <is>
          <t>PROD_1463</t>
        </is>
      </c>
    </row>
    <row r="1465" ht="15.75" customHeight="1">
      <c r="A1465" s="3" t="inlineStr">
        <is>
          <t>PROD_1464</t>
        </is>
      </c>
    </row>
    <row r="1466" ht="15.75" customHeight="1">
      <c r="A1466" s="3" t="inlineStr">
        <is>
          <t>PROD_1465</t>
        </is>
      </c>
    </row>
    <row r="1467" ht="15.75" customHeight="1">
      <c r="A1467" s="3" t="inlineStr">
        <is>
          <t>PROD_1466</t>
        </is>
      </c>
    </row>
    <row r="1468" ht="15.75" customHeight="1">
      <c r="A1468" s="3" t="inlineStr">
        <is>
          <t>PROD_1467</t>
        </is>
      </c>
    </row>
    <row r="1469" ht="15.75" customHeight="1">
      <c r="A1469" s="3" t="inlineStr">
        <is>
          <t>PROD_1468</t>
        </is>
      </c>
    </row>
    <row r="1470" ht="15.75" customHeight="1">
      <c r="A1470" s="3" t="inlineStr">
        <is>
          <t>PROD_1469</t>
        </is>
      </c>
    </row>
    <row r="1471" ht="15.75" customHeight="1">
      <c r="A1471" s="3" t="inlineStr">
        <is>
          <t>PROD_1470</t>
        </is>
      </c>
    </row>
    <row r="1472" ht="15.75" customHeight="1">
      <c r="A1472" s="3" t="inlineStr">
        <is>
          <t>PROD_1471</t>
        </is>
      </c>
    </row>
    <row r="1473" ht="15.75" customHeight="1">
      <c r="A1473" s="3" t="inlineStr">
        <is>
          <t>PROD_1472</t>
        </is>
      </c>
    </row>
    <row r="1474" ht="15.75" customHeight="1">
      <c r="A1474" s="3" t="inlineStr">
        <is>
          <t>PROD_1473</t>
        </is>
      </c>
    </row>
    <row r="1475" ht="15.75" customHeight="1">
      <c r="A1475" s="3" t="inlineStr">
        <is>
          <t>PROD_1474</t>
        </is>
      </c>
    </row>
    <row r="1476" ht="15.75" customHeight="1">
      <c r="A1476" s="3" t="inlineStr">
        <is>
          <t>PROD_1475</t>
        </is>
      </c>
    </row>
    <row r="1477" ht="15.75" customHeight="1">
      <c r="A1477" s="3" t="inlineStr">
        <is>
          <t>PROD_1476</t>
        </is>
      </c>
    </row>
    <row r="1478" ht="15.75" customHeight="1">
      <c r="A1478" s="3" t="inlineStr">
        <is>
          <t>PROD_1477</t>
        </is>
      </c>
    </row>
    <row r="1479" ht="15.75" customHeight="1">
      <c r="A1479" s="3" t="inlineStr">
        <is>
          <t>PROD_1478</t>
        </is>
      </c>
    </row>
    <row r="1480" ht="15.75" customHeight="1">
      <c r="A1480" s="3" t="inlineStr">
        <is>
          <t>PROD_1479</t>
        </is>
      </c>
    </row>
    <row r="1481" ht="15.75" customHeight="1">
      <c r="A1481" s="3" t="inlineStr">
        <is>
          <t>PROD_1480</t>
        </is>
      </c>
    </row>
    <row r="1482" ht="15.75" customHeight="1">
      <c r="A1482" s="3" t="inlineStr">
        <is>
          <t>PROD_1481</t>
        </is>
      </c>
    </row>
    <row r="1483" ht="15.75" customHeight="1">
      <c r="A1483" s="3" t="inlineStr">
        <is>
          <t>PROD_1482</t>
        </is>
      </c>
    </row>
    <row r="1484" ht="15.75" customHeight="1">
      <c r="A1484" s="3" t="inlineStr">
        <is>
          <t>PROD_1483</t>
        </is>
      </c>
    </row>
    <row r="1485" ht="15.75" customHeight="1">
      <c r="A1485" s="3" t="inlineStr">
        <is>
          <t>PROD_1484</t>
        </is>
      </c>
    </row>
    <row r="1486" ht="15.75" customHeight="1">
      <c r="A1486" s="3" t="inlineStr">
        <is>
          <t>PROD_1485</t>
        </is>
      </c>
    </row>
    <row r="1487" ht="15.75" customHeight="1">
      <c r="A1487" s="3" t="inlineStr">
        <is>
          <t>PROD_1486</t>
        </is>
      </c>
    </row>
    <row r="1488" ht="15.75" customHeight="1">
      <c r="A1488" s="3" t="inlineStr">
        <is>
          <t>PROD_1487</t>
        </is>
      </c>
    </row>
    <row r="1489" ht="15.75" customHeight="1">
      <c r="A1489" s="3" t="inlineStr">
        <is>
          <t>PROD_1488</t>
        </is>
      </c>
    </row>
    <row r="1490" ht="15.75" customHeight="1">
      <c r="A1490" s="3" t="inlineStr">
        <is>
          <t>PROD_1489</t>
        </is>
      </c>
    </row>
    <row r="1491" ht="15.75" customHeight="1">
      <c r="A1491" s="3" t="inlineStr">
        <is>
          <t>PROD_1490</t>
        </is>
      </c>
    </row>
    <row r="1492" ht="15.75" customHeight="1">
      <c r="A1492" s="3" t="inlineStr">
        <is>
          <t>PROD_1491</t>
        </is>
      </c>
    </row>
    <row r="1493" ht="15.75" customHeight="1">
      <c r="A1493" s="3" t="inlineStr">
        <is>
          <t>PROD_1492</t>
        </is>
      </c>
    </row>
    <row r="1494" ht="15.75" customHeight="1">
      <c r="A1494" s="3" t="inlineStr">
        <is>
          <t>PROD_1493</t>
        </is>
      </c>
    </row>
    <row r="1495" ht="15.75" customHeight="1">
      <c r="A1495" s="3" t="inlineStr">
        <is>
          <t>PROD_1494</t>
        </is>
      </c>
    </row>
    <row r="1496" ht="15.75" customHeight="1">
      <c r="A1496" s="3" t="inlineStr">
        <is>
          <t>PROD_1495</t>
        </is>
      </c>
    </row>
    <row r="1497" ht="15.75" customHeight="1">
      <c r="A1497" s="3" t="inlineStr">
        <is>
          <t>PROD_1496</t>
        </is>
      </c>
    </row>
    <row r="1498" ht="15.75" customHeight="1">
      <c r="A1498" s="3" t="inlineStr">
        <is>
          <t>PROD_1497</t>
        </is>
      </c>
    </row>
    <row r="1499" ht="15.75" customHeight="1">
      <c r="A1499" s="3" t="inlineStr">
        <is>
          <t>PROD_1498</t>
        </is>
      </c>
    </row>
    <row r="1500" ht="15.75" customHeight="1">
      <c r="A1500" s="3" t="inlineStr">
        <is>
          <t>PROD_1499</t>
        </is>
      </c>
    </row>
    <row r="1501" ht="15.75" customHeight="1">
      <c r="A1501" s="3" t="inlineStr">
        <is>
          <t>PROD_1500</t>
        </is>
      </c>
    </row>
    <row r="1502" ht="15.75" customHeight="1">
      <c r="A1502" s="3" t="inlineStr">
        <is>
          <t>PROD_1501</t>
        </is>
      </c>
    </row>
    <row r="1503" ht="15.75" customHeight="1">
      <c r="A1503" s="3" t="inlineStr">
        <is>
          <t>PROD_1502</t>
        </is>
      </c>
    </row>
    <row r="1504" ht="15.75" customHeight="1">
      <c r="A1504" s="3" t="inlineStr">
        <is>
          <t>PROD_1503</t>
        </is>
      </c>
    </row>
    <row r="1505" ht="15.75" customHeight="1">
      <c r="A1505" s="3" t="inlineStr">
        <is>
          <t>PROD_1504</t>
        </is>
      </c>
    </row>
    <row r="1506" ht="15.75" customHeight="1">
      <c r="A1506" s="3" t="inlineStr">
        <is>
          <t>PROD_1505</t>
        </is>
      </c>
    </row>
    <row r="1507" ht="15.75" customHeight="1">
      <c r="A1507" s="3" t="inlineStr">
        <is>
          <t>PROD_1506</t>
        </is>
      </c>
    </row>
    <row r="1508" ht="15.75" customHeight="1">
      <c r="A1508" s="3" t="inlineStr">
        <is>
          <t>PROD_1507</t>
        </is>
      </c>
    </row>
    <row r="1509" ht="15.75" customHeight="1">
      <c r="A1509" s="3" t="inlineStr">
        <is>
          <t>PROD_1508</t>
        </is>
      </c>
    </row>
    <row r="1510" ht="15.75" customHeight="1">
      <c r="A1510" s="3" t="inlineStr">
        <is>
          <t>PROD_1509</t>
        </is>
      </c>
    </row>
    <row r="1511" ht="15.75" customHeight="1">
      <c r="A1511" s="3" t="inlineStr">
        <is>
          <t>PROD_1510</t>
        </is>
      </c>
    </row>
    <row r="1512" ht="15.75" customHeight="1">
      <c r="A1512" s="3" t="inlineStr">
        <is>
          <t>PROD_1511</t>
        </is>
      </c>
    </row>
    <row r="1513" ht="15.75" customHeight="1">
      <c r="A1513" s="3" t="inlineStr">
        <is>
          <t>PROD_1512</t>
        </is>
      </c>
    </row>
    <row r="1514" ht="15.75" customHeight="1">
      <c r="A1514" s="3" t="inlineStr">
        <is>
          <t>PROD_1513</t>
        </is>
      </c>
    </row>
    <row r="1515" ht="15.75" customHeight="1">
      <c r="A1515" s="3" t="inlineStr">
        <is>
          <t>PROD_1514</t>
        </is>
      </c>
    </row>
    <row r="1516" ht="15.75" customHeight="1">
      <c r="A1516" s="3" t="inlineStr">
        <is>
          <t>PROD_1515</t>
        </is>
      </c>
    </row>
    <row r="1517" ht="15.75" customHeight="1">
      <c r="A1517" s="3" t="inlineStr">
        <is>
          <t>PROD_1516</t>
        </is>
      </c>
    </row>
    <row r="1518" ht="15.75" customHeight="1">
      <c r="A1518" s="3" t="inlineStr">
        <is>
          <t>PROD_1517</t>
        </is>
      </c>
    </row>
    <row r="1519" ht="15.75" customHeight="1">
      <c r="A1519" s="3" t="inlineStr">
        <is>
          <t>PROD_1518</t>
        </is>
      </c>
    </row>
    <row r="1520" ht="15.75" customHeight="1">
      <c r="A1520" s="3" t="inlineStr">
        <is>
          <t>PROD_1519</t>
        </is>
      </c>
    </row>
    <row r="1521" ht="15.75" customHeight="1">
      <c r="A1521" s="3" t="inlineStr">
        <is>
          <t>PROD_1520</t>
        </is>
      </c>
    </row>
    <row r="1522" ht="15.75" customHeight="1">
      <c r="A1522" s="3" t="inlineStr">
        <is>
          <t>PROD_1521</t>
        </is>
      </c>
    </row>
    <row r="1523" ht="15.75" customHeight="1">
      <c r="A1523" s="3" t="inlineStr">
        <is>
          <t>PROD_1522</t>
        </is>
      </c>
    </row>
    <row r="1524" ht="15.75" customHeight="1">
      <c r="A1524" s="3" t="inlineStr">
        <is>
          <t>PROD_1523</t>
        </is>
      </c>
    </row>
    <row r="1525" ht="15.75" customHeight="1">
      <c r="A1525" s="3" t="inlineStr">
        <is>
          <t>PROD_1524</t>
        </is>
      </c>
    </row>
    <row r="1526" ht="15.75" customHeight="1">
      <c r="A1526" s="3" t="inlineStr">
        <is>
          <t>PROD_1525</t>
        </is>
      </c>
    </row>
    <row r="1527" ht="15.75" customHeight="1">
      <c r="A1527" s="3" t="inlineStr">
        <is>
          <t>PROD_1526</t>
        </is>
      </c>
    </row>
    <row r="1528" ht="15.75" customHeight="1">
      <c r="A1528" s="3" t="inlineStr">
        <is>
          <t>PROD_1527</t>
        </is>
      </c>
    </row>
    <row r="1529" ht="15.75" customHeight="1">
      <c r="A1529" s="3" t="inlineStr">
        <is>
          <t>PROD_1528</t>
        </is>
      </c>
    </row>
    <row r="1530" ht="15.75" customHeight="1">
      <c r="A1530" s="3" t="inlineStr">
        <is>
          <t>PROD_1529</t>
        </is>
      </c>
    </row>
    <row r="1531" ht="15.75" customHeight="1">
      <c r="A1531" s="3" t="inlineStr">
        <is>
          <t>PROD_1530</t>
        </is>
      </c>
    </row>
    <row r="1532" ht="15.75" customHeight="1">
      <c r="A1532" s="3" t="inlineStr">
        <is>
          <t>PROD_1531</t>
        </is>
      </c>
    </row>
    <row r="1533" ht="15.75" customHeight="1">
      <c r="A1533" s="3" t="inlineStr">
        <is>
          <t>PROD_1532</t>
        </is>
      </c>
    </row>
    <row r="1534" ht="15.75" customHeight="1">
      <c r="A1534" s="3" t="inlineStr">
        <is>
          <t>PROD_1533</t>
        </is>
      </c>
    </row>
    <row r="1535" ht="15.75" customHeight="1">
      <c r="A1535" s="3" t="inlineStr">
        <is>
          <t>PROD_1534</t>
        </is>
      </c>
    </row>
    <row r="1536" ht="15.75" customHeight="1">
      <c r="A1536" s="3" t="inlineStr">
        <is>
          <t>PROD_1535</t>
        </is>
      </c>
    </row>
    <row r="1537" ht="15.75" customHeight="1">
      <c r="A1537" s="3" t="inlineStr">
        <is>
          <t>PROD_1536</t>
        </is>
      </c>
    </row>
    <row r="1538" ht="15.75" customHeight="1">
      <c r="A1538" s="3" t="inlineStr">
        <is>
          <t>PROD_1537</t>
        </is>
      </c>
    </row>
    <row r="1539" ht="15.75" customHeight="1">
      <c r="A1539" s="3" t="inlineStr">
        <is>
          <t>PROD_1538</t>
        </is>
      </c>
    </row>
    <row r="1540" ht="15.75" customHeight="1">
      <c r="A1540" s="3" t="inlineStr">
        <is>
          <t>PROD_1539</t>
        </is>
      </c>
    </row>
    <row r="1541" ht="15.75" customHeight="1">
      <c r="A1541" s="3" t="inlineStr">
        <is>
          <t>PROD_1540</t>
        </is>
      </c>
    </row>
    <row r="1542" ht="15.75" customHeight="1">
      <c r="A1542" s="3" t="inlineStr">
        <is>
          <t>PROD_1541</t>
        </is>
      </c>
    </row>
    <row r="1543" ht="15.75" customHeight="1">
      <c r="A1543" s="3" t="inlineStr">
        <is>
          <t>PROD_1542</t>
        </is>
      </c>
    </row>
    <row r="1544" ht="15.75" customHeight="1">
      <c r="A1544" s="3" t="inlineStr">
        <is>
          <t>PROD_1543</t>
        </is>
      </c>
    </row>
    <row r="1545" ht="15.75" customHeight="1">
      <c r="A1545" s="3" t="inlineStr">
        <is>
          <t>PROD_1544</t>
        </is>
      </c>
    </row>
    <row r="1546" ht="15.75" customHeight="1">
      <c r="A1546" s="3" t="inlineStr">
        <is>
          <t>PROD_1545</t>
        </is>
      </c>
    </row>
    <row r="1547" ht="15.75" customHeight="1">
      <c r="A1547" s="3" t="inlineStr">
        <is>
          <t>PROD_1546</t>
        </is>
      </c>
    </row>
    <row r="1548" ht="15.75" customHeight="1">
      <c r="A1548" s="3" t="inlineStr">
        <is>
          <t>PROD_1547</t>
        </is>
      </c>
    </row>
    <row r="1549" ht="15.75" customHeight="1">
      <c r="A1549" s="3" t="inlineStr">
        <is>
          <t>PROD_1548</t>
        </is>
      </c>
    </row>
    <row r="1550" ht="15.75" customHeight="1">
      <c r="A1550" s="3" t="inlineStr">
        <is>
          <t>PROD_1549</t>
        </is>
      </c>
    </row>
    <row r="1551" ht="15.75" customHeight="1">
      <c r="A1551" s="3" t="inlineStr">
        <is>
          <t>PROD_1550</t>
        </is>
      </c>
    </row>
    <row r="1552" ht="15.75" customHeight="1">
      <c r="A1552" s="3" t="inlineStr">
        <is>
          <t>PROD_1551</t>
        </is>
      </c>
    </row>
    <row r="1553" ht="15.75" customHeight="1">
      <c r="A1553" s="3" t="inlineStr">
        <is>
          <t>PROD_1552</t>
        </is>
      </c>
    </row>
    <row r="1554" ht="15.75" customHeight="1">
      <c r="A1554" s="3" t="inlineStr">
        <is>
          <t>PROD_1553</t>
        </is>
      </c>
    </row>
    <row r="1555" ht="15.75" customHeight="1">
      <c r="A1555" s="3" t="inlineStr">
        <is>
          <t>PROD_1554</t>
        </is>
      </c>
    </row>
    <row r="1556" ht="15.75" customHeight="1">
      <c r="A1556" s="3" t="inlineStr">
        <is>
          <t>PROD_1555</t>
        </is>
      </c>
    </row>
    <row r="1557" ht="15.75" customHeight="1">
      <c r="A1557" s="3" t="inlineStr">
        <is>
          <t>PROD_1556</t>
        </is>
      </c>
    </row>
    <row r="1558" ht="15.75" customHeight="1">
      <c r="A1558" s="3" t="inlineStr">
        <is>
          <t>PROD_1557</t>
        </is>
      </c>
    </row>
    <row r="1559" ht="15.75" customHeight="1">
      <c r="A1559" s="3" t="inlineStr">
        <is>
          <t>PROD_1558</t>
        </is>
      </c>
    </row>
    <row r="1560" ht="15.75" customHeight="1">
      <c r="A1560" s="3" t="inlineStr">
        <is>
          <t>PROD_1559</t>
        </is>
      </c>
    </row>
    <row r="1561" ht="15.75" customHeight="1">
      <c r="A1561" s="3" t="inlineStr">
        <is>
          <t>PROD_1560</t>
        </is>
      </c>
    </row>
    <row r="1562" ht="15.75" customHeight="1">
      <c r="A1562" s="3" t="inlineStr">
        <is>
          <t>PROD_1561</t>
        </is>
      </c>
    </row>
    <row r="1563" ht="15.75" customHeight="1">
      <c r="A1563" s="3" t="inlineStr">
        <is>
          <t>PROD_1562</t>
        </is>
      </c>
    </row>
    <row r="1564" ht="15.75" customHeight="1">
      <c r="A1564" s="3" t="inlineStr">
        <is>
          <t>PROD_1563</t>
        </is>
      </c>
    </row>
    <row r="1565" ht="15.75" customHeight="1">
      <c r="A1565" s="3" t="inlineStr">
        <is>
          <t>PROD_1564</t>
        </is>
      </c>
    </row>
    <row r="1566" ht="15.75" customHeight="1">
      <c r="A1566" s="3" t="inlineStr">
        <is>
          <t>PROD_1565</t>
        </is>
      </c>
    </row>
    <row r="1567" ht="15.75" customHeight="1">
      <c r="A1567" s="3" t="inlineStr">
        <is>
          <t>PROD_1566</t>
        </is>
      </c>
    </row>
    <row r="1568" ht="15.75" customHeight="1">
      <c r="A1568" s="3" t="inlineStr">
        <is>
          <t>PROD_1567</t>
        </is>
      </c>
    </row>
    <row r="1569" ht="15.75" customHeight="1">
      <c r="A1569" s="3" t="inlineStr">
        <is>
          <t>PROD_1568</t>
        </is>
      </c>
    </row>
    <row r="1570" ht="15.75" customHeight="1">
      <c r="A1570" s="3" t="inlineStr">
        <is>
          <t>PROD_1569</t>
        </is>
      </c>
    </row>
    <row r="1571" ht="15.75" customHeight="1">
      <c r="A1571" s="3" t="inlineStr">
        <is>
          <t>PROD_1570</t>
        </is>
      </c>
    </row>
    <row r="1572" ht="15.75" customHeight="1">
      <c r="A1572" s="3" t="inlineStr">
        <is>
          <t>PROD_1571</t>
        </is>
      </c>
    </row>
    <row r="1573" ht="15.75" customHeight="1">
      <c r="A1573" s="3" t="inlineStr">
        <is>
          <t>PROD_1572</t>
        </is>
      </c>
    </row>
    <row r="1574" ht="15.75" customHeight="1">
      <c r="A1574" s="3" t="inlineStr">
        <is>
          <t>PROD_1573</t>
        </is>
      </c>
    </row>
    <row r="1575" ht="15.75" customHeight="1">
      <c r="A1575" s="3" t="inlineStr">
        <is>
          <t>PROD_1574</t>
        </is>
      </c>
    </row>
    <row r="1576" ht="15.75" customHeight="1">
      <c r="A1576" s="3" t="inlineStr">
        <is>
          <t>PROD_1575</t>
        </is>
      </c>
    </row>
    <row r="1577" ht="15.75" customHeight="1">
      <c r="A1577" s="3" t="inlineStr">
        <is>
          <t>PROD_1576</t>
        </is>
      </c>
    </row>
    <row r="1578" ht="15.75" customHeight="1">
      <c r="A1578" s="3" t="inlineStr">
        <is>
          <t>PROD_1577</t>
        </is>
      </c>
    </row>
    <row r="1579" ht="15.75" customHeight="1">
      <c r="A1579" s="3" t="inlineStr">
        <is>
          <t>PROD_1578</t>
        </is>
      </c>
    </row>
    <row r="1580" ht="15.75" customHeight="1">
      <c r="A1580" s="3" t="inlineStr">
        <is>
          <t>PROD_1579</t>
        </is>
      </c>
    </row>
    <row r="1581" ht="15.75" customHeight="1">
      <c r="A1581" s="3" t="inlineStr">
        <is>
          <t>PROD_1580</t>
        </is>
      </c>
    </row>
    <row r="1582" ht="15.75" customHeight="1">
      <c r="A1582" s="3" t="inlineStr">
        <is>
          <t>PROD_1581</t>
        </is>
      </c>
    </row>
    <row r="1583" ht="15.75" customHeight="1">
      <c r="A1583" s="3" t="inlineStr">
        <is>
          <t>PROD_1582</t>
        </is>
      </c>
    </row>
    <row r="1584" ht="15.75" customHeight="1">
      <c r="A1584" s="3" t="inlineStr">
        <is>
          <t>PROD_1583</t>
        </is>
      </c>
    </row>
    <row r="1585" ht="15.75" customHeight="1">
      <c r="A1585" s="3" t="inlineStr">
        <is>
          <t>PROD_1584</t>
        </is>
      </c>
    </row>
    <row r="1586" ht="15.75" customHeight="1">
      <c r="A1586" s="3" t="inlineStr">
        <is>
          <t>PROD_1585</t>
        </is>
      </c>
    </row>
    <row r="1587" ht="15.75" customHeight="1">
      <c r="A1587" s="3" t="inlineStr">
        <is>
          <t>PROD_1586</t>
        </is>
      </c>
    </row>
    <row r="1588" ht="15.75" customHeight="1">
      <c r="A1588" s="3" t="inlineStr">
        <is>
          <t>PROD_1587</t>
        </is>
      </c>
    </row>
    <row r="1589" ht="15.75" customHeight="1">
      <c r="A1589" s="3" t="inlineStr">
        <is>
          <t>PROD_1588</t>
        </is>
      </c>
    </row>
    <row r="1590" ht="15.75" customHeight="1">
      <c r="A1590" s="3" t="inlineStr">
        <is>
          <t>PROD_1589</t>
        </is>
      </c>
    </row>
    <row r="1591" ht="15.75" customHeight="1">
      <c r="A1591" s="3" t="inlineStr">
        <is>
          <t>PROD_1590</t>
        </is>
      </c>
    </row>
    <row r="1592" ht="15.75" customHeight="1">
      <c r="A1592" s="3" t="inlineStr">
        <is>
          <t>PROD_1591</t>
        </is>
      </c>
    </row>
    <row r="1593" ht="15.75" customHeight="1">
      <c r="A1593" s="3" t="inlineStr">
        <is>
          <t>PROD_1592</t>
        </is>
      </c>
    </row>
    <row r="1594" ht="15.75" customHeight="1">
      <c r="A1594" s="3" t="inlineStr">
        <is>
          <t>PROD_1593</t>
        </is>
      </c>
    </row>
    <row r="1595" ht="15.75" customHeight="1">
      <c r="A1595" s="3" t="inlineStr">
        <is>
          <t>PROD_1594</t>
        </is>
      </c>
    </row>
    <row r="1596" ht="15.75" customHeight="1">
      <c r="A1596" s="3" t="inlineStr">
        <is>
          <t>PROD_1595</t>
        </is>
      </c>
    </row>
    <row r="1597" ht="15.75" customHeight="1">
      <c r="A1597" s="3" t="inlineStr">
        <is>
          <t>PROD_1596</t>
        </is>
      </c>
    </row>
    <row r="1598" ht="15.75" customHeight="1">
      <c r="A1598" s="3" t="inlineStr">
        <is>
          <t>PROD_1597</t>
        </is>
      </c>
    </row>
    <row r="1599" ht="15.75" customHeight="1">
      <c r="A1599" s="3" t="inlineStr">
        <is>
          <t>PROD_1598</t>
        </is>
      </c>
    </row>
    <row r="1600" ht="15.75" customHeight="1">
      <c r="A1600" s="3" t="inlineStr">
        <is>
          <t>PROD_1599</t>
        </is>
      </c>
    </row>
    <row r="1601" ht="15.75" customHeight="1">
      <c r="A1601" s="3" t="inlineStr">
        <is>
          <t>PROD_1600</t>
        </is>
      </c>
    </row>
    <row r="1602" ht="15.75" customHeight="1">
      <c r="A1602" s="3" t="inlineStr">
        <is>
          <t>PROD_1601</t>
        </is>
      </c>
    </row>
    <row r="1603" ht="15.75" customHeight="1">
      <c r="A1603" s="3" t="inlineStr">
        <is>
          <t>PROD_1602</t>
        </is>
      </c>
    </row>
    <row r="1604" ht="15.75" customHeight="1">
      <c r="A1604" s="3" t="inlineStr">
        <is>
          <t>PROD_1603</t>
        </is>
      </c>
    </row>
    <row r="1605" ht="15.75" customHeight="1">
      <c r="A1605" s="3" t="inlineStr">
        <is>
          <t>PROD_1604</t>
        </is>
      </c>
    </row>
    <row r="1606" ht="15.75" customHeight="1">
      <c r="A1606" s="3" t="inlineStr">
        <is>
          <t>PROD_1605</t>
        </is>
      </c>
    </row>
    <row r="1607" ht="15.75" customHeight="1">
      <c r="A1607" s="3" t="inlineStr">
        <is>
          <t>PROD_1606</t>
        </is>
      </c>
    </row>
    <row r="1608" ht="15.75" customHeight="1">
      <c r="A1608" s="3" t="inlineStr">
        <is>
          <t>PROD_1607</t>
        </is>
      </c>
    </row>
    <row r="1609" ht="15.75" customHeight="1">
      <c r="A1609" s="3" t="inlineStr">
        <is>
          <t>PROD_1608</t>
        </is>
      </c>
    </row>
    <row r="1610" ht="15.75" customHeight="1">
      <c r="A1610" s="3" t="inlineStr">
        <is>
          <t>PROD_1609</t>
        </is>
      </c>
    </row>
    <row r="1611" ht="15.75" customHeight="1">
      <c r="A1611" s="3" t="inlineStr">
        <is>
          <t>PROD_1610</t>
        </is>
      </c>
    </row>
    <row r="1612" ht="15.75" customHeight="1">
      <c r="A1612" s="3" t="inlineStr">
        <is>
          <t>PROD_1611</t>
        </is>
      </c>
    </row>
    <row r="1613" ht="15.75" customHeight="1">
      <c r="A1613" s="3" t="inlineStr">
        <is>
          <t>PROD_1612</t>
        </is>
      </c>
    </row>
    <row r="1614" ht="15.75" customHeight="1">
      <c r="A1614" s="3" t="inlineStr">
        <is>
          <t>PROD_1613</t>
        </is>
      </c>
    </row>
    <row r="1615" ht="15.75" customHeight="1">
      <c r="A1615" s="3" t="inlineStr">
        <is>
          <t>PROD_1614</t>
        </is>
      </c>
    </row>
    <row r="1616" ht="15.75" customHeight="1">
      <c r="A1616" s="3" t="inlineStr">
        <is>
          <t>PROD_1615</t>
        </is>
      </c>
    </row>
    <row r="1617" ht="15.75" customHeight="1">
      <c r="A1617" s="3" t="inlineStr">
        <is>
          <t>PROD_1616</t>
        </is>
      </c>
    </row>
    <row r="1618" ht="15.75" customHeight="1">
      <c r="A1618" s="3" t="inlineStr">
        <is>
          <t>PROD_1617</t>
        </is>
      </c>
    </row>
    <row r="1619" ht="15.75" customHeight="1">
      <c r="A1619" s="3" t="inlineStr">
        <is>
          <t>PROD_1618</t>
        </is>
      </c>
    </row>
    <row r="1620" ht="15.75" customHeight="1">
      <c r="A1620" s="3" t="inlineStr">
        <is>
          <t>PROD_1619</t>
        </is>
      </c>
    </row>
    <row r="1621" ht="15.75" customHeight="1">
      <c r="A1621" s="3" t="inlineStr">
        <is>
          <t>PROD_1620</t>
        </is>
      </c>
    </row>
    <row r="1622" ht="15.75" customHeight="1">
      <c r="A1622" s="3" t="inlineStr">
        <is>
          <t>PROD_1621</t>
        </is>
      </c>
    </row>
    <row r="1623" ht="15.75" customHeight="1">
      <c r="A1623" s="3" t="inlineStr">
        <is>
          <t>PROD_1622</t>
        </is>
      </c>
    </row>
    <row r="1624" ht="15.75" customHeight="1">
      <c r="A1624" s="3" t="inlineStr">
        <is>
          <t>PROD_1623</t>
        </is>
      </c>
    </row>
    <row r="1625" ht="15.75" customHeight="1">
      <c r="A1625" s="3" t="inlineStr">
        <is>
          <t>PROD_1624</t>
        </is>
      </c>
    </row>
    <row r="1626" ht="15.75" customHeight="1">
      <c r="A1626" s="3" t="inlineStr">
        <is>
          <t>PROD_1625</t>
        </is>
      </c>
    </row>
    <row r="1627" ht="15.75" customHeight="1">
      <c r="A1627" s="3" t="inlineStr">
        <is>
          <t>PROD_1626</t>
        </is>
      </c>
    </row>
    <row r="1628" ht="15.75" customHeight="1">
      <c r="A1628" s="3" t="inlineStr">
        <is>
          <t>PROD_1627</t>
        </is>
      </c>
    </row>
    <row r="1629" ht="15.75" customHeight="1">
      <c r="A1629" s="3" t="inlineStr">
        <is>
          <t>PROD_1628</t>
        </is>
      </c>
    </row>
    <row r="1630" ht="15.75" customHeight="1">
      <c r="A1630" s="3" t="inlineStr">
        <is>
          <t>PROD_1629</t>
        </is>
      </c>
    </row>
    <row r="1631" ht="15.75" customHeight="1">
      <c r="A1631" s="3" t="inlineStr">
        <is>
          <t>PROD_1630</t>
        </is>
      </c>
    </row>
    <row r="1632" ht="15.75" customHeight="1">
      <c r="A1632" s="3" t="inlineStr">
        <is>
          <t>PROD_1631</t>
        </is>
      </c>
    </row>
    <row r="1633" ht="15.75" customHeight="1">
      <c r="A1633" s="3" t="inlineStr">
        <is>
          <t>PROD_1632</t>
        </is>
      </c>
    </row>
    <row r="1634" ht="15.75" customHeight="1">
      <c r="A1634" s="3" t="inlineStr">
        <is>
          <t>PROD_1633</t>
        </is>
      </c>
    </row>
    <row r="1635" ht="15.75" customHeight="1">
      <c r="A1635" s="3" t="inlineStr">
        <is>
          <t>PROD_1634</t>
        </is>
      </c>
    </row>
    <row r="1636" ht="15.75" customHeight="1">
      <c r="A1636" s="3" t="inlineStr">
        <is>
          <t>PROD_1635</t>
        </is>
      </c>
    </row>
    <row r="1637" ht="15.75" customHeight="1">
      <c r="A1637" s="3" t="inlineStr">
        <is>
          <t>PROD_1636</t>
        </is>
      </c>
    </row>
    <row r="1638" ht="15.75" customHeight="1">
      <c r="A1638" s="3" t="inlineStr">
        <is>
          <t>PROD_1637</t>
        </is>
      </c>
    </row>
    <row r="1639" ht="15.75" customHeight="1">
      <c r="A1639" s="3" t="inlineStr">
        <is>
          <t>PROD_1638</t>
        </is>
      </c>
    </row>
    <row r="1640" ht="15.75" customHeight="1">
      <c r="A1640" s="3" t="inlineStr">
        <is>
          <t>PROD_1639</t>
        </is>
      </c>
    </row>
    <row r="1641" ht="15.75" customHeight="1">
      <c r="A1641" s="3" t="inlineStr">
        <is>
          <t>PROD_1640</t>
        </is>
      </c>
    </row>
    <row r="1642" ht="15.75" customHeight="1">
      <c r="A1642" s="3" t="inlineStr">
        <is>
          <t>PROD_1641</t>
        </is>
      </c>
    </row>
    <row r="1643" ht="15.75" customHeight="1">
      <c r="A1643" s="3" t="inlineStr">
        <is>
          <t>PROD_1642</t>
        </is>
      </c>
    </row>
    <row r="1644" ht="15.75" customHeight="1">
      <c r="A1644" s="3" t="inlineStr">
        <is>
          <t>PROD_1643</t>
        </is>
      </c>
    </row>
    <row r="1645" ht="15.75" customHeight="1">
      <c r="A1645" s="3" t="inlineStr">
        <is>
          <t>PROD_1644</t>
        </is>
      </c>
    </row>
    <row r="1646" ht="15.75" customHeight="1">
      <c r="A1646" s="3" t="inlineStr">
        <is>
          <t>PROD_1645</t>
        </is>
      </c>
    </row>
    <row r="1647" ht="15.75" customHeight="1">
      <c r="A1647" s="3" t="inlineStr">
        <is>
          <t>PROD_1646</t>
        </is>
      </c>
    </row>
    <row r="1648" ht="15.75" customHeight="1">
      <c r="A1648" s="3" t="inlineStr">
        <is>
          <t>PROD_1647</t>
        </is>
      </c>
    </row>
    <row r="1649" ht="15.75" customHeight="1">
      <c r="A1649" s="3" t="inlineStr">
        <is>
          <t>PROD_1648</t>
        </is>
      </c>
    </row>
    <row r="1650" ht="15.75" customHeight="1">
      <c r="A1650" s="3" t="inlineStr">
        <is>
          <t>PROD_1649</t>
        </is>
      </c>
    </row>
    <row r="1651" ht="15.75" customHeight="1">
      <c r="A1651" s="3" t="inlineStr">
        <is>
          <t>PROD_1650</t>
        </is>
      </c>
    </row>
    <row r="1652" ht="15.75" customHeight="1">
      <c r="A1652" s="3" t="inlineStr">
        <is>
          <t>PROD_1651</t>
        </is>
      </c>
    </row>
    <row r="1653" ht="15.75" customHeight="1">
      <c r="A1653" s="3" t="inlineStr">
        <is>
          <t>PROD_1652</t>
        </is>
      </c>
    </row>
    <row r="1654" ht="15.75" customHeight="1">
      <c r="A1654" s="3" t="inlineStr">
        <is>
          <t>PROD_1653</t>
        </is>
      </c>
    </row>
    <row r="1655" ht="15.75" customHeight="1">
      <c r="A1655" s="3" t="inlineStr">
        <is>
          <t>PROD_1654</t>
        </is>
      </c>
    </row>
    <row r="1656" ht="15.75" customHeight="1">
      <c r="A1656" s="3" t="inlineStr">
        <is>
          <t>PROD_1655</t>
        </is>
      </c>
    </row>
    <row r="1657" ht="15.75" customHeight="1">
      <c r="A1657" s="3" t="inlineStr">
        <is>
          <t>PROD_1656</t>
        </is>
      </c>
    </row>
    <row r="1658" ht="15.75" customHeight="1">
      <c r="A1658" s="3" t="inlineStr">
        <is>
          <t>PROD_1657</t>
        </is>
      </c>
    </row>
    <row r="1659" ht="15.75" customHeight="1">
      <c r="A1659" s="3" t="inlineStr">
        <is>
          <t>PROD_1658</t>
        </is>
      </c>
    </row>
    <row r="1660" ht="15.75" customHeight="1">
      <c r="A1660" s="3" t="inlineStr">
        <is>
          <t>PROD_1659</t>
        </is>
      </c>
    </row>
    <row r="1661" ht="15.75" customHeight="1">
      <c r="A1661" s="3" t="inlineStr">
        <is>
          <t>PROD_1660</t>
        </is>
      </c>
    </row>
    <row r="1662" ht="15.75" customHeight="1">
      <c r="A1662" s="3" t="inlineStr">
        <is>
          <t>PROD_1661</t>
        </is>
      </c>
    </row>
    <row r="1663" ht="15.75" customHeight="1">
      <c r="A1663" s="3" t="inlineStr">
        <is>
          <t>PROD_1662</t>
        </is>
      </c>
    </row>
    <row r="1664" ht="15.75" customHeight="1">
      <c r="A1664" s="3" t="inlineStr">
        <is>
          <t>PROD_1663</t>
        </is>
      </c>
    </row>
    <row r="1665" ht="15.75" customHeight="1">
      <c r="A1665" s="3" t="inlineStr">
        <is>
          <t>PROD_1664</t>
        </is>
      </c>
    </row>
    <row r="1666" ht="15.75" customHeight="1">
      <c r="A1666" s="3" t="inlineStr">
        <is>
          <t>PROD_1665</t>
        </is>
      </c>
    </row>
    <row r="1667" ht="15.75" customHeight="1">
      <c r="A1667" s="3" t="inlineStr">
        <is>
          <t>PROD_1666</t>
        </is>
      </c>
    </row>
    <row r="1668" ht="15.75" customHeight="1">
      <c r="A1668" s="3" t="inlineStr">
        <is>
          <t>PROD_1667</t>
        </is>
      </c>
    </row>
    <row r="1669" ht="15.75" customHeight="1">
      <c r="A1669" s="3" t="inlineStr">
        <is>
          <t>PROD_1668</t>
        </is>
      </c>
    </row>
    <row r="1670" ht="15.75" customHeight="1">
      <c r="A1670" s="3" t="inlineStr">
        <is>
          <t>PROD_1669</t>
        </is>
      </c>
    </row>
    <row r="1671" ht="15.75" customHeight="1">
      <c r="A1671" s="3" t="inlineStr">
        <is>
          <t>PROD_1670</t>
        </is>
      </c>
    </row>
    <row r="1672" ht="15.75" customHeight="1">
      <c r="A1672" s="3" t="inlineStr">
        <is>
          <t>PROD_1671</t>
        </is>
      </c>
    </row>
    <row r="1673" ht="15.75" customHeight="1">
      <c r="A1673" s="3" t="inlineStr">
        <is>
          <t>PROD_1672</t>
        </is>
      </c>
    </row>
    <row r="1674" ht="15.75" customHeight="1">
      <c r="A1674" s="3" t="inlineStr">
        <is>
          <t>PROD_1673</t>
        </is>
      </c>
    </row>
    <row r="1675" ht="15.75" customHeight="1">
      <c r="A1675" s="3" t="inlineStr">
        <is>
          <t>PROD_1674</t>
        </is>
      </c>
    </row>
    <row r="1676" ht="15.75" customHeight="1">
      <c r="A1676" s="3" t="inlineStr">
        <is>
          <t>PROD_1675</t>
        </is>
      </c>
    </row>
    <row r="1677" ht="15.75" customHeight="1">
      <c r="A1677" s="3" t="inlineStr">
        <is>
          <t>PROD_1676</t>
        </is>
      </c>
    </row>
    <row r="1678" ht="15.75" customHeight="1">
      <c r="A1678" s="3" t="inlineStr">
        <is>
          <t>PROD_1677</t>
        </is>
      </c>
    </row>
    <row r="1679" ht="15.75" customHeight="1">
      <c r="A1679" s="3" t="inlineStr">
        <is>
          <t>PROD_1678</t>
        </is>
      </c>
    </row>
    <row r="1680" ht="15.75" customHeight="1">
      <c r="A1680" s="3" t="inlineStr">
        <is>
          <t>PROD_1679</t>
        </is>
      </c>
    </row>
    <row r="1681" ht="15.75" customHeight="1">
      <c r="A1681" s="3" t="inlineStr">
        <is>
          <t>PROD_1680</t>
        </is>
      </c>
    </row>
    <row r="1682" ht="15.75" customHeight="1">
      <c r="A1682" s="3" t="inlineStr">
        <is>
          <t>PROD_1681</t>
        </is>
      </c>
    </row>
    <row r="1683" ht="15.75" customHeight="1">
      <c r="A1683" s="3" t="inlineStr">
        <is>
          <t>PROD_1682</t>
        </is>
      </c>
    </row>
    <row r="1684" ht="15.75" customHeight="1">
      <c r="A1684" s="3" t="inlineStr">
        <is>
          <t>PROD_1683</t>
        </is>
      </c>
    </row>
    <row r="1685" ht="15.75" customHeight="1">
      <c r="A1685" s="3" t="inlineStr">
        <is>
          <t>PROD_1684</t>
        </is>
      </c>
    </row>
    <row r="1686" ht="15.75" customHeight="1">
      <c r="A1686" s="3" t="inlineStr">
        <is>
          <t>PROD_1685</t>
        </is>
      </c>
    </row>
    <row r="1687" ht="15.75" customHeight="1">
      <c r="A1687" s="3" t="inlineStr">
        <is>
          <t>PROD_1686</t>
        </is>
      </c>
    </row>
    <row r="1688" ht="15.75" customHeight="1">
      <c r="A1688" s="3" t="inlineStr">
        <is>
          <t>PROD_1687</t>
        </is>
      </c>
    </row>
    <row r="1689" ht="15.75" customHeight="1">
      <c r="A1689" s="3" t="inlineStr">
        <is>
          <t>PROD_1688</t>
        </is>
      </c>
    </row>
    <row r="1690" ht="15.75" customHeight="1">
      <c r="A1690" s="3" t="inlineStr">
        <is>
          <t>PROD_1689</t>
        </is>
      </c>
    </row>
    <row r="1691" ht="15.75" customHeight="1">
      <c r="A1691" s="3" t="inlineStr">
        <is>
          <t>PROD_1690</t>
        </is>
      </c>
    </row>
    <row r="1692" ht="15.75" customHeight="1">
      <c r="A1692" s="3" t="inlineStr">
        <is>
          <t>PROD_1691</t>
        </is>
      </c>
    </row>
    <row r="1693" ht="15.75" customHeight="1">
      <c r="A1693" s="3" t="inlineStr">
        <is>
          <t>PROD_1692</t>
        </is>
      </c>
    </row>
    <row r="1694" ht="15.75" customHeight="1">
      <c r="A1694" s="3" t="inlineStr">
        <is>
          <t>PROD_1693</t>
        </is>
      </c>
    </row>
    <row r="1695" ht="15.75" customHeight="1">
      <c r="A1695" s="3" t="inlineStr">
        <is>
          <t>PROD_1694</t>
        </is>
      </c>
    </row>
    <row r="1696" ht="15.75" customHeight="1">
      <c r="A1696" s="3" t="inlineStr">
        <is>
          <t>PROD_1695</t>
        </is>
      </c>
    </row>
    <row r="1697" ht="15.75" customHeight="1">
      <c r="A1697" s="3" t="inlineStr">
        <is>
          <t>PROD_1696</t>
        </is>
      </c>
    </row>
    <row r="1698" ht="15.75" customHeight="1">
      <c r="A1698" s="3" t="inlineStr">
        <is>
          <t>PROD_1697</t>
        </is>
      </c>
    </row>
    <row r="1699" ht="15.75" customHeight="1">
      <c r="A1699" s="3" t="inlineStr">
        <is>
          <t>PROD_1698</t>
        </is>
      </c>
    </row>
    <row r="1700" ht="15.75" customHeight="1">
      <c r="A1700" s="3" t="inlineStr">
        <is>
          <t>PROD_1699</t>
        </is>
      </c>
    </row>
    <row r="1701" ht="15.75" customHeight="1">
      <c r="A1701" s="3" t="inlineStr">
        <is>
          <t>PROD_1700</t>
        </is>
      </c>
    </row>
    <row r="1702" ht="15.75" customHeight="1">
      <c r="A1702" s="3" t="inlineStr">
        <is>
          <t>PROD_1701</t>
        </is>
      </c>
    </row>
    <row r="1703" ht="15.75" customHeight="1">
      <c r="A1703" s="3" t="inlineStr">
        <is>
          <t>PROD_1702</t>
        </is>
      </c>
    </row>
    <row r="1704" ht="15.75" customHeight="1">
      <c r="A1704" s="3" t="inlineStr">
        <is>
          <t>PROD_1703</t>
        </is>
      </c>
    </row>
    <row r="1705" ht="15.75" customHeight="1">
      <c r="A1705" s="3" t="inlineStr">
        <is>
          <t>PROD_1704</t>
        </is>
      </c>
    </row>
    <row r="1706" ht="15.75" customHeight="1">
      <c r="A1706" s="3" t="inlineStr">
        <is>
          <t>PROD_1705</t>
        </is>
      </c>
    </row>
    <row r="1707" ht="15.75" customHeight="1">
      <c r="A1707" s="3" t="inlineStr">
        <is>
          <t>PROD_1706</t>
        </is>
      </c>
    </row>
    <row r="1708" ht="15.75" customHeight="1">
      <c r="A1708" s="3" t="inlineStr">
        <is>
          <t>PROD_1707</t>
        </is>
      </c>
    </row>
    <row r="1709" ht="15.75" customHeight="1">
      <c r="A1709" s="3" t="inlineStr">
        <is>
          <t>PROD_1708</t>
        </is>
      </c>
    </row>
    <row r="1710" ht="15.75" customHeight="1">
      <c r="A1710" s="3" t="inlineStr">
        <is>
          <t>PROD_1709</t>
        </is>
      </c>
    </row>
    <row r="1711" ht="15.75" customHeight="1">
      <c r="A1711" s="3" t="inlineStr">
        <is>
          <t>PROD_1710</t>
        </is>
      </c>
    </row>
    <row r="1712" ht="15.75" customHeight="1">
      <c r="A1712" s="3" t="inlineStr">
        <is>
          <t>PROD_1711</t>
        </is>
      </c>
    </row>
    <row r="1713" ht="15.75" customHeight="1">
      <c r="A1713" s="3" t="inlineStr">
        <is>
          <t>PROD_1712</t>
        </is>
      </c>
    </row>
    <row r="1714" ht="15.75" customHeight="1">
      <c r="A1714" s="3" t="inlineStr">
        <is>
          <t>PROD_1713</t>
        </is>
      </c>
    </row>
    <row r="1715" ht="15.75" customHeight="1">
      <c r="A1715" s="3" t="inlineStr">
        <is>
          <t>PROD_1714</t>
        </is>
      </c>
    </row>
    <row r="1716" ht="15.75" customHeight="1">
      <c r="A1716" s="3" t="inlineStr">
        <is>
          <t>PROD_1715</t>
        </is>
      </c>
    </row>
    <row r="1717" ht="15.75" customHeight="1">
      <c r="A1717" s="3" t="inlineStr">
        <is>
          <t>PROD_1716</t>
        </is>
      </c>
    </row>
    <row r="1718" ht="15.75" customHeight="1">
      <c r="A1718" s="3" t="inlineStr">
        <is>
          <t>PROD_1717</t>
        </is>
      </c>
    </row>
    <row r="1719" ht="15.75" customHeight="1">
      <c r="A1719" s="3" t="inlineStr">
        <is>
          <t>PROD_1718</t>
        </is>
      </c>
    </row>
    <row r="1720" ht="15.75" customHeight="1">
      <c r="A1720" s="3" t="inlineStr">
        <is>
          <t>PROD_1719</t>
        </is>
      </c>
    </row>
    <row r="1721" ht="15.75" customHeight="1">
      <c r="A1721" s="3" t="inlineStr">
        <is>
          <t>PROD_1720</t>
        </is>
      </c>
    </row>
    <row r="1722" ht="15.75" customHeight="1">
      <c r="A1722" s="3" t="inlineStr">
        <is>
          <t>PROD_1721</t>
        </is>
      </c>
    </row>
    <row r="1723" ht="15.75" customHeight="1">
      <c r="A1723" s="3" t="inlineStr">
        <is>
          <t>PROD_1722</t>
        </is>
      </c>
    </row>
    <row r="1724" ht="15.75" customHeight="1">
      <c r="A1724" s="3" t="inlineStr">
        <is>
          <t>PROD_1723</t>
        </is>
      </c>
    </row>
    <row r="1725" ht="15.75" customHeight="1">
      <c r="A1725" s="3" t="inlineStr">
        <is>
          <t>PROD_1724</t>
        </is>
      </c>
    </row>
    <row r="1726" ht="15.75" customHeight="1">
      <c r="A1726" s="3" t="inlineStr">
        <is>
          <t>PROD_1725</t>
        </is>
      </c>
    </row>
    <row r="1727" ht="15.75" customHeight="1">
      <c r="A1727" s="3" t="inlineStr">
        <is>
          <t>PROD_1726</t>
        </is>
      </c>
    </row>
    <row r="1728" ht="15.75" customHeight="1">
      <c r="A1728" s="3" t="inlineStr">
        <is>
          <t>PROD_1727</t>
        </is>
      </c>
    </row>
    <row r="1729" ht="15.75" customHeight="1">
      <c r="A1729" s="3" t="inlineStr">
        <is>
          <t>PROD_1728</t>
        </is>
      </c>
    </row>
    <row r="1730" ht="15.75" customHeight="1">
      <c r="A1730" s="3" t="inlineStr">
        <is>
          <t>PROD_1729</t>
        </is>
      </c>
    </row>
    <row r="1731" ht="15.75" customHeight="1">
      <c r="A1731" s="3" t="inlineStr">
        <is>
          <t>PROD_1730</t>
        </is>
      </c>
    </row>
    <row r="1732" ht="15.75" customHeight="1">
      <c r="A1732" s="3" t="inlineStr">
        <is>
          <t>PROD_1731</t>
        </is>
      </c>
    </row>
    <row r="1733" ht="15.75" customHeight="1">
      <c r="A1733" s="3" t="inlineStr">
        <is>
          <t>PROD_1732</t>
        </is>
      </c>
    </row>
    <row r="1734" ht="15.75" customHeight="1">
      <c r="A1734" s="3" t="inlineStr">
        <is>
          <t>PROD_1733</t>
        </is>
      </c>
    </row>
    <row r="1735" ht="15.75" customHeight="1">
      <c r="A1735" s="3" t="inlineStr">
        <is>
          <t>PROD_1734</t>
        </is>
      </c>
    </row>
    <row r="1736" ht="15.75" customHeight="1">
      <c r="A1736" s="3" t="inlineStr">
        <is>
          <t>PROD_1735</t>
        </is>
      </c>
    </row>
    <row r="1737" ht="15.75" customHeight="1">
      <c r="A1737" s="3" t="inlineStr">
        <is>
          <t>PROD_1736</t>
        </is>
      </c>
    </row>
    <row r="1738" ht="15.75" customHeight="1">
      <c r="A1738" s="3" t="inlineStr">
        <is>
          <t>PROD_1737</t>
        </is>
      </c>
    </row>
    <row r="1739" ht="15.75" customHeight="1">
      <c r="A1739" s="3" t="inlineStr">
        <is>
          <t>PROD_1738</t>
        </is>
      </c>
    </row>
    <row r="1740" ht="15.75" customHeight="1">
      <c r="A1740" s="3" t="inlineStr">
        <is>
          <t>PROD_1739</t>
        </is>
      </c>
    </row>
    <row r="1741" ht="15.75" customHeight="1">
      <c r="A1741" s="3" t="inlineStr">
        <is>
          <t>PROD_1740</t>
        </is>
      </c>
    </row>
    <row r="1742" ht="15.75" customHeight="1">
      <c r="A1742" s="3" t="inlineStr">
        <is>
          <t>PROD_1741</t>
        </is>
      </c>
    </row>
    <row r="1743" ht="15.75" customHeight="1">
      <c r="A1743" s="3" t="inlineStr">
        <is>
          <t>PROD_1742</t>
        </is>
      </c>
    </row>
    <row r="1744" ht="15.75" customHeight="1">
      <c r="A1744" s="3" t="inlineStr">
        <is>
          <t>PROD_1743</t>
        </is>
      </c>
    </row>
    <row r="1745" ht="15.75" customHeight="1">
      <c r="A1745" s="3" t="inlineStr">
        <is>
          <t>PROD_1744</t>
        </is>
      </c>
    </row>
    <row r="1746" ht="15.75" customHeight="1">
      <c r="A1746" s="3" t="inlineStr">
        <is>
          <t>PROD_1745</t>
        </is>
      </c>
    </row>
    <row r="1747" ht="15.75" customHeight="1">
      <c r="A1747" s="3" t="inlineStr">
        <is>
          <t>PROD_1746</t>
        </is>
      </c>
    </row>
    <row r="1748" ht="15.75" customHeight="1">
      <c r="A1748" s="3" t="inlineStr">
        <is>
          <t>PROD_1747</t>
        </is>
      </c>
    </row>
    <row r="1749" ht="15.75" customHeight="1">
      <c r="A1749" s="3" t="inlineStr">
        <is>
          <t>PROD_1748</t>
        </is>
      </c>
    </row>
    <row r="1750" ht="15.75" customHeight="1">
      <c r="A1750" s="3" t="inlineStr">
        <is>
          <t>PROD_1749</t>
        </is>
      </c>
    </row>
    <row r="1751" ht="15.75" customHeight="1">
      <c r="A1751" s="3" t="inlineStr">
        <is>
          <t>PROD_1750</t>
        </is>
      </c>
    </row>
    <row r="1752" ht="15.75" customHeight="1">
      <c r="A1752" s="3" t="inlineStr">
        <is>
          <t>PROD_1751</t>
        </is>
      </c>
    </row>
    <row r="1753" ht="15.75" customHeight="1">
      <c r="A1753" s="3" t="inlineStr">
        <is>
          <t>PROD_1752</t>
        </is>
      </c>
    </row>
    <row r="1754" ht="15.75" customHeight="1">
      <c r="A1754" s="3" t="inlineStr">
        <is>
          <t>PROD_1753</t>
        </is>
      </c>
    </row>
    <row r="1755" ht="15.75" customHeight="1">
      <c r="A1755" s="3" t="inlineStr">
        <is>
          <t>PROD_1754</t>
        </is>
      </c>
    </row>
    <row r="1756" ht="15.75" customHeight="1">
      <c r="A1756" s="3" t="inlineStr">
        <is>
          <t>PROD_1755</t>
        </is>
      </c>
    </row>
    <row r="1757" ht="15.75" customHeight="1">
      <c r="A1757" s="3" t="inlineStr">
        <is>
          <t>PROD_1756</t>
        </is>
      </c>
    </row>
    <row r="1758" ht="15.75" customHeight="1">
      <c r="A1758" s="3" t="inlineStr">
        <is>
          <t>PROD_1757</t>
        </is>
      </c>
    </row>
    <row r="1759" ht="15.75" customHeight="1">
      <c r="A1759" s="3" t="inlineStr">
        <is>
          <t>PROD_1758</t>
        </is>
      </c>
    </row>
    <row r="1760" ht="15.75" customHeight="1">
      <c r="A1760" s="3" t="inlineStr">
        <is>
          <t>PROD_1759</t>
        </is>
      </c>
    </row>
    <row r="1761" ht="15.75" customHeight="1">
      <c r="A1761" s="3" t="inlineStr">
        <is>
          <t>PROD_1760</t>
        </is>
      </c>
    </row>
    <row r="1762" ht="15.75" customHeight="1">
      <c r="A1762" s="3" t="inlineStr">
        <is>
          <t>PROD_1761</t>
        </is>
      </c>
    </row>
    <row r="1763" ht="15.75" customHeight="1">
      <c r="A1763" s="3" t="inlineStr">
        <is>
          <t>PROD_1762</t>
        </is>
      </c>
    </row>
    <row r="1764" ht="15.75" customHeight="1">
      <c r="A1764" s="3" t="inlineStr">
        <is>
          <t>PROD_1763</t>
        </is>
      </c>
    </row>
    <row r="1765" ht="15.75" customHeight="1">
      <c r="A1765" s="3" t="inlineStr">
        <is>
          <t>PROD_1764</t>
        </is>
      </c>
    </row>
    <row r="1766" ht="15.75" customHeight="1">
      <c r="A1766" s="3" t="inlineStr">
        <is>
          <t>PROD_1765</t>
        </is>
      </c>
    </row>
    <row r="1767" ht="15.75" customHeight="1">
      <c r="A1767" s="3" t="inlineStr">
        <is>
          <t>PROD_1766</t>
        </is>
      </c>
    </row>
    <row r="1768" ht="15.75" customHeight="1">
      <c r="A1768" s="3" t="inlineStr">
        <is>
          <t>PROD_1767</t>
        </is>
      </c>
    </row>
    <row r="1769" ht="15.75" customHeight="1">
      <c r="A1769" s="3" t="inlineStr">
        <is>
          <t>PROD_1768</t>
        </is>
      </c>
    </row>
    <row r="1770" ht="15.75" customHeight="1">
      <c r="A1770" s="3" t="inlineStr">
        <is>
          <t>PROD_1769</t>
        </is>
      </c>
    </row>
    <row r="1771" ht="15.75" customHeight="1">
      <c r="A1771" s="3" t="inlineStr">
        <is>
          <t>PROD_1770</t>
        </is>
      </c>
    </row>
    <row r="1772" ht="15.75" customHeight="1">
      <c r="A1772" s="3" t="inlineStr">
        <is>
          <t>PROD_1771</t>
        </is>
      </c>
    </row>
    <row r="1773" ht="15.75" customHeight="1">
      <c r="A1773" s="3" t="inlineStr">
        <is>
          <t>PROD_1772</t>
        </is>
      </c>
    </row>
    <row r="1774" ht="15.75" customHeight="1">
      <c r="A1774" s="3" t="inlineStr">
        <is>
          <t>PROD_1773</t>
        </is>
      </c>
    </row>
    <row r="1775" ht="15.75" customHeight="1">
      <c r="A1775" s="3" t="inlineStr">
        <is>
          <t>PROD_1774</t>
        </is>
      </c>
    </row>
    <row r="1776" ht="15.75" customHeight="1">
      <c r="A1776" s="3" t="inlineStr">
        <is>
          <t>PROD_1775</t>
        </is>
      </c>
    </row>
    <row r="1777" ht="15.75" customHeight="1">
      <c r="A1777" s="3" t="inlineStr">
        <is>
          <t>PROD_1776</t>
        </is>
      </c>
    </row>
    <row r="1778" ht="15.75" customHeight="1">
      <c r="A1778" s="3" t="inlineStr">
        <is>
          <t>PROD_1777</t>
        </is>
      </c>
    </row>
    <row r="1779" ht="15.75" customHeight="1">
      <c r="A1779" s="3" t="inlineStr">
        <is>
          <t>PROD_1778</t>
        </is>
      </c>
    </row>
    <row r="1780" ht="15.75" customHeight="1">
      <c r="A1780" s="3" t="inlineStr">
        <is>
          <t>PROD_1779</t>
        </is>
      </c>
    </row>
    <row r="1781" ht="15.75" customHeight="1">
      <c r="A1781" s="3" t="inlineStr">
        <is>
          <t>PROD_1780</t>
        </is>
      </c>
    </row>
    <row r="1782" ht="15.75" customHeight="1">
      <c r="A1782" s="3" t="inlineStr">
        <is>
          <t>PROD_1781</t>
        </is>
      </c>
    </row>
    <row r="1783" ht="15.75" customHeight="1">
      <c r="A1783" s="3" t="inlineStr">
        <is>
          <t>PROD_1782</t>
        </is>
      </c>
    </row>
    <row r="1784" ht="15.75" customHeight="1">
      <c r="A1784" s="3" t="inlineStr">
        <is>
          <t>PROD_1783</t>
        </is>
      </c>
    </row>
    <row r="1785" ht="15.75" customHeight="1">
      <c r="A1785" s="3" t="inlineStr">
        <is>
          <t>PROD_1784</t>
        </is>
      </c>
    </row>
    <row r="1786" ht="15.75" customHeight="1">
      <c r="A1786" s="3" t="inlineStr">
        <is>
          <t>PROD_1785</t>
        </is>
      </c>
    </row>
    <row r="1787" ht="15.75" customHeight="1">
      <c r="A1787" s="3" t="inlineStr">
        <is>
          <t>PROD_1786</t>
        </is>
      </c>
    </row>
    <row r="1788" ht="15.75" customHeight="1">
      <c r="A1788" s="3" t="inlineStr">
        <is>
          <t>PROD_1787</t>
        </is>
      </c>
    </row>
    <row r="1789" ht="15.75" customHeight="1">
      <c r="A1789" s="3" t="inlineStr">
        <is>
          <t>PROD_1788</t>
        </is>
      </c>
    </row>
    <row r="1790" ht="15.75" customHeight="1">
      <c r="A1790" s="3" t="inlineStr">
        <is>
          <t>PROD_1789</t>
        </is>
      </c>
    </row>
    <row r="1791" ht="15.75" customHeight="1">
      <c r="A1791" s="3" t="inlineStr">
        <is>
          <t>PROD_1790</t>
        </is>
      </c>
    </row>
    <row r="1792" ht="15.75" customHeight="1">
      <c r="A1792" s="3" t="inlineStr">
        <is>
          <t>PROD_1791</t>
        </is>
      </c>
    </row>
    <row r="1793" ht="15.75" customHeight="1">
      <c r="A1793" s="3" t="inlineStr">
        <is>
          <t>PROD_1792</t>
        </is>
      </c>
    </row>
    <row r="1794" ht="15.75" customHeight="1">
      <c r="A1794" s="3" t="inlineStr">
        <is>
          <t>PROD_1793</t>
        </is>
      </c>
    </row>
    <row r="1795" ht="15.75" customHeight="1">
      <c r="A1795" s="3" t="inlineStr">
        <is>
          <t>PROD_1794</t>
        </is>
      </c>
    </row>
    <row r="1796" ht="15.75" customHeight="1">
      <c r="A1796" s="3" t="inlineStr">
        <is>
          <t>PROD_1795</t>
        </is>
      </c>
    </row>
    <row r="1797" ht="15.75" customHeight="1">
      <c r="A1797" s="3" t="inlineStr">
        <is>
          <t>PROD_1796</t>
        </is>
      </c>
    </row>
    <row r="1798" ht="15.75" customHeight="1">
      <c r="A1798" s="3" t="inlineStr">
        <is>
          <t>PROD_1797</t>
        </is>
      </c>
    </row>
    <row r="1799" ht="15.75" customHeight="1">
      <c r="A1799" s="3" t="inlineStr">
        <is>
          <t>PROD_1798</t>
        </is>
      </c>
    </row>
    <row r="1800" ht="15.75" customHeight="1">
      <c r="A1800" s="3" t="inlineStr">
        <is>
          <t>PROD_1799</t>
        </is>
      </c>
    </row>
    <row r="1801" ht="15.75" customHeight="1">
      <c r="A1801" s="3" t="inlineStr">
        <is>
          <t>PROD_1800</t>
        </is>
      </c>
    </row>
    <row r="1802" ht="15.75" customHeight="1">
      <c r="A1802" s="3" t="inlineStr">
        <is>
          <t>PROD_1801</t>
        </is>
      </c>
    </row>
    <row r="1803" ht="15.75" customHeight="1">
      <c r="A1803" s="3" t="inlineStr">
        <is>
          <t>PROD_1802</t>
        </is>
      </c>
    </row>
    <row r="1804" ht="15.75" customHeight="1">
      <c r="A1804" s="3" t="inlineStr">
        <is>
          <t>PROD_1803</t>
        </is>
      </c>
    </row>
    <row r="1805" ht="15.75" customHeight="1">
      <c r="A1805" s="3" t="inlineStr">
        <is>
          <t>PROD_1804</t>
        </is>
      </c>
    </row>
    <row r="1806" ht="15.75" customHeight="1">
      <c r="A1806" s="3" t="inlineStr">
        <is>
          <t>PROD_1805</t>
        </is>
      </c>
    </row>
    <row r="1807" ht="15.75" customHeight="1">
      <c r="A1807" s="3" t="inlineStr">
        <is>
          <t>PROD_1806</t>
        </is>
      </c>
    </row>
    <row r="1808" ht="15.75" customHeight="1">
      <c r="A1808" s="3" t="inlineStr">
        <is>
          <t>PROD_1807</t>
        </is>
      </c>
    </row>
    <row r="1809" ht="15.75" customHeight="1">
      <c r="A1809" s="3" t="inlineStr">
        <is>
          <t>PROD_1808</t>
        </is>
      </c>
    </row>
    <row r="1810" ht="15.75" customHeight="1">
      <c r="A1810" s="3" t="inlineStr">
        <is>
          <t>PROD_1809</t>
        </is>
      </c>
    </row>
    <row r="1811" ht="15.75" customHeight="1">
      <c r="A1811" s="3" t="inlineStr">
        <is>
          <t>PROD_1810</t>
        </is>
      </c>
    </row>
    <row r="1812" ht="15.75" customHeight="1">
      <c r="A1812" s="3" t="inlineStr">
        <is>
          <t>PROD_1811</t>
        </is>
      </c>
    </row>
    <row r="1813" ht="15.75" customHeight="1">
      <c r="A1813" s="3" t="inlineStr">
        <is>
          <t>PROD_1812</t>
        </is>
      </c>
    </row>
    <row r="1814" ht="15.75" customHeight="1">
      <c r="A1814" s="3" t="inlineStr">
        <is>
          <t>PROD_1813</t>
        </is>
      </c>
    </row>
    <row r="1815" ht="15.75" customHeight="1">
      <c r="A1815" s="3" t="inlineStr">
        <is>
          <t>PROD_1814</t>
        </is>
      </c>
    </row>
    <row r="1816" ht="15.75" customHeight="1">
      <c r="A1816" s="3" t="inlineStr">
        <is>
          <t>PROD_1815</t>
        </is>
      </c>
    </row>
    <row r="1817" ht="15.75" customHeight="1">
      <c r="A1817" s="3" t="inlineStr">
        <is>
          <t>PROD_1816</t>
        </is>
      </c>
    </row>
    <row r="1818" ht="15.75" customHeight="1">
      <c r="A1818" s="3" t="inlineStr">
        <is>
          <t>PROD_1817</t>
        </is>
      </c>
    </row>
    <row r="1819" ht="15.75" customHeight="1">
      <c r="A1819" s="3" t="inlineStr">
        <is>
          <t>PROD_1818</t>
        </is>
      </c>
    </row>
    <row r="1820" ht="15.75" customHeight="1">
      <c r="A1820" s="3" t="inlineStr">
        <is>
          <t>PROD_1819</t>
        </is>
      </c>
    </row>
    <row r="1821" ht="15.75" customHeight="1">
      <c r="A1821" s="3" t="inlineStr">
        <is>
          <t>PROD_1820</t>
        </is>
      </c>
    </row>
    <row r="1822" ht="15.75" customHeight="1">
      <c r="A1822" s="3" t="inlineStr">
        <is>
          <t>PROD_1821</t>
        </is>
      </c>
    </row>
    <row r="1823" ht="15.75" customHeight="1">
      <c r="A1823" s="3" t="inlineStr">
        <is>
          <t>PROD_1822</t>
        </is>
      </c>
    </row>
    <row r="1824" ht="15.75" customHeight="1">
      <c r="A1824" s="3" t="inlineStr">
        <is>
          <t>PROD_1823</t>
        </is>
      </c>
    </row>
    <row r="1825" ht="15.75" customHeight="1">
      <c r="A1825" s="3" t="inlineStr">
        <is>
          <t>PROD_1824</t>
        </is>
      </c>
    </row>
    <row r="1826" ht="15.75" customHeight="1">
      <c r="A1826" s="3" t="inlineStr">
        <is>
          <t>PROD_1825</t>
        </is>
      </c>
    </row>
    <row r="1827" ht="15.75" customHeight="1">
      <c r="A1827" s="3" t="inlineStr">
        <is>
          <t>PROD_1826</t>
        </is>
      </c>
    </row>
    <row r="1828" ht="15.75" customHeight="1">
      <c r="A1828" s="3" t="inlineStr">
        <is>
          <t>PROD_1827</t>
        </is>
      </c>
    </row>
    <row r="1829" ht="15.75" customHeight="1">
      <c r="A1829" s="3" t="inlineStr">
        <is>
          <t>PROD_1828</t>
        </is>
      </c>
    </row>
    <row r="1830" ht="15.75" customHeight="1">
      <c r="A1830" s="3" t="inlineStr">
        <is>
          <t>PROD_1829</t>
        </is>
      </c>
    </row>
    <row r="1831" ht="15.75" customHeight="1">
      <c r="A1831" s="3" t="inlineStr">
        <is>
          <t>PROD_1830</t>
        </is>
      </c>
    </row>
    <row r="1832" ht="15.75" customHeight="1">
      <c r="A1832" s="3" t="inlineStr">
        <is>
          <t>PROD_1831</t>
        </is>
      </c>
    </row>
    <row r="1833" ht="15.75" customHeight="1">
      <c r="A1833" s="3" t="inlineStr">
        <is>
          <t>PROD_1832</t>
        </is>
      </c>
    </row>
    <row r="1834" ht="15.75" customHeight="1">
      <c r="A1834" s="3" t="inlineStr">
        <is>
          <t>PROD_1833</t>
        </is>
      </c>
    </row>
    <row r="1835" ht="15.75" customHeight="1">
      <c r="A1835" s="3" t="inlineStr">
        <is>
          <t>PROD_1834</t>
        </is>
      </c>
    </row>
    <row r="1836" ht="15.75" customHeight="1">
      <c r="A1836" s="3" t="inlineStr">
        <is>
          <t>PROD_1835</t>
        </is>
      </c>
    </row>
    <row r="1837" ht="15.75" customHeight="1">
      <c r="A1837" s="3" t="inlineStr">
        <is>
          <t>PROD_1836</t>
        </is>
      </c>
    </row>
    <row r="1838" ht="15.75" customHeight="1">
      <c r="A1838" s="3" t="inlineStr">
        <is>
          <t>PROD_1837</t>
        </is>
      </c>
    </row>
    <row r="1839" ht="15.75" customHeight="1">
      <c r="A1839" s="3" t="inlineStr">
        <is>
          <t>PROD_1838</t>
        </is>
      </c>
    </row>
    <row r="1840" ht="15.75" customHeight="1">
      <c r="A1840" s="3" t="inlineStr">
        <is>
          <t>PROD_1839</t>
        </is>
      </c>
    </row>
    <row r="1841" ht="15.75" customHeight="1">
      <c r="A1841" s="3" t="inlineStr">
        <is>
          <t>PROD_1840</t>
        </is>
      </c>
    </row>
    <row r="1842" ht="15.75" customHeight="1">
      <c r="A1842" s="3" t="inlineStr">
        <is>
          <t>PROD_1841</t>
        </is>
      </c>
    </row>
    <row r="1843" ht="15.75" customHeight="1">
      <c r="A1843" s="3" t="inlineStr">
        <is>
          <t>PROD_1842</t>
        </is>
      </c>
    </row>
    <row r="1844" ht="15.75" customHeight="1">
      <c r="A1844" s="3" t="inlineStr">
        <is>
          <t>PROD_1843</t>
        </is>
      </c>
    </row>
    <row r="1845" ht="15.75" customHeight="1">
      <c r="A1845" s="3" t="inlineStr">
        <is>
          <t>PROD_1844</t>
        </is>
      </c>
    </row>
    <row r="1846" ht="15.75" customHeight="1">
      <c r="A1846" s="3" t="inlineStr">
        <is>
          <t>PROD_1845</t>
        </is>
      </c>
    </row>
    <row r="1847" ht="15.75" customHeight="1">
      <c r="A1847" s="3" t="inlineStr">
        <is>
          <t>PROD_1846</t>
        </is>
      </c>
    </row>
    <row r="1848" ht="15.75" customHeight="1">
      <c r="A1848" s="3" t="inlineStr">
        <is>
          <t>PROD_1847</t>
        </is>
      </c>
    </row>
    <row r="1849" ht="15.75" customHeight="1">
      <c r="A1849" s="3" t="inlineStr">
        <is>
          <t>PROD_1848</t>
        </is>
      </c>
    </row>
    <row r="1850" ht="15.75" customHeight="1">
      <c r="A1850" s="3" t="inlineStr">
        <is>
          <t>PROD_1849</t>
        </is>
      </c>
    </row>
    <row r="1851" ht="15.75" customHeight="1">
      <c r="A1851" s="3" t="inlineStr">
        <is>
          <t>PROD_1850</t>
        </is>
      </c>
    </row>
    <row r="1852" ht="15.75" customHeight="1">
      <c r="A1852" s="3" t="inlineStr">
        <is>
          <t>PROD_1851</t>
        </is>
      </c>
    </row>
    <row r="1853" ht="15.75" customHeight="1">
      <c r="A1853" s="3" t="inlineStr">
        <is>
          <t>PROD_1852</t>
        </is>
      </c>
    </row>
    <row r="1854" ht="15.75" customHeight="1">
      <c r="A1854" s="3" t="inlineStr">
        <is>
          <t>PROD_1853</t>
        </is>
      </c>
    </row>
    <row r="1855" ht="15.75" customHeight="1">
      <c r="A1855" s="3" t="inlineStr">
        <is>
          <t>PROD_1854</t>
        </is>
      </c>
    </row>
    <row r="1856" ht="15.75" customHeight="1">
      <c r="A1856" s="3" t="inlineStr">
        <is>
          <t>PROD_1855</t>
        </is>
      </c>
    </row>
    <row r="1857" ht="15.75" customHeight="1">
      <c r="A1857" s="3" t="inlineStr">
        <is>
          <t>PROD_1856</t>
        </is>
      </c>
    </row>
    <row r="1858" ht="15.75" customHeight="1">
      <c r="A1858" s="3" t="inlineStr">
        <is>
          <t>PROD_1857</t>
        </is>
      </c>
    </row>
    <row r="1859" ht="15.75" customHeight="1">
      <c r="A1859" s="3" t="inlineStr">
        <is>
          <t>PROD_1858</t>
        </is>
      </c>
    </row>
    <row r="1860" ht="15.75" customHeight="1">
      <c r="A1860" s="3" t="inlineStr">
        <is>
          <t>PROD_1859</t>
        </is>
      </c>
    </row>
    <row r="1861" ht="15.75" customHeight="1">
      <c r="A1861" s="3" t="inlineStr">
        <is>
          <t>PROD_1860</t>
        </is>
      </c>
    </row>
    <row r="1862" ht="15.75" customHeight="1">
      <c r="A1862" s="3" t="inlineStr">
        <is>
          <t>PROD_1861</t>
        </is>
      </c>
    </row>
    <row r="1863" ht="15.75" customHeight="1">
      <c r="A1863" s="3" t="inlineStr">
        <is>
          <t>PROD_1862</t>
        </is>
      </c>
    </row>
    <row r="1864" ht="15.75" customHeight="1">
      <c r="A1864" s="3" t="inlineStr">
        <is>
          <t>PROD_1863</t>
        </is>
      </c>
    </row>
    <row r="1865" ht="15.75" customHeight="1">
      <c r="A1865" s="3" t="inlineStr">
        <is>
          <t>PROD_1864</t>
        </is>
      </c>
    </row>
    <row r="1866" ht="15.75" customHeight="1">
      <c r="A1866" s="3" t="inlineStr">
        <is>
          <t>PROD_1865</t>
        </is>
      </c>
    </row>
    <row r="1867" ht="15.75" customHeight="1">
      <c r="A1867" s="3" t="inlineStr">
        <is>
          <t>PROD_1866</t>
        </is>
      </c>
    </row>
    <row r="1868" ht="15.75" customHeight="1">
      <c r="A1868" s="3" t="inlineStr">
        <is>
          <t>PROD_1867</t>
        </is>
      </c>
    </row>
    <row r="1869" ht="15.75" customHeight="1">
      <c r="A1869" s="3" t="inlineStr">
        <is>
          <t>PROD_1868</t>
        </is>
      </c>
    </row>
    <row r="1870" ht="15.75" customHeight="1">
      <c r="A1870" s="3" t="inlineStr">
        <is>
          <t>PROD_1869</t>
        </is>
      </c>
    </row>
    <row r="1871" ht="15.75" customHeight="1">
      <c r="A1871" s="3" t="inlineStr">
        <is>
          <t>PROD_1870</t>
        </is>
      </c>
    </row>
    <row r="1872" ht="15.75" customHeight="1">
      <c r="A1872" s="3" t="inlineStr">
        <is>
          <t>PROD_1871</t>
        </is>
      </c>
    </row>
    <row r="1873" ht="15.75" customHeight="1">
      <c r="A1873" s="3" t="inlineStr">
        <is>
          <t>PROD_1872</t>
        </is>
      </c>
    </row>
    <row r="1874" ht="15.75" customHeight="1">
      <c r="A1874" s="3" t="inlineStr">
        <is>
          <t>PROD_1873</t>
        </is>
      </c>
    </row>
    <row r="1875" ht="15.75" customHeight="1">
      <c r="A1875" s="3" t="inlineStr">
        <is>
          <t>PROD_1874</t>
        </is>
      </c>
    </row>
    <row r="1876" ht="15.75" customHeight="1">
      <c r="A1876" s="3" t="inlineStr">
        <is>
          <t>PROD_1875</t>
        </is>
      </c>
    </row>
    <row r="1877" ht="15.75" customHeight="1">
      <c r="A1877" s="3" t="inlineStr">
        <is>
          <t>PROD_1876</t>
        </is>
      </c>
    </row>
    <row r="1878" ht="15.75" customHeight="1">
      <c r="A1878" s="3" t="inlineStr">
        <is>
          <t>PROD_1877</t>
        </is>
      </c>
    </row>
    <row r="1879" ht="15.75" customHeight="1">
      <c r="A1879" s="3" t="inlineStr">
        <is>
          <t>PROD_1878</t>
        </is>
      </c>
    </row>
    <row r="1880" ht="15.75" customHeight="1">
      <c r="A1880" s="3" t="inlineStr">
        <is>
          <t>PROD_1879</t>
        </is>
      </c>
    </row>
    <row r="1881" ht="15.75" customHeight="1">
      <c r="A1881" s="3" t="inlineStr">
        <is>
          <t>PROD_1880</t>
        </is>
      </c>
    </row>
    <row r="1882" ht="15.75" customHeight="1">
      <c r="A1882" s="3" t="inlineStr">
        <is>
          <t>PROD_1881</t>
        </is>
      </c>
    </row>
    <row r="1883" ht="15.75" customHeight="1">
      <c r="A1883" s="3" t="inlineStr">
        <is>
          <t>PROD_1882</t>
        </is>
      </c>
    </row>
    <row r="1884" ht="15.75" customHeight="1">
      <c r="A1884" s="3" t="inlineStr">
        <is>
          <t>PROD_1883</t>
        </is>
      </c>
    </row>
    <row r="1885" ht="15.75" customHeight="1">
      <c r="A1885" s="3" t="inlineStr">
        <is>
          <t>PROD_1884</t>
        </is>
      </c>
    </row>
    <row r="1886" ht="15.75" customHeight="1">
      <c r="A1886" s="3" t="inlineStr">
        <is>
          <t>PROD_1885</t>
        </is>
      </c>
    </row>
    <row r="1887" ht="15.75" customHeight="1">
      <c r="A1887" s="3" t="inlineStr">
        <is>
          <t>PROD_1886</t>
        </is>
      </c>
    </row>
    <row r="1888" ht="15.75" customHeight="1">
      <c r="A1888" s="3" t="inlineStr">
        <is>
          <t>PROD_1887</t>
        </is>
      </c>
    </row>
    <row r="1889" ht="15.75" customHeight="1">
      <c r="A1889" s="3" t="inlineStr">
        <is>
          <t>PROD_1888</t>
        </is>
      </c>
    </row>
    <row r="1890" ht="15.75" customHeight="1">
      <c r="A1890" s="3" t="inlineStr">
        <is>
          <t>PROD_1889</t>
        </is>
      </c>
    </row>
    <row r="1891" ht="15.75" customHeight="1">
      <c r="A1891" s="3" t="inlineStr">
        <is>
          <t>PROD_1890</t>
        </is>
      </c>
    </row>
    <row r="1892" ht="15.75" customHeight="1">
      <c r="A1892" s="3" t="inlineStr">
        <is>
          <t>PROD_1891</t>
        </is>
      </c>
    </row>
    <row r="1893" ht="15.75" customHeight="1">
      <c r="A1893" s="3" t="inlineStr">
        <is>
          <t>PROD_1892</t>
        </is>
      </c>
    </row>
    <row r="1894" ht="15.75" customHeight="1">
      <c r="A1894" s="3" t="inlineStr">
        <is>
          <t>PROD_1893</t>
        </is>
      </c>
    </row>
    <row r="1895" ht="15.75" customHeight="1">
      <c r="A1895" s="3" t="inlineStr">
        <is>
          <t>PROD_1894</t>
        </is>
      </c>
    </row>
    <row r="1896" ht="15.75" customHeight="1">
      <c r="A1896" s="3" t="inlineStr">
        <is>
          <t>PROD_1895</t>
        </is>
      </c>
    </row>
    <row r="1897" ht="15.75" customHeight="1">
      <c r="A1897" s="3" t="inlineStr">
        <is>
          <t>PROD_1896</t>
        </is>
      </c>
    </row>
    <row r="1898" ht="15.75" customHeight="1">
      <c r="A1898" s="3" t="inlineStr">
        <is>
          <t>PROD_1897</t>
        </is>
      </c>
    </row>
    <row r="1899" ht="15.75" customHeight="1">
      <c r="A1899" s="3" t="inlineStr">
        <is>
          <t>PROD_1898</t>
        </is>
      </c>
    </row>
    <row r="1900" ht="15.75" customHeight="1">
      <c r="A1900" s="3" t="inlineStr">
        <is>
          <t>PROD_1899</t>
        </is>
      </c>
    </row>
    <row r="1901" ht="15.75" customHeight="1">
      <c r="A1901" s="3" t="inlineStr">
        <is>
          <t>PROD_1900</t>
        </is>
      </c>
    </row>
    <row r="1902" ht="15.75" customHeight="1">
      <c r="A1902" s="3" t="inlineStr">
        <is>
          <t>PROD_1901</t>
        </is>
      </c>
    </row>
    <row r="1903" ht="15.75" customHeight="1">
      <c r="A1903" s="3" t="inlineStr">
        <is>
          <t>PROD_1902</t>
        </is>
      </c>
    </row>
    <row r="1904" ht="15.75" customHeight="1">
      <c r="A1904" s="3" t="inlineStr">
        <is>
          <t>PROD_1903</t>
        </is>
      </c>
    </row>
    <row r="1905" ht="15.75" customHeight="1">
      <c r="A1905" s="3" t="inlineStr">
        <is>
          <t>PROD_1904</t>
        </is>
      </c>
    </row>
    <row r="1906" ht="15.75" customHeight="1">
      <c r="A1906" s="3" t="inlineStr">
        <is>
          <t>PROD_1905</t>
        </is>
      </c>
    </row>
    <row r="1907" ht="15.75" customHeight="1">
      <c r="A1907" s="3" t="inlineStr">
        <is>
          <t>PROD_1906</t>
        </is>
      </c>
    </row>
    <row r="1908" ht="15.75" customHeight="1">
      <c r="A1908" s="3" t="inlineStr">
        <is>
          <t>PROD_1907</t>
        </is>
      </c>
    </row>
    <row r="1909" ht="15.75" customHeight="1">
      <c r="A1909" s="3" t="inlineStr">
        <is>
          <t>PROD_1908</t>
        </is>
      </c>
    </row>
    <row r="1910" ht="15.75" customHeight="1">
      <c r="A1910" s="3" t="inlineStr">
        <is>
          <t>PROD_1909</t>
        </is>
      </c>
    </row>
    <row r="1911" ht="15.75" customHeight="1">
      <c r="A1911" s="3" t="inlineStr">
        <is>
          <t>PROD_1910</t>
        </is>
      </c>
    </row>
    <row r="1912" ht="15.75" customHeight="1">
      <c r="A1912" s="3" t="inlineStr">
        <is>
          <t>PROD_1911</t>
        </is>
      </c>
    </row>
    <row r="1913" ht="15.75" customHeight="1">
      <c r="A1913" s="3" t="inlineStr">
        <is>
          <t>PROD_1912</t>
        </is>
      </c>
    </row>
    <row r="1914" ht="15.75" customHeight="1">
      <c r="A1914" s="3" t="inlineStr">
        <is>
          <t>PROD_1913</t>
        </is>
      </c>
    </row>
    <row r="1915" ht="15.75" customHeight="1">
      <c r="A1915" s="3" t="inlineStr">
        <is>
          <t>PROD_1914</t>
        </is>
      </c>
    </row>
    <row r="1916" ht="15.75" customHeight="1">
      <c r="A1916" s="3" t="inlineStr">
        <is>
          <t>PROD_1915</t>
        </is>
      </c>
    </row>
    <row r="1917" ht="15.75" customHeight="1">
      <c r="A1917" s="3" t="inlineStr">
        <is>
          <t>PROD_1916</t>
        </is>
      </c>
    </row>
    <row r="1918" ht="15.75" customHeight="1">
      <c r="A1918" s="3" t="inlineStr">
        <is>
          <t>PROD_1917</t>
        </is>
      </c>
    </row>
    <row r="1919" ht="15.75" customHeight="1">
      <c r="A1919" s="3" t="inlineStr">
        <is>
          <t>PROD_1918</t>
        </is>
      </c>
    </row>
    <row r="1920" ht="15.75" customHeight="1">
      <c r="A1920" s="3" t="inlineStr">
        <is>
          <t>PROD_1919</t>
        </is>
      </c>
    </row>
    <row r="1921" ht="15.75" customHeight="1">
      <c r="A1921" s="3" t="inlineStr">
        <is>
          <t>PROD_1920</t>
        </is>
      </c>
    </row>
    <row r="1922" ht="15.75" customHeight="1">
      <c r="A1922" s="3" t="inlineStr">
        <is>
          <t>PROD_1921</t>
        </is>
      </c>
    </row>
    <row r="1923" ht="15.75" customHeight="1">
      <c r="A1923" s="3" t="inlineStr">
        <is>
          <t>PROD_1922</t>
        </is>
      </c>
    </row>
    <row r="1924" ht="15.75" customHeight="1">
      <c r="A1924" s="3" t="inlineStr">
        <is>
          <t>PROD_1923</t>
        </is>
      </c>
    </row>
    <row r="1925" ht="15.75" customHeight="1">
      <c r="A1925" s="3" t="inlineStr">
        <is>
          <t>PROD_1924</t>
        </is>
      </c>
    </row>
    <row r="1926" ht="15.75" customHeight="1">
      <c r="A1926" s="3" t="inlineStr">
        <is>
          <t>PROD_1925</t>
        </is>
      </c>
    </row>
    <row r="1927" ht="15.75" customHeight="1">
      <c r="A1927" s="3" t="inlineStr">
        <is>
          <t>PROD_1926</t>
        </is>
      </c>
    </row>
    <row r="1928" ht="15.75" customHeight="1">
      <c r="A1928" s="3" t="inlineStr">
        <is>
          <t>PROD_1927</t>
        </is>
      </c>
    </row>
    <row r="1929" ht="15.75" customHeight="1">
      <c r="A1929" s="3" t="inlineStr">
        <is>
          <t>PROD_1928</t>
        </is>
      </c>
    </row>
    <row r="1930" ht="15.75" customHeight="1">
      <c r="A1930" s="3" t="inlineStr">
        <is>
          <t>PROD_1929</t>
        </is>
      </c>
    </row>
    <row r="1931" ht="15.75" customHeight="1">
      <c r="A1931" s="3" t="inlineStr">
        <is>
          <t>PROD_1930</t>
        </is>
      </c>
    </row>
    <row r="1932" ht="15.75" customHeight="1">
      <c r="A1932" s="3" t="inlineStr">
        <is>
          <t>PROD_1931</t>
        </is>
      </c>
    </row>
    <row r="1933" ht="15.75" customHeight="1">
      <c r="A1933" s="3" t="inlineStr">
        <is>
          <t>PROD_1932</t>
        </is>
      </c>
    </row>
    <row r="1934" ht="15.75" customHeight="1">
      <c r="A1934" s="3" t="inlineStr">
        <is>
          <t>PROD_1933</t>
        </is>
      </c>
    </row>
    <row r="1935" ht="15.75" customHeight="1">
      <c r="A1935" s="3" t="inlineStr">
        <is>
          <t>PROD_1934</t>
        </is>
      </c>
    </row>
    <row r="1936" ht="15.75" customHeight="1">
      <c r="A1936" s="3" t="inlineStr">
        <is>
          <t>PROD_1935</t>
        </is>
      </c>
    </row>
    <row r="1937" ht="15.75" customHeight="1">
      <c r="A1937" s="3" t="inlineStr">
        <is>
          <t>PROD_1936</t>
        </is>
      </c>
    </row>
    <row r="1938" ht="15.75" customHeight="1">
      <c r="A1938" s="3" t="inlineStr">
        <is>
          <t>PROD_1937</t>
        </is>
      </c>
    </row>
    <row r="1939" ht="15.75" customHeight="1">
      <c r="A1939" s="3" t="inlineStr">
        <is>
          <t>PROD_1938</t>
        </is>
      </c>
    </row>
    <row r="1940" ht="15.75" customHeight="1">
      <c r="A1940" s="3" t="inlineStr">
        <is>
          <t>PROD_1939</t>
        </is>
      </c>
    </row>
    <row r="1941" ht="15.75" customHeight="1">
      <c r="A1941" s="3" t="inlineStr">
        <is>
          <t>PROD_1940</t>
        </is>
      </c>
    </row>
    <row r="1942" ht="15.75" customHeight="1">
      <c r="A1942" s="3" t="inlineStr">
        <is>
          <t>PROD_1941</t>
        </is>
      </c>
    </row>
    <row r="1943" ht="15.75" customHeight="1">
      <c r="A1943" s="3" t="inlineStr">
        <is>
          <t>PROD_1942</t>
        </is>
      </c>
    </row>
    <row r="1944" ht="15.75" customHeight="1">
      <c r="A1944" s="3" t="inlineStr">
        <is>
          <t>PROD_1943</t>
        </is>
      </c>
    </row>
    <row r="1945" ht="15.75" customHeight="1">
      <c r="A1945" s="3" t="inlineStr">
        <is>
          <t>PROD_1944</t>
        </is>
      </c>
    </row>
    <row r="1946" ht="15.75" customHeight="1">
      <c r="A1946" s="3" t="inlineStr">
        <is>
          <t>PROD_1945</t>
        </is>
      </c>
    </row>
    <row r="1947" ht="15.75" customHeight="1">
      <c r="A1947" s="3" t="inlineStr">
        <is>
          <t>PROD_1946</t>
        </is>
      </c>
    </row>
    <row r="1948" ht="15.75" customHeight="1">
      <c r="A1948" s="3" t="inlineStr">
        <is>
          <t>PROD_1947</t>
        </is>
      </c>
    </row>
    <row r="1949" ht="15.75" customHeight="1">
      <c r="A1949" s="3" t="inlineStr">
        <is>
          <t>PROD_1948</t>
        </is>
      </c>
    </row>
    <row r="1950" ht="15.75" customHeight="1">
      <c r="A1950" s="3" t="inlineStr">
        <is>
          <t>PROD_1949</t>
        </is>
      </c>
    </row>
    <row r="1951" ht="15.75" customHeight="1">
      <c r="A1951" s="3" t="inlineStr">
        <is>
          <t>PROD_1950</t>
        </is>
      </c>
    </row>
    <row r="1952" ht="15.75" customHeight="1">
      <c r="A1952" s="3" t="inlineStr">
        <is>
          <t>PROD_1951</t>
        </is>
      </c>
    </row>
    <row r="1953" ht="15.75" customHeight="1">
      <c r="A1953" s="3" t="inlineStr">
        <is>
          <t>PROD_1952</t>
        </is>
      </c>
    </row>
    <row r="1954" ht="15.75" customHeight="1">
      <c r="A1954" s="3" t="inlineStr">
        <is>
          <t>PROD_1953</t>
        </is>
      </c>
    </row>
    <row r="1955" ht="15.75" customHeight="1">
      <c r="A1955" s="3" t="inlineStr">
        <is>
          <t>PROD_1954</t>
        </is>
      </c>
    </row>
    <row r="1956" ht="15.75" customHeight="1">
      <c r="A1956" s="3" t="inlineStr">
        <is>
          <t>PROD_1955</t>
        </is>
      </c>
    </row>
    <row r="1957" ht="15.75" customHeight="1">
      <c r="A1957" s="3" t="inlineStr">
        <is>
          <t>PROD_1956</t>
        </is>
      </c>
    </row>
    <row r="1958" ht="15.75" customHeight="1">
      <c r="A1958" s="3" t="inlineStr">
        <is>
          <t>PROD_1957</t>
        </is>
      </c>
    </row>
    <row r="1959" ht="15.75" customHeight="1">
      <c r="A1959" s="3" t="inlineStr">
        <is>
          <t>PROD_1958</t>
        </is>
      </c>
    </row>
    <row r="1960" ht="15.75" customHeight="1">
      <c r="A1960" s="3" t="inlineStr">
        <is>
          <t>PROD_1959</t>
        </is>
      </c>
    </row>
    <row r="1961" ht="15.75" customHeight="1">
      <c r="A1961" s="3" t="inlineStr">
        <is>
          <t>PROD_1960</t>
        </is>
      </c>
    </row>
    <row r="1962" ht="15.75" customHeight="1">
      <c r="A1962" s="3" t="inlineStr">
        <is>
          <t>PROD_1961</t>
        </is>
      </c>
    </row>
    <row r="1963" ht="15.75" customHeight="1">
      <c r="A1963" s="3" t="inlineStr">
        <is>
          <t>PROD_1962</t>
        </is>
      </c>
    </row>
    <row r="1964" ht="15.75" customHeight="1">
      <c r="A1964" s="3" t="inlineStr">
        <is>
          <t>PROD_1963</t>
        </is>
      </c>
    </row>
    <row r="1965" ht="15.75" customHeight="1">
      <c r="A1965" s="3" t="inlineStr">
        <is>
          <t>PROD_1964</t>
        </is>
      </c>
    </row>
    <row r="1966" ht="15.75" customHeight="1">
      <c r="A1966" s="3" t="inlineStr">
        <is>
          <t>PROD_1965</t>
        </is>
      </c>
    </row>
    <row r="1967" ht="15.75" customHeight="1">
      <c r="A1967" s="3" t="inlineStr">
        <is>
          <t>PROD_1966</t>
        </is>
      </c>
    </row>
    <row r="1968" ht="15.75" customHeight="1">
      <c r="A1968" s="3" t="inlineStr">
        <is>
          <t>PROD_1967</t>
        </is>
      </c>
    </row>
    <row r="1969" ht="15.75" customHeight="1">
      <c r="A1969" s="3" t="inlineStr">
        <is>
          <t>PROD_1968</t>
        </is>
      </c>
    </row>
    <row r="1970" ht="15.75" customHeight="1">
      <c r="A1970" s="3" t="inlineStr">
        <is>
          <t>PROD_1969</t>
        </is>
      </c>
    </row>
    <row r="1971" ht="15.75" customHeight="1">
      <c r="A1971" s="3" t="inlineStr">
        <is>
          <t>PROD_1970</t>
        </is>
      </c>
    </row>
    <row r="1972" ht="15.75" customHeight="1">
      <c r="A1972" s="3" t="inlineStr">
        <is>
          <t>PROD_1971</t>
        </is>
      </c>
    </row>
    <row r="1973" ht="15.75" customHeight="1">
      <c r="A1973" s="3" t="inlineStr">
        <is>
          <t>PROD_1972</t>
        </is>
      </c>
    </row>
    <row r="1974" ht="15.75" customHeight="1">
      <c r="A1974" s="3" t="inlineStr">
        <is>
          <t>PROD_1973</t>
        </is>
      </c>
    </row>
    <row r="1975" ht="15.75" customHeight="1">
      <c r="A1975" s="3" t="inlineStr">
        <is>
          <t>PROD_1974</t>
        </is>
      </c>
    </row>
    <row r="1976" ht="15.75" customHeight="1">
      <c r="A1976" s="3" t="inlineStr">
        <is>
          <t>PROD_1975</t>
        </is>
      </c>
    </row>
    <row r="1977" ht="15.75" customHeight="1">
      <c r="A1977" s="3" t="inlineStr">
        <is>
          <t>PROD_1976</t>
        </is>
      </c>
    </row>
    <row r="1978" ht="15.75" customHeight="1">
      <c r="A1978" s="3" t="inlineStr">
        <is>
          <t>PROD_1977</t>
        </is>
      </c>
    </row>
    <row r="1979" ht="15.75" customHeight="1">
      <c r="A1979" s="3" t="inlineStr">
        <is>
          <t>PROD_1978</t>
        </is>
      </c>
    </row>
    <row r="1980" ht="15.75" customHeight="1">
      <c r="A1980" s="3" t="inlineStr">
        <is>
          <t>PROD_1979</t>
        </is>
      </c>
    </row>
    <row r="1981" ht="15.75" customHeight="1">
      <c r="A1981" s="3" t="inlineStr">
        <is>
          <t>PROD_1980</t>
        </is>
      </c>
    </row>
    <row r="1982" ht="15.75" customHeight="1">
      <c r="A1982" s="3" t="inlineStr">
        <is>
          <t>PROD_1981</t>
        </is>
      </c>
    </row>
    <row r="1983" ht="15.75" customHeight="1">
      <c r="A1983" s="3" t="inlineStr">
        <is>
          <t>PROD_1982</t>
        </is>
      </c>
    </row>
    <row r="1984" ht="15.75" customHeight="1">
      <c r="A1984" s="3" t="inlineStr">
        <is>
          <t>PROD_1983</t>
        </is>
      </c>
    </row>
    <row r="1985" ht="15.75" customHeight="1">
      <c r="A1985" s="3" t="inlineStr">
        <is>
          <t>PROD_1984</t>
        </is>
      </c>
    </row>
    <row r="1986" ht="15.75" customHeight="1">
      <c r="A1986" s="3" t="inlineStr">
        <is>
          <t>PROD_1985</t>
        </is>
      </c>
    </row>
    <row r="1987" ht="15.75" customHeight="1">
      <c r="A1987" s="3" t="inlineStr">
        <is>
          <t>PROD_1986</t>
        </is>
      </c>
    </row>
    <row r="1988" ht="15.75" customHeight="1">
      <c r="A1988" s="3" t="inlineStr">
        <is>
          <t>PROD_1987</t>
        </is>
      </c>
    </row>
    <row r="1989" ht="15.75" customHeight="1">
      <c r="A1989" s="3" t="inlineStr">
        <is>
          <t>PROD_1988</t>
        </is>
      </c>
    </row>
    <row r="1990" ht="15.75" customHeight="1">
      <c r="A1990" s="3" t="inlineStr">
        <is>
          <t>PROD_1989</t>
        </is>
      </c>
    </row>
    <row r="1991" ht="15.75" customHeight="1">
      <c r="A1991" s="3" t="inlineStr">
        <is>
          <t>PROD_1990</t>
        </is>
      </c>
    </row>
    <row r="1992" ht="15.75" customHeight="1">
      <c r="A1992" s="3" t="inlineStr">
        <is>
          <t>PROD_1991</t>
        </is>
      </c>
    </row>
    <row r="1993" ht="15.75" customHeight="1">
      <c r="A1993" s="3" t="inlineStr">
        <is>
          <t>PROD_1992</t>
        </is>
      </c>
    </row>
    <row r="1994" ht="15.75" customHeight="1">
      <c r="A1994" s="3" t="inlineStr">
        <is>
          <t>PROD_1993</t>
        </is>
      </c>
    </row>
    <row r="1995" ht="15.75" customHeight="1">
      <c r="A1995" s="3" t="inlineStr">
        <is>
          <t>PROD_1994</t>
        </is>
      </c>
    </row>
    <row r="1996" ht="15.75" customHeight="1">
      <c r="A1996" s="3" t="inlineStr">
        <is>
          <t>PROD_1995</t>
        </is>
      </c>
    </row>
    <row r="1997" ht="15.75" customHeight="1">
      <c r="A1997" s="3" t="inlineStr">
        <is>
          <t>PROD_1996</t>
        </is>
      </c>
    </row>
    <row r="1998" ht="15.75" customHeight="1">
      <c r="A1998" s="3" t="inlineStr">
        <is>
          <t>PROD_1997</t>
        </is>
      </c>
    </row>
    <row r="1999" ht="15.75" customHeight="1">
      <c r="A1999" s="3" t="inlineStr">
        <is>
          <t>PROD_1998</t>
        </is>
      </c>
    </row>
    <row r="2000" ht="15.75" customHeight="1">
      <c r="A2000" s="3" t="inlineStr">
        <is>
          <t>PROD_1999</t>
        </is>
      </c>
    </row>
    <row r="2001" ht="15.75" customHeight="1">
      <c r="A2001" s="3" t="inlineStr">
        <is>
          <t>PROD_2000</t>
        </is>
      </c>
    </row>
    <row r="2002" ht="15.75" customHeight="1">
      <c r="A2002" s="3" t="inlineStr">
        <is>
          <t>PROD_2001</t>
        </is>
      </c>
    </row>
    <row r="2003" ht="15.75" customHeight="1">
      <c r="A2003" s="3" t="inlineStr">
        <is>
          <t>PROD_2002</t>
        </is>
      </c>
    </row>
    <row r="2004" ht="15.75" customHeight="1">
      <c r="A2004" s="3" t="inlineStr">
        <is>
          <t>PROD_2003</t>
        </is>
      </c>
    </row>
    <row r="2005" ht="15.75" customHeight="1">
      <c r="A2005" s="3" t="inlineStr">
        <is>
          <t>PROD_2004</t>
        </is>
      </c>
    </row>
    <row r="2006" ht="15.75" customHeight="1">
      <c r="A2006" s="3" t="inlineStr">
        <is>
          <t>PROD_2005</t>
        </is>
      </c>
    </row>
    <row r="2007" ht="15.75" customHeight="1">
      <c r="A2007" s="3" t="inlineStr">
        <is>
          <t>PROD_2006</t>
        </is>
      </c>
    </row>
    <row r="2008" ht="15.75" customHeight="1">
      <c r="A2008" s="3" t="inlineStr">
        <is>
          <t>PROD_2007</t>
        </is>
      </c>
    </row>
    <row r="2009" ht="15.75" customHeight="1">
      <c r="A2009" s="3" t="inlineStr">
        <is>
          <t>PROD_2008</t>
        </is>
      </c>
    </row>
    <row r="2010" ht="15.75" customHeight="1">
      <c r="A2010" s="3" t="inlineStr">
        <is>
          <t>PROD_2009</t>
        </is>
      </c>
    </row>
    <row r="2011" ht="15.75" customHeight="1">
      <c r="A2011" s="3" t="inlineStr">
        <is>
          <t>PROD_2010</t>
        </is>
      </c>
    </row>
    <row r="2012" ht="15.75" customHeight="1">
      <c r="A2012" s="3" t="inlineStr">
        <is>
          <t>PROD_2011</t>
        </is>
      </c>
    </row>
    <row r="2013" ht="15.75" customHeight="1">
      <c r="A2013" s="3" t="inlineStr">
        <is>
          <t>PROD_2012</t>
        </is>
      </c>
    </row>
    <row r="2014" ht="15.75" customHeight="1">
      <c r="A2014" s="3" t="inlineStr">
        <is>
          <t>PROD_2013</t>
        </is>
      </c>
    </row>
    <row r="2015" ht="15.75" customHeight="1">
      <c r="A2015" s="3" t="inlineStr">
        <is>
          <t>PROD_2014</t>
        </is>
      </c>
    </row>
    <row r="2016" ht="15.75" customHeight="1">
      <c r="A2016" s="3" t="inlineStr">
        <is>
          <t>PROD_2015</t>
        </is>
      </c>
    </row>
    <row r="2017" ht="15.75" customHeight="1">
      <c r="A2017" s="3" t="inlineStr">
        <is>
          <t>PROD_2016</t>
        </is>
      </c>
    </row>
    <row r="2018" ht="15.75" customHeight="1">
      <c r="A2018" s="3" t="inlineStr">
        <is>
          <t>PROD_2017</t>
        </is>
      </c>
    </row>
    <row r="2019" ht="15.75" customHeight="1">
      <c r="A2019" s="3" t="inlineStr">
        <is>
          <t>PROD_2018</t>
        </is>
      </c>
    </row>
    <row r="2020" ht="15.75" customHeight="1">
      <c r="A2020" s="3" t="inlineStr">
        <is>
          <t>PROD_2019</t>
        </is>
      </c>
    </row>
    <row r="2021" ht="15.75" customHeight="1">
      <c r="A2021" s="3" t="inlineStr">
        <is>
          <t>PROD_2020</t>
        </is>
      </c>
    </row>
    <row r="2022" ht="15.75" customHeight="1">
      <c r="A2022" s="3" t="inlineStr">
        <is>
          <t>PROD_2021</t>
        </is>
      </c>
    </row>
    <row r="2023" ht="15.75" customHeight="1">
      <c r="A2023" s="3" t="inlineStr">
        <is>
          <t>PROD_2022</t>
        </is>
      </c>
    </row>
    <row r="2024" ht="15.75" customHeight="1">
      <c r="A2024" s="3" t="inlineStr">
        <is>
          <t>PROD_2023</t>
        </is>
      </c>
    </row>
    <row r="2025" ht="15.75" customHeight="1">
      <c r="A2025" s="3" t="inlineStr">
        <is>
          <t>PROD_2024</t>
        </is>
      </c>
    </row>
    <row r="2026" ht="15.75" customHeight="1">
      <c r="A2026" s="3" t="inlineStr">
        <is>
          <t>PROD_2025</t>
        </is>
      </c>
    </row>
    <row r="2027" ht="15.75" customHeight="1">
      <c r="A2027" s="3" t="inlineStr">
        <is>
          <t>PROD_2026</t>
        </is>
      </c>
    </row>
    <row r="2028" ht="15.75" customHeight="1">
      <c r="A2028" s="3" t="inlineStr">
        <is>
          <t>PROD_2027</t>
        </is>
      </c>
    </row>
    <row r="2029" ht="15.75" customHeight="1">
      <c r="A2029" s="3" t="inlineStr">
        <is>
          <t>PROD_2028</t>
        </is>
      </c>
    </row>
    <row r="2030" ht="15.75" customHeight="1">
      <c r="A2030" s="3" t="inlineStr">
        <is>
          <t>PROD_2029</t>
        </is>
      </c>
    </row>
    <row r="2031" ht="15.75" customHeight="1">
      <c r="A2031" s="3" t="inlineStr">
        <is>
          <t>PROD_2030</t>
        </is>
      </c>
    </row>
    <row r="2032" ht="15.75" customHeight="1">
      <c r="A2032" s="3" t="inlineStr">
        <is>
          <t>PROD_2031</t>
        </is>
      </c>
    </row>
    <row r="2033" ht="15.75" customHeight="1">
      <c r="A2033" s="3" t="inlineStr">
        <is>
          <t>PROD_2032</t>
        </is>
      </c>
    </row>
    <row r="2034" ht="15.75" customHeight="1">
      <c r="A2034" s="3" t="inlineStr">
        <is>
          <t>PROD_2033</t>
        </is>
      </c>
    </row>
    <row r="2035" ht="15.75" customHeight="1">
      <c r="A2035" s="3" t="inlineStr">
        <is>
          <t>PROD_2034</t>
        </is>
      </c>
    </row>
    <row r="2036" ht="15.75" customHeight="1">
      <c r="A2036" s="3" t="inlineStr">
        <is>
          <t>PROD_2035</t>
        </is>
      </c>
    </row>
    <row r="2037" ht="15.75" customHeight="1">
      <c r="A2037" s="3" t="inlineStr">
        <is>
          <t>PROD_2036</t>
        </is>
      </c>
    </row>
    <row r="2038" ht="15.75" customHeight="1">
      <c r="A2038" s="3" t="inlineStr">
        <is>
          <t>PROD_2037</t>
        </is>
      </c>
    </row>
    <row r="2039" ht="15.75" customHeight="1">
      <c r="A2039" s="3" t="inlineStr">
        <is>
          <t>PROD_2038</t>
        </is>
      </c>
    </row>
    <row r="2040" ht="15.75" customHeight="1">
      <c r="A2040" s="3" t="inlineStr">
        <is>
          <t>PROD_2039</t>
        </is>
      </c>
    </row>
    <row r="2041" ht="15.75" customHeight="1">
      <c r="A2041" s="3" t="inlineStr">
        <is>
          <t>PROD_2040</t>
        </is>
      </c>
    </row>
    <row r="2042" ht="15.75" customHeight="1">
      <c r="A2042" s="3" t="inlineStr">
        <is>
          <t>PROD_2041</t>
        </is>
      </c>
    </row>
    <row r="2043" ht="15.75" customHeight="1">
      <c r="A2043" s="3" t="inlineStr">
        <is>
          <t>PROD_2042</t>
        </is>
      </c>
    </row>
    <row r="2044" ht="15.75" customHeight="1">
      <c r="A2044" s="3" t="inlineStr">
        <is>
          <t>PROD_2043</t>
        </is>
      </c>
    </row>
    <row r="2045" ht="15.75" customHeight="1">
      <c r="A2045" s="3" t="inlineStr">
        <is>
          <t>PROD_2044</t>
        </is>
      </c>
    </row>
    <row r="2046" ht="15.75" customHeight="1">
      <c r="A2046" s="3" t="inlineStr">
        <is>
          <t>PROD_2045</t>
        </is>
      </c>
    </row>
    <row r="2047" ht="15.75" customHeight="1">
      <c r="A2047" s="3" t="inlineStr">
        <is>
          <t>PROD_2046</t>
        </is>
      </c>
    </row>
    <row r="2048" ht="15.75" customHeight="1">
      <c r="A2048" s="3" t="inlineStr">
        <is>
          <t>PROD_2047</t>
        </is>
      </c>
    </row>
    <row r="2049" ht="15.75" customHeight="1">
      <c r="A2049" s="3" t="inlineStr">
        <is>
          <t>PROD_2048</t>
        </is>
      </c>
    </row>
    <row r="2050" ht="15.75" customHeight="1">
      <c r="A2050" s="3" t="inlineStr">
        <is>
          <t>PROD_2049</t>
        </is>
      </c>
    </row>
    <row r="2051" ht="15.75" customHeight="1">
      <c r="A2051" s="3" t="inlineStr">
        <is>
          <t>PROD_2050</t>
        </is>
      </c>
    </row>
    <row r="2052" ht="15.75" customHeight="1">
      <c r="A2052" s="3" t="inlineStr">
        <is>
          <t>PROD_2051</t>
        </is>
      </c>
    </row>
    <row r="2053" ht="15.75" customHeight="1">
      <c r="A2053" s="3" t="inlineStr">
        <is>
          <t>PROD_2052</t>
        </is>
      </c>
    </row>
    <row r="2054" ht="15.75" customHeight="1">
      <c r="A2054" s="3" t="inlineStr">
        <is>
          <t>PROD_2053</t>
        </is>
      </c>
    </row>
    <row r="2055" ht="15.75" customHeight="1">
      <c r="A2055" s="3" t="inlineStr">
        <is>
          <t>PROD_2054</t>
        </is>
      </c>
    </row>
    <row r="2056" ht="15.75" customHeight="1">
      <c r="A2056" s="3" t="inlineStr">
        <is>
          <t>PROD_2055</t>
        </is>
      </c>
    </row>
    <row r="2057" ht="15.75" customHeight="1">
      <c r="A2057" s="3" t="inlineStr">
        <is>
          <t>PROD_2056</t>
        </is>
      </c>
    </row>
    <row r="2058" ht="15.75" customHeight="1">
      <c r="A2058" s="3" t="inlineStr">
        <is>
          <t>PROD_2057</t>
        </is>
      </c>
    </row>
    <row r="2059" ht="15.75" customHeight="1">
      <c r="A2059" s="3" t="inlineStr">
        <is>
          <t>PROD_2058</t>
        </is>
      </c>
    </row>
    <row r="2060" ht="15.75" customHeight="1">
      <c r="A2060" s="3" t="inlineStr">
        <is>
          <t>PROD_2059</t>
        </is>
      </c>
    </row>
    <row r="2061" ht="15.75" customHeight="1">
      <c r="A2061" s="3" t="inlineStr">
        <is>
          <t>PROD_2060</t>
        </is>
      </c>
    </row>
    <row r="2062" ht="15.75" customHeight="1">
      <c r="A2062" s="3" t="inlineStr">
        <is>
          <t>PROD_2061</t>
        </is>
      </c>
    </row>
    <row r="2063" ht="15.75" customHeight="1">
      <c r="A2063" s="3" t="inlineStr">
        <is>
          <t>PROD_2062</t>
        </is>
      </c>
    </row>
    <row r="2064" ht="15.75" customHeight="1">
      <c r="A2064" s="3" t="inlineStr">
        <is>
          <t>PROD_2063</t>
        </is>
      </c>
    </row>
    <row r="2065" ht="15.75" customHeight="1">
      <c r="A2065" s="3" t="inlineStr">
        <is>
          <t>PROD_2064</t>
        </is>
      </c>
    </row>
    <row r="2066" ht="15.75" customHeight="1">
      <c r="A2066" s="3" t="inlineStr">
        <is>
          <t>PROD_2065</t>
        </is>
      </c>
    </row>
    <row r="2067" ht="15.75" customHeight="1">
      <c r="A2067" s="3" t="inlineStr">
        <is>
          <t>PROD_2066</t>
        </is>
      </c>
    </row>
    <row r="2068" ht="15.75" customHeight="1">
      <c r="A2068" s="3" t="inlineStr">
        <is>
          <t>PROD_2067</t>
        </is>
      </c>
    </row>
    <row r="2069" ht="15.75" customHeight="1">
      <c r="A2069" s="3" t="inlineStr">
        <is>
          <t>PROD_2068</t>
        </is>
      </c>
    </row>
    <row r="2070" ht="15.75" customHeight="1">
      <c r="A2070" s="3" t="inlineStr">
        <is>
          <t>PROD_2069</t>
        </is>
      </c>
    </row>
    <row r="2071" ht="15.75" customHeight="1">
      <c r="A2071" s="3" t="inlineStr">
        <is>
          <t>PROD_2070</t>
        </is>
      </c>
    </row>
    <row r="2072" ht="15.75" customHeight="1">
      <c r="A2072" s="3" t="inlineStr">
        <is>
          <t>PROD_2071</t>
        </is>
      </c>
    </row>
    <row r="2073" ht="15.75" customHeight="1">
      <c r="A2073" s="3" t="inlineStr">
        <is>
          <t>PROD_2072</t>
        </is>
      </c>
    </row>
    <row r="2074" ht="15.75" customHeight="1">
      <c r="A2074" s="3" t="inlineStr">
        <is>
          <t>PROD_2073</t>
        </is>
      </c>
    </row>
    <row r="2075" ht="15.75" customHeight="1">
      <c r="A2075" s="3" t="inlineStr">
        <is>
          <t>PROD_2074</t>
        </is>
      </c>
    </row>
    <row r="2076" ht="15.75" customHeight="1">
      <c r="A2076" s="3" t="inlineStr">
        <is>
          <t>PROD_2075</t>
        </is>
      </c>
    </row>
    <row r="2077" ht="15.75" customHeight="1">
      <c r="A2077" s="3" t="inlineStr">
        <is>
          <t>PROD_2076</t>
        </is>
      </c>
    </row>
    <row r="2078" ht="15.75" customHeight="1">
      <c r="A2078" s="3" t="inlineStr">
        <is>
          <t>PROD_2077</t>
        </is>
      </c>
    </row>
    <row r="2079" ht="15.75" customHeight="1">
      <c r="A2079" s="3" t="inlineStr">
        <is>
          <t>PROD_2078</t>
        </is>
      </c>
    </row>
    <row r="2080" ht="15.75" customHeight="1">
      <c r="A2080" s="3" t="inlineStr">
        <is>
          <t>PROD_2079</t>
        </is>
      </c>
    </row>
    <row r="2081" ht="15.75" customHeight="1">
      <c r="A2081" s="3" t="inlineStr">
        <is>
          <t>PROD_2080</t>
        </is>
      </c>
    </row>
    <row r="2082" ht="15.75" customHeight="1">
      <c r="A2082" s="3" t="inlineStr">
        <is>
          <t>PROD_2081</t>
        </is>
      </c>
    </row>
    <row r="2083" ht="15.75" customHeight="1">
      <c r="A2083" s="3" t="inlineStr">
        <is>
          <t>PROD_2082</t>
        </is>
      </c>
    </row>
    <row r="2084" ht="15.75" customHeight="1">
      <c r="A2084" s="3" t="inlineStr">
        <is>
          <t>PROD_2083</t>
        </is>
      </c>
    </row>
    <row r="2085" ht="15.75" customHeight="1">
      <c r="A2085" s="3" t="inlineStr">
        <is>
          <t>PROD_2084</t>
        </is>
      </c>
    </row>
    <row r="2086" ht="15.75" customHeight="1">
      <c r="A2086" s="3" t="inlineStr">
        <is>
          <t>PROD_2085</t>
        </is>
      </c>
    </row>
    <row r="2087" ht="15.75" customHeight="1">
      <c r="A2087" s="3" t="inlineStr">
        <is>
          <t>PROD_2086</t>
        </is>
      </c>
    </row>
    <row r="2088" ht="15.75" customHeight="1">
      <c r="A2088" s="3" t="inlineStr">
        <is>
          <t>PROD_2087</t>
        </is>
      </c>
    </row>
    <row r="2089" ht="15.75" customHeight="1">
      <c r="A2089" s="3" t="inlineStr">
        <is>
          <t>PROD_2088</t>
        </is>
      </c>
    </row>
    <row r="2090" ht="15.75" customHeight="1">
      <c r="A2090" s="3" t="inlineStr">
        <is>
          <t>PROD_2089</t>
        </is>
      </c>
    </row>
    <row r="2091" ht="15.75" customHeight="1">
      <c r="A2091" s="3" t="inlineStr">
        <is>
          <t>PROD_2090</t>
        </is>
      </c>
    </row>
    <row r="2092" ht="15.75" customHeight="1">
      <c r="A2092" s="3" t="inlineStr">
        <is>
          <t>PROD_2091</t>
        </is>
      </c>
    </row>
    <row r="2093" ht="15.75" customHeight="1">
      <c r="A2093" s="3" t="inlineStr">
        <is>
          <t>PROD_2092</t>
        </is>
      </c>
    </row>
    <row r="2094" ht="15.75" customHeight="1">
      <c r="A2094" s="3" t="inlineStr">
        <is>
          <t>PROD_2093</t>
        </is>
      </c>
    </row>
    <row r="2095" ht="15.75" customHeight="1">
      <c r="A2095" s="3" t="inlineStr">
        <is>
          <t>PROD_2094</t>
        </is>
      </c>
    </row>
    <row r="2096" ht="15.75" customHeight="1">
      <c r="A2096" s="3" t="inlineStr">
        <is>
          <t>PROD_2095</t>
        </is>
      </c>
    </row>
    <row r="2097" ht="15.75" customHeight="1">
      <c r="A2097" s="3" t="inlineStr">
        <is>
          <t>PROD_2096</t>
        </is>
      </c>
    </row>
    <row r="2098" ht="15.75" customHeight="1">
      <c r="A2098" s="3" t="inlineStr">
        <is>
          <t>PROD_2097</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2026-04-04T22:36:00Z</dcterms:created>
  <dcterms:modified xmlns:dcterms="http://purl.org/dc/terms/" xmlns:xsi="http://www.w3.org/2001/XMLSchema-instance" xsi:type="dcterms:W3CDTF">2026-04-12T17:36:44Z</dcterms:modified>
  <cp:lastModifiedBy>Rahul Arora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D6253F957CBC4F37A5ED2ED7052A3D4F_12</vt:lpwstr>
  </property>
  <property name="KSOProductBuildVer" fmtid="{D5CDD505-2E9C-101B-9397-08002B2CF9AE}" pid="3">
    <vt:lpwstr xmlns:vt="http://schemas.openxmlformats.org/officeDocument/2006/docPropsVTypes">1033-12.1.0.25242</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1</vt:bool>
  </property>
</Properties>
</file>